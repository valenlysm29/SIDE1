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Asus\OneDrive\Documentos\side_side_va\SIDE1\reports\verificacion\"/>
    </mc:Choice>
  </mc:AlternateContent>
  <xr:revisionPtr revIDLastSave="0" documentId="13_ncr:1_{2A595A10-3592-4DAC-8E12-37F2B16FC6EA}" xr6:coauthVersionLast="47" xr6:coauthVersionMax="47" xr10:uidLastSave="{00000000-0000-0000-0000-000000000000}"/>
  <bookViews>
    <workbookView xWindow="3084" yWindow="816" windowWidth="19068" windowHeight="11424" xr2:uid="{00000000-000D-0000-FFFF-FFFF00000000}"/>
  </bookViews>
  <sheets>
    <sheet name="Resumen" sheetId="1" r:id="rId1"/>
    <sheet name="DOP por cantidad" sheetId="2" r:id="rId2"/>
    <sheet name="costo de producción" sheetId="3" r:id="rId3"/>
    <sheet name="caja" sheetId="4" r:id="rId4"/>
    <sheet name="consecuencias" sheetId="5" r:id="rId5"/>
    <sheet name="puntajes" sheetId="6" r:id="rId6"/>
    <sheet name="Fuentes originales" sheetId="7" r:id="rId7"/>
    <sheet name="Errores del original" sheetId="8" r:id="rId8"/>
  </sheets>
  <definedNames>
    <definedName name="_xlnm._FilterDatabase" localSheetId="3" hidden="1">caja!$A$7:$J$8</definedName>
    <definedName name="_xlnm._FilterDatabase" localSheetId="4" hidden="1">consecuencias!$A$7:$J$11</definedName>
    <definedName name="_xlnm._FilterDatabase" localSheetId="2" hidden="1">'costo de producción'!$A$7:$J$17</definedName>
    <definedName name="_xlnm._FilterDatabase" localSheetId="1" hidden="1">'DOP por cantidad'!$A$7:$J$97</definedName>
    <definedName name="_xlnm._FilterDatabase" localSheetId="6" hidden="1">'Fuentes originales'!$A$7:$I$119</definedName>
    <definedName name="_xlnm._FilterDatabase" localSheetId="5" hidden="1">puntajes!$A$7:$J$14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" i="6" l="1"/>
  <c r="G13" i="6"/>
  <c r="G12" i="6"/>
  <c r="G11" i="6"/>
  <c r="G10" i="6"/>
  <c r="G9" i="6"/>
  <c r="G8" i="6"/>
  <c r="G11" i="5"/>
  <c r="G10" i="5"/>
  <c r="H9" i="5"/>
  <c r="G9" i="5"/>
  <c r="I9" i="5" s="1"/>
  <c r="G8" i="5"/>
  <c r="G17" i="3"/>
  <c r="G16" i="3"/>
  <c r="G15" i="3"/>
  <c r="G14" i="3"/>
  <c r="G13" i="3"/>
  <c r="G12" i="3"/>
  <c r="G11" i="3"/>
  <c r="G10" i="3"/>
  <c r="G9" i="3"/>
  <c r="G8" i="3"/>
  <c r="G97" i="2"/>
  <c r="G96" i="2"/>
  <c r="G95" i="2"/>
  <c r="H94" i="2"/>
  <c r="G94" i="2"/>
  <c r="I94" i="2" s="1"/>
  <c r="H93" i="2"/>
  <c r="G93" i="2"/>
  <c r="I93" i="2" s="1"/>
  <c r="H92" i="2"/>
  <c r="G92" i="2"/>
  <c r="I92" i="2" s="1"/>
  <c r="H91" i="2"/>
  <c r="G91" i="2"/>
  <c r="I91" i="2" s="1"/>
  <c r="H90" i="2"/>
  <c r="G90" i="2"/>
  <c r="I90" i="2" s="1"/>
  <c r="H89" i="2"/>
  <c r="G89" i="2"/>
  <c r="I89" i="2" s="1"/>
  <c r="G88" i="2"/>
  <c r="H87" i="2"/>
  <c r="G87" i="2"/>
  <c r="I87" i="2" s="1"/>
  <c r="H86" i="2"/>
  <c r="G86" i="2"/>
  <c r="I86" i="2" s="1"/>
  <c r="H85" i="2"/>
  <c r="G85" i="2"/>
  <c r="I85" i="2" s="1"/>
  <c r="H84" i="2"/>
  <c r="G84" i="2"/>
  <c r="I84" i="2" s="1"/>
  <c r="H83" i="2"/>
  <c r="G83" i="2"/>
  <c r="I83" i="2" s="1"/>
  <c r="H82" i="2"/>
  <c r="G82" i="2"/>
  <c r="I82" i="2" s="1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H67" i="2"/>
  <c r="G67" i="2"/>
  <c r="I67" i="2" s="1"/>
  <c r="H66" i="2"/>
  <c r="G66" i="2"/>
  <c r="I66" i="2" s="1"/>
  <c r="H65" i="2"/>
  <c r="G65" i="2"/>
  <c r="I65" i="2" s="1"/>
  <c r="H64" i="2"/>
  <c r="G64" i="2"/>
  <c r="I64" i="2" s="1"/>
  <c r="H63" i="2"/>
  <c r="G63" i="2"/>
  <c r="I63" i="2" s="1"/>
  <c r="H62" i="2"/>
  <c r="G62" i="2"/>
  <c r="I62" i="2" s="1"/>
  <c r="G61" i="2"/>
  <c r="G60" i="2"/>
  <c r="G59" i="2"/>
  <c r="G58" i="2"/>
  <c r="H57" i="2"/>
  <c r="G57" i="2"/>
  <c r="I57" i="2" s="1"/>
  <c r="H56" i="2"/>
  <c r="G56" i="2"/>
  <c r="I56" i="2" s="1"/>
  <c r="H55" i="2"/>
  <c r="G55" i="2"/>
  <c r="I55" i="2" s="1"/>
  <c r="H54" i="2"/>
  <c r="G54" i="2"/>
  <c r="I54" i="2" s="1"/>
  <c r="H53" i="2"/>
  <c r="G53" i="2"/>
  <c r="I53" i="2" s="1"/>
  <c r="H52" i="2"/>
  <c r="G52" i="2"/>
  <c r="I52" i="2" s="1"/>
  <c r="G51" i="2"/>
  <c r="G50" i="2"/>
  <c r="G49" i="2"/>
  <c r="G48" i="2"/>
  <c r="H47" i="2"/>
  <c r="G47" i="2"/>
  <c r="I47" i="2" s="1"/>
  <c r="H46" i="2"/>
  <c r="G46" i="2"/>
  <c r="I46" i="2" s="1"/>
  <c r="H45" i="2"/>
  <c r="G45" i="2"/>
  <c r="I45" i="2" s="1"/>
  <c r="H44" i="2"/>
  <c r="G44" i="2"/>
  <c r="I44" i="2" s="1"/>
  <c r="H43" i="2"/>
  <c r="G43" i="2"/>
  <c r="I43" i="2" s="1"/>
  <c r="H42" i="2"/>
  <c r="G42" i="2"/>
  <c r="I42" i="2" s="1"/>
  <c r="G41" i="2"/>
  <c r="G40" i="2"/>
  <c r="G39" i="2"/>
  <c r="G38" i="2"/>
  <c r="H37" i="2"/>
  <c r="G37" i="2"/>
  <c r="I37" i="2" s="1"/>
  <c r="H36" i="2"/>
  <c r="G36" i="2"/>
  <c r="I36" i="2" s="1"/>
  <c r="H35" i="2"/>
  <c r="G35" i="2"/>
  <c r="I35" i="2" s="1"/>
  <c r="H34" i="2"/>
  <c r="G34" i="2"/>
  <c r="I34" i="2" s="1"/>
  <c r="H33" i="2"/>
  <c r="G33" i="2"/>
  <c r="I33" i="2" s="1"/>
  <c r="H32" i="2"/>
  <c r="G32" i="2"/>
  <c r="I32" i="2" s="1"/>
  <c r="G31" i="2"/>
  <c r="G30" i="2"/>
  <c r="G29" i="2"/>
  <c r="G28" i="2"/>
  <c r="H27" i="2"/>
  <c r="G27" i="2"/>
  <c r="I27" i="2" s="1"/>
  <c r="H26" i="2"/>
  <c r="G26" i="2"/>
  <c r="I26" i="2" s="1"/>
  <c r="H25" i="2"/>
  <c r="G25" i="2"/>
  <c r="I25" i="2" s="1"/>
  <c r="H24" i="2"/>
  <c r="G24" i="2"/>
  <c r="I24" i="2" s="1"/>
  <c r="H23" i="2"/>
  <c r="G23" i="2"/>
  <c r="I23" i="2" s="1"/>
  <c r="H22" i="2"/>
  <c r="G22" i="2"/>
  <c r="I22" i="2" s="1"/>
  <c r="G21" i="2"/>
  <c r="G20" i="2"/>
  <c r="G19" i="2"/>
  <c r="G18" i="2"/>
  <c r="H17" i="2"/>
  <c r="G17" i="2"/>
  <c r="I17" i="2" s="1"/>
  <c r="H16" i="2"/>
  <c r="G16" i="2"/>
  <c r="I16" i="2" s="1"/>
  <c r="H15" i="2"/>
  <c r="G15" i="2"/>
  <c r="I15" i="2" s="1"/>
  <c r="H14" i="2"/>
  <c r="G14" i="2"/>
  <c r="I14" i="2" s="1"/>
  <c r="H13" i="2"/>
  <c r="G13" i="2"/>
  <c r="I13" i="2" s="1"/>
  <c r="H12" i="2"/>
  <c r="G12" i="2"/>
  <c r="I12" i="2" s="1"/>
  <c r="H11" i="2"/>
  <c r="G11" i="2"/>
  <c r="I11" i="2" s="1"/>
  <c r="H10" i="2"/>
  <c r="G10" i="2"/>
  <c r="I10" i="2" s="1"/>
  <c r="H9" i="2"/>
  <c r="G9" i="2"/>
  <c r="I9" i="2" s="1"/>
  <c r="H8" i="2"/>
  <c r="G8" i="2"/>
  <c r="I8" i="2" s="1"/>
  <c r="B14" i="1"/>
  <c r="B13" i="1"/>
  <c r="F12" i="1"/>
  <c r="E12" i="1"/>
  <c r="D12" i="1"/>
  <c r="C12" i="1"/>
  <c r="B12" i="1"/>
  <c r="B11" i="1"/>
  <c r="B10" i="1"/>
  <c r="B15" i="1" s="1"/>
  <c r="G12" i="1" l="1"/>
  <c r="I11" i="5"/>
  <c r="H11" i="5"/>
  <c r="H13" i="3"/>
  <c r="I13" i="3"/>
  <c r="I88" i="2"/>
  <c r="H88" i="2"/>
  <c r="I19" i="2"/>
  <c r="H19" i="2"/>
  <c r="I14" i="6"/>
  <c r="H14" i="6"/>
  <c r="I13" i="6"/>
  <c r="H13" i="6"/>
  <c r="I12" i="6"/>
  <c r="H12" i="6"/>
  <c r="I11" i="6"/>
  <c r="H11" i="6"/>
  <c r="I10" i="6"/>
  <c r="H10" i="6"/>
  <c r="I9" i="6"/>
  <c r="H9" i="6"/>
  <c r="I8" i="6"/>
  <c r="H8" i="6"/>
  <c r="H10" i="5"/>
  <c r="I10" i="5"/>
  <c r="I8" i="5"/>
  <c r="H8" i="5"/>
  <c r="H17" i="3"/>
  <c r="I17" i="3"/>
  <c r="H16" i="3"/>
  <c r="I16" i="3"/>
  <c r="I15" i="3"/>
  <c r="H15" i="3"/>
  <c r="I14" i="3"/>
  <c r="H14" i="3"/>
  <c r="H12" i="3"/>
  <c r="I12" i="3"/>
  <c r="I11" i="3"/>
  <c r="H11" i="3"/>
  <c r="H10" i="3"/>
  <c r="I10" i="3"/>
  <c r="H9" i="3"/>
  <c r="I9" i="3"/>
  <c r="H8" i="3"/>
  <c r="I8" i="3"/>
  <c r="H97" i="2"/>
  <c r="I97" i="2"/>
  <c r="H96" i="2"/>
  <c r="I96" i="2"/>
  <c r="H95" i="2"/>
  <c r="I95" i="2"/>
  <c r="H81" i="2"/>
  <c r="I81" i="2"/>
  <c r="I80" i="2"/>
  <c r="H80" i="2"/>
  <c r="I79" i="2"/>
  <c r="H79" i="2"/>
  <c r="H78" i="2"/>
  <c r="I78" i="2"/>
  <c r="H77" i="2"/>
  <c r="I77" i="2"/>
  <c r="H76" i="2"/>
  <c r="I76" i="2"/>
  <c r="I75" i="2"/>
  <c r="H75" i="2"/>
  <c r="H74" i="2"/>
  <c r="I74" i="2"/>
  <c r="H73" i="2"/>
  <c r="I73" i="2"/>
  <c r="I72" i="2"/>
  <c r="H72" i="2"/>
  <c r="I71" i="2"/>
  <c r="H71" i="2"/>
  <c r="H70" i="2"/>
  <c r="I70" i="2"/>
  <c r="I69" i="2"/>
  <c r="H69" i="2"/>
  <c r="H68" i="2"/>
  <c r="I68" i="2"/>
  <c r="I61" i="2"/>
  <c r="H61" i="2"/>
  <c r="H60" i="2"/>
  <c r="I60" i="2"/>
  <c r="H59" i="2"/>
  <c r="I59" i="2"/>
  <c r="I58" i="2"/>
  <c r="H58" i="2"/>
  <c r="H51" i="2"/>
  <c r="I51" i="2"/>
  <c r="I50" i="2"/>
  <c r="H50" i="2"/>
  <c r="I49" i="2"/>
  <c r="H49" i="2"/>
  <c r="H48" i="2"/>
  <c r="I48" i="2"/>
  <c r="H41" i="2"/>
  <c r="I41" i="2"/>
  <c r="I40" i="2"/>
  <c r="H40" i="2"/>
  <c r="H39" i="2"/>
  <c r="I39" i="2"/>
  <c r="H38" i="2"/>
  <c r="I38" i="2"/>
  <c r="I31" i="2"/>
  <c r="H31" i="2"/>
  <c r="H30" i="2"/>
  <c r="I30" i="2"/>
  <c r="H29" i="2"/>
  <c r="I29" i="2"/>
  <c r="I28" i="2"/>
  <c r="H28" i="2"/>
  <c r="H21" i="2"/>
  <c r="I21" i="2"/>
  <c r="I20" i="2"/>
  <c r="H20" i="2"/>
  <c r="I18" i="2"/>
  <c r="H18" i="2"/>
  <c r="F10" i="1"/>
  <c r="D10" i="1"/>
  <c r="E10" i="1"/>
  <c r="C10" i="1" l="1"/>
  <c r="G10" i="1" s="1"/>
  <c r="C14" i="1"/>
  <c r="D14" i="1"/>
  <c r="E14" i="1"/>
  <c r="F14" i="1"/>
  <c r="E13" i="1"/>
  <c r="C13" i="1"/>
  <c r="F13" i="1"/>
  <c r="D13" i="1"/>
  <c r="D11" i="1"/>
  <c r="D15" i="1" s="1"/>
  <c r="E11" i="1"/>
  <c r="E15" i="1" s="1"/>
  <c r="F11" i="1"/>
  <c r="C11" i="1"/>
  <c r="C15" i="1" l="1"/>
  <c r="G15" i="1" s="1"/>
  <c r="G14" i="1"/>
  <c r="G13" i="1"/>
  <c r="F15" i="1"/>
  <c r="G11" i="1"/>
</calcChain>
</file>

<file path=xl/sharedStrings.xml><?xml version="1.0" encoding="utf-8"?>
<sst xmlns="http://schemas.openxmlformats.org/spreadsheetml/2006/main" count="1582" uniqueCount="279">
  <si>
    <t>Verificación manual · SIDE vs Excel</t>
  </si>
  <si>
    <t>Tolerancia absoluta</t>
  </si>
  <si>
    <t>Edite solo Obtenido (amarillo) al repetir los casos; Esperado conserva la evidencia del Excel original.</t>
  </si>
  <si>
    <t>NO COMPARABLE: falta de oráculo numérico o fórmula original con error. PENDIENTE: no existe observación SIDE.</t>
  </si>
  <si>
    <t>Tema</t>
  </si>
  <si>
    <t>Total</t>
  </si>
  <si>
    <t>OK</t>
  </si>
  <si>
    <t>DIFERENCIA</t>
  </si>
  <si>
    <t>PENDIENTE</t>
  </si>
  <si>
    <t>NO COMPARABLE</t>
  </si>
  <si>
    <t>% OK comparables</t>
  </si>
  <si>
    <t>DOP por cantidad</t>
  </si>
  <si>
    <t>costo de producción</t>
  </si>
  <si>
    <t>caja</t>
  </si>
  <si>
    <t>consecuencias</t>
  </si>
  <si>
    <t>puntajes</t>
  </si>
  <si>
    <t>TOTAL</t>
  </si>
  <si>
    <t>Escenarios únicos</t>
  </si>
  <si>
    <t>15</t>
  </si>
  <si>
    <t>Fuente de esperados</t>
  </si>
  <si>
    <t>.codex-work\DECISIONES_SIDE_16.xlsx</t>
  </si>
  <si>
    <t>Celdas amarillas</t>
  </si>
  <si>
    <t>Obtenido: escriba lo observado en SIDE. B4: tolerancia elegida.</t>
  </si>
  <si>
    <t>Diferencia porcentual</t>
  </si>
  <si>
    <t>(Obtenido − Esperado) / ABS(Esperado). Si Esperado = 0 y Obtenido ≠ 0: N/A.</t>
  </si>
  <si>
    <t>Estado OK</t>
  </si>
  <si>
    <t>No equivale a auditoría del juego completo. Se limita al resultado y entradas de la fila.</t>
  </si>
  <si>
    <t>Errores del original</t>
  </si>
  <si>
    <t>Un error como #DIV/0! se conserva como texto para evidenciarlo; no se transforma en cero.</t>
  </si>
  <si>
    <t>Caja y faltante</t>
  </si>
  <si>
    <t>Las reglas del juego sin celda equivalente en el original quedan NO COMPARABLE.</t>
  </si>
  <si>
    <t>Cómo añadir casos</t>
  </si>
  <si>
    <t>Duplique una fila del tema; anote entradas y celda fuente. Amplíe filtros y rangos del resumen.</t>
  </si>
  <si>
    <t>Dop por cantidad</t>
  </si>
  <si>
    <t>Tolerancia numérica: Resumen!B4. Diferencia = Obtenido − Esperado. Sin oráculo: NO COMPARABLE.</t>
  </si>
  <si>
    <t>Entradas y fuentes completas en Fuentes originales. DOP se compara para la cantidad solicitada; el inventario es otro dato.</t>
  </si>
  <si>
    <t>Caso</t>
  </si>
  <si>
    <t>Resultado / unidad</t>
  </si>
  <si>
    <t>Entradas concretas SIDE</t>
  </si>
  <si>
    <t>Fuente Excel</t>
  </si>
  <si>
    <t>Esperado (Excel)</t>
  </si>
  <si>
    <t>Obtenido (SIDE)</t>
  </si>
  <si>
    <t>Diferencia</t>
  </si>
  <si>
    <t>% diferencia</t>
  </si>
  <si>
    <t>Estado</t>
  </si>
  <si>
    <t>Fuente SIDE / pantalla</t>
  </si>
  <si>
    <t>E01</t>
  </si>
  <si>
    <t>Cantidad deseada total [unidad]</t>
  </si>
  <si>
    <t>{"quantities": [0, 0, 0], "stock": 0, "cash": 1000000}</t>
  </si>
  <si>
    <t>CANTIDAD DE PRODUCCIÓN!D36</t>
  </si>
  <si>
    <t>js/production_model.js y navegador local index.html, productionPlan(); capital=100000, tras fijos=97287.68 | Captura: tests/output/verificacion/E01-necesidades.png</t>
  </si>
  <si>
    <t>Cuero, molde 1 [m²]</t>
  </si>
  <si>
    <t>CANTIDAD DE PRODUCCIÓN!D42</t>
  </si>
  <si>
    <t>Accesorios, molde 1 [unidad]</t>
  </si>
  <si>
    <t>CANTIDAD DE PRODUCCIÓN!G42</t>
  </si>
  <si>
    <t>Hilo, molde 1 [m]</t>
  </si>
  <si>
    <t>CANTIDAD DE PRODUCCIÓN!J42</t>
  </si>
  <si>
    <t>Cuero, molde 2 [m²]</t>
  </si>
  <si>
    <t>CANTIDAD DE PRODUCCIÓN!E43</t>
  </si>
  <si>
    <t>Accesorios, molde 2 [unidad]</t>
  </si>
  <si>
    <t>CANTIDAD DE PRODUCCIÓN!H43</t>
  </si>
  <si>
    <t>Hilo, molde 2 [m]</t>
  </si>
  <si>
    <t>CANTIDAD DE PRODUCCIÓN!K43</t>
  </si>
  <si>
    <t>Cuero, molde 3 [m²]</t>
  </si>
  <si>
    <t>CANTIDAD DE PRODUCCIÓN!F44</t>
  </si>
  <si>
    <t>Accesorios, molde 3 [unidad]</t>
  </si>
  <si>
    <t>CANTIDAD DE PRODUCCIÓN!I44</t>
  </si>
  <si>
    <t>Hilo, molde 3 [m]</t>
  </si>
  <si>
    <t>CANTIDAD DE PRODUCCIÓN!L44</t>
  </si>
  <si>
    <t>E02</t>
  </si>
  <si>
    <t>{"quantities": [1, 0, 0], "stock": 0, "cash": 1000000}</t>
  </si>
  <si>
    <t>js/production_model.js y navegador local index.html, productionPlan(); capital=100000, tras fijos=97287.68 | Captura: tests/output/verificacion/E02-necesidades.png</t>
  </si>
  <si>
    <t>E03</t>
  </si>
  <si>
    <t>{"quantities": [10, 0, 0], "stock": 0, "cash": 1000000}</t>
  </si>
  <si>
    <t>js/production_model.js y navegador local index.html, productionPlan(); capital=100000, tras fijos=97287.68 | Captura: tests/output/verificacion/E03-necesidades.png</t>
  </si>
  <si>
    <t>E04</t>
  </si>
  <si>
    <t>{"quantities": [396, 0, 0], "stock": 0, "cash": 1000000}</t>
  </si>
  <si>
    <t>js/production_model.js y navegador local index.html, productionPlan(); capital=100000, tras fijos=97287.68 | Captura: tests/output/verificacion/E04-necesidades.png</t>
  </si>
  <si>
    <t>E05</t>
  </si>
  <si>
    <t>{"quantities": [397, 0, 0], "stock": 0, "cash": 1000000}</t>
  </si>
  <si>
    <t>js/production_model.js y navegador local index.html, productionPlan(); capital=100000, tras fijos=97287.68 | Captura: tests/output/verificacion/E05-necesidades.png</t>
  </si>
  <si>
    <t>E06</t>
  </si>
  <si>
    <t>{"quantities": [1000, 0, 0], "stock": 0, "cash": 1000000}</t>
  </si>
  <si>
    <t>js/production_model.js y navegador local index.html, productionPlan(); capital=100000, tras fijos=97287.68 | Captura: tests/output/verificacion/E06-necesidades.png</t>
  </si>
  <si>
    <t>E07</t>
  </si>
  <si>
    <t>{"quantities": [250, 180, 90], "stock": 0, "cash": 1000000}</t>
  </si>
  <si>
    <t>js/production_model.js y navegador local index.html, productionPlan(); capital=100000, tras fijos=97287.68 | Captura: tests/output/verificacion/E07-necesidades.png</t>
  </si>
  <si>
    <t>E08</t>
  </si>
  <si>
    <t>{"quantities": [10, 0, 0], "stock": 10000, "cash": 1000000}</t>
  </si>
  <si>
    <t>js/production_model.js y navegador local index.html, productionPlan(); capital=100000, tras fijos=97287.68 | Captura: tests/output/verificacion/E08-necesidades.png</t>
  </si>
  <si>
    <t>E09</t>
  </si>
  <si>
    <t>{"quantities": [0, 0, 10], "stock": 0, "cash": 1000000}</t>
  </si>
  <si>
    <t>js/production_model.js y navegador local index.html, productionPlan(); capital=100000, tras fijos=97287.68 | Captura: tests/output/verificacion/E09-necesidades.png</t>
  </si>
  <si>
    <t>Costo de producción</t>
  </si>
  <si>
    <t>E10</t>
  </si>
  <si>
    <t>Costo mensual corte nivel 1 [S/]</t>
  </si>
  <si>
    <t>{"regimen": "MYPE"}</t>
  </si>
  <si>
    <t>Costos De Producción!U11</t>
  </si>
  <si>
    <t>js/engine/costos.js costoLaboral y precioCompraMateriaPrima (motor Node); control adicional Chromium componente ui_excel montado aislado: valor navegador=1690.8; revisar diferenciasNavegador | Captura: tests/output/verificacion/E10-editor.png</t>
  </si>
  <si>
    <t>Costo mensual ensamble nivel 1 [S/]</t>
  </si>
  <si>
    <t>Costos De Producción!Y11</t>
  </si>
  <si>
    <t>Costo mensual acabado nivel 1 [S/]</t>
  </si>
  <si>
    <t>Costos De Producción!AC11</t>
  </si>
  <si>
    <t>Local de producción mensual [S/]</t>
  </si>
  <si>
    <t>Costos De Producción!AC33</t>
  </si>
  <si>
    <t>js/engine/costos.js costoLaboral y precioCompraMateriaPrima (motor Node); control adicional Chromium componente ui_excel montado aislado: valor navegador=2000; revisar diferenciasNavegador | Captura: tests/output/verificacion/E10-editor.png</t>
  </si>
  <si>
    <t>Precio neto cuero sintético [S//m²]</t>
  </si>
  <si>
    <t>Costos De Producción!W76</t>
  </si>
  <si>
    <t>js/engine/costos.js costoLaboral y precioCompraMateriaPrima (motor Node); control adicional Chromium componente ui_excel montado aislado: valor navegador=23; revisar diferenciasNavegador | Captura: tests/output/verificacion/E10-editor.png</t>
  </si>
  <si>
    <t>E11</t>
  </si>
  <si>
    <t>{"regimen": "NO_MYPE"}</t>
  </si>
  <si>
    <t>Costos De Producción!V11</t>
  </si>
  <si>
    <t>js/engine/costos.js costoLaboral y precioCompraMateriaPrima (motor Node); control adicional Chromium componente ui_excel montado aislado: valor navegador=1856.5384615384614; revisar diferenciasNavegador | Captura: tests/output/verificacion/E11-editor.png</t>
  </si>
  <si>
    <t>Costos De Producción!Z11</t>
  </si>
  <si>
    <t>Costos De Producción!AD11</t>
  </si>
  <si>
    <t>js/engine/costos.js costoLaboral y precioCompraMateriaPrima (motor Node); control adicional Chromium componente ui_excel montado aislado: valor navegador=2000; revisar diferenciasNavegador | Captura: tests/output/verificacion/E11-editor.png</t>
  </si>
  <si>
    <t>js/engine/costos.js costoLaboral y precioCompraMateriaPrima (motor Node); control adicional Chromium componente ui_excel montado aislado: valor navegador=23; revisar diferenciasNavegador | Captura: tests/output/verificacion/E11-editor.png</t>
  </si>
  <si>
    <t>Caja</t>
  </si>
  <si>
    <t>E12</t>
  </si>
  <si>
    <t>Caja observada con capital cero tras fijos [S/]</t>
  </si>
  <si>
    <t>{"cash": 0, "regimen": "MYPE", "quantity": 10}</t>
  </si>
  <si>
    <t>None!None</t>
  </si>
  <si>
    <t>Navegador local con capital=0; meta 10 sin compra ni confirmacion. No prueba rechazo por saldo insuficiente | Captura: tests/output/verificacion/E12-produccion.png</t>
  </si>
  <si>
    <t>Consecuencias</t>
  </si>
  <si>
    <t>E14</t>
  </si>
  <si>
    <t>Factor sobre precio de venta [factor]</t>
  </si>
  <si>
    <t>{"calidad": 4, "segmento": "SEG-03", "eficiencia": 7, "reputacion": 7, "saludFinanciera": 7, "jefes": 1, "planeado": 10, "capacidad": 396, "producido": 10, "demanda": 100, "costoMOciclo": 0, "lotes_manuales": [{"segmento": "SEG-03", "cantidad": 10, "cuero": "INS-01", "accesorios": "INS-04", "hilo": "INS-06", "molde": "INF-08"}]}</t>
  </si>
  <si>
    <t>Matriz_Consecuencias!C2:D3</t>
  </si>
  <si>
    <t>js/engine/consecuencias.js evaluarConsecuencias (motor Node); calidad controlada, regla textual; control adicional Chromium componente ui_excel montado aislado: valor navegador=1; revisar diferenciasNavegador | Captura: tests/output/verificacion/E14-editor.png</t>
  </si>
  <si>
    <t>Cambio reputación [puntos]</t>
  </si>
  <si>
    <t>js/engine/consecuencias.js evaluarConsecuencias (motor Node); calidad controlada, regla textual; control adicional Chromium componente ui_excel montado aislado: valor navegador=0; revisar diferenciasNavegador | Captura: tests/output/verificacion/E14-editor.png</t>
  </si>
  <si>
    <t>E15</t>
  </si>
  <si>
    <t>{"calidad": 12, "segmento": "SEG-03", "eficiencia": 7, "reputacion": 7, "saludFinanciera": 7, "jefes": 1, "planeado": 10, "capacidad": 396, "producido": 10, "demanda": 100, "costoMOciclo": 0}</t>
  </si>
  <si>
    <t>Matriz_Consecuencias!D3</t>
  </si>
  <si>
    <t>js/engine/consecuencias.js evaluarConsecuencias (motor Node); calidad controlada, regla textual; control adicional Chromium componente ui_excel montado aislado: valor navegador=1.4; revisar diferenciasNavegador | Captura: tests/output/verificacion/E15-editor.png</t>
  </si>
  <si>
    <t>js/engine/consecuencias.js evaluarConsecuencias (motor Node); calidad controlada, regla textual; control adicional Chromium componente ui_excel montado aislado: valor navegador=2; revisar diferenciasNavegador | Captura: tests/output/verificacion/E15-editor.png</t>
  </si>
  <si>
    <t>Puntajes</t>
  </si>
  <si>
    <t>E13</t>
  </si>
  <si>
    <t>calidad [puntos]</t>
  </si>
  <si>
    <t>{"seleccion": ["INF-03", "INF-06", "INF-09", "RH-02", "RH-05", "RH-08", "RH-10A", "COM-01C", "FIN-01B", "INV-01B"], "garantiaDias": null, "mantenimientoPreventivo": false, "marketingNivel": null, "analistaCompras": false, "garantiaProveedor": 0, "tiendasPorDistrito": {"los_olivos": 0, "miraflores": 0, "sjl": 0}, "lotes": [{"segmento": "SEG-03", "cantidad": 100, "cuero": "INS-03", "accesorios": "INS-05", "hilo": "INS-08", "molde": "INF-10", "costoUnitario": 96, "calidad": 12, "umbral": 7, "resultado": "Coherente", "precio": 250}, {"segmento": "SEG-02", "cantidad": 300, "cuero": "INS-02", "accesorios": "INS-04", "hilo": "INS-06", "molde": "INF-08", "costoUnitario": 51, "calidad": 5, "umbral": 4, "resultado": "Coherente", "precio": 250}, {"segmento": "SEG-03", "cantidad": 100, "cuero": "INS-01", "accesorios": "INS-04", "hilo": "INS-06", "molde": "INF-08", "costoUnitario": 31, "calidad": 4, "umbral": 7, "resultado": "No alcanza el segmento", "precio": 250}], "personal": {"corte": [[0, 0, 0], [0, 0, 0], [0, 0, 0]], "ensamble": [[0, 0, 0], [0, 0, 0], [0, 0, 0]], "acabado": [[0, 0, 0], [0, 0, 0], [0, 0, 0]]}, "jefes": 1, "regimen": "MYPE", "publicidad": 0, "montoPrestamo": 0, "comprasUnidades": {}, "maquinaria": {}}</t>
  </si>
  <si>
    <t>Motor_Puntajes!B6</t>
  </si>
  <si>
    <t>js/engine/puntajes.js calcularPuntajes (motor Node); control adicional Chromium componente ui_excel montado aislado: valor navegador=6.2; revisar diferenciasNavegador | Captura: tests/output/verificacion/E13-editor.png</t>
  </si>
  <si>
    <t>eficiencia [puntos]</t>
  </si>
  <si>
    <t>Motor_Puntajes!B9</t>
  </si>
  <si>
    <t>js/engine/puntajes.js calcularPuntajes (motor Node); control adicional Chromium componente ui_excel montado aislado: valor navegador=16; revisar diferenciasNavegador | Captura: tests/output/verificacion/E13-editor.png</t>
  </si>
  <si>
    <t>reputacion [puntos]</t>
  </si>
  <si>
    <t>Motor_Puntajes!B10</t>
  </si>
  <si>
    <t>js/engine/puntajes.js calcularPuntajes (motor Node); control adicional Chromium componente ui_excel montado aislado: valor navegador=6; revisar diferenciasNavegador | Captura: tests/output/verificacion/E13-editor.png</t>
  </si>
  <si>
    <t>saludFinanciera [puntos]</t>
  </si>
  <si>
    <t>Motor_Puntajes!B11</t>
  </si>
  <si>
    <t>js/engine/puntajes.js calcularPuntajes (motor Node); control adicional Chromium componente ui_excel montado aislado: valor navegador=-1; revisar diferenciasNavegador | Captura: tests/output/verificacion/E13-editor.png</t>
  </si>
  <si>
    <t>Costo unitario lote 1 [S/]</t>
  </si>
  <si>
    <t>Lotes_Produccion!H2</t>
  </si>
  <si>
    <t>js/engine/puntajes.js calcularPuntajes (motor Node); control adicional Chromium componente ui_excel montado aislado: valor navegador=96; revisar diferenciasNavegador | Captura: tests/output/verificacion/E13-editor.png</t>
  </si>
  <si>
    <t>Costo unitario lote 2 [S/]</t>
  </si>
  <si>
    <t>Lotes_Produccion!H3</t>
  </si>
  <si>
    <t>js/engine/puntajes.js calcularPuntajes (motor Node); control adicional Chromium componente ui_excel montado aislado: valor navegador=51; revisar diferenciasNavegador | Captura: tests/output/verificacion/E13-editor.png</t>
  </si>
  <si>
    <t>Costo unitario lote 3 [S/]</t>
  </si>
  <si>
    <t>Lotes_Produccion!H4</t>
  </si>
  <si>
    <t>js/engine/puntajes.js calcularPuntajes (motor Node); control adicional Chromium componente ui_excel montado aislado: valor navegador=31; revisar diferenciasNavegador | Captura: tests/output/verificacion/E13-editor.png</t>
  </si>
  <si>
    <t>Trazabilidad · Excel original</t>
  </si>
  <si>
    <t>Resultado</t>
  </si>
  <si>
    <t>Entradas Excel (editar solo copia)</t>
  </si>
  <si>
    <t>Hoja</t>
  </si>
  <si>
    <t>Celda</t>
  </si>
  <si>
    <t>Fórmula original (texto)</t>
  </si>
  <si>
    <t>Valor Excel original</t>
  </si>
  <si>
    <t>Observación / alcance</t>
  </si>
  <si>
    <t>Cantidad deseada total</t>
  </si>
  <si>
    <t>{"CANTIDAD DE PRODUCCIÓN": {"D37": 0, "D38": 0, "D39": 0}}</t>
  </si>
  <si>
    <t>CANTIDAD DE PRODUCCIÓN</t>
  </si>
  <si>
    <t>D36</t>
  </si>
  <si>
    <t>=SUM(D37:D39)</t>
  </si>
  <si>
    <t>["396 es capacidad del ejemplo, no máximo global. No existe máximo definido en Excel.", "E37:E39 muestran #DIV/0!; las necesidades D42:L44 sí son cero."]</t>
  </si>
  <si>
    <t>Cuero, molde 1</t>
  </si>
  <si>
    <t>D42</t>
  </si>
  <si>
    <t>=$D37*D31</t>
  </si>
  <si>
    <t>Accesorios, molde 1</t>
  </si>
  <si>
    <t>G42</t>
  </si>
  <si>
    <t>=$D37*G31</t>
  </si>
  <si>
    <t>Hilo, molde 1</t>
  </si>
  <si>
    <t>J42</t>
  </si>
  <si>
    <t>=$D37*J31</t>
  </si>
  <si>
    <t>Cuero, molde 2</t>
  </si>
  <si>
    <t>E43</t>
  </si>
  <si>
    <t>=$D38*E32</t>
  </si>
  <si>
    <t>Accesorios, molde 2</t>
  </si>
  <si>
    <t>H43</t>
  </si>
  <si>
    <t>=$D38*H32</t>
  </si>
  <si>
    <t>Hilo, molde 2</t>
  </si>
  <si>
    <t>K43</t>
  </si>
  <si>
    <t>=$D38*K32</t>
  </si>
  <si>
    <t>Cuero, molde 3</t>
  </si>
  <si>
    <t>F44</t>
  </si>
  <si>
    <t>=$D39*F33</t>
  </si>
  <si>
    <t>Accesorios, molde 3</t>
  </si>
  <si>
    <t>I44</t>
  </si>
  <si>
    <t>=$D39*I33</t>
  </si>
  <si>
    <t>Hilo, molde 3</t>
  </si>
  <si>
    <t>L44</t>
  </si>
  <si>
    <t>=$D39*L33</t>
  </si>
  <si>
    <t>{"CANTIDAD DE PRODUCCIÓN": {"D37": 1, "D38": 0, "D39": 0}}</t>
  </si>
  <si>
    <t>["396 es capacidad del ejemplo, no máximo global. No existe máximo definido en Excel."]</t>
  </si>
  <si>
    <t>{"CANTIDAD DE PRODUCCIÓN": {"D37": 10, "D38": 0, "D39": 0}}</t>
  </si>
  <si>
    <t>{"CANTIDAD DE PRODUCCIÓN": {"D37": 396, "D38": 0, "D39": 0}}</t>
  </si>
  <si>
    <t>{"CANTIDAD DE PRODUCCIÓN": {"D37": 397, "D38": 0, "D39": 0}}</t>
  </si>
  <si>
    <t>{"CANTIDAD DE PRODUCCIÓN": {"D37": 1000, "D38": 0, "D39": 0}}</t>
  </si>
  <si>
    <t>{"CANTIDAD DE PRODUCCIÓN": {"D37": 250, "D38": 180, "D39": 90}}</t>
  </si>
  <si>
    <t>{"CANTIDAD DE PRODUCCIÓN": {"D37": 10, "D38": 0, "D39": 0}, "Costos De Producción": {"D54": 10000, "D57": 10000, "D59": 10000}}</t>
  </si>
  <si>
    <t>{"CANTIDAD DE PRODUCCIÓN": {"D37": 0, "D38": 0, "D39": 10}}</t>
  </si>
  <si>
    <t>Costo mensual corte nivel 1</t>
  </si>
  <si>
    <t>{}</t>
  </si>
  <si>
    <t>Costos De Producción</t>
  </si>
  <si>
    <t>U11</t>
  </si>
  <si>
    <t>=U10/12.5</t>
  </si>
  <si>
    <t>["Componentes de costos comparables; no equivalen a caja final completa del ciclo."]</t>
  </si>
  <si>
    <t>Costo mensual ensamble nivel 1</t>
  </si>
  <si>
    <t>Y11</t>
  </si>
  <si>
    <t>=Y10/12.5</t>
  </si>
  <si>
    <t>Costo mensual acabado nivel 1</t>
  </si>
  <si>
    <t>AC11</t>
  </si>
  <si>
    <t>=AC10/12.5</t>
  </si>
  <si>
    <t>Local de producción mensual</t>
  </si>
  <si>
    <t>AC33</t>
  </si>
  <si>
    <t>Precio neto cuero sintético</t>
  </si>
  <si>
    <t>W76</t>
  </si>
  <si>
    <t>=V76-V76*8%</t>
  </si>
  <si>
    <t>V11</t>
  </si>
  <si>
    <t>=V10/13</t>
  </si>
  <si>
    <t>Z11</t>
  </si>
  <si>
    <t>=Z10/13</t>
  </si>
  <si>
    <t>AD11</t>
  </si>
  <si>
    <t>=AD10/13</t>
  </si>
  <si>
    <t>Caja observada con capital cero tras fijos</t>
  </si>
  <si>
    <t>["El Excel original no contiene caja inicial ni transición completa por ciclo; no puede fijarse esperado ni declararse igualdad.", "La prueba controla capital cero y observa reaplicación de fijos: no intenta confirmar una compra ni demuestra rechazo por fondos insuficientes."]</t>
  </si>
  <si>
    <t>calidad</t>
  </si>
  <si>
    <t>{"Seleccion_Ciclo0": {"B2": "INF-03", "B3": "INF-06", "B4": "INF-09", "B5": "RH-02", "B6": "RH-05", "B7": "RH-08", "B8": "RH-10A", "B9": "COM-01C", "B10": "FIN-01B", "B11": "INV-01B", "B12": null, "B13": null, "B14": null, "B15": null}, "Lotes_Produccion": {"B2": "SEG-03", "C2": 100, "D2": "INS-03", "E2": "INS-05", "F2": "INS-08", "G2": "INF-10", "B3": "SEG-02", "C3": 300, "D3": "INS-02", "E3": "INS-04", "F3": "INS-06", "G3": "INF-08", "B4": "SEG-03", "C4": 100, "D4": "INS-01", "E4": "INS-04", "F4": "INS-06", "G4": "INF-08"}}</t>
  </si>
  <si>
    <t>Motor_Puntajes</t>
  </si>
  <si>
    <t>B6</t>
  </si>
  <si>
    <t>=IFERROR(SUMPRODUCT(Lotes_Produccion!C2:C4,Lotes_Produccion!I2:I4)/SUM(Lotes_Produccion!C2:C4),0)</t>
  </si>
  <si>
    <t>["La selección B2:B15 y lotes B2:G4 se introducen sin tocar fórmulas.", "Caso original con selección histórica no era equivalente al plan actual: UI normaliza códigos. Se sustituyen las entradas por selección efectivamente guardada, esperando recálculo COM; ningún esperado se toma del código SIDE.", "Selección efectiva vigente capturada en navegador; se recalculó de nuevo la copia original E13.xlsx modificando solo entradas. La selección histórica no equivale a la pantalla actual."]</t>
  </si>
  <si>
    <t>eficiencia</t>
  </si>
  <si>
    <t>B9</t>
  </si>
  <si>
    <t>=SUM(Seleccion_Ciclo0!G2:G15)</t>
  </si>
  <si>
    <t>reputacion</t>
  </si>
  <si>
    <t>B10</t>
  </si>
  <si>
    <t>=SUM(Seleccion_Ciclo0!H2:H15)</t>
  </si>
  <si>
    <t>saludFinanciera</t>
  </si>
  <si>
    <t>B11</t>
  </si>
  <si>
    <t>=SUM(Seleccion_Ciclo0!I2:I15)</t>
  </si>
  <si>
    <t>Costo unitario lote 1</t>
  </si>
  <si>
    <t>Lotes_Produccion</t>
  </si>
  <si>
    <t>H2</t>
  </si>
  <si>
    <t>=IFERROR(INDEX(Catalogo_Decisiones!$G$2:$G$57,MATCH($D2,Catalogo_Decisiones!$A$2:$A$57,0)),0)+IFERROR(INDEX(Catalogo_Decisiones!$G$2:$G$57,MATCH($E2,Catalogo_Decisiones!$A$2:$A$57,0)),0)+IFERROR(INDEX(Catalogo_Decisiones!$G$2:$G$57,MATCH($F2,Catalogo_Decisiones!$A$2:$A$57,0)),0)</t>
  </si>
  <si>
    <t>Costo unitario lote 2</t>
  </si>
  <si>
    <t>H3</t>
  </si>
  <si>
    <t>=IFERROR(INDEX(Catalogo_Decisiones!$G$2:$G$57,MATCH($D3,Catalogo_Decisiones!$A$2:$A$57,0)),0)+IFERROR(INDEX(Catalogo_Decisiones!$G$2:$G$57,MATCH($E3,Catalogo_Decisiones!$A$2:$A$57,0)),0)+IFERROR(INDEX(Catalogo_Decisiones!$G$2:$G$57,MATCH($F3,Catalogo_Decisiones!$A$2:$A$57,0)),0)</t>
  </si>
  <si>
    <t>Costo unitario lote 3</t>
  </si>
  <si>
    <t>H4</t>
  </si>
  <si>
    <t>=IFERROR(INDEX(Catalogo_Decisiones!$G$2:$G$57,MATCH($D4,Catalogo_Decisiones!$A$2:$A$57,0)),0)+IFERROR(INDEX(Catalogo_Decisiones!$G$2:$G$57,MATCH($E4,Catalogo_Decisiones!$A$2:$A$57,0)),0)+IFERROR(INDEX(Catalogo_Decisiones!$G$2:$G$57,MATCH($F4,Catalogo_Decisiones!$A$2:$A$57,0)),0)</t>
  </si>
  <si>
    <t>Factor sobre precio de venta</t>
  </si>
  <si>
    <t>{"Lotes_Produccion": {"B2": "SEG-03", "C2": 10, "D2": "INS-01", "E2": "INS-04", "F2": "INS-06", "G2": "INF-08", "C3": 0, "C4": 0}}</t>
  </si>
  <si>
    <t>Matriz_Consecuencias</t>
  </si>
  <si>
    <t>C2:D3</t>
  </si>
  <si>
    <t>C2: &lt; 4 y Segmento = Premium; C3: &gt;= 7 y Segmento = Premium. Calidad 4 no cumple ninguna condición; no se activa D2 ni D3.</t>
  </si>
  <si>
    <t>["El lote completo más básico suma calidad 4 (1+1+1+1). La condición de castigo exige menos de 4 y la de premio al menos 7; ninguna se activa.", "Calidad 3 se conserva solo como control técnico adicional; no se presenta como lote completo reproducible desde el menú.", "En una copia vacíe las cantidades de los otros lotes y compruebe calidad 4 en Motor_Puntajes!B6 sin tocar fórmulas."]</t>
  </si>
  <si>
    <t>Cambio reputación</t>
  </si>
  <si>
    <t>D3</t>
  </si>
  <si>
    <t>Precio de venta +40%, Reputacion +2</t>
  </si>
  <si>
    <t>["Matriz_Consecuencias no contiene fórmulas: leer condición C3 y efecto D3. Calidad controlada para aislar esta consecuencia; no editar fórmulas del Motor."]</t>
  </si>
  <si>
    <t>Errores heredados · evidencia</t>
  </si>
  <si>
    <t>Estos errores pertenecen al Excel original recalculado. Son evidencia, no fórmulas con error del comparativo. Se excluyen del conteo de igualdad numérica.</t>
  </si>
  <si>
    <t>Error original (texto)</t>
  </si>
  <si>
    <t>Interpretación</t>
  </si>
  <si>
    <t>E37</t>
  </si>
  <si>
    <t>#DIV/0!</t>
  </si>
  <si>
    <t>Plan cero: la proporción divide entre cero; comparar necesidades brutas en la hoja DOP.</t>
  </si>
  <si>
    <t>E38</t>
  </si>
  <si>
    <t>E39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</si>
</sst>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"/>
    <numFmt numFmtId="165" formatCode="0.0%"/>
    <numFmt numFmtId="166" formatCode="#,##0.######;[Red]\(#,##0.######\);0"/>
    <numFmt numFmtId="167" formatCode="0.0000%"/>
  </numFmts>
  <fonts count="6" x14ac:knownFonts="1">
    <font>
      <sz val="11"/>
      <color theme="1"/>
      <name val="Calibri"/>
      <family val="2"/>
      <scheme val="minor"/>
    </font>
    <font>
      <b/>
      <sz val="20"/>
      <color rgb="FFFFFFFF"/>
      <name val="Arial"/>
    </font>
    <font>
      <sz val="10"/>
      <color rgb="FF172D3A"/>
      <name val="Arial"/>
    </font>
    <font>
      <b/>
      <sz val="10"/>
      <color rgb="FFFFFFFF"/>
      <name val="Arial"/>
    </font>
    <font>
      <sz val="10"/>
      <color rgb="FF0000FF"/>
      <name val="Arial"/>
    </font>
    <font>
      <sz val="10"/>
      <color rgb="FF008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42E3F"/>
      </patternFill>
    </fill>
    <fill>
      <patternFill patternType="solid">
        <fgColor rgb="FFFFF0AD"/>
      </patternFill>
    </fill>
    <fill>
      <patternFill patternType="solid">
        <fgColor rgb="FF087E8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vertical="top" wrapText="1"/>
    </xf>
    <xf numFmtId="164" fontId="2" fillId="3" borderId="0" xfId="0" applyNumberFormat="1" applyFont="1" applyFill="1" applyAlignment="1">
      <alignment vertical="top" wrapText="1"/>
    </xf>
    <xf numFmtId="0" fontId="3" fillId="4" borderId="0" xfId="0" applyFont="1" applyFill="1" applyAlignment="1">
      <alignment vertical="top" wrapText="1"/>
    </xf>
    <xf numFmtId="165" fontId="2" fillId="0" borderId="0" xfId="0" applyNumberFormat="1" applyFont="1" applyAlignment="1">
      <alignment vertical="top" wrapText="1"/>
    </xf>
    <xf numFmtId="166" fontId="4" fillId="0" borderId="0" xfId="0" applyNumberFormat="1" applyFont="1" applyAlignment="1">
      <alignment vertical="top" wrapText="1"/>
    </xf>
    <xf numFmtId="166" fontId="4" fillId="3" borderId="0" xfId="0" applyNumberFormat="1" applyFont="1" applyFill="1" applyAlignment="1">
      <alignment vertical="top" wrapText="1"/>
    </xf>
    <xf numFmtId="166" fontId="2" fillId="0" borderId="0" xfId="0" applyNumberFormat="1" applyFont="1" applyAlignment="1">
      <alignment vertical="top" wrapText="1"/>
    </xf>
    <xf numFmtId="167" fontId="2" fillId="0" borderId="0" xfId="0" applyNumberFormat="1" applyFont="1" applyAlignment="1">
      <alignment vertical="top" wrapText="1"/>
    </xf>
    <xf numFmtId="0" fontId="5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0" xfId="0"/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20">
    <dxf>
      <fill>
        <patternFill patternType="solid">
          <fgColor rgb="FFE6EAED"/>
        </patternFill>
      </fill>
    </dxf>
    <dxf>
      <fill>
        <patternFill patternType="solid">
          <fgColor rgb="FFFFF0AD"/>
        </patternFill>
      </fill>
    </dxf>
    <dxf>
      <fill>
        <patternFill patternType="solid">
          <fgColor rgb="FFFADDDD"/>
        </patternFill>
      </fill>
    </dxf>
    <dxf>
      <fill>
        <patternFill patternType="solid">
          <fgColor rgb="FFDDF1E4"/>
        </patternFill>
      </fill>
    </dxf>
    <dxf>
      <fill>
        <patternFill patternType="solid">
          <fgColor rgb="FFE6EAED"/>
        </patternFill>
      </fill>
    </dxf>
    <dxf>
      <fill>
        <patternFill patternType="solid">
          <fgColor rgb="FFFFF0AD"/>
        </patternFill>
      </fill>
    </dxf>
    <dxf>
      <fill>
        <patternFill patternType="solid">
          <fgColor rgb="FFFADDDD"/>
        </patternFill>
      </fill>
    </dxf>
    <dxf>
      <fill>
        <patternFill patternType="solid">
          <fgColor rgb="FFDDF1E4"/>
        </patternFill>
      </fill>
    </dxf>
    <dxf>
      <fill>
        <patternFill patternType="solid">
          <fgColor rgb="FFE6EAED"/>
        </patternFill>
      </fill>
    </dxf>
    <dxf>
      <fill>
        <patternFill patternType="solid">
          <fgColor rgb="FFFFF0AD"/>
        </patternFill>
      </fill>
    </dxf>
    <dxf>
      <fill>
        <patternFill patternType="solid">
          <fgColor rgb="FFFADDDD"/>
        </patternFill>
      </fill>
    </dxf>
    <dxf>
      <fill>
        <patternFill patternType="solid">
          <fgColor rgb="FFDDF1E4"/>
        </patternFill>
      </fill>
    </dxf>
    <dxf>
      <fill>
        <patternFill patternType="solid">
          <fgColor rgb="FFE6EAED"/>
        </patternFill>
      </fill>
    </dxf>
    <dxf>
      <fill>
        <patternFill patternType="solid">
          <fgColor rgb="FFFFF0AD"/>
        </patternFill>
      </fill>
    </dxf>
    <dxf>
      <fill>
        <patternFill patternType="solid">
          <fgColor rgb="FFFADDDD"/>
        </patternFill>
      </fill>
    </dxf>
    <dxf>
      <fill>
        <patternFill patternType="solid">
          <fgColor rgb="FFDDF1E4"/>
        </patternFill>
      </fill>
    </dxf>
    <dxf>
      <fill>
        <patternFill patternType="solid">
          <fgColor rgb="FFE6EAED"/>
        </patternFill>
      </fill>
    </dxf>
    <dxf>
      <fill>
        <patternFill patternType="solid">
          <fgColor rgb="FFFFF0AD"/>
        </patternFill>
      </fill>
    </dxf>
    <dxf>
      <fill>
        <patternFill patternType="solid">
          <fgColor rgb="FFFADDDD"/>
        </patternFill>
      </fill>
    </dxf>
    <dxf>
      <fill>
        <patternFill patternType="solid">
          <fgColor rgb="FFDDF1E4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showGridLines="0" tabSelected="1" workbookViewId="0">
      <pane xSplit="1" ySplit="9" topLeftCell="B10" activePane="bottomRight" state="frozen"/>
      <selection pane="topRight"/>
      <selection pane="bottomLeft"/>
      <selection pane="bottomRight" sqref="A1:H2"/>
    </sheetView>
  </sheetViews>
  <sheetFormatPr baseColWidth="10" defaultColWidth="8.88671875" defaultRowHeight="14.4" x14ac:dyDescent="0.3"/>
  <cols>
    <col min="1" max="1" width="29" customWidth="1"/>
    <col min="2" max="2" width="18" customWidth="1"/>
    <col min="3" max="3" width="15" customWidth="1"/>
    <col min="4" max="5" width="18" customWidth="1"/>
    <col min="6" max="6" width="23" customWidth="1"/>
    <col min="7" max="7" width="24" customWidth="1"/>
    <col min="8" max="8" width="14" customWidth="1"/>
  </cols>
  <sheetData>
    <row r="1" spans="1:8" ht="24" customHeight="1" x14ac:dyDescent="0.3">
      <c r="A1" s="12" t="s">
        <v>0</v>
      </c>
      <c r="B1" s="11"/>
      <c r="C1" s="11"/>
      <c r="D1" s="11"/>
      <c r="E1" s="11"/>
      <c r="F1" s="11"/>
      <c r="G1" s="11"/>
      <c r="H1" s="11"/>
    </row>
    <row r="2" spans="1:8" ht="15" customHeight="1" x14ac:dyDescent="0.3">
      <c r="A2" s="11"/>
      <c r="B2" s="11"/>
      <c r="C2" s="11"/>
      <c r="D2" s="11"/>
      <c r="E2" s="11"/>
      <c r="F2" s="11"/>
      <c r="G2" s="11"/>
      <c r="H2" s="11"/>
    </row>
    <row r="4" spans="1:8" x14ac:dyDescent="0.3">
      <c r="A4" s="1" t="s">
        <v>1</v>
      </c>
      <c r="B4" s="2">
        <v>0.01</v>
      </c>
    </row>
    <row r="6" spans="1:8" x14ac:dyDescent="0.3">
      <c r="A6" s="10" t="s">
        <v>2</v>
      </c>
      <c r="B6" s="11"/>
      <c r="C6" s="11"/>
      <c r="D6" s="11"/>
      <c r="E6" s="11"/>
      <c r="F6" s="11"/>
      <c r="G6" s="11"/>
      <c r="H6" s="11"/>
    </row>
    <row r="7" spans="1:8" x14ac:dyDescent="0.3">
      <c r="A7" s="10" t="s">
        <v>3</v>
      </c>
      <c r="B7" s="11"/>
      <c r="C7" s="11"/>
      <c r="D7" s="11"/>
      <c r="E7" s="11"/>
      <c r="F7" s="11"/>
      <c r="G7" s="11"/>
      <c r="H7" s="11"/>
    </row>
    <row r="9" spans="1:8" ht="31.95" customHeight="1" x14ac:dyDescent="0.3">
      <c r="A9" s="3" t="s">
        <v>4</v>
      </c>
      <c r="B9" s="3" t="s">
        <v>5</v>
      </c>
      <c r="C9" s="3" t="s">
        <v>6</v>
      </c>
      <c r="D9" s="3" t="s">
        <v>7</v>
      </c>
      <c r="E9" s="3" t="s">
        <v>8</v>
      </c>
      <c r="F9" s="3" t="s">
        <v>9</v>
      </c>
      <c r="G9" s="3" t="s">
        <v>10</v>
      </c>
    </row>
    <row r="10" spans="1:8" x14ac:dyDescent="0.3">
      <c r="A10" s="1" t="s">
        <v>11</v>
      </c>
      <c r="B10" s="1">
        <f>COUNTA('DOP por cantidad'!A8:A97)</f>
        <v>90</v>
      </c>
      <c r="C10" s="1">
        <f>COUNTIF('DOP por cantidad'!I8:I97,"OK")</f>
        <v>90</v>
      </c>
      <c r="D10" s="1">
        <f>COUNTIF('DOP por cantidad'!I8:I97,"DIFERENCIA")</f>
        <v>0</v>
      </c>
      <c r="E10" s="1">
        <f>COUNTIF('DOP por cantidad'!I8:I97,"PENDIENTE")</f>
        <v>0</v>
      </c>
      <c r="F10" s="1">
        <f>COUNTIF('DOP por cantidad'!I8:I97,"NO COMPARABLE")</f>
        <v>0</v>
      </c>
      <c r="G10" s="4">
        <f t="shared" ref="G10:G15" si="0">IFERROR(C10/(C10+D10),0)</f>
        <v>1</v>
      </c>
    </row>
    <row r="11" spans="1:8" x14ac:dyDescent="0.3">
      <c r="A11" s="1" t="s">
        <v>12</v>
      </c>
      <c r="B11" s="1">
        <f>COUNTA('costo de producción'!A8:A17)</f>
        <v>10</v>
      </c>
      <c r="C11" s="1">
        <f>COUNTIF('costo de producción'!I8:I17,"OK")</f>
        <v>10</v>
      </c>
      <c r="D11" s="1">
        <f>COUNTIF('costo de producción'!I8:I17,"DIFERENCIA")</f>
        <v>0</v>
      </c>
      <c r="E11" s="1">
        <f>COUNTIF('costo de producción'!I8:I17,"PENDIENTE")</f>
        <v>0</v>
      </c>
      <c r="F11" s="1">
        <f>COUNTIF('costo de producción'!I8:I17,"NO COMPARABLE")</f>
        <v>0</v>
      </c>
      <c r="G11" s="4">
        <f t="shared" si="0"/>
        <v>1</v>
      </c>
    </row>
    <row r="12" spans="1:8" x14ac:dyDescent="0.3">
      <c r="A12" s="1" t="s">
        <v>13</v>
      </c>
      <c r="B12" s="1">
        <f>COUNTA(caja!A8:A8)</f>
        <v>1</v>
      </c>
      <c r="C12" s="1">
        <f>COUNTIF(caja!I8:I8,"OK")</f>
        <v>0</v>
      </c>
      <c r="D12" s="1">
        <f>COUNTIF(caja!I8:I8,"DIFERENCIA")</f>
        <v>0</v>
      </c>
      <c r="E12" s="1">
        <f>COUNTIF(caja!I8:I8,"PENDIENTE")</f>
        <v>0</v>
      </c>
      <c r="F12" s="1">
        <f>COUNTIF(caja!I8:I8,"NO COMPARABLE")</f>
        <v>1</v>
      </c>
      <c r="G12" s="4">
        <f t="shared" si="0"/>
        <v>0</v>
      </c>
    </row>
    <row r="13" spans="1:8" x14ac:dyDescent="0.3">
      <c r="A13" s="1" t="s">
        <v>14</v>
      </c>
      <c r="B13" s="1">
        <f>COUNTA(consecuencias!A8:A11)</f>
        <v>4</v>
      </c>
      <c r="C13" s="1">
        <f>COUNTIF(consecuencias!I8:I11,"OK")</f>
        <v>4</v>
      </c>
      <c r="D13" s="1">
        <f>COUNTIF(consecuencias!I8:I11,"DIFERENCIA")</f>
        <v>0</v>
      </c>
      <c r="E13" s="1">
        <f>COUNTIF(consecuencias!I8:I11,"PENDIENTE")</f>
        <v>0</v>
      </c>
      <c r="F13" s="1">
        <f>COUNTIF(consecuencias!I8:I11,"NO COMPARABLE")</f>
        <v>0</v>
      </c>
      <c r="G13" s="4">
        <f t="shared" si="0"/>
        <v>1</v>
      </c>
    </row>
    <row r="14" spans="1:8" x14ac:dyDescent="0.3">
      <c r="A14" s="1" t="s">
        <v>15</v>
      </c>
      <c r="B14" s="1">
        <f>COUNTA(puntajes!A8:A14)</f>
        <v>7</v>
      </c>
      <c r="C14" s="1">
        <f>COUNTIF(puntajes!I8:I14,"OK")</f>
        <v>7</v>
      </c>
      <c r="D14" s="1">
        <f>COUNTIF(puntajes!I8:I14,"DIFERENCIA")</f>
        <v>0</v>
      </c>
      <c r="E14" s="1">
        <f>COUNTIF(puntajes!I8:I14,"PENDIENTE")</f>
        <v>0</v>
      </c>
      <c r="F14" s="1">
        <f>COUNTIF(puntajes!I8:I14,"NO COMPARABLE")</f>
        <v>0</v>
      </c>
      <c r="G14" s="4">
        <f t="shared" si="0"/>
        <v>1</v>
      </c>
    </row>
    <row r="15" spans="1:8" x14ac:dyDescent="0.3">
      <c r="A15" s="1" t="s">
        <v>16</v>
      </c>
      <c r="B15" s="1">
        <f>SUM(B10:B14)</f>
        <v>112</v>
      </c>
      <c r="C15" s="1">
        <f>SUM(C10:C14)</f>
        <v>111</v>
      </c>
      <c r="D15" s="1">
        <f>SUM(D10:D14)</f>
        <v>0</v>
      </c>
      <c r="E15" s="1">
        <f>SUM(E10:E14)</f>
        <v>0</v>
      </c>
      <c r="F15" s="1">
        <f>SUM(F10:F14)</f>
        <v>1</v>
      </c>
      <c r="G15" s="4">
        <f t="shared" si="0"/>
        <v>1</v>
      </c>
    </row>
    <row r="18" spans="1:8" ht="30" customHeight="1" x14ac:dyDescent="0.3">
      <c r="A18" s="1" t="s">
        <v>17</v>
      </c>
      <c r="B18" s="10" t="s">
        <v>18</v>
      </c>
      <c r="C18" s="11"/>
      <c r="D18" s="11"/>
      <c r="E18" s="11"/>
      <c r="F18" s="11"/>
      <c r="G18" s="11"/>
      <c r="H18" s="11"/>
    </row>
    <row r="19" spans="1:8" ht="30" customHeight="1" x14ac:dyDescent="0.3">
      <c r="A19" s="1" t="s">
        <v>19</v>
      </c>
      <c r="B19" s="10" t="s">
        <v>20</v>
      </c>
      <c r="C19" s="11"/>
      <c r="D19" s="11"/>
      <c r="E19" s="11"/>
      <c r="F19" s="11"/>
      <c r="G19" s="11"/>
      <c r="H19" s="11"/>
    </row>
    <row r="20" spans="1:8" ht="30" customHeight="1" x14ac:dyDescent="0.3">
      <c r="A20" s="1" t="s">
        <v>21</v>
      </c>
      <c r="B20" s="10" t="s">
        <v>22</v>
      </c>
      <c r="C20" s="11"/>
      <c r="D20" s="11"/>
      <c r="E20" s="11"/>
      <c r="F20" s="11"/>
      <c r="G20" s="11"/>
      <c r="H20" s="11"/>
    </row>
    <row r="21" spans="1:8" ht="30" customHeight="1" x14ac:dyDescent="0.3">
      <c r="A21" s="1" t="s">
        <v>23</v>
      </c>
      <c r="B21" s="10" t="s">
        <v>24</v>
      </c>
      <c r="C21" s="11"/>
      <c r="D21" s="11"/>
      <c r="E21" s="11"/>
      <c r="F21" s="11"/>
      <c r="G21" s="11"/>
      <c r="H21" s="11"/>
    </row>
    <row r="22" spans="1:8" ht="30" customHeight="1" x14ac:dyDescent="0.3">
      <c r="A22" s="1" t="s">
        <v>25</v>
      </c>
      <c r="B22" s="10" t="s">
        <v>26</v>
      </c>
      <c r="C22" s="11"/>
      <c r="D22" s="11"/>
      <c r="E22" s="11"/>
      <c r="F22" s="11"/>
      <c r="G22" s="11"/>
      <c r="H22" s="11"/>
    </row>
    <row r="23" spans="1:8" ht="30" customHeight="1" x14ac:dyDescent="0.3">
      <c r="A23" s="1" t="s">
        <v>27</v>
      </c>
      <c r="B23" s="10" t="s">
        <v>28</v>
      </c>
      <c r="C23" s="11"/>
      <c r="D23" s="11"/>
      <c r="E23" s="11"/>
      <c r="F23" s="11"/>
      <c r="G23" s="11"/>
      <c r="H23" s="11"/>
    </row>
    <row r="24" spans="1:8" ht="30" customHeight="1" x14ac:dyDescent="0.3">
      <c r="A24" s="1" t="s">
        <v>29</v>
      </c>
      <c r="B24" s="10" t="s">
        <v>30</v>
      </c>
      <c r="C24" s="11"/>
      <c r="D24" s="11"/>
      <c r="E24" s="11"/>
      <c r="F24" s="11"/>
      <c r="G24" s="11"/>
      <c r="H24" s="11"/>
    </row>
    <row r="25" spans="1:8" ht="30" customHeight="1" x14ac:dyDescent="0.3">
      <c r="A25" s="1" t="s">
        <v>31</v>
      </c>
      <c r="B25" s="10" t="s">
        <v>32</v>
      </c>
      <c r="C25" s="11"/>
      <c r="D25" s="11"/>
      <c r="E25" s="11"/>
      <c r="F25" s="11"/>
      <c r="G25" s="11"/>
      <c r="H25" s="11"/>
    </row>
  </sheetData>
  <mergeCells count="11">
    <mergeCell ref="B25:H25"/>
    <mergeCell ref="A1:H2"/>
    <mergeCell ref="B19:H19"/>
    <mergeCell ref="B20:H20"/>
    <mergeCell ref="A6:H6"/>
    <mergeCell ref="B23:H23"/>
    <mergeCell ref="B22:H22"/>
    <mergeCell ref="B18:H18"/>
    <mergeCell ref="A7:H7"/>
    <mergeCell ref="B21:H21"/>
    <mergeCell ref="B24:H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7"/>
  <sheetViews>
    <sheetView showGridLines="0" workbookViewId="0">
      <pane xSplit="4" ySplit="7" topLeftCell="E8" activePane="bottomRight" state="frozen"/>
      <selection pane="topRight"/>
      <selection pane="bottomLeft"/>
      <selection pane="bottomRight"/>
    </sheetView>
  </sheetViews>
  <sheetFormatPr baseColWidth="10" defaultColWidth="8.88671875" defaultRowHeight="14.4" x14ac:dyDescent="0.3"/>
  <cols>
    <col min="1" max="1" width="10" customWidth="1"/>
    <col min="2" max="2" width="31" customWidth="1"/>
    <col min="3" max="3" width="48" customWidth="1"/>
    <col min="4" max="4" width="35" customWidth="1"/>
    <col min="5" max="6" width="20" customWidth="1"/>
    <col min="7" max="8" width="18" customWidth="1"/>
    <col min="9" max="9" width="22" customWidth="1"/>
    <col min="10" max="10" width="48" customWidth="1"/>
  </cols>
  <sheetData>
    <row r="1" spans="1:10" ht="24" customHeight="1" x14ac:dyDescent="0.3">
      <c r="A1" s="12" t="s">
        <v>33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ht="15" customHeight="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</row>
    <row r="4" spans="1:10" x14ac:dyDescent="0.3">
      <c r="A4" s="10" t="s">
        <v>34</v>
      </c>
      <c r="B4" s="11"/>
      <c r="C4" s="11"/>
      <c r="D4" s="11"/>
      <c r="E4" s="11"/>
      <c r="F4" s="11"/>
      <c r="G4" s="11"/>
      <c r="H4" s="11"/>
      <c r="I4" s="11"/>
      <c r="J4" s="11"/>
    </row>
    <row r="5" spans="1:10" x14ac:dyDescent="0.3">
      <c r="A5" s="10" t="s">
        <v>35</v>
      </c>
      <c r="B5" s="11"/>
      <c r="C5" s="11"/>
      <c r="D5" s="11"/>
      <c r="E5" s="11"/>
      <c r="F5" s="11"/>
      <c r="G5" s="11"/>
      <c r="H5" s="11"/>
      <c r="I5" s="11"/>
      <c r="J5" s="11"/>
    </row>
    <row r="7" spans="1:10" ht="31.95" customHeight="1" x14ac:dyDescent="0.3">
      <c r="A7" s="3" t="s">
        <v>36</v>
      </c>
      <c r="B7" s="3" t="s">
        <v>37</v>
      </c>
      <c r="C7" s="3" t="s">
        <v>38</v>
      </c>
      <c r="D7" s="3" t="s">
        <v>39</v>
      </c>
      <c r="E7" s="3" t="s">
        <v>40</v>
      </c>
      <c r="F7" s="3" t="s">
        <v>41</v>
      </c>
      <c r="G7" s="3" t="s">
        <v>42</v>
      </c>
      <c r="H7" s="3" t="s">
        <v>43</v>
      </c>
      <c r="I7" s="3" t="s">
        <v>44</v>
      </c>
      <c r="J7" s="3" t="s">
        <v>45</v>
      </c>
    </row>
    <row r="8" spans="1:10" ht="61.95" customHeight="1" x14ac:dyDescent="0.3">
      <c r="A8" s="1" t="s">
        <v>46</v>
      </c>
      <c r="B8" s="1" t="s">
        <v>47</v>
      </c>
      <c r="C8" s="1" t="s">
        <v>48</v>
      </c>
      <c r="D8" s="1" t="s">
        <v>49</v>
      </c>
      <c r="E8" s="5">
        <v>0</v>
      </c>
      <c r="F8" s="6">
        <v>0</v>
      </c>
      <c r="G8" s="7">
        <f t="shared" ref="G8:G39" si="0">IF(ISNUMBER(F8),F8-E8,"")</f>
        <v>0</v>
      </c>
      <c r="H8" s="8">
        <f t="shared" ref="H8:H39" si="1">IF(ISNUMBER(F8),IF(E8=0,IF(F8=0,0,"N/A"),G8/ABS(E8)),"")</f>
        <v>0</v>
      </c>
      <c r="I8" s="9" t="str">
        <f>IF(ISNUMBER(F8),IF(ABS(G8)&lt;=Resumen!$B$4,"OK","DIFERENCIA"),"PENDIENTE")</f>
        <v>OK</v>
      </c>
      <c r="J8" s="1" t="s">
        <v>50</v>
      </c>
    </row>
    <row r="9" spans="1:10" ht="61.95" customHeight="1" x14ac:dyDescent="0.3">
      <c r="A9" s="1" t="s">
        <v>46</v>
      </c>
      <c r="B9" s="1" t="s">
        <v>51</v>
      </c>
      <c r="C9" s="1" t="s">
        <v>48</v>
      </c>
      <c r="D9" s="1" t="s">
        <v>52</v>
      </c>
      <c r="E9" s="5">
        <v>0</v>
      </c>
      <c r="F9" s="6">
        <v>0</v>
      </c>
      <c r="G9" s="7">
        <f t="shared" si="0"/>
        <v>0</v>
      </c>
      <c r="H9" s="8">
        <f t="shared" si="1"/>
        <v>0</v>
      </c>
      <c r="I9" s="9" t="str">
        <f>IF(ISNUMBER(F9),IF(ABS(G9)&lt;=Resumen!$B$4,"OK","DIFERENCIA"),"PENDIENTE")</f>
        <v>OK</v>
      </c>
      <c r="J9" s="1" t="s">
        <v>50</v>
      </c>
    </row>
    <row r="10" spans="1:10" ht="61.95" customHeight="1" x14ac:dyDescent="0.3">
      <c r="A10" s="1" t="s">
        <v>46</v>
      </c>
      <c r="B10" s="1" t="s">
        <v>53</v>
      </c>
      <c r="C10" s="1" t="s">
        <v>48</v>
      </c>
      <c r="D10" s="1" t="s">
        <v>54</v>
      </c>
      <c r="E10" s="5">
        <v>0</v>
      </c>
      <c r="F10" s="6">
        <v>0</v>
      </c>
      <c r="G10" s="7">
        <f t="shared" si="0"/>
        <v>0</v>
      </c>
      <c r="H10" s="8">
        <f t="shared" si="1"/>
        <v>0</v>
      </c>
      <c r="I10" s="9" t="str">
        <f>IF(ISNUMBER(F10),IF(ABS(G10)&lt;=Resumen!$B$4,"OK","DIFERENCIA"),"PENDIENTE")</f>
        <v>OK</v>
      </c>
      <c r="J10" s="1" t="s">
        <v>50</v>
      </c>
    </row>
    <row r="11" spans="1:10" ht="61.95" customHeight="1" x14ac:dyDescent="0.3">
      <c r="A11" s="1" t="s">
        <v>46</v>
      </c>
      <c r="B11" s="1" t="s">
        <v>55</v>
      </c>
      <c r="C11" s="1" t="s">
        <v>48</v>
      </c>
      <c r="D11" s="1" t="s">
        <v>56</v>
      </c>
      <c r="E11" s="5">
        <v>0</v>
      </c>
      <c r="F11" s="6">
        <v>0</v>
      </c>
      <c r="G11" s="7">
        <f t="shared" si="0"/>
        <v>0</v>
      </c>
      <c r="H11" s="8">
        <f t="shared" si="1"/>
        <v>0</v>
      </c>
      <c r="I11" s="9" t="str">
        <f>IF(ISNUMBER(F11),IF(ABS(G11)&lt;=Resumen!$B$4,"OK","DIFERENCIA"),"PENDIENTE")</f>
        <v>OK</v>
      </c>
      <c r="J11" s="1" t="s">
        <v>50</v>
      </c>
    </row>
    <row r="12" spans="1:10" ht="61.95" customHeight="1" x14ac:dyDescent="0.3">
      <c r="A12" s="1" t="s">
        <v>46</v>
      </c>
      <c r="B12" s="1" t="s">
        <v>57</v>
      </c>
      <c r="C12" s="1" t="s">
        <v>48</v>
      </c>
      <c r="D12" s="1" t="s">
        <v>58</v>
      </c>
      <c r="E12" s="5">
        <v>0</v>
      </c>
      <c r="F12" s="6">
        <v>0</v>
      </c>
      <c r="G12" s="7">
        <f t="shared" si="0"/>
        <v>0</v>
      </c>
      <c r="H12" s="8">
        <f t="shared" si="1"/>
        <v>0</v>
      </c>
      <c r="I12" s="9" t="str">
        <f>IF(ISNUMBER(F12),IF(ABS(G12)&lt;=Resumen!$B$4,"OK","DIFERENCIA"),"PENDIENTE")</f>
        <v>OK</v>
      </c>
      <c r="J12" s="1" t="s">
        <v>50</v>
      </c>
    </row>
    <row r="13" spans="1:10" ht="61.95" customHeight="1" x14ac:dyDescent="0.3">
      <c r="A13" s="1" t="s">
        <v>46</v>
      </c>
      <c r="B13" s="1" t="s">
        <v>59</v>
      </c>
      <c r="C13" s="1" t="s">
        <v>48</v>
      </c>
      <c r="D13" s="1" t="s">
        <v>60</v>
      </c>
      <c r="E13" s="5">
        <v>0</v>
      </c>
      <c r="F13" s="6">
        <v>0</v>
      </c>
      <c r="G13" s="7">
        <f t="shared" si="0"/>
        <v>0</v>
      </c>
      <c r="H13" s="8">
        <f t="shared" si="1"/>
        <v>0</v>
      </c>
      <c r="I13" s="9" t="str">
        <f>IF(ISNUMBER(F13),IF(ABS(G13)&lt;=Resumen!$B$4,"OK","DIFERENCIA"),"PENDIENTE")</f>
        <v>OK</v>
      </c>
      <c r="J13" s="1" t="s">
        <v>50</v>
      </c>
    </row>
    <row r="14" spans="1:10" ht="61.95" customHeight="1" x14ac:dyDescent="0.3">
      <c r="A14" s="1" t="s">
        <v>46</v>
      </c>
      <c r="B14" s="1" t="s">
        <v>61</v>
      </c>
      <c r="C14" s="1" t="s">
        <v>48</v>
      </c>
      <c r="D14" s="1" t="s">
        <v>62</v>
      </c>
      <c r="E14" s="5">
        <v>0</v>
      </c>
      <c r="F14" s="6">
        <v>0</v>
      </c>
      <c r="G14" s="7">
        <f t="shared" si="0"/>
        <v>0</v>
      </c>
      <c r="H14" s="8">
        <f t="shared" si="1"/>
        <v>0</v>
      </c>
      <c r="I14" s="9" t="str">
        <f>IF(ISNUMBER(F14),IF(ABS(G14)&lt;=Resumen!$B$4,"OK","DIFERENCIA"),"PENDIENTE")</f>
        <v>OK</v>
      </c>
      <c r="J14" s="1" t="s">
        <v>50</v>
      </c>
    </row>
    <row r="15" spans="1:10" ht="61.95" customHeight="1" x14ac:dyDescent="0.3">
      <c r="A15" s="1" t="s">
        <v>46</v>
      </c>
      <c r="B15" s="1" t="s">
        <v>63</v>
      </c>
      <c r="C15" s="1" t="s">
        <v>48</v>
      </c>
      <c r="D15" s="1" t="s">
        <v>64</v>
      </c>
      <c r="E15" s="5">
        <v>0</v>
      </c>
      <c r="F15" s="6">
        <v>0</v>
      </c>
      <c r="G15" s="7">
        <f t="shared" si="0"/>
        <v>0</v>
      </c>
      <c r="H15" s="8">
        <f t="shared" si="1"/>
        <v>0</v>
      </c>
      <c r="I15" s="9" t="str">
        <f>IF(ISNUMBER(F15),IF(ABS(G15)&lt;=Resumen!$B$4,"OK","DIFERENCIA"),"PENDIENTE")</f>
        <v>OK</v>
      </c>
      <c r="J15" s="1" t="s">
        <v>50</v>
      </c>
    </row>
    <row r="16" spans="1:10" ht="61.95" customHeight="1" x14ac:dyDescent="0.3">
      <c r="A16" s="1" t="s">
        <v>46</v>
      </c>
      <c r="B16" s="1" t="s">
        <v>65</v>
      </c>
      <c r="C16" s="1" t="s">
        <v>48</v>
      </c>
      <c r="D16" s="1" t="s">
        <v>66</v>
      </c>
      <c r="E16" s="5">
        <v>0</v>
      </c>
      <c r="F16" s="6">
        <v>0</v>
      </c>
      <c r="G16" s="7">
        <f t="shared" si="0"/>
        <v>0</v>
      </c>
      <c r="H16" s="8">
        <f t="shared" si="1"/>
        <v>0</v>
      </c>
      <c r="I16" s="9" t="str">
        <f>IF(ISNUMBER(F16),IF(ABS(G16)&lt;=Resumen!$B$4,"OK","DIFERENCIA"),"PENDIENTE")</f>
        <v>OK</v>
      </c>
      <c r="J16" s="1" t="s">
        <v>50</v>
      </c>
    </row>
    <row r="17" spans="1:10" ht="61.95" customHeight="1" x14ac:dyDescent="0.3">
      <c r="A17" s="1" t="s">
        <v>46</v>
      </c>
      <c r="B17" s="1" t="s">
        <v>67</v>
      </c>
      <c r="C17" s="1" t="s">
        <v>48</v>
      </c>
      <c r="D17" s="1" t="s">
        <v>68</v>
      </c>
      <c r="E17" s="5">
        <v>0</v>
      </c>
      <c r="F17" s="6">
        <v>0</v>
      </c>
      <c r="G17" s="7">
        <f t="shared" si="0"/>
        <v>0</v>
      </c>
      <c r="H17" s="8">
        <f t="shared" si="1"/>
        <v>0</v>
      </c>
      <c r="I17" s="9" t="str">
        <f>IF(ISNUMBER(F17),IF(ABS(G17)&lt;=Resumen!$B$4,"OK","DIFERENCIA"),"PENDIENTE")</f>
        <v>OK</v>
      </c>
      <c r="J17" s="1" t="s">
        <v>50</v>
      </c>
    </row>
    <row r="18" spans="1:10" ht="61.95" customHeight="1" x14ac:dyDescent="0.3">
      <c r="A18" s="1" t="s">
        <v>69</v>
      </c>
      <c r="B18" s="1" t="s">
        <v>47</v>
      </c>
      <c r="C18" s="1" t="s">
        <v>70</v>
      </c>
      <c r="D18" s="1" t="s">
        <v>49</v>
      </c>
      <c r="E18" s="5">
        <v>1</v>
      </c>
      <c r="F18" s="6">
        <v>1</v>
      </c>
      <c r="G18" s="7">
        <f t="shared" si="0"/>
        <v>0</v>
      </c>
      <c r="H18" s="8">
        <f t="shared" si="1"/>
        <v>0</v>
      </c>
      <c r="I18" s="9" t="str">
        <f>IF(ISNUMBER(F18),IF(ABS(G18)&lt;=Resumen!$B$4,"OK","DIFERENCIA"),"PENDIENTE")</f>
        <v>OK</v>
      </c>
      <c r="J18" s="1" t="s">
        <v>71</v>
      </c>
    </row>
    <row r="19" spans="1:10" ht="61.95" customHeight="1" x14ac:dyDescent="0.3">
      <c r="A19" s="1" t="s">
        <v>69</v>
      </c>
      <c r="B19" s="1" t="s">
        <v>51</v>
      </c>
      <c r="C19" s="1" t="s">
        <v>70</v>
      </c>
      <c r="D19" s="1" t="s">
        <v>52</v>
      </c>
      <c r="E19" s="5">
        <v>0.3</v>
      </c>
      <c r="F19" s="6">
        <v>0.3</v>
      </c>
      <c r="G19" s="7">
        <f t="shared" si="0"/>
        <v>0</v>
      </c>
      <c r="H19" s="8">
        <f t="shared" si="1"/>
        <v>0</v>
      </c>
      <c r="I19" s="9" t="str">
        <f>IF(ISNUMBER(F19),IF(ABS(G19)&lt;=Resumen!$B$4,"OK","DIFERENCIA"),"PENDIENTE")</f>
        <v>OK</v>
      </c>
      <c r="J19" s="1" t="s">
        <v>71</v>
      </c>
    </row>
    <row r="20" spans="1:10" ht="61.95" customHeight="1" x14ac:dyDescent="0.3">
      <c r="A20" s="1" t="s">
        <v>69</v>
      </c>
      <c r="B20" s="1" t="s">
        <v>53</v>
      </c>
      <c r="C20" s="1" t="s">
        <v>70</v>
      </c>
      <c r="D20" s="1" t="s">
        <v>54</v>
      </c>
      <c r="E20" s="5">
        <v>1</v>
      </c>
      <c r="F20" s="6">
        <v>1</v>
      </c>
      <c r="G20" s="7">
        <f t="shared" si="0"/>
        <v>0</v>
      </c>
      <c r="H20" s="8">
        <f t="shared" si="1"/>
        <v>0</v>
      </c>
      <c r="I20" s="9" t="str">
        <f>IF(ISNUMBER(F20),IF(ABS(G20)&lt;=Resumen!$B$4,"OK","DIFERENCIA"),"PENDIENTE")</f>
        <v>OK</v>
      </c>
      <c r="J20" s="1" t="s">
        <v>71</v>
      </c>
    </row>
    <row r="21" spans="1:10" ht="61.95" customHeight="1" x14ac:dyDescent="0.3">
      <c r="A21" s="1" t="s">
        <v>69</v>
      </c>
      <c r="B21" s="1" t="s">
        <v>55</v>
      </c>
      <c r="C21" s="1" t="s">
        <v>70</v>
      </c>
      <c r="D21" s="1" t="s">
        <v>56</v>
      </c>
      <c r="E21" s="5">
        <v>6</v>
      </c>
      <c r="F21" s="6">
        <v>6</v>
      </c>
      <c r="G21" s="7">
        <f t="shared" si="0"/>
        <v>0</v>
      </c>
      <c r="H21" s="8">
        <f t="shared" si="1"/>
        <v>0</v>
      </c>
      <c r="I21" s="9" t="str">
        <f>IF(ISNUMBER(F21),IF(ABS(G21)&lt;=Resumen!$B$4,"OK","DIFERENCIA"),"PENDIENTE")</f>
        <v>OK</v>
      </c>
      <c r="J21" s="1" t="s">
        <v>71</v>
      </c>
    </row>
    <row r="22" spans="1:10" ht="61.95" customHeight="1" x14ac:dyDescent="0.3">
      <c r="A22" s="1" t="s">
        <v>69</v>
      </c>
      <c r="B22" s="1" t="s">
        <v>57</v>
      </c>
      <c r="C22" s="1" t="s">
        <v>70</v>
      </c>
      <c r="D22" s="1" t="s">
        <v>58</v>
      </c>
      <c r="E22" s="5">
        <v>0</v>
      </c>
      <c r="F22" s="6">
        <v>0</v>
      </c>
      <c r="G22" s="7">
        <f t="shared" si="0"/>
        <v>0</v>
      </c>
      <c r="H22" s="8">
        <f t="shared" si="1"/>
        <v>0</v>
      </c>
      <c r="I22" s="9" t="str">
        <f>IF(ISNUMBER(F22),IF(ABS(G22)&lt;=Resumen!$B$4,"OK","DIFERENCIA"),"PENDIENTE")</f>
        <v>OK</v>
      </c>
      <c r="J22" s="1" t="s">
        <v>71</v>
      </c>
    </row>
    <row r="23" spans="1:10" ht="61.95" customHeight="1" x14ac:dyDescent="0.3">
      <c r="A23" s="1" t="s">
        <v>69</v>
      </c>
      <c r="B23" s="1" t="s">
        <v>59</v>
      </c>
      <c r="C23" s="1" t="s">
        <v>70</v>
      </c>
      <c r="D23" s="1" t="s">
        <v>60</v>
      </c>
      <c r="E23" s="5">
        <v>0</v>
      </c>
      <c r="F23" s="6">
        <v>0</v>
      </c>
      <c r="G23" s="7">
        <f t="shared" si="0"/>
        <v>0</v>
      </c>
      <c r="H23" s="8">
        <f t="shared" si="1"/>
        <v>0</v>
      </c>
      <c r="I23" s="9" t="str">
        <f>IF(ISNUMBER(F23),IF(ABS(G23)&lt;=Resumen!$B$4,"OK","DIFERENCIA"),"PENDIENTE")</f>
        <v>OK</v>
      </c>
      <c r="J23" s="1" t="s">
        <v>71</v>
      </c>
    </row>
    <row r="24" spans="1:10" ht="61.95" customHeight="1" x14ac:dyDescent="0.3">
      <c r="A24" s="1" t="s">
        <v>69</v>
      </c>
      <c r="B24" s="1" t="s">
        <v>61</v>
      </c>
      <c r="C24" s="1" t="s">
        <v>70</v>
      </c>
      <c r="D24" s="1" t="s">
        <v>62</v>
      </c>
      <c r="E24" s="5">
        <v>0</v>
      </c>
      <c r="F24" s="6">
        <v>0</v>
      </c>
      <c r="G24" s="7">
        <f t="shared" si="0"/>
        <v>0</v>
      </c>
      <c r="H24" s="8">
        <f t="shared" si="1"/>
        <v>0</v>
      </c>
      <c r="I24" s="9" t="str">
        <f>IF(ISNUMBER(F24),IF(ABS(G24)&lt;=Resumen!$B$4,"OK","DIFERENCIA"),"PENDIENTE")</f>
        <v>OK</v>
      </c>
      <c r="J24" s="1" t="s">
        <v>71</v>
      </c>
    </row>
    <row r="25" spans="1:10" ht="61.95" customHeight="1" x14ac:dyDescent="0.3">
      <c r="A25" s="1" t="s">
        <v>69</v>
      </c>
      <c r="B25" s="1" t="s">
        <v>63</v>
      </c>
      <c r="C25" s="1" t="s">
        <v>70</v>
      </c>
      <c r="D25" s="1" t="s">
        <v>64</v>
      </c>
      <c r="E25" s="5">
        <v>0</v>
      </c>
      <c r="F25" s="6">
        <v>0</v>
      </c>
      <c r="G25" s="7">
        <f t="shared" si="0"/>
        <v>0</v>
      </c>
      <c r="H25" s="8">
        <f t="shared" si="1"/>
        <v>0</v>
      </c>
      <c r="I25" s="9" t="str">
        <f>IF(ISNUMBER(F25),IF(ABS(G25)&lt;=Resumen!$B$4,"OK","DIFERENCIA"),"PENDIENTE")</f>
        <v>OK</v>
      </c>
      <c r="J25" s="1" t="s">
        <v>71</v>
      </c>
    </row>
    <row r="26" spans="1:10" ht="61.95" customHeight="1" x14ac:dyDescent="0.3">
      <c r="A26" s="1" t="s">
        <v>69</v>
      </c>
      <c r="B26" s="1" t="s">
        <v>65</v>
      </c>
      <c r="C26" s="1" t="s">
        <v>70</v>
      </c>
      <c r="D26" s="1" t="s">
        <v>66</v>
      </c>
      <c r="E26" s="5">
        <v>0</v>
      </c>
      <c r="F26" s="6">
        <v>0</v>
      </c>
      <c r="G26" s="7">
        <f t="shared" si="0"/>
        <v>0</v>
      </c>
      <c r="H26" s="8">
        <f t="shared" si="1"/>
        <v>0</v>
      </c>
      <c r="I26" s="9" t="str">
        <f>IF(ISNUMBER(F26),IF(ABS(G26)&lt;=Resumen!$B$4,"OK","DIFERENCIA"),"PENDIENTE")</f>
        <v>OK</v>
      </c>
      <c r="J26" s="1" t="s">
        <v>71</v>
      </c>
    </row>
    <row r="27" spans="1:10" ht="61.95" customHeight="1" x14ac:dyDescent="0.3">
      <c r="A27" s="1" t="s">
        <v>69</v>
      </c>
      <c r="B27" s="1" t="s">
        <v>67</v>
      </c>
      <c r="C27" s="1" t="s">
        <v>70</v>
      </c>
      <c r="D27" s="1" t="s">
        <v>68</v>
      </c>
      <c r="E27" s="5">
        <v>0</v>
      </c>
      <c r="F27" s="6">
        <v>0</v>
      </c>
      <c r="G27" s="7">
        <f t="shared" si="0"/>
        <v>0</v>
      </c>
      <c r="H27" s="8">
        <f t="shared" si="1"/>
        <v>0</v>
      </c>
      <c r="I27" s="9" t="str">
        <f>IF(ISNUMBER(F27),IF(ABS(G27)&lt;=Resumen!$B$4,"OK","DIFERENCIA"),"PENDIENTE")</f>
        <v>OK</v>
      </c>
      <c r="J27" s="1" t="s">
        <v>71</v>
      </c>
    </row>
    <row r="28" spans="1:10" ht="61.95" customHeight="1" x14ac:dyDescent="0.3">
      <c r="A28" s="1" t="s">
        <v>72</v>
      </c>
      <c r="B28" s="1" t="s">
        <v>47</v>
      </c>
      <c r="C28" s="1" t="s">
        <v>73</v>
      </c>
      <c r="D28" s="1" t="s">
        <v>49</v>
      </c>
      <c r="E28" s="5">
        <v>10</v>
      </c>
      <c r="F28" s="6">
        <v>10</v>
      </c>
      <c r="G28" s="7">
        <f t="shared" si="0"/>
        <v>0</v>
      </c>
      <c r="H28" s="8">
        <f t="shared" si="1"/>
        <v>0</v>
      </c>
      <c r="I28" s="9" t="str">
        <f>IF(ISNUMBER(F28),IF(ABS(G28)&lt;=Resumen!$B$4,"OK","DIFERENCIA"),"PENDIENTE")</f>
        <v>OK</v>
      </c>
      <c r="J28" s="1" t="s">
        <v>74</v>
      </c>
    </row>
    <row r="29" spans="1:10" ht="61.95" customHeight="1" x14ac:dyDescent="0.3">
      <c r="A29" s="1" t="s">
        <v>72</v>
      </c>
      <c r="B29" s="1" t="s">
        <v>51</v>
      </c>
      <c r="C29" s="1" t="s">
        <v>73</v>
      </c>
      <c r="D29" s="1" t="s">
        <v>52</v>
      </c>
      <c r="E29" s="5">
        <v>3</v>
      </c>
      <c r="F29" s="6">
        <v>3</v>
      </c>
      <c r="G29" s="7">
        <f t="shared" si="0"/>
        <v>0</v>
      </c>
      <c r="H29" s="8">
        <f t="shared" si="1"/>
        <v>0</v>
      </c>
      <c r="I29" s="9" t="str">
        <f>IF(ISNUMBER(F29),IF(ABS(G29)&lt;=Resumen!$B$4,"OK","DIFERENCIA"),"PENDIENTE")</f>
        <v>OK</v>
      </c>
      <c r="J29" s="1" t="s">
        <v>74</v>
      </c>
    </row>
    <row r="30" spans="1:10" ht="61.95" customHeight="1" x14ac:dyDescent="0.3">
      <c r="A30" s="1" t="s">
        <v>72</v>
      </c>
      <c r="B30" s="1" t="s">
        <v>53</v>
      </c>
      <c r="C30" s="1" t="s">
        <v>73</v>
      </c>
      <c r="D30" s="1" t="s">
        <v>54</v>
      </c>
      <c r="E30" s="5">
        <v>10</v>
      </c>
      <c r="F30" s="6">
        <v>10</v>
      </c>
      <c r="G30" s="7">
        <f t="shared" si="0"/>
        <v>0</v>
      </c>
      <c r="H30" s="8">
        <f t="shared" si="1"/>
        <v>0</v>
      </c>
      <c r="I30" s="9" t="str">
        <f>IF(ISNUMBER(F30),IF(ABS(G30)&lt;=Resumen!$B$4,"OK","DIFERENCIA"),"PENDIENTE")</f>
        <v>OK</v>
      </c>
      <c r="J30" s="1" t="s">
        <v>74</v>
      </c>
    </row>
    <row r="31" spans="1:10" ht="61.95" customHeight="1" x14ac:dyDescent="0.3">
      <c r="A31" s="1" t="s">
        <v>72</v>
      </c>
      <c r="B31" s="1" t="s">
        <v>55</v>
      </c>
      <c r="C31" s="1" t="s">
        <v>73</v>
      </c>
      <c r="D31" s="1" t="s">
        <v>56</v>
      </c>
      <c r="E31" s="5">
        <v>60</v>
      </c>
      <c r="F31" s="6">
        <v>60</v>
      </c>
      <c r="G31" s="7">
        <f t="shared" si="0"/>
        <v>0</v>
      </c>
      <c r="H31" s="8">
        <f t="shared" si="1"/>
        <v>0</v>
      </c>
      <c r="I31" s="9" t="str">
        <f>IF(ISNUMBER(F31),IF(ABS(G31)&lt;=Resumen!$B$4,"OK","DIFERENCIA"),"PENDIENTE")</f>
        <v>OK</v>
      </c>
      <c r="J31" s="1" t="s">
        <v>74</v>
      </c>
    </row>
    <row r="32" spans="1:10" ht="61.95" customHeight="1" x14ac:dyDescent="0.3">
      <c r="A32" s="1" t="s">
        <v>72</v>
      </c>
      <c r="B32" s="1" t="s">
        <v>57</v>
      </c>
      <c r="C32" s="1" t="s">
        <v>73</v>
      </c>
      <c r="D32" s="1" t="s">
        <v>58</v>
      </c>
      <c r="E32" s="5">
        <v>0</v>
      </c>
      <c r="F32" s="6">
        <v>0</v>
      </c>
      <c r="G32" s="7">
        <f t="shared" si="0"/>
        <v>0</v>
      </c>
      <c r="H32" s="8">
        <f t="shared" si="1"/>
        <v>0</v>
      </c>
      <c r="I32" s="9" t="str">
        <f>IF(ISNUMBER(F32),IF(ABS(G32)&lt;=Resumen!$B$4,"OK","DIFERENCIA"),"PENDIENTE")</f>
        <v>OK</v>
      </c>
      <c r="J32" s="1" t="s">
        <v>74</v>
      </c>
    </row>
    <row r="33" spans="1:10" ht="61.95" customHeight="1" x14ac:dyDescent="0.3">
      <c r="A33" s="1" t="s">
        <v>72</v>
      </c>
      <c r="B33" s="1" t="s">
        <v>59</v>
      </c>
      <c r="C33" s="1" t="s">
        <v>73</v>
      </c>
      <c r="D33" s="1" t="s">
        <v>60</v>
      </c>
      <c r="E33" s="5">
        <v>0</v>
      </c>
      <c r="F33" s="6">
        <v>0</v>
      </c>
      <c r="G33" s="7">
        <f t="shared" si="0"/>
        <v>0</v>
      </c>
      <c r="H33" s="8">
        <f t="shared" si="1"/>
        <v>0</v>
      </c>
      <c r="I33" s="9" t="str">
        <f>IF(ISNUMBER(F33),IF(ABS(G33)&lt;=Resumen!$B$4,"OK","DIFERENCIA"),"PENDIENTE")</f>
        <v>OK</v>
      </c>
      <c r="J33" s="1" t="s">
        <v>74</v>
      </c>
    </row>
    <row r="34" spans="1:10" ht="61.95" customHeight="1" x14ac:dyDescent="0.3">
      <c r="A34" s="1" t="s">
        <v>72</v>
      </c>
      <c r="B34" s="1" t="s">
        <v>61</v>
      </c>
      <c r="C34" s="1" t="s">
        <v>73</v>
      </c>
      <c r="D34" s="1" t="s">
        <v>62</v>
      </c>
      <c r="E34" s="5">
        <v>0</v>
      </c>
      <c r="F34" s="6">
        <v>0</v>
      </c>
      <c r="G34" s="7">
        <f t="shared" si="0"/>
        <v>0</v>
      </c>
      <c r="H34" s="8">
        <f t="shared" si="1"/>
        <v>0</v>
      </c>
      <c r="I34" s="9" t="str">
        <f>IF(ISNUMBER(F34),IF(ABS(G34)&lt;=Resumen!$B$4,"OK","DIFERENCIA"),"PENDIENTE")</f>
        <v>OK</v>
      </c>
      <c r="J34" s="1" t="s">
        <v>74</v>
      </c>
    </row>
    <row r="35" spans="1:10" ht="61.95" customHeight="1" x14ac:dyDescent="0.3">
      <c r="A35" s="1" t="s">
        <v>72</v>
      </c>
      <c r="B35" s="1" t="s">
        <v>63</v>
      </c>
      <c r="C35" s="1" t="s">
        <v>73</v>
      </c>
      <c r="D35" s="1" t="s">
        <v>64</v>
      </c>
      <c r="E35" s="5">
        <v>0</v>
      </c>
      <c r="F35" s="6">
        <v>0</v>
      </c>
      <c r="G35" s="7">
        <f t="shared" si="0"/>
        <v>0</v>
      </c>
      <c r="H35" s="8">
        <f t="shared" si="1"/>
        <v>0</v>
      </c>
      <c r="I35" s="9" t="str">
        <f>IF(ISNUMBER(F35),IF(ABS(G35)&lt;=Resumen!$B$4,"OK","DIFERENCIA"),"PENDIENTE")</f>
        <v>OK</v>
      </c>
      <c r="J35" s="1" t="s">
        <v>74</v>
      </c>
    </row>
    <row r="36" spans="1:10" ht="61.95" customHeight="1" x14ac:dyDescent="0.3">
      <c r="A36" s="1" t="s">
        <v>72</v>
      </c>
      <c r="B36" s="1" t="s">
        <v>65</v>
      </c>
      <c r="C36" s="1" t="s">
        <v>73</v>
      </c>
      <c r="D36" s="1" t="s">
        <v>66</v>
      </c>
      <c r="E36" s="5">
        <v>0</v>
      </c>
      <c r="F36" s="6">
        <v>0</v>
      </c>
      <c r="G36" s="7">
        <f t="shared" si="0"/>
        <v>0</v>
      </c>
      <c r="H36" s="8">
        <f t="shared" si="1"/>
        <v>0</v>
      </c>
      <c r="I36" s="9" t="str">
        <f>IF(ISNUMBER(F36),IF(ABS(G36)&lt;=Resumen!$B$4,"OK","DIFERENCIA"),"PENDIENTE")</f>
        <v>OK</v>
      </c>
      <c r="J36" s="1" t="s">
        <v>74</v>
      </c>
    </row>
    <row r="37" spans="1:10" ht="61.95" customHeight="1" x14ac:dyDescent="0.3">
      <c r="A37" s="1" t="s">
        <v>72</v>
      </c>
      <c r="B37" s="1" t="s">
        <v>67</v>
      </c>
      <c r="C37" s="1" t="s">
        <v>73</v>
      </c>
      <c r="D37" s="1" t="s">
        <v>68</v>
      </c>
      <c r="E37" s="5">
        <v>0</v>
      </c>
      <c r="F37" s="6">
        <v>0</v>
      </c>
      <c r="G37" s="7">
        <f t="shared" si="0"/>
        <v>0</v>
      </c>
      <c r="H37" s="8">
        <f t="shared" si="1"/>
        <v>0</v>
      </c>
      <c r="I37" s="9" t="str">
        <f>IF(ISNUMBER(F37),IF(ABS(G37)&lt;=Resumen!$B$4,"OK","DIFERENCIA"),"PENDIENTE")</f>
        <v>OK</v>
      </c>
      <c r="J37" s="1" t="s">
        <v>74</v>
      </c>
    </row>
    <row r="38" spans="1:10" ht="61.95" customHeight="1" x14ac:dyDescent="0.3">
      <c r="A38" s="1" t="s">
        <v>75</v>
      </c>
      <c r="B38" s="1" t="s">
        <v>47</v>
      </c>
      <c r="C38" s="1" t="s">
        <v>76</v>
      </c>
      <c r="D38" s="1" t="s">
        <v>49</v>
      </c>
      <c r="E38" s="5">
        <v>396</v>
      </c>
      <c r="F38" s="6">
        <v>396</v>
      </c>
      <c r="G38" s="7">
        <f t="shared" si="0"/>
        <v>0</v>
      </c>
      <c r="H38" s="8">
        <f t="shared" si="1"/>
        <v>0</v>
      </c>
      <c r="I38" s="9" t="str">
        <f>IF(ISNUMBER(F38),IF(ABS(G38)&lt;=Resumen!$B$4,"OK","DIFERENCIA"),"PENDIENTE")</f>
        <v>OK</v>
      </c>
      <c r="J38" s="1" t="s">
        <v>77</v>
      </c>
    </row>
    <row r="39" spans="1:10" ht="61.95" customHeight="1" x14ac:dyDescent="0.3">
      <c r="A39" s="1" t="s">
        <v>75</v>
      </c>
      <c r="B39" s="1" t="s">
        <v>51</v>
      </c>
      <c r="C39" s="1" t="s">
        <v>76</v>
      </c>
      <c r="D39" s="1" t="s">
        <v>52</v>
      </c>
      <c r="E39" s="5">
        <v>118.8</v>
      </c>
      <c r="F39" s="6">
        <v>118.8</v>
      </c>
      <c r="G39" s="7">
        <f t="shared" si="0"/>
        <v>0</v>
      </c>
      <c r="H39" s="8">
        <f t="shared" si="1"/>
        <v>0</v>
      </c>
      <c r="I39" s="9" t="str">
        <f>IF(ISNUMBER(F39),IF(ABS(G39)&lt;=Resumen!$B$4,"OK","DIFERENCIA"),"PENDIENTE")</f>
        <v>OK</v>
      </c>
      <c r="J39" s="1" t="s">
        <v>77</v>
      </c>
    </row>
    <row r="40" spans="1:10" ht="61.95" customHeight="1" x14ac:dyDescent="0.3">
      <c r="A40" s="1" t="s">
        <v>75</v>
      </c>
      <c r="B40" s="1" t="s">
        <v>53</v>
      </c>
      <c r="C40" s="1" t="s">
        <v>76</v>
      </c>
      <c r="D40" s="1" t="s">
        <v>54</v>
      </c>
      <c r="E40" s="5">
        <v>396</v>
      </c>
      <c r="F40" s="6">
        <v>396</v>
      </c>
      <c r="G40" s="7">
        <f t="shared" ref="G40:G71" si="2">IF(ISNUMBER(F40),F40-E40,"")</f>
        <v>0</v>
      </c>
      <c r="H40" s="8">
        <f t="shared" ref="H40:H71" si="3">IF(ISNUMBER(F40),IF(E40=0,IF(F40=0,0,"N/A"),G40/ABS(E40)),"")</f>
        <v>0</v>
      </c>
      <c r="I40" s="9" t="str">
        <f>IF(ISNUMBER(F40),IF(ABS(G40)&lt;=Resumen!$B$4,"OK","DIFERENCIA"),"PENDIENTE")</f>
        <v>OK</v>
      </c>
      <c r="J40" s="1" t="s">
        <v>77</v>
      </c>
    </row>
    <row r="41" spans="1:10" ht="61.95" customHeight="1" x14ac:dyDescent="0.3">
      <c r="A41" s="1" t="s">
        <v>75</v>
      </c>
      <c r="B41" s="1" t="s">
        <v>55</v>
      </c>
      <c r="C41" s="1" t="s">
        <v>76</v>
      </c>
      <c r="D41" s="1" t="s">
        <v>56</v>
      </c>
      <c r="E41" s="5">
        <v>2376</v>
      </c>
      <c r="F41" s="6">
        <v>2376</v>
      </c>
      <c r="G41" s="7">
        <f t="shared" si="2"/>
        <v>0</v>
      </c>
      <c r="H41" s="8">
        <f t="shared" si="3"/>
        <v>0</v>
      </c>
      <c r="I41" s="9" t="str">
        <f>IF(ISNUMBER(F41),IF(ABS(G41)&lt;=Resumen!$B$4,"OK","DIFERENCIA"),"PENDIENTE")</f>
        <v>OK</v>
      </c>
      <c r="J41" s="1" t="s">
        <v>77</v>
      </c>
    </row>
    <row r="42" spans="1:10" ht="61.95" customHeight="1" x14ac:dyDescent="0.3">
      <c r="A42" s="1" t="s">
        <v>75</v>
      </c>
      <c r="B42" s="1" t="s">
        <v>57</v>
      </c>
      <c r="C42" s="1" t="s">
        <v>76</v>
      </c>
      <c r="D42" s="1" t="s">
        <v>58</v>
      </c>
      <c r="E42" s="5">
        <v>0</v>
      </c>
      <c r="F42" s="6">
        <v>0</v>
      </c>
      <c r="G42" s="7">
        <f t="shared" si="2"/>
        <v>0</v>
      </c>
      <c r="H42" s="8">
        <f t="shared" si="3"/>
        <v>0</v>
      </c>
      <c r="I42" s="9" t="str">
        <f>IF(ISNUMBER(F42),IF(ABS(G42)&lt;=Resumen!$B$4,"OK","DIFERENCIA"),"PENDIENTE")</f>
        <v>OK</v>
      </c>
      <c r="J42" s="1" t="s">
        <v>77</v>
      </c>
    </row>
    <row r="43" spans="1:10" ht="61.95" customHeight="1" x14ac:dyDescent="0.3">
      <c r="A43" s="1" t="s">
        <v>75</v>
      </c>
      <c r="B43" s="1" t="s">
        <v>59</v>
      </c>
      <c r="C43" s="1" t="s">
        <v>76</v>
      </c>
      <c r="D43" s="1" t="s">
        <v>60</v>
      </c>
      <c r="E43" s="5">
        <v>0</v>
      </c>
      <c r="F43" s="6">
        <v>0</v>
      </c>
      <c r="G43" s="7">
        <f t="shared" si="2"/>
        <v>0</v>
      </c>
      <c r="H43" s="8">
        <f t="shared" si="3"/>
        <v>0</v>
      </c>
      <c r="I43" s="9" t="str">
        <f>IF(ISNUMBER(F43),IF(ABS(G43)&lt;=Resumen!$B$4,"OK","DIFERENCIA"),"PENDIENTE")</f>
        <v>OK</v>
      </c>
      <c r="J43" s="1" t="s">
        <v>77</v>
      </c>
    </row>
    <row r="44" spans="1:10" ht="61.95" customHeight="1" x14ac:dyDescent="0.3">
      <c r="A44" s="1" t="s">
        <v>75</v>
      </c>
      <c r="B44" s="1" t="s">
        <v>61</v>
      </c>
      <c r="C44" s="1" t="s">
        <v>76</v>
      </c>
      <c r="D44" s="1" t="s">
        <v>62</v>
      </c>
      <c r="E44" s="5">
        <v>0</v>
      </c>
      <c r="F44" s="6">
        <v>0</v>
      </c>
      <c r="G44" s="7">
        <f t="shared" si="2"/>
        <v>0</v>
      </c>
      <c r="H44" s="8">
        <f t="shared" si="3"/>
        <v>0</v>
      </c>
      <c r="I44" s="9" t="str">
        <f>IF(ISNUMBER(F44),IF(ABS(G44)&lt;=Resumen!$B$4,"OK","DIFERENCIA"),"PENDIENTE")</f>
        <v>OK</v>
      </c>
      <c r="J44" s="1" t="s">
        <v>77</v>
      </c>
    </row>
    <row r="45" spans="1:10" ht="61.95" customHeight="1" x14ac:dyDescent="0.3">
      <c r="A45" s="1" t="s">
        <v>75</v>
      </c>
      <c r="B45" s="1" t="s">
        <v>63</v>
      </c>
      <c r="C45" s="1" t="s">
        <v>76</v>
      </c>
      <c r="D45" s="1" t="s">
        <v>64</v>
      </c>
      <c r="E45" s="5">
        <v>0</v>
      </c>
      <c r="F45" s="6">
        <v>0</v>
      </c>
      <c r="G45" s="7">
        <f t="shared" si="2"/>
        <v>0</v>
      </c>
      <c r="H45" s="8">
        <f t="shared" si="3"/>
        <v>0</v>
      </c>
      <c r="I45" s="9" t="str">
        <f>IF(ISNUMBER(F45),IF(ABS(G45)&lt;=Resumen!$B$4,"OK","DIFERENCIA"),"PENDIENTE")</f>
        <v>OK</v>
      </c>
      <c r="J45" s="1" t="s">
        <v>77</v>
      </c>
    </row>
    <row r="46" spans="1:10" ht="61.95" customHeight="1" x14ac:dyDescent="0.3">
      <c r="A46" s="1" t="s">
        <v>75</v>
      </c>
      <c r="B46" s="1" t="s">
        <v>65</v>
      </c>
      <c r="C46" s="1" t="s">
        <v>76</v>
      </c>
      <c r="D46" s="1" t="s">
        <v>66</v>
      </c>
      <c r="E46" s="5">
        <v>0</v>
      </c>
      <c r="F46" s="6">
        <v>0</v>
      </c>
      <c r="G46" s="7">
        <f t="shared" si="2"/>
        <v>0</v>
      </c>
      <c r="H46" s="8">
        <f t="shared" si="3"/>
        <v>0</v>
      </c>
      <c r="I46" s="9" t="str">
        <f>IF(ISNUMBER(F46),IF(ABS(G46)&lt;=Resumen!$B$4,"OK","DIFERENCIA"),"PENDIENTE")</f>
        <v>OK</v>
      </c>
      <c r="J46" s="1" t="s">
        <v>77</v>
      </c>
    </row>
    <row r="47" spans="1:10" ht="61.95" customHeight="1" x14ac:dyDescent="0.3">
      <c r="A47" s="1" t="s">
        <v>75</v>
      </c>
      <c r="B47" s="1" t="s">
        <v>67</v>
      </c>
      <c r="C47" s="1" t="s">
        <v>76</v>
      </c>
      <c r="D47" s="1" t="s">
        <v>68</v>
      </c>
      <c r="E47" s="5">
        <v>0</v>
      </c>
      <c r="F47" s="6">
        <v>0</v>
      </c>
      <c r="G47" s="7">
        <f t="shared" si="2"/>
        <v>0</v>
      </c>
      <c r="H47" s="8">
        <f t="shared" si="3"/>
        <v>0</v>
      </c>
      <c r="I47" s="9" t="str">
        <f>IF(ISNUMBER(F47),IF(ABS(G47)&lt;=Resumen!$B$4,"OK","DIFERENCIA"),"PENDIENTE")</f>
        <v>OK</v>
      </c>
      <c r="J47" s="1" t="s">
        <v>77</v>
      </c>
    </row>
    <row r="48" spans="1:10" ht="61.95" customHeight="1" x14ac:dyDescent="0.3">
      <c r="A48" s="1" t="s">
        <v>78</v>
      </c>
      <c r="B48" s="1" t="s">
        <v>47</v>
      </c>
      <c r="C48" s="1" t="s">
        <v>79</v>
      </c>
      <c r="D48" s="1" t="s">
        <v>49</v>
      </c>
      <c r="E48" s="5">
        <v>397</v>
      </c>
      <c r="F48" s="6">
        <v>397</v>
      </c>
      <c r="G48" s="7">
        <f t="shared" si="2"/>
        <v>0</v>
      </c>
      <c r="H48" s="8">
        <f t="shared" si="3"/>
        <v>0</v>
      </c>
      <c r="I48" s="9" t="str">
        <f>IF(ISNUMBER(F48),IF(ABS(G48)&lt;=Resumen!$B$4,"OK","DIFERENCIA"),"PENDIENTE")</f>
        <v>OK</v>
      </c>
      <c r="J48" s="1" t="s">
        <v>80</v>
      </c>
    </row>
    <row r="49" spans="1:10" ht="61.95" customHeight="1" x14ac:dyDescent="0.3">
      <c r="A49" s="1" t="s">
        <v>78</v>
      </c>
      <c r="B49" s="1" t="s">
        <v>51</v>
      </c>
      <c r="C49" s="1" t="s">
        <v>79</v>
      </c>
      <c r="D49" s="1" t="s">
        <v>52</v>
      </c>
      <c r="E49" s="5">
        <v>119.1</v>
      </c>
      <c r="F49" s="6">
        <v>119.1</v>
      </c>
      <c r="G49" s="7">
        <f t="shared" si="2"/>
        <v>0</v>
      </c>
      <c r="H49" s="8">
        <f t="shared" si="3"/>
        <v>0</v>
      </c>
      <c r="I49" s="9" t="str">
        <f>IF(ISNUMBER(F49),IF(ABS(G49)&lt;=Resumen!$B$4,"OK","DIFERENCIA"),"PENDIENTE")</f>
        <v>OK</v>
      </c>
      <c r="J49" s="1" t="s">
        <v>80</v>
      </c>
    </row>
    <row r="50" spans="1:10" ht="61.95" customHeight="1" x14ac:dyDescent="0.3">
      <c r="A50" s="1" t="s">
        <v>78</v>
      </c>
      <c r="B50" s="1" t="s">
        <v>53</v>
      </c>
      <c r="C50" s="1" t="s">
        <v>79</v>
      </c>
      <c r="D50" s="1" t="s">
        <v>54</v>
      </c>
      <c r="E50" s="5">
        <v>397</v>
      </c>
      <c r="F50" s="6">
        <v>397</v>
      </c>
      <c r="G50" s="7">
        <f t="shared" si="2"/>
        <v>0</v>
      </c>
      <c r="H50" s="8">
        <f t="shared" si="3"/>
        <v>0</v>
      </c>
      <c r="I50" s="9" t="str">
        <f>IF(ISNUMBER(F50),IF(ABS(G50)&lt;=Resumen!$B$4,"OK","DIFERENCIA"),"PENDIENTE")</f>
        <v>OK</v>
      </c>
      <c r="J50" s="1" t="s">
        <v>80</v>
      </c>
    </row>
    <row r="51" spans="1:10" ht="61.95" customHeight="1" x14ac:dyDescent="0.3">
      <c r="A51" s="1" t="s">
        <v>78</v>
      </c>
      <c r="B51" s="1" t="s">
        <v>55</v>
      </c>
      <c r="C51" s="1" t="s">
        <v>79</v>
      </c>
      <c r="D51" s="1" t="s">
        <v>56</v>
      </c>
      <c r="E51" s="5">
        <v>2382</v>
      </c>
      <c r="F51" s="6">
        <v>2382</v>
      </c>
      <c r="G51" s="7">
        <f t="shared" si="2"/>
        <v>0</v>
      </c>
      <c r="H51" s="8">
        <f t="shared" si="3"/>
        <v>0</v>
      </c>
      <c r="I51" s="9" t="str">
        <f>IF(ISNUMBER(F51),IF(ABS(G51)&lt;=Resumen!$B$4,"OK","DIFERENCIA"),"PENDIENTE")</f>
        <v>OK</v>
      </c>
      <c r="J51" s="1" t="s">
        <v>80</v>
      </c>
    </row>
    <row r="52" spans="1:10" ht="61.95" customHeight="1" x14ac:dyDescent="0.3">
      <c r="A52" s="1" t="s">
        <v>78</v>
      </c>
      <c r="B52" s="1" t="s">
        <v>57</v>
      </c>
      <c r="C52" s="1" t="s">
        <v>79</v>
      </c>
      <c r="D52" s="1" t="s">
        <v>58</v>
      </c>
      <c r="E52" s="5">
        <v>0</v>
      </c>
      <c r="F52" s="6">
        <v>0</v>
      </c>
      <c r="G52" s="7">
        <f t="shared" si="2"/>
        <v>0</v>
      </c>
      <c r="H52" s="8">
        <f t="shared" si="3"/>
        <v>0</v>
      </c>
      <c r="I52" s="9" t="str">
        <f>IF(ISNUMBER(F52),IF(ABS(G52)&lt;=Resumen!$B$4,"OK","DIFERENCIA"),"PENDIENTE")</f>
        <v>OK</v>
      </c>
      <c r="J52" s="1" t="s">
        <v>80</v>
      </c>
    </row>
    <row r="53" spans="1:10" ht="61.95" customHeight="1" x14ac:dyDescent="0.3">
      <c r="A53" s="1" t="s">
        <v>78</v>
      </c>
      <c r="B53" s="1" t="s">
        <v>59</v>
      </c>
      <c r="C53" s="1" t="s">
        <v>79</v>
      </c>
      <c r="D53" s="1" t="s">
        <v>60</v>
      </c>
      <c r="E53" s="5">
        <v>0</v>
      </c>
      <c r="F53" s="6">
        <v>0</v>
      </c>
      <c r="G53" s="7">
        <f t="shared" si="2"/>
        <v>0</v>
      </c>
      <c r="H53" s="8">
        <f t="shared" si="3"/>
        <v>0</v>
      </c>
      <c r="I53" s="9" t="str">
        <f>IF(ISNUMBER(F53),IF(ABS(G53)&lt;=Resumen!$B$4,"OK","DIFERENCIA"),"PENDIENTE")</f>
        <v>OK</v>
      </c>
      <c r="J53" s="1" t="s">
        <v>80</v>
      </c>
    </row>
    <row r="54" spans="1:10" ht="61.95" customHeight="1" x14ac:dyDescent="0.3">
      <c r="A54" s="1" t="s">
        <v>78</v>
      </c>
      <c r="B54" s="1" t="s">
        <v>61</v>
      </c>
      <c r="C54" s="1" t="s">
        <v>79</v>
      </c>
      <c r="D54" s="1" t="s">
        <v>62</v>
      </c>
      <c r="E54" s="5">
        <v>0</v>
      </c>
      <c r="F54" s="6">
        <v>0</v>
      </c>
      <c r="G54" s="7">
        <f t="shared" si="2"/>
        <v>0</v>
      </c>
      <c r="H54" s="8">
        <f t="shared" si="3"/>
        <v>0</v>
      </c>
      <c r="I54" s="9" t="str">
        <f>IF(ISNUMBER(F54),IF(ABS(G54)&lt;=Resumen!$B$4,"OK","DIFERENCIA"),"PENDIENTE")</f>
        <v>OK</v>
      </c>
      <c r="J54" s="1" t="s">
        <v>80</v>
      </c>
    </row>
    <row r="55" spans="1:10" ht="61.95" customHeight="1" x14ac:dyDescent="0.3">
      <c r="A55" s="1" t="s">
        <v>78</v>
      </c>
      <c r="B55" s="1" t="s">
        <v>63</v>
      </c>
      <c r="C55" s="1" t="s">
        <v>79</v>
      </c>
      <c r="D55" s="1" t="s">
        <v>64</v>
      </c>
      <c r="E55" s="5">
        <v>0</v>
      </c>
      <c r="F55" s="6">
        <v>0</v>
      </c>
      <c r="G55" s="7">
        <f t="shared" si="2"/>
        <v>0</v>
      </c>
      <c r="H55" s="8">
        <f t="shared" si="3"/>
        <v>0</v>
      </c>
      <c r="I55" s="9" t="str">
        <f>IF(ISNUMBER(F55),IF(ABS(G55)&lt;=Resumen!$B$4,"OK","DIFERENCIA"),"PENDIENTE")</f>
        <v>OK</v>
      </c>
      <c r="J55" s="1" t="s">
        <v>80</v>
      </c>
    </row>
    <row r="56" spans="1:10" ht="61.95" customHeight="1" x14ac:dyDescent="0.3">
      <c r="A56" s="1" t="s">
        <v>78</v>
      </c>
      <c r="B56" s="1" t="s">
        <v>65</v>
      </c>
      <c r="C56" s="1" t="s">
        <v>79</v>
      </c>
      <c r="D56" s="1" t="s">
        <v>66</v>
      </c>
      <c r="E56" s="5">
        <v>0</v>
      </c>
      <c r="F56" s="6">
        <v>0</v>
      </c>
      <c r="G56" s="7">
        <f t="shared" si="2"/>
        <v>0</v>
      </c>
      <c r="H56" s="8">
        <f t="shared" si="3"/>
        <v>0</v>
      </c>
      <c r="I56" s="9" t="str">
        <f>IF(ISNUMBER(F56),IF(ABS(G56)&lt;=Resumen!$B$4,"OK","DIFERENCIA"),"PENDIENTE")</f>
        <v>OK</v>
      </c>
      <c r="J56" s="1" t="s">
        <v>80</v>
      </c>
    </row>
    <row r="57" spans="1:10" ht="61.95" customHeight="1" x14ac:dyDescent="0.3">
      <c r="A57" s="1" t="s">
        <v>78</v>
      </c>
      <c r="B57" s="1" t="s">
        <v>67</v>
      </c>
      <c r="C57" s="1" t="s">
        <v>79</v>
      </c>
      <c r="D57" s="1" t="s">
        <v>68</v>
      </c>
      <c r="E57" s="5">
        <v>0</v>
      </c>
      <c r="F57" s="6">
        <v>0</v>
      </c>
      <c r="G57" s="7">
        <f t="shared" si="2"/>
        <v>0</v>
      </c>
      <c r="H57" s="8">
        <f t="shared" si="3"/>
        <v>0</v>
      </c>
      <c r="I57" s="9" t="str">
        <f>IF(ISNUMBER(F57),IF(ABS(G57)&lt;=Resumen!$B$4,"OK","DIFERENCIA"),"PENDIENTE")</f>
        <v>OK</v>
      </c>
      <c r="J57" s="1" t="s">
        <v>80</v>
      </c>
    </row>
    <row r="58" spans="1:10" ht="61.95" customHeight="1" x14ac:dyDescent="0.3">
      <c r="A58" s="1" t="s">
        <v>81</v>
      </c>
      <c r="B58" s="1" t="s">
        <v>47</v>
      </c>
      <c r="C58" s="1" t="s">
        <v>82</v>
      </c>
      <c r="D58" s="1" t="s">
        <v>49</v>
      </c>
      <c r="E58" s="5">
        <v>1000</v>
      </c>
      <c r="F58" s="6">
        <v>1000</v>
      </c>
      <c r="G58" s="7">
        <f t="shared" si="2"/>
        <v>0</v>
      </c>
      <c r="H58" s="8">
        <f t="shared" si="3"/>
        <v>0</v>
      </c>
      <c r="I58" s="9" t="str">
        <f>IF(ISNUMBER(F58),IF(ABS(G58)&lt;=Resumen!$B$4,"OK","DIFERENCIA"),"PENDIENTE")</f>
        <v>OK</v>
      </c>
      <c r="J58" s="1" t="s">
        <v>83</v>
      </c>
    </row>
    <row r="59" spans="1:10" ht="61.95" customHeight="1" x14ac:dyDescent="0.3">
      <c r="A59" s="1" t="s">
        <v>81</v>
      </c>
      <c r="B59" s="1" t="s">
        <v>51</v>
      </c>
      <c r="C59" s="1" t="s">
        <v>82</v>
      </c>
      <c r="D59" s="1" t="s">
        <v>52</v>
      </c>
      <c r="E59" s="5">
        <v>300</v>
      </c>
      <c r="F59" s="6">
        <v>300</v>
      </c>
      <c r="G59" s="7">
        <f t="shared" si="2"/>
        <v>0</v>
      </c>
      <c r="H59" s="8">
        <f t="shared" si="3"/>
        <v>0</v>
      </c>
      <c r="I59" s="9" t="str">
        <f>IF(ISNUMBER(F59),IF(ABS(G59)&lt;=Resumen!$B$4,"OK","DIFERENCIA"),"PENDIENTE")</f>
        <v>OK</v>
      </c>
      <c r="J59" s="1" t="s">
        <v>83</v>
      </c>
    </row>
    <row r="60" spans="1:10" ht="61.95" customHeight="1" x14ac:dyDescent="0.3">
      <c r="A60" s="1" t="s">
        <v>81</v>
      </c>
      <c r="B60" s="1" t="s">
        <v>53</v>
      </c>
      <c r="C60" s="1" t="s">
        <v>82</v>
      </c>
      <c r="D60" s="1" t="s">
        <v>54</v>
      </c>
      <c r="E60" s="5">
        <v>1000</v>
      </c>
      <c r="F60" s="6">
        <v>1000</v>
      </c>
      <c r="G60" s="7">
        <f t="shared" si="2"/>
        <v>0</v>
      </c>
      <c r="H60" s="8">
        <f t="shared" si="3"/>
        <v>0</v>
      </c>
      <c r="I60" s="9" t="str">
        <f>IF(ISNUMBER(F60),IF(ABS(G60)&lt;=Resumen!$B$4,"OK","DIFERENCIA"),"PENDIENTE")</f>
        <v>OK</v>
      </c>
      <c r="J60" s="1" t="s">
        <v>83</v>
      </c>
    </row>
    <row r="61" spans="1:10" ht="61.95" customHeight="1" x14ac:dyDescent="0.3">
      <c r="A61" s="1" t="s">
        <v>81</v>
      </c>
      <c r="B61" s="1" t="s">
        <v>55</v>
      </c>
      <c r="C61" s="1" t="s">
        <v>82</v>
      </c>
      <c r="D61" s="1" t="s">
        <v>56</v>
      </c>
      <c r="E61" s="5">
        <v>6000</v>
      </c>
      <c r="F61" s="6">
        <v>6000</v>
      </c>
      <c r="G61" s="7">
        <f t="shared" si="2"/>
        <v>0</v>
      </c>
      <c r="H61" s="8">
        <f t="shared" si="3"/>
        <v>0</v>
      </c>
      <c r="I61" s="9" t="str">
        <f>IF(ISNUMBER(F61),IF(ABS(G61)&lt;=Resumen!$B$4,"OK","DIFERENCIA"),"PENDIENTE")</f>
        <v>OK</v>
      </c>
      <c r="J61" s="1" t="s">
        <v>83</v>
      </c>
    </row>
    <row r="62" spans="1:10" ht="61.95" customHeight="1" x14ac:dyDescent="0.3">
      <c r="A62" s="1" t="s">
        <v>81</v>
      </c>
      <c r="B62" s="1" t="s">
        <v>57</v>
      </c>
      <c r="C62" s="1" t="s">
        <v>82</v>
      </c>
      <c r="D62" s="1" t="s">
        <v>58</v>
      </c>
      <c r="E62" s="5">
        <v>0</v>
      </c>
      <c r="F62" s="6">
        <v>0</v>
      </c>
      <c r="G62" s="7">
        <f t="shared" si="2"/>
        <v>0</v>
      </c>
      <c r="H62" s="8">
        <f t="shared" si="3"/>
        <v>0</v>
      </c>
      <c r="I62" s="9" t="str">
        <f>IF(ISNUMBER(F62),IF(ABS(G62)&lt;=Resumen!$B$4,"OK","DIFERENCIA"),"PENDIENTE")</f>
        <v>OK</v>
      </c>
      <c r="J62" s="1" t="s">
        <v>83</v>
      </c>
    </row>
    <row r="63" spans="1:10" ht="61.95" customHeight="1" x14ac:dyDescent="0.3">
      <c r="A63" s="1" t="s">
        <v>81</v>
      </c>
      <c r="B63" s="1" t="s">
        <v>59</v>
      </c>
      <c r="C63" s="1" t="s">
        <v>82</v>
      </c>
      <c r="D63" s="1" t="s">
        <v>60</v>
      </c>
      <c r="E63" s="5">
        <v>0</v>
      </c>
      <c r="F63" s="6">
        <v>0</v>
      </c>
      <c r="G63" s="7">
        <f t="shared" si="2"/>
        <v>0</v>
      </c>
      <c r="H63" s="8">
        <f t="shared" si="3"/>
        <v>0</v>
      </c>
      <c r="I63" s="9" t="str">
        <f>IF(ISNUMBER(F63),IF(ABS(G63)&lt;=Resumen!$B$4,"OK","DIFERENCIA"),"PENDIENTE")</f>
        <v>OK</v>
      </c>
      <c r="J63" s="1" t="s">
        <v>83</v>
      </c>
    </row>
    <row r="64" spans="1:10" ht="61.95" customHeight="1" x14ac:dyDescent="0.3">
      <c r="A64" s="1" t="s">
        <v>81</v>
      </c>
      <c r="B64" s="1" t="s">
        <v>61</v>
      </c>
      <c r="C64" s="1" t="s">
        <v>82</v>
      </c>
      <c r="D64" s="1" t="s">
        <v>62</v>
      </c>
      <c r="E64" s="5">
        <v>0</v>
      </c>
      <c r="F64" s="6">
        <v>0</v>
      </c>
      <c r="G64" s="7">
        <f t="shared" si="2"/>
        <v>0</v>
      </c>
      <c r="H64" s="8">
        <f t="shared" si="3"/>
        <v>0</v>
      </c>
      <c r="I64" s="9" t="str">
        <f>IF(ISNUMBER(F64),IF(ABS(G64)&lt;=Resumen!$B$4,"OK","DIFERENCIA"),"PENDIENTE")</f>
        <v>OK</v>
      </c>
      <c r="J64" s="1" t="s">
        <v>83</v>
      </c>
    </row>
    <row r="65" spans="1:10" ht="61.95" customHeight="1" x14ac:dyDescent="0.3">
      <c r="A65" s="1" t="s">
        <v>81</v>
      </c>
      <c r="B65" s="1" t="s">
        <v>63</v>
      </c>
      <c r="C65" s="1" t="s">
        <v>82</v>
      </c>
      <c r="D65" s="1" t="s">
        <v>64</v>
      </c>
      <c r="E65" s="5">
        <v>0</v>
      </c>
      <c r="F65" s="6">
        <v>0</v>
      </c>
      <c r="G65" s="7">
        <f t="shared" si="2"/>
        <v>0</v>
      </c>
      <c r="H65" s="8">
        <f t="shared" si="3"/>
        <v>0</v>
      </c>
      <c r="I65" s="9" t="str">
        <f>IF(ISNUMBER(F65),IF(ABS(G65)&lt;=Resumen!$B$4,"OK","DIFERENCIA"),"PENDIENTE")</f>
        <v>OK</v>
      </c>
      <c r="J65" s="1" t="s">
        <v>83</v>
      </c>
    </row>
    <row r="66" spans="1:10" ht="61.95" customHeight="1" x14ac:dyDescent="0.3">
      <c r="A66" s="1" t="s">
        <v>81</v>
      </c>
      <c r="B66" s="1" t="s">
        <v>65</v>
      </c>
      <c r="C66" s="1" t="s">
        <v>82</v>
      </c>
      <c r="D66" s="1" t="s">
        <v>66</v>
      </c>
      <c r="E66" s="5">
        <v>0</v>
      </c>
      <c r="F66" s="6">
        <v>0</v>
      </c>
      <c r="G66" s="7">
        <f t="shared" si="2"/>
        <v>0</v>
      </c>
      <c r="H66" s="8">
        <f t="shared" si="3"/>
        <v>0</v>
      </c>
      <c r="I66" s="9" t="str">
        <f>IF(ISNUMBER(F66),IF(ABS(G66)&lt;=Resumen!$B$4,"OK","DIFERENCIA"),"PENDIENTE")</f>
        <v>OK</v>
      </c>
      <c r="J66" s="1" t="s">
        <v>83</v>
      </c>
    </row>
    <row r="67" spans="1:10" ht="61.95" customHeight="1" x14ac:dyDescent="0.3">
      <c r="A67" s="1" t="s">
        <v>81</v>
      </c>
      <c r="B67" s="1" t="s">
        <v>67</v>
      </c>
      <c r="C67" s="1" t="s">
        <v>82</v>
      </c>
      <c r="D67" s="1" t="s">
        <v>68</v>
      </c>
      <c r="E67" s="5">
        <v>0</v>
      </c>
      <c r="F67" s="6">
        <v>0</v>
      </c>
      <c r="G67" s="7">
        <f t="shared" si="2"/>
        <v>0</v>
      </c>
      <c r="H67" s="8">
        <f t="shared" si="3"/>
        <v>0</v>
      </c>
      <c r="I67" s="9" t="str">
        <f>IF(ISNUMBER(F67),IF(ABS(G67)&lt;=Resumen!$B$4,"OK","DIFERENCIA"),"PENDIENTE")</f>
        <v>OK</v>
      </c>
      <c r="J67" s="1" t="s">
        <v>83</v>
      </c>
    </row>
    <row r="68" spans="1:10" ht="61.95" customHeight="1" x14ac:dyDescent="0.3">
      <c r="A68" s="1" t="s">
        <v>84</v>
      </c>
      <c r="B68" s="1" t="s">
        <v>47</v>
      </c>
      <c r="C68" s="1" t="s">
        <v>85</v>
      </c>
      <c r="D68" s="1" t="s">
        <v>49</v>
      </c>
      <c r="E68" s="5">
        <v>520</v>
      </c>
      <c r="F68" s="6">
        <v>520</v>
      </c>
      <c r="G68" s="7">
        <f t="shared" si="2"/>
        <v>0</v>
      </c>
      <c r="H68" s="8">
        <f t="shared" si="3"/>
        <v>0</v>
      </c>
      <c r="I68" s="9" t="str">
        <f>IF(ISNUMBER(F68),IF(ABS(G68)&lt;=Resumen!$B$4,"OK","DIFERENCIA"),"PENDIENTE")</f>
        <v>OK</v>
      </c>
      <c r="J68" s="1" t="s">
        <v>86</v>
      </c>
    </row>
    <row r="69" spans="1:10" ht="61.95" customHeight="1" x14ac:dyDescent="0.3">
      <c r="A69" s="1" t="s">
        <v>84</v>
      </c>
      <c r="B69" s="1" t="s">
        <v>51</v>
      </c>
      <c r="C69" s="1" t="s">
        <v>85</v>
      </c>
      <c r="D69" s="1" t="s">
        <v>52</v>
      </c>
      <c r="E69" s="5">
        <v>75</v>
      </c>
      <c r="F69" s="6">
        <v>75</v>
      </c>
      <c r="G69" s="7">
        <f t="shared" si="2"/>
        <v>0</v>
      </c>
      <c r="H69" s="8">
        <f t="shared" si="3"/>
        <v>0</v>
      </c>
      <c r="I69" s="9" t="str">
        <f>IF(ISNUMBER(F69),IF(ABS(G69)&lt;=Resumen!$B$4,"OK","DIFERENCIA"),"PENDIENTE")</f>
        <v>OK</v>
      </c>
      <c r="J69" s="1" t="s">
        <v>86</v>
      </c>
    </row>
    <row r="70" spans="1:10" ht="61.95" customHeight="1" x14ac:dyDescent="0.3">
      <c r="A70" s="1" t="s">
        <v>84</v>
      </c>
      <c r="B70" s="1" t="s">
        <v>53</v>
      </c>
      <c r="C70" s="1" t="s">
        <v>85</v>
      </c>
      <c r="D70" s="1" t="s">
        <v>54</v>
      </c>
      <c r="E70" s="5">
        <v>250</v>
      </c>
      <c r="F70" s="6">
        <v>250</v>
      </c>
      <c r="G70" s="7">
        <f t="shared" si="2"/>
        <v>0</v>
      </c>
      <c r="H70" s="8">
        <f t="shared" si="3"/>
        <v>0</v>
      </c>
      <c r="I70" s="9" t="str">
        <f>IF(ISNUMBER(F70),IF(ABS(G70)&lt;=Resumen!$B$4,"OK","DIFERENCIA"),"PENDIENTE")</f>
        <v>OK</v>
      </c>
      <c r="J70" s="1" t="s">
        <v>86</v>
      </c>
    </row>
    <row r="71" spans="1:10" ht="61.95" customHeight="1" x14ac:dyDescent="0.3">
      <c r="A71" s="1" t="s">
        <v>84</v>
      </c>
      <c r="B71" s="1" t="s">
        <v>55</v>
      </c>
      <c r="C71" s="1" t="s">
        <v>85</v>
      </c>
      <c r="D71" s="1" t="s">
        <v>56</v>
      </c>
      <c r="E71" s="5">
        <v>1500</v>
      </c>
      <c r="F71" s="6">
        <v>1500</v>
      </c>
      <c r="G71" s="7">
        <f t="shared" si="2"/>
        <v>0</v>
      </c>
      <c r="H71" s="8">
        <f t="shared" si="3"/>
        <v>0</v>
      </c>
      <c r="I71" s="9" t="str">
        <f>IF(ISNUMBER(F71),IF(ABS(G71)&lt;=Resumen!$B$4,"OK","DIFERENCIA"),"PENDIENTE")</f>
        <v>OK</v>
      </c>
      <c r="J71" s="1" t="s">
        <v>86</v>
      </c>
    </row>
    <row r="72" spans="1:10" ht="61.95" customHeight="1" x14ac:dyDescent="0.3">
      <c r="A72" s="1" t="s">
        <v>84</v>
      </c>
      <c r="B72" s="1" t="s">
        <v>57</v>
      </c>
      <c r="C72" s="1" t="s">
        <v>85</v>
      </c>
      <c r="D72" s="1" t="s">
        <v>58</v>
      </c>
      <c r="E72" s="5">
        <v>72</v>
      </c>
      <c r="F72" s="6">
        <v>72</v>
      </c>
      <c r="G72" s="7">
        <f t="shared" ref="G72:G103" si="4">IF(ISNUMBER(F72),F72-E72,"")</f>
        <v>0</v>
      </c>
      <c r="H72" s="8">
        <f t="shared" ref="H72:H103" si="5">IF(ISNUMBER(F72),IF(E72=0,IF(F72=0,0,"N/A"),G72/ABS(E72)),"")</f>
        <v>0</v>
      </c>
      <c r="I72" s="9" t="str">
        <f>IF(ISNUMBER(F72),IF(ABS(G72)&lt;=Resumen!$B$4,"OK","DIFERENCIA"),"PENDIENTE")</f>
        <v>OK</v>
      </c>
      <c r="J72" s="1" t="s">
        <v>86</v>
      </c>
    </row>
    <row r="73" spans="1:10" ht="61.95" customHeight="1" x14ac:dyDescent="0.3">
      <c r="A73" s="1" t="s">
        <v>84</v>
      </c>
      <c r="B73" s="1" t="s">
        <v>59</v>
      </c>
      <c r="C73" s="1" t="s">
        <v>85</v>
      </c>
      <c r="D73" s="1" t="s">
        <v>60</v>
      </c>
      <c r="E73" s="5">
        <v>180</v>
      </c>
      <c r="F73" s="6">
        <v>180</v>
      </c>
      <c r="G73" s="7">
        <f t="shared" si="4"/>
        <v>0</v>
      </c>
      <c r="H73" s="8">
        <f t="shared" si="5"/>
        <v>0</v>
      </c>
      <c r="I73" s="9" t="str">
        <f>IF(ISNUMBER(F73),IF(ABS(G73)&lt;=Resumen!$B$4,"OK","DIFERENCIA"),"PENDIENTE")</f>
        <v>OK</v>
      </c>
      <c r="J73" s="1" t="s">
        <v>86</v>
      </c>
    </row>
    <row r="74" spans="1:10" ht="61.95" customHeight="1" x14ac:dyDescent="0.3">
      <c r="A74" s="1" t="s">
        <v>84</v>
      </c>
      <c r="B74" s="1" t="s">
        <v>61</v>
      </c>
      <c r="C74" s="1" t="s">
        <v>85</v>
      </c>
      <c r="D74" s="1" t="s">
        <v>62</v>
      </c>
      <c r="E74" s="5">
        <v>1260</v>
      </c>
      <c r="F74" s="6">
        <v>1260</v>
      </c>
      <c r="G74" s="7">
        <f t="shared" si="4"/>
        <v>0</v>
      </c>
      <c r="H74" s="8">
        <f t="shared" si="5"/>
        <v>0</v>
      </c>
      <c r="I74" s="9" t="str">
        <f>IF(ISNUMBER(F74),IF(ABS(G74)&lt;=Resumen!$B$4,"OK","DIFERENCIA"),"PENDIENTE")</f>
        <v>OK</v>
      </c>
      <c r="J74" s="1" t="s">
        <v>86</v>
      </c>
    </row>
    <row r="75" spans="1:10" ht="61.95" customHeight="1" x14ac:dyDescent="0.3">
      <c r="A75" s="1" t="s">
        <v>84</v>
      </c>
      <c r="B75" s="1" t="s">
        <v>63</v>
      </c>
      <c r="C75" s="1" t="s">
        <v>85</v>
      </c>
      <c r="D75" s="1" t="s">
        <v>64</v>
      </c>
      <c r="E75" s="5">
        <v>62.999999999999993</v>
      </c>
      <c r="F75" s="6">
        <v>63</v>
      </c>
      <c r="G75" s="7">
        <f t="shared" si="4"/>
        <v>7.1054273576010019E-15</v>
      </c>
      <c r="H75" s="8">
        <f t="shared" si="5"/>
        <v>1.1278456123176195E-16</v>
      </c>
      <c r="I75" s="9" t="str">
        <f>IF(ISNUMBER(F75),IF(ABS(G75)&lt;=Resumen!$B$4,"OK","DIFERENCIA"),"PENDIENTE")</f>
        <v>OK</v>
      </c>
      <c r="J75" s="1" t="s">
        <v>86</v>
      </c>
    </row>
    <row r="76" spans="1:10" ht="61.95" customHeight="1" x14ac:dyDescent="0.3">
      <c r="A76" s="1" t="s">
        <v>84</v>
      </c>
      <c r="B76" s="1" t="s">
        <v>65</v>
      </c>
      <c r="C76" s="1" t="s">
        <v>85</v>
      </c>
      <c r="D76" s="1" t="s">
        <v>66</v>
      </c>
      <c r="E76" s="5">
        <v>90</v>
      </c>
      <c r="F76" s="6">
        <v>90</v>
      </c>
      <c r="G76" s="7">
        <f t="shared" si="4"/>
        <v>0</v>
      </c>
      <c r="H76" s="8">
        <f t="shared" si="5"/>
        <v>0</v>
      </c>
      <c r="I76" s="9" t="str">
        <f>IF(ISNUMBER(F76),IF(ABS(G76)&lt;=Resumen!$B$4,"OK","DIFERENCIA"),"PENDIENTE")</f>
        <v>OK</v>
      </c>
      <c r="J76" s="1" t="s">
        <v>86</v>
      </c>
    </row>
    <row r="77" spans="1:10" ht="61.95" customHeight="1" x14ac:dyDescent="0.3">
      <c r="A77" s="1" t="s">
        <v>84</v>
      </c>
      <c r="B77" s="1" t="s">
        <v>67</v>
      </c>
      <c r="C77" s="1" t="s">
        <v>85</v>
      </c>
      <c r="D77" s="1" t="s">
        <v>68</v>
      </c>
      <c r="E77" s="5">
        <v>1170</v>
      </c>
      <c r="F77" s="6">
        <v>1170</v>
      </c>
      <c r="G77" s="7">
        <f t="shared" si="4"/>
        <v>0</v>
      </c>
      <c r="H77" s="8">
        <f t="shared" si="5"/>
        <v>0</v>
      </c>
      <c r="I77" s="9" t="str">
        <f>IF(ISNUMBER(F77),IF(ABS(G77)&lt;=Resumen!$B$4,"OK","DIFERENCIA"),"PENDIENTE")</f>
        <v>OK</v>
      </c>
      <c r="J77" s="1" t="s">
        <v>86</v>
      </c>
    </row>
    <row r="78" spans="1:10" ht="61.95" customHeight="1" x14ac:dyDescent="0.3">
      <c r="A78" s="1" t="s">
        <v>87</v>
      </c>
      <c r="B78" s="1" t="s">
        <v>47</v>
      </c>
      <c r="C78" s="1" t="s">
        <v>88</v>
      </c>
      <c r="D78" s="1" t="s">
        <v>49</v>
      </c>
      <c r="E78" s="5">
        <v>10</v>
      </c>
      <c r="F78" s="6">
        <v>10</v>
      </c>
      <c r="G78" s="7">
        <f t="shared" si="4"/>
        <v>0</v>
      </c>
      <c r="H78" s="8">
        <f t="shared" si="5"/>
        <v>0</v>
      </c>
      <c r="I78" s="9" t="str">
        <f>IF(ISNUMBER(F78),IF(ABS(G78)&lt;=Resumen!$B$4,"OK","DIFERENCIA"),"PENDIENTE")</f>
        <v>OK</v>
      </c>
      <c r="J78" s="1" t="s">
        <v>89</v>
      </c>
    </row>
    <row r="79" spans="1:10" ht="61.95" customHeight="1" x14ac:dyDescent="0.3">
      <c r="A79" s="1" t="s">
        <v>87</v>
      </c>
      <c r="B79" s="1" t="s">
        <v>51</v>
      </c>
      <c r="C79" s="1" t="s">
        <v>88</v>
      </c>
      <c r="D79" s="1" t="s">
        <v>52</v>
      </c>
      <c r="E79" s="5">
        <v>3</v>
      </c>
      <c r="F79" s="6">
        <v>3</v>
      </c>
      <c r="G79" s="7">
        <f t="shared" si="4"/>
        <v>0</v>
      </c>
      <c r="H79" s="8">
        <f t="shared" si="5"/>
        <v>0</v>
      </c>
      <c r="I79" s="9" t="str">
        <f>IF(ISNUMBER(F79),IF(ABS(G79)&lt;=Resumen!$B$4,"OK","DIFERENCIA"),"PENDIENTE")</f>
        <v>OK</v>
      </c>
      <c r="J79" s="1" t="s">
        <v>89</v>
      </c>
    </row>
    <row r="80" spans="1:10" ht="61.95" customHeight="1" x14ac:dyDescent="0.3">
      <c r="A80" s="1" t="s">
        <v>87</v>
      </c>
      <c r="B80" s="1" t="s">
        <v>53</v>
      </c>
      <c r="C80" s="1" t="s">
        <v>88</v>
      </c>
      <c r="D80" s="1" t="s">
        <v>54</v>
      </c>
      <c r="E80" s="5">
        <v>10</v>
      </c>
      <c r="F80" s="6">
        <v>10</v>
      </c>
      <c r="G80" s="7">
        <f t="shared" si="4"/>
        <v>0</v>
      </c>
      <c r="H80" s="8">
        <f t="shared" si="5"/>
        <v>0</v>
      </c>
      <c r="I80" s="9" t="str">
        <f>IF(ISNUMBER(F80),IF(ABS(G80)&lt;=Resumen!$B$4,"OK","DIFERENCIA"),"PENDIENTE")</f>
        <v>OK</v>
      </c>
      <c r="J80" s="1" t="s">
        <v>89</v>
      </c>
    </row>
    <row r="81" spans="1:10" ht="61.95" customHeight="1" x14ac:dyDescent="0.3">
      <c r="A81" s="1" t="s">
        <v>87</v>
      </c>
      <c r="B81" s="1" t="s">
        <v>55</v>
      </c>
      <c r="C81" s="1" t="s">
        <v>88</v>
      </c>
      <c r="D81" s="1" t="s">
        <v>56</v>
      </c>
      <c r="E81" s="5">
        <v>60</v>
      </c>
      <c r="F81" s="6">
        <v>60</v>
      </c>
      <c r="G81" s="7">
        <f t="shared" si="4"/>
        <v>0</v>
      </c>
      <c r="H81" s="8">
        <f t="shared" si="5"/>
        <v>0</v>
      </c>
      <c r="I81" s="9" t="str">
        <f>IF(ISNUMBER(F81),IF(ABS(G81)&lt;=Resumen!$B$4,"OK","DIFERENCIA"),"PENDIENTE")</f>
        <v>OK</v>
      </c>
      <c r="J81" s="1" t="s">
        <v>89</v>
      </c>
    </row>
    <row r="82" spans="1:10" ht="61.95" customHeight="1" x14ac:dyDescent="0.3">
      <c r="A82" s="1" t="s">
        <v>87</v>
      </c>
      <c r="B82" s="1" t="s">
        <v>57</v>
      </c>
      <c r="C82" s="1" t="s">
        <v>88</v>
      </c>
      <c r="D82" s="1" t="s">
        <v>58</v>
      </c>
      <c r="E82" s="5">
        <v>0</v>
      </c>
      <c r="F82" s="6">
        <v>0</v>
      </c>
      <c r="G82" s="7">
        <f t="shared" si="4"/>
        <v>0</v>
      </c>
      <c r="H82" s="8">
        <f t="shared" si="5"/>
        <v>0</v>
      </c>
      <c r="I82" s="9" t="str">
        <f>IF(ISNUMBER(F82),IF(ABS(G82)&lt;=Resumen!$B$4,"OK","DIFERENCIA"),"PENDIENTE")</f>
        <v>OK</v>
      </c>
      <c r="J82" s="1" t="s">
        <v>89</v>
      </c>
    </row>
    <row r="83" spans="1:10" ht="61.95" customHeight="1" x14ac:dyDescent="0.3">
      <c r="A83" s="1" t="s">
        <v>87</v>
      </c>
      <c r="B83" s="1" t="s">
        <v>59</v>
      </c>
      <c r="C83" s="1" t="s">
        <v>88</v>
      </c>
      <c r="D83" s="1" t="s">
        <v>60</v>
      </c>
      <c r="E83" s="5">
        <v>0</v>
      </c>
      <c r="F83" s="6">
        <v>0</v>
      </c>
      <c r="G83" s="7">
        <f t="shared" si="4"/>
        <v>0</v>
      </c>
      <c r="H83" s="8">
        <f t="shared" si="5"/>
        <v>0</v>
      </c>
      <c r="I83" s="9" t="str">
        <f>IF(ISNUMBER(F83),IF(ABS(G83)&lt;=Resumen!$B$4,"OK","DIFERENCIA"),"PENDIENTE")</f>
        <v>OK</v>
      </c>
      <c r="J83" s="1" t="s">
        <v>89</v>
      </c>
    </row>
    <row r="84" spans="1:10" ht="61.95" customHeight="1" x14ac:dyDescent="0.3">
      <c r="A84" s="1" t="s">
        <v>87</v>
      </c>
      <c r="B84" s="1" t="s">
        <v>61</v>
      </c>
      <c r="C84" s="1" t="s">
        <v>88</v>
      </c>
      <c r="D84" s="1" t="s">
        <v>62</v>
      </c>
      <c r="E84" s="5">
        <v>0</v>
      </c>
      <c r="F84" s="6">
        <v>0</v>
      </c>
      <c r="G84" s="7">
        <f t="shared" si="4"/>
        <v>0</v>
      </c>
      <c r="H84" s="8">
        <f t="shared" si="5"/>
        <v>0</v>
      </c>
      <c r="I84" s="9" t="str">
        <f>IF(ISNUMBER(F84),IF(ABS(G84)&lt;=Resumen!$B$4,"OK","DIFERENCIA"),"PENDIENTE")</f>
        <v>OK</v>
      </c>
      <c r="J84" s="1" t="s">
        <v>89</v>
      </c>
    </row>
    <row r="85" spans="1:10" ht="61.95" customHeight="1" x14ac:dyDescent="0.3">
      <c r="A85" s="1" t="s">
        <v>87</v>
      </c>
      <c r="B85" s="1" t="s">
        <v>63</v>
      </c>
      <c r="C85" s="1" t="s">
        <v>88</v>
      </c>
      <c r="D85" s="1" t="s">
        <v>64</v>
      </c>
      <c r="E85" s="5">
        <v>0</v>
      </c>
      <c r="F85" s="6">
        <v>0</v>
      </c>
      <c r="G85" s="7">
        <f t="shared" si="4"/>
        <v>0</v>
      </c>
      <c r="H85" s="8">
        <f t="shared" si="5"/>
        <v>0</v>
      </c>
      <c r="I85" s="9" t="str">
        <f>IF(ISNUMBER(F85),IF(ABS(G85)&lt;=Resumen!$B$4,"OK","DIFERENCIA"),"PENDIENTE")</f>
        <v>OK</v>
      </c>
      <c r="J85" s="1" t="s">
        <v>89</v>
      </c>
    </row>
    <row r="86" spans="1:10" ht="61.95" customHeight="1" x14ac:dyDescent="0.3">
      <c r="A86" s="1" t="s">
        <v>87</v>
      </c>
      <c r="B86" s="1" t="s">
        <v>65</v>
      </c>
      <c r="C86" s="1" t="s">
        <v>88</v>
      </c>
      <c r="D86" s="1" t="s">
        <v>66</v>
      </c>
      <c r="E86" s="5">
        <v>0</v>
      </c>
      <c r="F86" s="6">
        <v>0</v>
      </c>
      <c r="G86" s="7">
        <f t="shared" si="4"/>
        <v>0</v>
      </c>
      <c r="H86" s="8">
        <f t="shared" si="5"/>
        <v>0</v>
      </c>
      <c r="I86" s="9" t="str">
        <f>IF(ISNUMBER(F86),IF(ABS(G86)&lt;=Resumen!$B$4,"OK","DIFERENCIA"),"PENDIENTE")</f>
        <v>OK</v>
      </c>
      <c r="J86" s="1" t="s">
        <v>89</v>
      </c>
    </row>
    <row r="87" spans="1:10" ht="61.95" customHeight="1" x14ac:dyDescent="0.3">
      <c r="A87" s="1" t="s">
        <v>87</v>
      </c>
      <c r="B87" s="1" t="s">
        <v>67</v>
      </c>
      <c r="C87" s="1" t="s">
        <v>88</v>
      </c>
      <c r="D87" s="1" t="s">
        <v>68</v>
      </c>
      <c r="E87" s="5">
        <v>0</v>
      </c>
      <c r="F87" s="6">
        <v>0</v>
      </c>
      <c r="G87" s="7">
        <f t="shared" si="4"/>
        <v>0</v>
      </c>
      <c r="H87" s="8">
        <f t="shared" si="5"/>
        <v>0</v>
      </c>
      <c r="I87" s="9" t="str">
        <f>IF(ISNUMBER(F87),IF(ABS(G87)&lt;=Resumen!$B$4,"OK","DIFERENCIA"),"PENDIENTE")</f>
        <v>OK</v>
      </c>
      <c r="J87" s="1" t="s">
        <v>89</v>
      </c>
    </row>
    <row r="88" spans="1:10" ht="61.95" customHeight="1" x14ac:dyDescent="0.3">
      <c r="A88" s="1" t="s">
        <v>90</v>
      </c>
      <c r="B88" s="1" t="s">
        <v>47</v>
      </c>
      <c r="C88" s="1" t="s">
        <v>91</v>
      </c>
      <c r="D88" s="1" t="s">
        <v>49</v>
      </c>
      <c r="E88" s="5">
        <v>10</v>
      </c>
      <c r="F88" s="6">
        <v>10</v>
      </c>
      <c r="G88" s="7">
        <f t="shared" si="4"/>
        <v>0</v>
      </c>
      <c r="H88" s="8">
        <f t="shared" si="5"/>
        <v>0</v>
      </c>
      <c r="I88" s="9" t="str">
        <f>IF(ISNUMBER(F88),IF(ABS(G88)&lt;=Resumen!$B$4,"OK","DIFERENCIA"),"PENDIENTE")</f>
        <v>OK</v>
      </c>
      <c r="J88" s="1" t="s">
        <v>92</v>
      </c>
    </row>
    <row r="89" spans="1:10" ht="61.95" customHeight="1" x14ac:dyDescent="0.3">
      <c r="A89" s="1" t="s">
        <v>90</v>
      </c>
      <c r="B89" s="1" t="s">
        <v>51</v>
      </c>
      <c r="C89" s="1" t="s">
        <v>91</v>
      </c>
      <c r="D89" s="1" t="s">
        <v>52</v>
      </c>
      <c r="E89" s="5">
        <v>0</v>
      </c>
      <c r="F89" s="6">
        <v>0</v>
      </c>
      <c r="G89" s="7">
        <f t="shared" si="4"/>
        <v>0</v>
      </c>
      <c r="H89" s="8">
        <f t="shared" si="5"/>
        <v>0</v>
      </c>
      <c r="I89" s="9" t="str">
        <f>IF(ISNUMBER(F89),IF(ABS(G89)&lt;=Resumen!$B$4,"OK","DIFERENCIA"),"PENDIENTE")</f>
        <v>OK</v>
      </c>
      <c r="J89" s="1" t="s">
        <v>92</v>
      </c>
    </row>
    <row r="90" spans="1:10" ht="61.95" customHeight="1" x14ac:dyDescent="0.3">
      <c r="A90" s="1" t="s">
        <v>90</v>
      </c>
      <c r="B90" s="1" t="s">
        <v>53</v>
      </c>
      <c r="C90" s="1" t="s">
        <v>91</v>
      </c>
      <c r="D90" s="1" t="s">
        <v>54</v>
      </c>
      <c r="E90" s="5">
        <v>0</v>
      </c>
      <c r="F90" s="6">
        <v>0</v>
      </c>
      <c r="G90" s="7">
        <f t="shared" si="4"/>
        <v>0</v>
      </c>
      <c r="H90" s="8">
        <f t="shared" si="5"/>
        <v>0</v>
      </c>
      <c r="I90" s="9" t="str">
        <f>IF(ISNUMBER(F90),IF(ABS(G90)&lt;=Resumen!$B$4,"OK","DIFERENCIA"),"PENDIENTE")</f>
        <v>OK</v>
      </c>
      <c r="J90" s="1" t="s">
        <v>92</v>
      </c>
    </row>
    <row r="91" spans="1:10" ht="61.95" customHeight="1" x14ac:dyDescent="0.3">
      <c r="A91" s="1" t="s">
        <v>90</v>
      </c>
      <c r="B91" s="1" t="s">
        <v>55</v>
      </c>
      <c r="C91" s="1" t="s">
        <v>91</v>
      </c>
      <c r="D91" s="1" t="s">
        <v>56</v>
      </c>
      <c r="E91" s="5">
        <v>0</v>
      </c>
      <c r="F91" s="6">
        <v>0</v>
      </c>
      <c r="G91" s="7">
        <f t="shared" si="4"/>
        <v>0</v>
      </c>
      <c r="H91" s="8">
        <f t="shared" si="5"/>
        <v>0</v>
      </c>
      <c r="I91" s="9" t="str">
        <f>IF(ISNUMBER(F91),IF(ABS(G91)&lt;=Resumen!$B$4,"OK","DIFERENCIA"),"PENDIENTE")</f>
        <v>OK</v>
      </c>
      <c r="J91" s="1" t="s">
        <v>92</v>
      </c>
    </row>
    <row r="92" spans="1:10" ht="61.95" customHeight="1" x14ac:dyDescent="0.3">
      <c r="A92" s="1" t="s">
        <v>90</v>
      </c>
      <c r="B92" s="1" t="s">
        <v>57</v>
      </c>
      <c r="C92" s="1" t="s">
        <v>91</v>
      </c>
      <c r="D92" s="1" t="s">
        <v>58</v>
      </c>
      <c r="E92" s="5">
        <v>0</v>
      </c>
      <c r="F92" s="6">
        <v>0</v>
      </c>
      <c r="G92" s="7">
        <f t="shared" si="4"/>
        <v>0</v>
      </c>
      <c r="H92" s="8">
        <f t="shared" si="5"/>
        <v>0</v>
      </c>
      <c r="I92" s="9" t="str">
        <f>IF(ISNUMBER(F92),IF(ABS(G92)&lt;=Resumen!$B$4,"OK","DIFERENCIA"),"PENDIENTE")</f>
        <v>OK</v>
      </c>
      <c r="J92" s="1" t="s">
        <v>92</v>
      </c>
    </row>
    <row r="93" spans="1:10" ht="61.95" customHeight="1" x14ac:dyDescent="0.3">
      <c r="A93" s="1" t="s">
        <v>90</v>
      </c>
      <c r="B93" s="1" t="s">
        <v>59</v>
      </c>
      <c r="C93" s="1" t="s">
        <v>91</v>
      </c>
      <c r="D93" s="1" t="s">
        <v>60</v>
      </c>
      <c r="E93" s="5">
        <v>0</v>
      </c>
      <c r="F93" s="6">
        <v>0</v>
      </c>
      <c r="G93" s="7">
        <f t="shared" si="4"/>
        <v>0</v>
      </c>
      <c r="H93" s="8">
        <f t="shared" si="5"/>
        <v>0</v>
      </c>
      <c r="I93" s="9" t="str">
        <f>IF(ISNUMBER(F93),IF(ABS(G93)&lt;=Resumen!$B$4,"OK","DIFERENCIA"),"PENDIENTE")</f>
        <v>OK</v>
      </c>
      <c r="J93" s="1" t="s">
        <v>92</v>
      </c>
    </row>
    <row r="94" spans="1:10" ht="61.95" customHeight="1" x14ac:dyDescent="0.3">
      <c r="A94" s="1" t="s">
        <v>90</v>
      </c>
      <c r="B94" s="1" t="s">
        <v>61</v>
      </c>
      <c r="C94" s="1" t="s">
        <v>91</v>
      </c>
      <c r="D94" s="1" t="s">
        <v>62</v>
      </c>
      <c r="E94" s="5">
        <v>0</v>
      </c>
      <c r="F94" s="6">
        <v>0</v>
      </c>
      <c r="G94" s="7">
        <f t="shared" si="4"/>
        <v>0</v>
      </c>
      <c r="H94" s="8">
        <f t="shared" si="5"/>
        <v>0</v>
      </c>
      <c r="I94" s="9" t="str">
        <f>IF(ISNUMBER(F94),IF(ABS(G94)&lt;=Resumen!$B$4,"OK","DIFERENCIA"),"PENDIENTE")</f>
        <v>OK</v>
      </c>
      <c r="J94" s="1" t="s">
        <v>92</v>
      </c>
    </row>
    <row r="95" spans="1:10" ht="61.95" customHeight="1" x14ac:dyDescent="0.3">
      <c r="A95" s="1" t="s">
        <v>90</v>
      </c>
      <c r="B95" s="1" t="s">
        <v>63</v>
      </c>
      <c r="C95" s="1" t="s">
        <v>91</v>
      </c>
      <c r="D95" s="1" t="s">
        <v>64</v>
      </c>
      <c r="E95" s="5">
        <v>7</v>
      </c>
      <c r="F95" s="6">
        <v>7</v>
      </c>
      <c r="G95" s="7">
        <f t="shared" si="4"/>
        <v>0</v>
      </c>
      <c r="H95" s="8">
        <f t="shared" si="5"/>
        <v>0</v>
      </c>
      <c r="I95" s="9" t="str">
        <f>IF(ISNUMBER(F95),IF(ABS(G95)&lt;=Resumen!$B$4,"OK","DIFERENCIA"),"PENDIENTE")</f>
        <v>OK</v>
      </c>
      <c r="J95" s="1" t="s">
        <v>92</v>
      </c>
    </row>
    <row r="96" spans="1:10" ht="61.95" customHeight="1" x14ac:dyDescent="0.3">
      <c r="A96" s="1" t="s">
        <v>90</v>
      </c>
      <c r="B96" s="1" t="s">
        <v>65</v>
      </c>
      <c r="C96" s="1" t="s">
        <v>91</v>
      </c>
      <c r="D96" s="1" t="s">
        <v>66</v>
      </c>
      <c r="E96" s="5">
        <v>10</v>
      </c>
      <c r="F96" s="6">
        <v>10</v>
      </c>
      <c r="G96" s="7">
        <f t="shared" si="4"/>
        <v>0</v>
      </c>
      <c r="H96" s="8">
        <f t="shared" si="5"/>
        <v>0</v>
      </c>
      <c r="I96" s="9" t="str">
        <f>IF(ISNUMBER(F96),IF(ABS(G96)&lt;=Resumen!$B$4,"OK","DIFERENCIA"),"PENDIENTE")</f>
        <v>OK</v>
      </c>
      <c r="J96" s="1" t="s">
        <v>92</v>
      </c>
    </row>
    <row r="97" spans="1:10" ht="61.95" customHeight="1" x14ac:dyDescent="0.3">
      <c r="A97" s="1" t="s">
        <v>90</v>
      </c>
      <c r="B97" s="1" t="s">
        <v>67</v>
      </c>
      <c r="C97" s="1" t="s">
        <v>91</v>
      </c>
      <c r="D97" s="1" t="s">
        <v>68</v>
      </c>
      <c r="E97" s="5">
        <v>130</v>
      </c>
      <c r="F97" s="6">
        <v>130</v>
      </c>
      <c r="G97" s="7">
        <f t="shared" si="4"/>
        <v>0</v>
      </c>
      <c r="H97" s="8">
        <f t="shared" si="5"/>
        <v>0</v>
      </c>
      <c r="I97" s="9" t="str">
        <f>IF(ISNUMBER(F97),IF(ABS(G97)&lt;=Resumen!$B$4,"OK","DIFERENCIA"),"PENDIENTE")</f>
        <v>OK</v>
      </c>
      <c r="J97" s="1" t="s">
        <v>92</v>
      </c>
    </row>
  </sheetData>
  <autoFilter ref="A7:J97" xr:uid="{00000000-0009-0000-0000-000001000000}"/>
  <mergeCells count="3">
    <mergeCell ref="A5:J5"/>
    <mergeCell ref="A4:J4"/>
    <mergeCell ref="A1:J2"/>
  </mergeCells>
  <conditionalFormatting sqref="A8:J97">
    <cfRule type="expression" dxfId="19" priority="1">
      <formula>$I8="OK"</formula>
    </cfRule>
    <cfRule type="expression" dxfId="18" priority="2">
      <formula>$I8="DIFERENCIA"</formula>
    </cfRule>
    <cfRule type="expression" dxfId="17" priority="3">
      <formula>$I8="PENDIENTE"</formula>
    </cfRule>
    <cfRule type="expression" dxfId="16" priority="4">
      <formula>$I8="NO COMPARABLE"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7"/>
  <sheetViews>
    <sheetView showGridLines="0" workbookViewId="0">
      <pane xSplit="4" ySplit="7" topLeftCell="E8" activePane="bottomRight" state="frozen"/>
      <selection pane="topRight"/>
      <selection pane="bottomLeft"/>
      <selection pane="bottomRight"/>
    </sheetView>
  </sheetViews>
  <sheetFormatPr baseColWidth="10" defaultColWidth="8.88671875" defaultRowHeight="14.4" x14ac:dyDescent="0.3"/>
  <cols>
    <col min="1" max="1" width="10" customWidth="1"/>
    <col min="2" max="2" width="31" customWidth="1"/>
    <col min="3" max="3" width="48" customWidth="1"/>
    <col min="4" max="4" width="35" customWidth="1"/>
    <col min="5" max="6" width="20" customWidth="1"/>
    <col min="7" max="8" width="18" customWidth="1"/>
    <col min="9" max="9" width="22" customWidth="1"/>
    <col min="10" max="10" width="48" customWidth="1"/>
  </cols>
  <sheetData>
    <row r="1" spans="1:10" ht="24" customHeight="1" x14ac:dyDescent="0.3">
      <c r="A1" s="12" t="s">
        <v>93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ht="15" customHeight="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</row>
    <row r="4" spans="1:10" x14ac:dyDescent="0.3">
      <c r="A4" s="10" t="s">
        <v>34</v>
      </c>
      <c r="B4" s="11"/>
      <c r="C4" s="11"/>
      <c r="D4" s="11"/>
      <c r="E4" s="11"/>
      <c r="F4" s="11"/>
      <c r="G4" s="11"/>
      <c r="H4" s="11"/>
      <c r="I4" s="11"/>
      <c r="J4" s="11"/>
    </row>
    <row r="5" spans="1:10" x14ac:dyDescent="0.3">
      <c r="A5" s="10" t="s">
        <v>35</v>
      </c>
      <c r="B5" s="11"/>
      <c r="C5" s="11"/>
      <c r="D5" s="11"/>
      <c r="E5" s="11"/>
      <c r="F5" s="11"/>
      <c r="G5" s="11"/>
      <c r="H5" s="11"/>
      <c r="I5" s="11"/>
      <c r="J5" s="11"/>
    </row>
    <row r="7" spans="1:10" ht="31.95" customHeight="1" x14ac:dyDescent="0.3">
      <c r="A7" s="3" t="s">
        <v>36</v>
      </c>
      <c r="B7" s="3" t="s">
        <v>37</v>
      </c>
      <c r="C7" s="3" t="s">
        <v>38</v>
      </c>
      <c r="D7" s="3" t="s">
        <v>39</v>
      </c>
      <c r="E7" s="3" t="s">
        <v>40</v>
      </c>
      <c r="F7" s="3" t="s">
        <v>41</v>
      </c>
      <c r="G7" s="3" t="s">
        <v>42</v>
      </c>
      <c r="H7" s="3" t="s">
        <v>43</v>
      </c>
      <c r="I7" s="3" t="s">
        <v>44</v>
      </c>
      <c r="J7" s="3" t="s">
        <v>45</v>
      </c>
    </row>
    <row r="8" spans="1:10" ht="61.95" customHeight="1" x14ac:dyDescent="0.3">
      <c r="A8" s="1" t="s">
        <v>94</v>
      </c>
      <c r="B8" s="1" t="s">
        <v>95</v>
      </c>
      <c r="C8" s="1" t="s">
        <v>96</v>
      </c>
      <c r="D8" s="1" t="s">
        <v>97</v>
      </c>
      <c r="E8" s="5">
        <v>1690.8</v>
      </c>
      <c r="F8" s="6">
        <v>1690.8</v>
      </c>
      <c r="G8" s="7">
        <f t="shared" ref="G8:G17" si="0">IF(ISNUMBER(F8),F8-E8,"")</f>
        <v>0</v>
      </c>
      <c r="H8" s="8">
        <f t="shared" ref="H8:H17" si="1">IF(ISNUMBER(F8),IF(E8=0,IF(F8=0,0,"N/A"),G8/ABS(E8)),"")</f>
        <v>0</v>
      </c>
      <c r="I8" s="9" t="str">
        <f>IF(ISNUMBER(F8),IF(ABS(G8)&lt;=Resumen!$B$4,"OK","DIFERENCIA"),"PENDIENTE")</f>
        <v>OK</v>
      </c>
      <c r="J8" s="1" t="s">
        <v>98</v>
      </c>
    </row>
    <row r="9" spans="1:10" ht="61.95" customHeight="1" x14ac:dyDescent="0.3">
      <c r="A9" s="1" t="s">
        <v>94</v>
      </c>
      <c r="B9" s="1" t="s">
        <v>99</v>
      </c>
      <c r="C9" s="1" t="s">
        <v>96</v>
      </c>
      <c r="D9" s="1" t="s">
        <v>100</v>
      </c>
      <c r="E9" s="5">
        <v>1690.8</v>
      </c>
      <c r="F9" s="6">
        <v>1690.8</v>
      </c>
      <c r="G9" s="7">
        <f t="shared" si="0"/>
        <v>0</v>
      </c>
      <c r="H9" s="8">
        <f t="shared" si="1"/>
        <v>0</v>
      </c>
      <c r="I9" s="9" t="str">
        <f>IF(ISNUMBER(F9),IF(ABS(G9)&lt;=Resumen!$B$4,"OK","DIFERENCIA"),"PENDIENTE")</f>
        <v>OK</v>
      </c>
      <c r="J9" s="1" t="s">
        <v>98</v>
      </c>
    </row>
    <row r="10" spans="1:10" ht="61.95" customHeight="1" x14ac:dyDescent="0.3">
      <c r="A10" s="1" t="s">
        <v>94</v>
      </c>
      <c r="B10" s="1" t="s">
        <v>101</v>
      </c>
      <c r="C10" s="1" t="s">
        <v>96</v>
      </c>
      <c r="D10" s="1" t="s">
        <v>102</v>
      </c>
      <c r="E10" s="5">
        <v>1690.8</v>
      </c>
      <c r="F10" s="6">
        <v>1690.8</v>
      </c>
      <c r="G10" s="7">
        <f t="shared" si="0"/>
        <v>0</v>
      </c>
      <c r="H10" s="8">
        <f t="shared" si="1"/>
        <v>0</v>
      </c>
      <c r="I10" s="9" t="str">
        <f>IF(ISNUMBER(F10),IF(ABS(G10)&lt;=Resumen!$B$4,"OK","DIFERENCIA"),"PENDIENTE")</f>
        <v>OK</v>
      </c>
      <c r="J10" s="1" t="s">
        <v>98</v>
      </c>
    </row>
    <row r="11" spans="1:10" ht="61.95" customHeight="1" x14ac:dyDescent="0.3">
      <c r="A11" s="1" t="s">
        <v>94</v>
      </c>
      <c r="B11" s="1" t="s">
        <v>103</v>
      </c>
      <c r="C11" s="1" t="s">
        <v>96</v>
      </c>
      <c r="D11" s="1" t="s">
        <v>104</v>
      </c>
      <c r="E11" s="5">
        <v>2000</v>
      </c>
      <c r="F11" s="6">
        <v>2000</v>
      </c>
      <c r="G11" s="7">
        <f t="shared" si="0"/>
        <v>0</v>
      </c>
      <c r="H11" s="8">
        <f t="shared" si="1"/>
        <v>0</v>
      </c>
      <c r="I11" s="9" t="str">
        <f>IF(ISNUMBER(F11),IF(ABS(G11)&lt;=Resumen!$B$4,"OK","DIFERENCIA"),"PENDIENTE")</f>
        <v>OK</v>
      </c>
      <c r="J11" s="1" t="s">
        <v>105</v>
      </c>
    </row>
    <row r="12" spans="1:10" ht="61.95" customHeight="1" x14ac:dyDescent="0.3">
      <c r="A12" s="1" t="s">
        <v>94</v>
      </c>
      <c r="B12" s="1" t="s">
        <v>106</v>
      </c>
      <c r="C12" s="1" t="s">
        <v>96</v>
      </c>
      <c r="D12" s="1" t="s">
        <v>107</v>
      </c>
      <c r="E12" s="5">
        <v>23</v>
      </c>
      <c r="F12" s="6">
        <v>23</v>
      </c>
      <c r="G12" s="7">
        <f t="shared" si="0"/>
        <v>0</v>
      </c>
      <c r="H12" s="8">
        <f t="shared" si="1"/>
        <v>0</v>
      </c>
      <c r="I12" s="9" t="str">
        <f>IF(ISNUMBER(F12),IF(ABS(G12)&lt;=Resumen!$B$4,"OK","DIFERENCIA"),"PENDIENTE")</f>
        <v>OK</v>
      </c>
      <c r="J12" s="1" t="s">
        <v>108</v>
      </c>
    </row>
    <row r="13" spans="1:10" ht="61.95" customHeight="1" x14ac:dyDescent="0.3">
      <c r="A13" s="1" t="s">
        <v>109</v>
      </c>
      <c r="B13" s="1" t="s">
        <v>95</v>
      </c>
      <c r="C13" s="1" t="s">
        <v>110</v>
      </c>
      <c r="D13" s="1" t="s">
        <v>111</v>
      </c>
      <c r="E13" s="5">
        <v>1856.538461538461</v>
      </c>
      <c r="F13" s="6">
        <v>1856.538461538461</v>
      </c>
      <c r="G13" s="7">
        <f t="shared" si="0"/>
        <v>0</v>
      </c>
      <c r="H13" s="8">
        <f t="shared" si="1"/>
        <v>0</v>
      </c>
      <c r="I13" s="9" t="str">
        <f>IF(ISNUMBER(F13),IF(ABS(G13)&lt;=Resumen!$B$4,"OK","DIFERENCIA"),"PENDIENTE")</f>
        <v>OK</v>
      </c>
      <c r="J13" s="1" t="s">
        <v>112</v>
      </c>
    </row>
    <row r="14" spans="1:10" ht="61.95" customHeight="1" x14ac:dyDescent="0.3">
      <c r="A14" s="1" t="s">
        <v>109</v>
      </c>
      <c r="B14" s="1" t="s">
        <v>99</v>
      </c>
      <c r="C14" s="1" t="s">
        <v>110</v>
      </c>
      <c r="D14" s="1" t="s">
        <v>113</v>
      </c>
      <c r="E14" s="5">
        <v>1856.538461538461</v>
      </c>
      <c r="F14" s="6">
        <v>1856.538461538461</v>
      </c>
      <c r="G14" s="7">
        <f t="shared" si="0"/>
        <v>0</v>
      </c>
      <c r="H14" s="8">
        <f t="shared" si="1"/>
        <v>0</v>
      </c>
      <c r="I14" s="9" t="str">
        <f>IF(ISNUMBER(F14),IF(ABS(G14)&lt;=Resumen!$B$4,"OK","DIFERENCIA"),"PENDIENTE")</f>
        <v>OK</v>
      </c>
      <c r="J14" s="1" t="s">
        <v>112</v>
      </c>
    </row>
    <row r="15" spans="1:10" ht="61.95" customHeight="1" x14ac:dyDescent="0.3">
      <c r="A15" s="1" t="s">
        <v>109</v>
      </c>
      <c r="B15" s="1" t="s">
        <v>101</v>
      </c>
      <c r="C15" s="1" t="s">
        <v>110</v>
      </c>
      <c r="D15" s="1" t="s">
        <v>114</v>
      </c>
      <c r="E15" s="5">
        <v>1856.538461538461</v>
      </c>
      <c r="F15" s="6">
        <v>1856.538461538461</v>
      </c>
      <c r="G15" s="7">
        <f t="shared" si="0"/>
        <v>0</v>
      </c>
      <c r="H15" s="8">
        <f t="shared" si="1"/>
        <v>0</v>
      </c>
      <c r="I15" s="9" t="str">
        <f>IF(ISNUMBER(F15),IF(ABS(G15)&lt;=Resumen!$B$4,"OK","DIFERENCIA"),"PENDIENTE")</f>
        <v>OK</v>
      </c>
      <c r="J15" s="1" t="s">
        <v>112</v>
      </c>
    </row>
    <row r="16" spans="1:10" ht="61.95" customHeight="1" x14ac:dyDescent="0.3">
      <c r="A16" s="1" t="s">
        <v>109</v>
      </c>
      <c r="B16" s="1" t="s">
        <v>103</v>
      </c>
      <c r="C16" s="1" t="s">
        <v>110</v>
      </c>
      <c r="D16" s="1" t="s">
        <v>104</v>
      </c>
      <c r="E16" s="5">
        <v>2000</v>
      </c>
      <c r="F16" s="6">
        <v>2000</v>
      </c>
      <c r="G16" s="7">
        <f t="shared" si="0"/>
        <v>0</v>
      </c>
      <c r="H16" s="8">
        <f t="shared" si="1"/>
        <v>0</v>
      </c>
      <c r="I16" s="9" t="str">
        <f>IF(ISNUMBER(F16),IF(ABS(G16)&lt;=Resumen!$B$4,"OK","DIFERENCIA"),"PENDIENTE")</f>
        <v>OK</v>
      </c>
      <c r="J16" s="1" t="s">
        <v>115</v>
      </c>
    </row>
    <row r="17" spans="1:10" ht="61.95" customHeight="1" x14ac:dyDescent="0.3">
      <c r="A17" s="1" t="s">
        <v>109</v>
      </c>
      <c r="B17" s="1" t="s">
        <v>106</v>
      </c>
      <c r="C17" s="1" t="s">
        <v>110</v>
      </c>
      <c r="D17" s="1" t="s">
        <v>107</v>
      </c>
      <c r="E17" s="5">
        <v>23</v>
      </c>
      <c r="F17" s="6">
        <v>23</v>
      </c>
      <c r="G17" s="7">
        <f t="shared" si="0"/>
        <v>0</v>
      </c>
      <c r="H17" s="8">
        <f t="shared" si="1"/>
        <v>0</v>
      </c>
      <c r="I17" s="9" t="str">
        <f>IF(ISNUMBER(F17),IF(ABS(G17)&lt;=Resumen!$B$4,"OK","DIFERENCIA"),"PENDIENTE")</f>
        <v>OK</v>
      </c>
      <c r="J17" s="1" t="s">
        <v>116</v>
      </c>
    </row>
  </sheetData>
  <autoFilter ref="A7:J17" xr:uid="{00000000-0009-0000-0000-000002000000}"/>
  <mergeCells count="3">
    <mergeCell ref="A5:J5"/>
    <mergeCell ref="A4:J4"/>
    <mergeCell ref="A1:J2"/>
  </mergeCells>
  <conditionalFormatting sqref="A8:J17">
    <cfRule type="expression" dxfId="15" priority="1">
      <formula>$I8="OK"</formula>
    </cfRule>
    <cfRule type="expression" dxfId="14" priority="2">
      <formula>$I8="DIFERENCIA"</formula>
    </cfRule>
    <cfRule type="expression" dxfId="13" priority="3">
      <formula>$I8="PENDIENTE"</formula>
    </cfRule>
    <cfRule type="expression" dxfId="12" priority="4">
      <formula>$I8="NO COMPARABLE"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8"/>
  <sheetViews>
    <sheetView showGridLines="0" workbookViewId="0">
      <pane xSplit="4" ySplit="7" topLeftCell="E8" activePane="bottomRight" state="frozen"/>
      <selection pane="topRight"/>
      <selection pane="bottomLeft"/>
      <selection pane="bottomRight"/>
    </sheetView>
  </sheetViews>
  <sheetFormatPr baseColWidth="10" defaultColWidth="8.88671875" defaultRowHeight="14.4" x14ac:dyDescent="0.3"/>
  <cols>
    <col min="1" max="1" width="10" customWidth="1"/>
    <col min="2" max="2" width="31" customWidth="1"/>
    <col min="3" max="3" width="48" customWidth="1"/>
    <col min="4" max="4" width="35" customWidth="1"/>
    <col min="5" max="6" width="20" customWidth="1"/>
    <col min="7" max="8" width="18" customWidth="1"/>
    <col min="9" max="9" width="22" customWidth="1"/>
    <col min="10" max="10" width="48" customWidth="1"/>
  </cols>
  <sheetData>
    <row r="1" spans="1:10" ht="24" customHeight="1" x14ac:dyDescent="0.3">
      <c r="A1" s="12" t="s">
        <v>117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ht="15" customHeight="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</row>
    <row r="4" spans="1:10" x14ac:dyDescent="0.3">
      <c r="A4" s="10" t="s">
        <v>34</v>
      </c>
      <c r="B4" s="11"/>
      <c r="C4" s="11"/>
      <c r="D4" s="11"/>
      <c r="E4" s="11"/>
      <c r="F4" s="11"/>
      <c r="G4" s="11"/>
      <c r="H4" s="11"/>
      <c r="I4" s="11"/>
      <c r="J4" s="11"/>
    </row>
    <row r="5" spans="1:10" x14ac:dyDescent="0.3">
      <c r="A5" s="10" t="s">
        <v>35</v>
      </c>
      <c r="B5" s="11"/>
      <c r="C5" s="11"/>
      <c r="D5" s="11"/>
      <c r="E5" s="11"/>
      <c r="F5" s="11"/>
      <c r="G5" s="11"/>
      <c r="H5" s="11"/>
      <c r="I5" s="11"/>
      <c r="J5" s="11"/>
    </row>
    <row r="7" spans="1:10" ht="31.95" customHeight="1" x14ac:dyDescent="0.3">
      <c r="A7" s="3" t="s">
        <v>36</v>
      </c>
      <c r="B7" s="3" t="s">
        <v>37</v>
      </c>
      <c r="C7" s="3" t="s">
        <v>38</v>
      </c>
      <c r="D7" s="3" t="s">
        <v>39</v>
      </c>
      <c r="E7" s="3" t="s">
        <v>40</v>
      </c>
      <c r="F7" s="3" t="s">
        <v>41</v>
      </c>
      <c r="G7" s="3" t="s">
        <v>42</v>
      </c>
      <c r="H7" s="3" t="s">
        <v>43</v>
      </c>
      <c r="I7" s="3" t="s">
        <v>44</v>
      </c>
      <c r="J7" s="3" t="s">
        <v>45</v>
      </c>
    </row>
    <row r="8" spans="1:10" ht="61.95" customHeight="1" x14ac:dyDescent="0.3">
      <c r="A8" s="1" t="s">
        <v>118</v>
      </c>
      <c r="B8" s="1" t="s">
        <v>119</v>
      </c>
      <c r="C8" s="1" t="s">
        <v>120</v>
      </c>
      <c r="D8" s="1" t="s">
        <v>121</v>
      </c>
      <c r="F8" s="6">
        <v>-2712.32</v>
      </c>
      <c r="I8" s="9" t="s">
        <v>9</v>
      </c>
      <c r="J8" s="1" t="s">
        <v>122</v>
      </c>
    </row>
  </sheetData>
  <autoFilter ref="A7:J8" xr:uid="{00000000-0009-0000-0000-000003000000}"/>
  <mergeCells count="3">
    <mergeCell ref="A5:J5"/>
    <mergeCell ref="A4:J4"/>
    <mergeCell ref="A1:J2"/>
  </mergeCells>
  <conditionalFormatting sqref="A8:J8">
    <cfRule type="expression" dxfId="11" priority="1">
      <formula>$I8="OK"</formula>
    </cfRule>
    <cfRule type="expression" dxfId="10" priority="2">
      <formula>$I8="DIFERENCIA"</formula>
    </cfRule>
    <cfRule type="expression" dxfId="9" priority="3">
      <formula>$I8="PENDIENTE"</formula>
    </cfRule>
    <cfRule type="expression" dxfId="8" priority="4">
      <formula>$I8="NO COMPARABLE"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1"/>
  <sheetViews>
    <sheetView showGridLines="0" workbookViewId="0">
      <pane xSplit="4" ySplit="7" topLeftCell="E8" activePane="bottomRight" state="frozen"/>
      <selection pane="topRight"/>
      <selection pane="bottomLeft"/>
      <selection pane="bottomRight"/>
    </sheetView>
  </sheetViews>
  <sheetFormatPr baseColWidth="10" defaultColWidth="8.88671875" defaultRowHeight="14.4" x14ac:dyDescent="0.3"/>
  <cols>
    <col min="1" max="1" width="10" customWidth="1"/>
    <col min="2" max="2" width="31" customWidth="1"/>
    <col min="3" max="3" width="48" customWidth="1"/>
    <col min="4" max="4" width="35" customWidth="1"/>
    <col min="5" max="6" width="20" customWidth="1"/>
    <col min="7" max="8" width="18" customWidth="1"/>
    <col min="9" max="9" width="22" customWidth="1"/>
    <col min="10" max="10" width="48" customWidth="1"/>
  </cols>
  <sheetData>
    <row r="1" spans="1:10" ht="24" customHeight="1" x14ac:dyDescent="0.3">
      <c r="A1" s="12" t="s">
        <v>123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ht="15" customHeight="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</row>
    <row r="4" spans="1:10" x14ac:dyDescent="0.3">
      <c r="A4" s="10" t="s">
        <v>34</v>
      </c>
      <c r="B4" s="11"/>
      <c r="C4" s="11"/>
      <c r="D4" s="11"/>
      <c r="E4" s="11"/>
      <c r="F4" s="11"/>
      <c r="G4" s="11"/>
      <c r="H4" s="11"/>
      <c r="I4" s="11"/>
      <c r="J4" s="11"/>
    </row>
    <row r="5" spans="1:10" x14ac:dyDescent="0.3">
      <c r="A5" s="10" t="s">
        <v>35</v>
      </c>
      <c r="B5" s="11"/>
      <c r="C5" s="11"/>
      <c r="D5" s="11"/>
      <c r="E5" s="11"/>
      <c r="F5" s="11"/>
      <c r="G5" s="11"/>
      <c r="H5" s="11"/>
      <c r="I5" s="11"/>
      <c r="J5" s="11"/>
    </row>
    <row r="7" spans="1:10" ht="31.95" customHeight="1" x14ac:dyDescent="0.3">
      <c r="A7" s="3" t="s">
        <v>36</v>
      </c>
      <c r="B7" s="3" t="s">
        <v>37</v>
      </c>
      <c r="C7" s="3" t="s">
        <v>38</v>
      </c>
      <c r="D7" s="3" t="s">
        <v>39</v>
      </c>
      <c r="E7" s="3" t="s">
        <v>40</v>
      </c>
      <c r="F7" s="3" t="s">
        <v>41</v>
      </c>
      <c r="G7" s="3" t="s">
        <v>42</v>
      </c>
      <c r="H7" s="3" t="s">
        <v>43</v>
      </c>
      <c r="I7" s="3" t="s">
        <v>44</v>
      </c>
      <c r="J7" s="3" t="s">
        <v>45</v>
      </c>
    </row>
    <row r="8" spans="1:10" ht="61.95" customHeight="1" x14ac:dyDescent="0.3">
      <c r="A8" s="1" t="s">
        <v>124</v>
      </c>
      <c r="B8" s="1" t="s">
        <v>125</v>
      </c>
      <c r="C8" s="1" t="s">
        <v>126</v>
      </c>
      <c r="D8" s="1" t="s">
        <v>127</v>
      </c>
      <c r="E8" s="5">
        <v>1</v>
      </c>
      <c r="F8" s="6">
        <v>1</v>
      </c>
      <c r="G8" s="7">
        <f>IF(ISNUMBER(F8),F8-E8,"")</f>
        <v>0</v>
      </c>
      <c r="H8" s="8">
        <f>IF(ISNUMBER(F8),IF(E8=0,IF(F8=0,0,"N/A"),G8/ABS(E8)),"")</f>
        <v>0</v>
      </c>
      <c r="I8" s="9" t="str">
        <f>IF(ISNUMBER(F8),IF(ABS(G8)&lt;=Resumen!$B$4,"OK","DIFERENCIA"),"PENDIENTE")</f>
        <v>OK</v>
      </c>
      <c r="J8" s="1" t="s">
        <v>128</v>
      </c>
    </row>
    <row r="9" spans="1:10" ht="61.95" customHeight="1" x14ac:dyDescent="0.3">
      <c r="A9" s="1" t="s">
        <v>124</v>
      </c>
      <c r="B9" s="1" t="s">
        <v>129</v>
      </c>
      <c r="C9" s="1" t="s">
        <v>126</v>
      </c>
      <c r="D9" s="1" t="s">
        <v>127</v>
      </c>
      <c r="E9" s="5">
        <v>0</v>
      </c>
      <c r="F9" s="6">
        <v>0</v>
      </c>
      <c r="G9" s="7">
        <f>IF(ISNUMBER(F9),F9-E9,"")</f>
        <v>0</v>
      </c>
      <c r="H9" s="8">
        <f>IF(ISNUMBER(F9),IF(E9=0,IF(F9=0,0,"N/A"),G9/ABS(E9)),"")</f>
        <v>0</v>
      </c>
      <c r="I9" s="9" t="str">
        <f>IF(ISNUMBER(F9),IF(ABS(G9)&lt;=Resumen!$B$4,"OK","DIFERENCIA"),"PENDIENTE")</f>
        <v>OK</v>
      </c>
      <c r="J9" s="1" t="s">
        <v>130</v>
      </c>
    </row>
    <row r="10" spans="1:10" ht="61.95" customHeight="1" x14ac:dyDescent="0.3">
      <c r="A10" s="1" t="s">
        <v>131</v>
      </c>
      <c r="B10" s="1" t="s">
        <v>125</v>
      </c>
      <c r="C10" s="1" t="s">
        <v>132</v>
      </c>
      <c r="D10" s="1" t="s">
        <v>133</v>
      </c>
      <c r="E10" s="5">
        <v>1.4</v>
      </c>
      <c r="F10" s="6">
        <v>1.4</v>
      </c>
      <c r="G10" s="7">
        <f>IF(ISNUMBER(F10),F10-E10,"")</f>
        <v>0</v>
      </c>
      <c r="H10" s="8">
        <f>IF(ISNUMBER(F10),IF(E10=0,IF(F10=0,0,"N/A"),G10/ABS(E10)),"")</f>
        <v>0</v>
      </c>
      <c r="I10" s="9" t="str">
        <f>IF(ISNUMBER(F10),IF(ABS(G10)&lt;=Resumen!$B$4,"OK","DIFERENCIA"),"PENDIENTE")</f>
        <v>OK</v>
      </c>
      <c r="J10" s="1" t="s">
        <v>134</v>
      </c>
    </row>
    <row r="11" spans="1:10" ht="61.95" customHeight="1" x14ac:dyDescent="0.3">
      <c r="A11" s="1" t="s">
        <v>131</v>
      </c>
      <c r="B11" s="1" t="s">
        <v>129</v>
      </c>
      <c r="C11" s="1" t="s">
        <v>132</v>
      </c>
      <c r="D11" s="1" t="s">
        <v>133</v>
      </c>
      <c r="E11" s="5">
        <v>2</v>
      </c>
      <c r="F11" s="6">
        <v>2</v>
      </c>
      <c r="G11" s="7">
        <f>IF(ISNUMBER(F11),F11-E11,"")</f>
        <v>0</v>
      </c>
      <c r="H11" s="8">
        <f>IF(ISNUMBER(F11),IF(E11=0,IF(F11=0,0,"N/A"),G11/ABS(E11)),"")</f>
        <v>0</v>
      </c>
      <c r="I11" s="9" t="str">
        <f>IF(ISNUMBER(F11),IF(ABS(G11)&lt;=Resumen!$B$4,"OK","DIFERENCIA"),"PENDIENTE")</f>
        <v>OK</v>
      </c>
      <c r="J11" s="1" t="s">
        <v>135</v>
      </c>
    </row>
  </sheetData>
  <autoFilter ref="A7:J11" xr:uid="{00000000-0009-0000-0000-000004000000}"/>
  <mergeCells count="3">
    <mergeCell ref="A5:J5"/>
    <mergeCell ref="A4:J4"/>
    <mergeCell ref="A1:J2"/>
  </mergeCells>
  <conditionalFormatting sqref="A8:J11">
    <cfRule type="expression" dxfId="7" priority="1">
      <formula>$I8="OK"</formula>
    </cfRule>
    <cfRule type="expression" dxfId="6" priority="2">
      <formula>$I8="DIFERENCIA"</formula>
    </cfRule>
    <cfRule type="expression" dxfId="5" priority="3">
      <formula>$I8="PENDIENTE"</formula>
    </cfRule>
    <cfRule type="expression" dxfId="4" priority="4">
      <formula>$I8="NO COMPARABLE"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4"/>
  <sheetViews>
    <sheetView showGridLines="0" workbookViewId="0">
      <pane xSplit="4" ySplit="7" topLeftCell="E8" activePane="bottomRight" state="frozen"/>
      <selection pane="topRight"/>
      <selection pane="bottomLeft"/>
      <selection pane="bottomRight"/>
    </sheetView>
  </sheetViews>
  <sheetFormatPr baseColWidth="10" defaultColWidth="8.88671875" defaultRowHeight="14.4" x14ac:dyDescent="0.3"/>
  <cols>
    <col min="1" max="1" width="10" customWidth="1"/>
    <col min="2" max="2" width="31" customWidth="1"/>
    <col min="3" max="3" width="48" customWidth="1"/>
    <col min="4" max="4" width="35" customWidth="1"/>
    <col min="5" max="6" width="20" customWidth="1"/>
    <col min="7" max="8" width="18" customWidth="1"/>
    <col min="9" max="9" width="22" customWidth="1"/>
    <col min="10" max="10" width="48" customWidth="1"/>
  </cols>
  <sheetData>
    <row r="1" spans="1:10" ht="24" customHeight="1" x14ac:dyDescent="0.3">
      <c r="A1" s="12" t="s">
        <v>136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ht="15" customHeight="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</row>
    <row r="4" spans="1:10" x14ac:dyDescent="0.3">
      <c r="A4" s="10" t="s">
        <v>34</v>
      </c>
      <c r="B4" s="11"/>
      <c r="C4" s="11"/>
      <c r="D4" s="11"/>
      <c r="E4" s="11"/>
      <c r="F4" s="11"/>
      <c r="G4" s="11"/>
      <c r="H4" s="11"/>
      <c r="I4" s="11"/>
      <c r="J4" s="11"/>
    </row>
    <row r="5" spans="1:10" x14ac:dyDescent="0.3">
      <c r="A5" s="10" t="s">
        <v>35</v>
      </c>
      <c r="B5" s="11"/>
      <c r="C5" s="11"/>
      <c r="D5" s="11"/>
      <c r="E5" s="11"/>
      <c r="F5" s="11"/>
      <c r="G5" s="11"/>
      <c r="H5" s="11"/>
      <c r="I5" s="11"/>
      <c r="J5" s="11"/>
    </row>
    <row r="7" spans="1:10" ht="31.95" customHeight="1" x14ac:dyDescent="0.3">
      <c r="A7" s="3" t="s">
        <v>36</v>
      </c>
      <c r="B7" s="3" t="s">
        <v>37</v>
      </c>
      <c r="C7" s="3" t="s">
        <v>38</v>
      </c>
      <c r="D7" s="3" t="s">
        <v>39</v>
      </c>
      <c r="E7" s="3" t="s">
        <v>40</v>
      </c>
      <c r="F7" s="3" t="s">
        <v>41</v>
      </c>
      <c r="G7" s="3" t="s">
        <v>42</v>
      </c>
      <c r="H7" s="3" t="s">
        <v>43</v>
      </c>
      <c r="I7" s="3" t="s">
        <v>44</v>
      </c>
      <c r="J7" s="3" t="s">
        <v>45</v>
      </c>
    </row>
    <row r="8" spans="1:10" ht="61.95" customHeight="1" x14ac:dyDescent="0.3">
      <c r="A8" s="1" t="s">
        <v>137</v>
      </c>
      <c r="B8" s="1" t="s">
        <v>138</v>
      </c>
      <c r="C8" s="1" t="s">
        <v>139</v>
      </c>
      <c r="D8" s="1" t="s">
        <v>140</v>
      </c>
      <c r="E8" s="5">
        <v>6.2</v>
      </c>
      <c r="F8" s="6">
        <v>6.2</v>
      </c>
      <c r="G8" s="7">
        <f t="shared" ref="G8:G14" si="0">IF(ISNUMBER(F8),F8-E8,"")</f>
        <v>0</v>
      </c>
      <c r="H8" s="8">
        <f t="shared" ref="H8:H14" si="1">IF(ISNUMBER(F8),IF(E8=0,IF(F8=0,0,"N/A"),G8/ABS(E8)),"")</f>
        <v>0</v>
      </c>
      <c r="I8" s="9" t="str">
        <f>IF(ISNUMBER(F8),IF(ABS(G8)&lt;=Resumen!$B$4,"OK","DIFERENCIA"),"PENDIENTE")</f>
        <v>OK</v>
      </c>
      <c r="J8" s="1" t="s">
        <v>141</v>
      </c>
    </row>
    <row r="9" spans="1:10" ht="61.95" customHeight="1" x14ac:dyDescent="0.3">
      <c r="A9" s="1" t="s">
        <v>137</v>
      </c>
      <c r="B9" s="1" t="s">
        <v>142</v>
      </c>
      <c r="C9" s="1" t="s">
        <v>139</v>
      </c>
      <c r="D9" s="1" t="s">
        <v>143</v>
      </c>
      <c r="E9" s="5">
        <v>16</v>
      </c>
      <c r="F9" s="6">
        <v>16</v>
      </c>
      <c r="G9" s="7">
        <f t="shared" si="0"/>
        <v>0</v>
      </c>
      <c r="H9" s="8">
        <f t="shared" si="1"/>
        <v>0</v>
      </c>
      <c r="I9" s="9" t="str">
        <f>IF(ISNUMBER(F9),IF(ABS(G9)&lt;=Resumen!$B$4,"OK","DIFERENCIA"),"PENDIENTE")</f>
        <v>OK</v>
      </c>
      <c r="J9" s="1" t="s">
        <v>144</v>
      </c>
    </row>
    <row r="10" spans="1:10" ht="61.95" customHeight="1" x14ac:dyDescent="0.3">
      <c r="A10" s="1" t="s">
        <v>137</v>
      </c>
      <c r="B10" s="1" t="s">
        <v>145</v>
      </c>
      <c r="C10" s="1" t="s">
        <v>139</v>
      </c>
      <c r="D10" s="1" t="s">
        <v>146</v>
      </c>
      <c r="E10" s="5">
        <v>6</v>
      </c>
      <c r="F10" s="6">
        <v>6</v>
      </c>
      <c r="G10" s="7">
        <f t="shared" si="0"/>
        <v>0</v>
      </c>
      <c r="H10" s="8">
        <f t="shared" si="1"/>
        <v>0</v>
      </c>
      <c r="I10" s="9" t="str">
        <f>IF(ISNUMBER(F10),IF(ABS(G10)&lt;=Resumen!$B$4,"OK","DIFERENCIA"),"PENDIENTE")</f>
        <v>OK</v>
      </c>
      <c r="J10" s="1" t="s">
        <v>147</v>
      </c>
    </row>
    <row r="11" spans="1:10" ht="61.95" customHeight="1" x14ac:dyDescent="0.3">
      <c r="A11" s="1" t="s">
        <v>137</v>
      </c>
      <c r="B11" s="1" t="s">
        <v>148</v>
      </c>
      <c r="C11" s="1" t="s">
        <v>139</v>
      </c>
      <c r="D11" s="1" t="s">
        <v>149</v>
      </c>
      <c r="E11" s="5">
        <v>-1</v>
      </c>
      <c r="F11" s="6">
        <v>-1</v>
      </c>
      <c r="G11" s="7">
        <f t="shared" si="0"/>
        <v>0</v>
      </c>
      <c r="H11" s="8">
        <f t="shared" si="1"/>
        <v>0</v>
      </c>
      <c r="I11" s="9" t="str">
        <f>IF(ISNUMBER(F11),IF(ABS(G11)&lt;=Resumen!$B$4,"OK","DIFERENCIA"),"PENDIENTE")</f>
        <v>OK</v>
      </c>
      <c r="J11" s="1" t="s">
        <v>150</v>
      </c>
    </row>
    <row r="12" spans="1:10" ht="61.95" customHeight="1" x14ac:dyDescent="0.3">
      <c r="A12" s="1" t="s">
        <v>137</v>
      </c>
      <c r="B12" s="1" t="s">
        <v>151</v>
      </c>
      <c r="C12" s="1" t="s">
        <v>139</v>
      </c>
      <c r="D12" s="1" t="s">
        <v>152</v>
      </c>
      <c r="E12" s="5">
        <v>96</v>
      </c>
      <c r="F12" s="6">
        <v>96</v>
      </c>
      <c r="G12" s="7">
        <f t="shared" si="0"/>
        <v>0</v>
      </c>
      <c r="H12" s="8">
        <f t="shared" si="1"/>
        <v>0</v>
      </c>
      <c r="I12" s="9" t="str">
        <f>IF(ISNUMBER(F12),IF(ABS(G12)&lt;=Resumen!$B$4,"OK","DIFERENCIA"),"PENDIENTE")</f>
        <v>OK</v>
      </c>
      <c r="J12" s="1" t="s">
        <v>153</v>
      </c>
    </row>
    <row r="13" spans="1:10" ht="61.95" customHeight="1" x14ac:dyDescent="0.3">
      <c r="A13" s="1" t="s">
        <v>137</v>
      </c>
      <c r="B13" s="1" t="s">
        <v>154</v>
      </c>
      <c r="C13" s="1" t="s">
        <v>139</v>
      </c>
      <c r="D13" s="1" t="s">
        <v>155</v>
      </c>
      <c r="E13" s="5">
        <v>51</v>
      </c>
      <c r="F13" s="6">
        <v>51</v>
      </c>
      <c r="G13" s="7">
        <f t="shared" si="0"/>
        <v>0</v>
      </c>
      <c r="H13" s="8">
        <f t="shared" si="1"/>
        <v>0</v>
      </c>
      <c r="I13" s="9" t="str">
        <f>IF(ISNUMBER(F13),IF(ABS(G13)&lt;=Resumen!$B$4,"OK","DIFERENCIA"),"PENDIENTE")</f>
        <v>OK</v>
      </c>
      <c r="J13" s="1" t="s">
        <v>156</v>
      </c>
    </row>
    <row r="14" spans="1:10" ht="61.95" customHeight="1" x14ac:dyDescent="0.3">
      <c r="A14" s="1" t="s">
        <v>137</v>
      </c>
      <c r="B14" s="1" t="s">
        <v>157</v>
      </c>
      <c r="C14" s="1" t="s">
        <v>139</v>
      </c>
      <c r="D14" s="1" t="s">
        <v>158</v>
      </c>
      <c r="E14" s="5">
        <v>31</v>
      </c>
      <c r="F14" s="6">
        <v>31</v>
      </c>
      <c r="G14" s="7">
        <f t="shared" si="0"/>
        <v>0</v>
      </c>
      <c r="H14" s="8">
        <f t="shared" si="1"/>
        <v>0</v>
      </c>
      <c r="I14" s="9" t="str">
        <f>IF(ISNUMBER(F14),IF(ABS(G14)&lt;=Resumen!$B$4,"OK","DIFERENCIA"),"PENDIENTE")</f>
        <v>OK</v>
      </c>
      <c r="J14" s="1" t="s">
        <v>159</v>
      </c>
    </row>
  </sheetData>
  <autoFilter ref="A7:J14" xr:uid="{00000000-0009-0000-0000-000005000000}"/>
  <mergeCells count="3">
    <mergeCell ref="A5:J5"/>
    <mergeCell ref="A4:J4"/>
    <mergeCell ref="A1:J2"/>
  </mergeCells>
  <conditionalFormatting sqref="A8:J14">
    <cfRule type="expression" dxfId="3" priority="1">
      <formula>$I8="OK"</formula>
    </cfRule>
    <cfRule type="expression" dxfId="2" priority="2">
      <formula>$I8="DIFERENCIA"</formula>
    </cfRule>
    <cfRule type="expression" dxfId="1" priority="3">
      <formula>$I8="PENDIENTE"</formula>
    </cfRule>
    <cfRule type="expression" dxfId="0" priority="4">
      <formula>$I8="NO COMPARABLE"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19"/>
  <sheetViews>
    <sheetView showGridLines="0" workbookViewId="0">
      <pane xSplit="4" ySplit="7" topLeftCell="E8" activePane="bottomRight" state="frozen"/>
      <selection pane="topRight"/>
      <selection pane="bottomLeft"/>
      <selection pane="bottomRight"/>
    </sheetView>
  </sheetViews>
  <sheetFormatPr baseColWidth="10" defaultColWidth="8.88671875" defaultRowHeight="14.4" x14ac:dyDescent="0.3"/>
  <cols>
    <col min="1" max="1" width="10" customWidth="1"/>
    <col min="2" max="2" width="24" customWidth="1"/>
    <col min="3" max="3" width="30" customWidth="1"/>
    <col min="4" max="4" width="60" customWidth="1"/>
    <col min="5" max="5" width="30" customWidth="1"/>
    <col min="6" max="6" width="15" customWidth="1"/>
    <col min="7" max="7" width="95" customWidth="1"/>
    <col min="8" max="8" width="23" customWidth="1"/>
    <col min="9" max="9" width="65" customWidth="1"/>
  </cols>
  <sheetData>
    <row r="1" spans="1:9" ht="24" customHeight="1" x14ac:dyDescent="0.3">
      <c r="A1" s="12" t="s">
        <v>160</v>
      </c>
      <c r="B1" s="11"/>
      <c r="C1" s="11"/>
      <c r="D1" s="11"/>
      <c r="E1" s="11"/>
      <c r="F1" s="11"/>
      <c r="G1" s="11"/>
      <c r="H1" s="11"/>
      <c r="I1" s="11"/>
    </row>
    <row r="2" spans="1:9" ht="15" customHeight="1" x14ac:dyDescent="0.3">
      <c r="A2" s="11"/>
      <c r="B2" s="11"/>
      <c r="C2" s="11"/>
      <c r="D2" s="11"/>
      <c r="E2" s="11"/>
      <c r="F2" s="11"/>
      <c r="G2" s="11"/>
      <c r="H2" s="11"/>
      <c r="I2" s="11"/>
    </row>
    <row r="7" spans="1:9" ht="31.95" customHeight="1" x14ac:dyDescent="0.3">
      <c r="A7" s="3" t="s">
        <v>36</v>
      </c>
      <c r="B7" s="3" t="s">
        <v>4</v>
      </c>
      <c r="C7" s="3" t="s">
        <v>161</v>
      </c>
      <c r="D7" s="3" t="s">
        <v>162</v>
      </c>
      <c r="E7" s="3" t="s">
        <v>163</v>
      </c>
      <c r="F7" s="3" t="s">
        <v>164</v>
      </c>
      <c r="G7" s="3" t="s">
        <v>165</v>
      </c>
      <c r="H7" s="3" t="s">
        <v>166</v>
      </c>
      <c r="I7" s="3" t="s">
        <v>167</v>
      </c>
    </row>
    <row r="8" spans="1:9" ht="39.6" x14ac:dyDescent="0.3">
      <c r="A8" s="1" t="s">
        <v>46</v>
      </c>
      <c r="B8" s="1" t="s">
        <v>11</v>
      </c>
      <c r="C8" s="1" t="s">
        <v>168</v>
      </c>
      <c r="D8" s="1" t="s">
        <v>169</v>
      </c>
      <c r="E8" s="1" t="s">
        <v>170</v>
      </c>
      <c r="F8" s="1" t="s">
        <v>171</v>
      </c>
      <c r="G8" s="1" t="s">
        <v>172</v>
      </c>
      <c r="H8" s="1">
        <v>0</v>
      </c>
      <c r="I8" s="1" t="s">
        <v>173</v>
      </c>
    </row>
    <row r="9" spans="1:9" ht="39.6" x14ac:dyDescent="0.3">
      <c r="A9" s="1" t="s">
        <v>46</v>
      </c>
      <c r="B9" s="1" t="s">
        <v>11</v>
      </c>
      <c r="C9" s="1" t="s">
        <v>174</v>
      </c>
      <c r="D9" s="1" t="s">
        <v>169</v>
      </c>
      <c r="E9" s="1" t="s">
        <v>170</v>
      </c>
      <c r="F9" s="1" t="s">
        <v>175</v>
      </c>
      <c r="G9" s="1" t="s">
        <v>176</v>
      </c>
      <c r="H9" s="1">
        <v>0</v>
      </c>
      <c r="I9" s="1" t="s">
        <v>173</v>
      </c>
    </row>
    <row r="10" spans="1:9" ht="39.6" x14ac:dyDescent="0.3">
      <c r="A10" s="1" t="s">
        <v>46</v>
      </c>
      <c r="B10" s="1" t="s">
        <v>11</v>
      </c>
      <c r="C10" s="1" t="s">
        <v>177</v>
      </c>
      <c r="D10" s="1" t="s">
        <v>169</v>
      </c>
      <c r="E10" s="1" t="s">
        <v>170</v>
      </c>
      <c r="F10" s="1" t="s">
        <v>178</v>
      </c>
      <c r="G10" s="1" t="s">
        <v>179</v>
      </c>
      <c r="H10" s="1">
        <v>0</v>
      </c>
      <c r="I10" s="1" t="s">
        <v>173</v>
      </c>
    </row>
    <row r="11" spans="1:9" ht="39.6" x14ac:dyDescent="0.3">
      <c r="A11" s="1" t="s">
        <v>46</v>
      </c>
      <c r="B11" s="1" t="s">
        <v>11</v>
      </c>
      <c r="C11" s="1" t="s">
        <v>180</v>
      </c>
      <c r="D11" s="1" t="s">
        <v>169</v>
      </c>
      <c r="E11" s="1" t="s">
        <v>170</v>
      </c>
      <c r="F11" s="1" t="s">
        <v>181</v>
      </c>
      <c r="G11" s="1" t="s">
        <v>182</v>
      </c>
      <c r="H11" s="1">
        <v>0</v>
      </c>
      <c r="I11" s="1" t="s">
        <v>173</v>
      </c>
    </row>
    <row r="12" spans="1:9" ht="39.6" x14ac:dyDescent="0.3">
      <c r="A12" s="1" t="s">
        <v>46</v>
      </c>
      <c r="B12" s="1" t="s">
        <v>11</v>
      </c>
      <c r="C12" s="1" t="s">
        <v>183</v>
      </c>
      <c r="D12" s="1" t="s">
        <v>169</v>
      </c>
      <c r="E12" s="1" t="s">
        <v>170</v>
      </c>
      <c r="F12" s="1" t="s">
        <v>184</v>
      </c>
      <c r="G12" s="1" t="s">
        <v>185</v>
      </c>
      <c r="H12" s="1">
        <v>0</v>
      </c>
      <c r="I12" s="1" t="s">
        <v>173</v>
      </c>
    </row>
    <row r="13" spans="1:9" ht="39.6" x14ac:dyDescent="0.3">
      <c r="A13" s="1" t="s">
        <v>46</v>
      </c>
      <c r="B13" s="1" t="s">
        <v>11</v>
      </c>
      <c r="C13" s="1" t="s">
        <v>186</v>
      </c>
      <c r="D13" s="1" t="s">
        <v>169</v>
      </c>
      <c r="E13" s="1" t="s">
        <v>170</v>
      </c>
      <c r="F13" s="1" t="s">
        <v>187</v>
      </c>
      <c r="G13" s="1" t="s">
        <v>188</v>
      </c>
      <c r="H13" s="1">
        <v>0</v>
      </c>
      <c r="I13" s="1" t="s">
        <v>173</v>
      </c>
    </row>
    <row r="14" spans="1:9" ht="39.6" x14ac:dyDescent="0.3">
      <c r="A14" s="1" t="s">
        <v>46</v>
      </c>
      <c r="B14" s="1" t="s">
        <v>11</v>
      </c>
      <c r="C14" s="1" t="s">
        <v>189</v>
      </c>
      <c r="D14" s="1" t="s">
        <v>169</v>
      </c>
      <c r="E14" s="1" t="s">
        <v>170</v>
      </c>
      <c r="F14" s="1" t="s">
        <v>190</v>
      </c>
      <c r="G14" s="1" t="s">
        <v>191</v>
      </c>
      <c r="H14" s="1">
        <v>0</v>
      </c>
      <c r="I14" s="1" t="s">
        <v>173</v>
      </c>
    </row>
    <row r="15" spans="1:9" ht="39.6" x14ac:dyDescent="0.3">
      <c r="A15" s="1" t="s">
        <v>46</v>
      </c>
      <c r="B15" s="1" t="s">
        <v>11</v>
      </c>
      <c r="C15" s="1" t="s">
        <v>192</v>
      </c>
      <c r="D15" s="1" t="s">
        <v>169</v>
      </c>
      <c r="E15" s="1" t="s">
        <v>170</v>
      </c>
      <c r="F15" s="1" t="s">
        <v>193</v>
      </c>
      <c r="G15" s="1" t="s">
        <v>194</v>
      </c>
      <c r="H15" s="1">
        <v>0</v>
      </c>
      <c r="I15" s="1" t="s">
        <v>173</v>
      </c>
    </row>
    <row r="16" spans="1:9" ht="39.6" x14ac:dyDescent="0.3">
      <c r="A16" s="1" t="s">
        <v>46</v>
      </c>
      <c r="B16" s="1" t="s">
        <v>11</v>
      </c>
      <c r="C16" s="1" t="s">
        <v>195</v>
      </c>
      <c r="D16" s="1" t="s">
        <v>169</v>
      </c>
      <c r="E16" s="1" t="s">
        <v>170</v>
      </c>
      <c r="F16" s="1" t="s">
        <v>196</v>
      </c>
      <c r="G16" s="1" t="s">
        <v>197</v>
      </c>
      <c r="H16" s="1">
        <v>0</v>
      </c>
      <c r="I16" s="1" t="s">
        <v>173</v>
      </c>
    </row>
    <row r="17" spans="1:9" ht="39.6" x14ac:dyDescent="0.3">
      <c r="A17" s="1" t="s">
        <v>46</v>
      </c>
      <c r="B17" s="1" t="s">
        <v>11</v>
      </c>
      <c r="C17" s="1" t="s">
        <v>198</v>
      </c>
      <c r="D17" s="1" t="s">
        <v>169</v>
      </c>
      <c r="E17" s="1" t="s">
        <v>170</v>
      </c>
      <c r="F17" s="1" t="s">
        <v>199</v>
      </c>
      <c r="G17" s="1" t="s">
        <v>200</v>
      </c>
      <c r="H17" s="1">
        <v>0</v>
      </c>
      <c r="I17" s="1" t="s">
        <v>173</v>
      </c>
    </row>
    <row r="18" spans="1:9" ht="26.4" x14ac:dyDescent="0.3">
      <c r="A18" s="1" t="s">
        <v>69</v>
      </c>
      <c r="B18" s="1" t="s">
        <v>11</v>
      </c>
      <c r="C18" s="1" t="s">
        <v>168</v>
      </c>
      <c r="D18" s="1" t="s">
        <v>201</v>
      </c>
      <c r="E18" s="1" t="s">
        <v>170</v>
      </c>
      <c r="F18" s="1" t="s">
        <v>171</v>
      </c>
      <c r="G18" s="1" t="s">
        <v>172</v>
      </c>
      <c r="H18" s="1">
        <v>1</v>
      </c>
      <c r="I18" s="1" t="s">
        <v>202</v>
      </c>
    </row>
    <row r="19" spans="1:9" ht="26.4" x14ac:dyDescent="0.3">
      <c r="A19" s="1" t="s">
        <v>69</v>
      </c>
      <c r="B19" s="1" t="s">
        <v>11</v>
      </c>
      <c r="C19" s="1" t="s">
        <v>174</v>
      </c>
      <c r="D19" s="1" t="s">
        <v>201</v>
      </c>
      <c r="E19" s="1" t="s">
        <v>170</v>
      </c>
      <c r="F19" s="1" t="s">
        <v>175</v>
      </c>
      <c r="G19" s="1" t="s">
        <v>176</v>
      </c>
      <c r="H19" s="1">
        <v>0.3</v>
      </c>
      <c r="I19" s="1" t="s">
        <v>202</v>
      </c>
    </row>
    <row r="20" spans="1:9" ht="26.4" x14ac:dyDescent="0.3">
      <c r="A20" s="1" t="s">
        <v>69</v>
      </c>
      <c r="B20" s="1" t="s">
        <v>11</v>
      </c>
      <c r="C20" s="1" t="s">
        <v>177</v>
      </c>
      <c r="D20" s="1" t="s">
        <v>201</v>
      </c>
      <c r="E20" s="1" t="s">
        <v>170</v>
      </c>
      <c r="F20" s="1" t="s">
        <v>178</v>
      </c>
      <c r="G20" s="1" t="s">
        <v>179</v>
      </c>
      <c r="H20" s="1">
        <v>1</v>
      </c>
      <c r="I20" s="1" t="s">
        <v>202</v>
      </c>
    </row>
    <row r="21" spans="1:9" ht="26.4" x14ac:dyDescent="0.3">
      <c r="A21" s="1" t="s">
        <v>69</v>
      </c>
      <c r="B21" s="1" t="s">
        <v>11</v>
      </c>
      <c r="C21" s="1" t="s">
        <v>180</v>
      </c>
      <c r="D21" s="1" t="s">
        <v>201</v>
      </c>
      <c r="E21" s="1" t="s">
        <v>170</v>
      </c>
      <c r="F21" s="1" t="s">
        <v>181</v>
      </c>
      <c r="G21" s="1" t="s">
        <v>182</v>
      </c>
      <c r="H21" s="1">
        <v>6</v>
      </c>
      <c r="I21" s="1" t="s">
        <v>202</v>
      </c>
    </row>
    <row r="22" spans="1:9" ht="26.4" x14ac:dyDescent="0.3">
      <c r="A22" s="1" t="s">
        <v>69</v>
      </c>
      <c r="B22" s="1" t="s">
        <v>11</v>
      </c>
      <c r="C22" s="1" t="s">
        <v>183</v>
      </c>
      <c r="D22" s="1" t="s">
        <v>201</v>
      </c>
      <c r="E22" s="1" t="s">
        <v>170</v>
      </c>
      <c r="F22" s="1" t="s">
        <v>184</v>
      </c>
      <c r="G22" s="1" t="s">
        <v>185</v>
      </c>
      <c r="H22" s="1">
        <v>0</v>
      </c>
      <c r="I22" s="1" t="s">
        <v>202</v>
      </c>
    </row>
    <row r="23" spans="1:9" ht="26.4" x14ac:dyDescent="0.3">
      <c r="A23" s="1" t="s">
        <v>69</v>
      </c>
      <c r="B23" s="1" t="s">
        <v>11</v>
      </c>
      <c r="C23" s="1" t="s">
        <v>186</v>
      </c>
      <c r="D23" s="1" t="s">
        <v>201</v>
      </c>
      <c r="E23" s="1" t="s">
        <v>170</v>
      </c>
      <c r="F23" s="1" t="s">
        <v>187</v>
      </c>
      <c r="G23" s="1" t="s">
        <v>188</v>
      </c>
      <c r="H23" s="1">
        <v>0</v>
      </c>
      <c r="I23" s="1" t="s">
        <v>202</v>
      </c>
    </row>
    <row r="24" spans="1:9" ht="26.4" x14ac:dyDescent="0.3">
      <c r="A24" s="1" t="s">
        <v>69</v>
      </c>
      <c r="B24" s="1" t="s">
        <v>11</v>
      </c>
      <c r="C24" s="1" t="s">
        <v>189</v>
      </c>
      <c r="D24" s="1" t="s">
        <v>201</v>
      </c>
      <c r="E24" s="1" t="s">
        <v>170</v>
      </c>
      <c r="F24" s="1" t="s">
        <v>190</v>
      </c>
      <c r="G24" s="1" t="s">
        <v>191</v>
      </c>
      <c r="H24" s="1">
        <v>0</v>
      </c>
      <c r="I24" s="1" t="s">
        <v>202</v>
      </c>
    </row>
    <row r="25" spans="1:9" ht="26.4" x14ac:dyDescent="0.3">
      <c r="A25" s="1" t="s">
        <v>69</v>
      </c>
      <c r="B25" s="1" t="s">
        <v>11</v>
      </c>
      <c r="C25" s="1" t="s">
        <v>192</v>
      </c>
      <c r="D25" s="1" t="s">
        <v>201</v>
      </c>
      <c r="E25" s="1" t="s">
        <v>170</v>
      </c>
      <c r="F25" s="1" t="s">
        <v>193</v>
      </c>
      <c r="G25" s="1" t="s">
        <v>194</v>
      </c>
      <c r="H25" s="1">
        <v>0</v>
      </c>
      <c r="I25" s="1" t="s">
        <v>202</v>
      </c>
    </row>
    <row r="26" spans="1:9" ht="26.4" x14ac:dyDescent="0.3">
      <c r="A26" s="1" t="s">
        <v>69</v>
      </c>
      <c r="B26" s="1" t="s">
        <v>11</v>
      </c>
      <c r="C26" s="1" t="s">
        <v>195</v>
      </c>
      <c r="D26" s="1" t="s">
        <v>201</v>
      </c>
      <c r="E26" s="1" t="s">
        <v>170</v>
      </c>
      <c r="F26" s="1" t="s">
        <v>196</v>
      </c>
      <c r="G26" s="1" t="s">
        <v>197</v>
      </c>
      <c r="H26" s="1">
        <v>0</v>
      </c>
      <c r="I26" s="1" t="s">
        <v>202</v>
      </c>
    </row>
    <row r="27" spans="1:9" ht="26.4" x14ac:dyDescent="0.3">
      <c r="A27" s="1" t="s">
        <v>69</v>
      </c>
      <c r="B27" s="1" t="s">
        <v>11</v>
      </c>
      <c r="C27" s="1" t="s">
        <v>198</v>
      </c>
      <c r="D27" s="1" t="s">
        <v>201</v>
      </c>
      <c r="E27" s="1" t="s">
        <v>170</v>
      </c>
      <c r="F27" s="1" t="s">
        <v>199</v>
      </c>
      <c r="G27" s="1" t="s">
        <v>200</v>
      </c>
      <c r="H27" s="1">
        <v>0</v>
      </c>
      <c r="I27" s="1" t="s">
        <v>202</v>
      </c>
    </row>
    <row r="28" spans="1:9" ht="26.4" x14ac:dyDescent="0.3">
      <c r="A28" s="1" t="s">
        <v>72</v>
      </c>
      <c r="B28" s="1" t="s">
        <v>11</v>
      </c>
      <c r="C28" s="1" t="s">
        <v>168</v>
      </c>
      <c r="D28" s="1" t="s">
        <v>203</v>
      </c>
      <c r="E28" s="1" t="s">
        <v>170</v>
      </c>
      <c r="F28" s="1" t="s">
        <v>171</v>
      </c>
      <c r="G28" s="1" t="s">
        <v>172</v>
      </c>
      <c r="H28" s="1">
        <v>10</v>
      </c>
      <c r="I28" s="1" t="s">
        <v>202</v>
      </c>
    </row>
    <row r="29" spans="1:9" ht="26.4" x14ac:dyDescent="0.3">
      <c r="A29" s="1" t="s">
        <v>72</v>
      </c>
      <c r="B29" s="1" t="s">
        <v>11</v>
      </c>
      <c r="C29" s="1" t="s">
        <v>174</v>
      </c>
      <c r="D29" s="1" t="s">
        <v>203</v>
      </c>
      <c r="E29" s="1" t="s">
        <v>170</v>
      </c>
      <c r="F29" s="1" t="s">
        <v>175</v>
      </c>
      <c r="G29" s="1" t="s">
        <v>176</v>
      </c>
      <c r="H29" s="1">
        <v>3</v>
      </c>
      <c r="I29" s="1" t="s">
        <v>202</v>
      </c>
    </row>
    <row r="30" spans="1:9" ht="26.4" x14ac:dyDescent="0.3">
      <c r="A30" s="1" t="s">
        <v>72</v>
      </c>
      <c r="B30" s="1" t="s">
        <v>11</v>
      </c>
      <c r="C30" s="1" t="s">
        <v>177</v>
      </c>
      <c r="D30" s="1" t="s">
        <v>203</v>
      </c>
      <c r="E30" s="1" t="s">
        <v>170</v>
      </c>
      <c r="F30" s="1" t="s">
        <v>178</v>
      </c>
      <c r="G30" s="1" t="s">
        <v>179</v>
      </c>
      <c r="H30" s="1">
        <v>10</v>
      </c>
      <c r="I30" s="1" t="s">
        <v>202</v>
      </c>
    </row>
    <row r="31" spans="1:9" ht="26.4" x14ac:dyDescent="0.3">
      <c r="A31" s="1" t="s">
        <v>72</v>
      </c>
      <c r="B31" s="1" t="s">
        <v>11</v>
      </c>
      <c r="C31" s="1" t="s">
        <v>180</v>
      </c>
      <c r="D31" s="1" t="s">
        <v>203</v>
      </c>
      <c r="E31" s="1" t="s">
        <v>170</v>
      </c>
      <c r="F31" s="1" t="s">
        <v>181</v>
      </c>
      <c r="G31" s="1" t="s">
        <v>182</v>
      </c>
      <c r="H31" s="1">
        <v>60</v>
      </c>
      <c r="I31" s="1" t="s">
        <v>202</v>
      </c>
    </row>
    <row r="32" spans="1:9" ht="26.4" x14ac:dyDescent="0.3">
      <c r="A32" s="1" t="s">
        <v>72</v>
      </c>
      <c r="B32" s="1" t="s">
        <v>11</v>
      </c>
      <c r="C32" s="1" t="s">
        <v>183</v>
      </c>
      <c r="D32" s="1" t="s">
        <v>203</v>
      </c>
      <c r="E32" s="1" t="s">
        <v>170</v>
      </c>
      <c r="F32" s="1" t="s">
        <v>184</v>
      </c>
      <c r="G32" s="1" t="s">
        <v>185</v>
      </c>
      <c r="H32" s="1">
        <v>0</v>
      </c>
      <c r="I32" s="1" t="s">
        <v>202</v>
      </c>
    </row>
    <row r="33" spans="1:9" ht="26.4" x14ac:dyDescent="0.3">
      <c r="A33" s="1" t="s">
        <v>72</v>
      </c>
      <c r="B33" s="1" t="s">
        <v>11</v>
      </c>
      <c r="C33" s="1" t="s">
        <v>186</v>
      </c>
      <c r="D33" s="1" t="s">
        <v>203</v>
      </c>
      <c r="E33" s="1" t="s">
        <v>170</v>
      </c>
      <c r="F33" s="1" t="s">
        <v>187</v>
      </c>
      <c r="G33" s="1" t="s">
        <v>188</v>
      </c>
      <c r="H33" s="1">
        <v>0</v>
      </c>
      <c r="I33" s="1" t="s">
        <v>202</v>
      </c>
    </row>
    <row r="34" spans="1:9" ht="26.4" x14ac:dyDescent="0.3">
      <c r="A34" s="1" t="s">
        <v>72</v>
      </c>
      <c r="B34" s="1" t="s">
        <v>11</v>
      </c>
      <c r="C34" s="1" t="s">
        <v>189</v>
      </c>
      <c r="D34" s="1" t="s">
        <v>203</v>
      </c>
      <c r="E34" s="1" t="s">
        <v>170</v>
      </c>
      <c r="F34" s="1" t="s">
        <v>190</v>
      </c>
      <c r="G34" s="1" t="s">
        <v>191</v>
      </c>
      <c r="H34" s="1">
        <v>0</v>
      </c>
      <c r="I34" s="1" t="s">
        <v>202</v>
      </c>
    </row>
    <row r="35" spans="1:9" ht="26.4" x14ac:dyDescent="0.3">
      <c r="A35" s="1" t="s">
        <v>72</v>
      </c>
      <c r="B35" s="1" t="s">
        <v>11</v>
      </c>
      <c r="C35" s="1" t="s">
        <v>192</v>
      </c>
      <c r="D35" s="1" t="s">
        <v>203</v>
      </c>
      <c r="E35" s="1" t="s">
        <v>170</v>
      </c>
      <c r="F35" s="1" t="s">
        <v>193</v>
      </c>
      <c r="G35" s="1" t="s">
        <v>194</v>
      </c>
      <c r="H35" s="1">
        <v>0</v>
      </c>
      <c r="I35" s="1" t="s">
        <v>202</v>
      </c>
    </row>
    <row r="36" spans="1:9" ht="26.4" x14ac:dyDescent="0.3">
      <c r="A36" s="1" t="s">
        <v>72</v>
      </c>
      <c r="B36" s="1" t="s">
        <v>11</v>
      </c>
      <c r="C36" s="1" t="s">
        <v>195</v>
      </c>
      <c r="D36" s="1" t="s">
        <v>203</v>
      </c>
      <c r="E36" s="1" t="s">
        <v>170</v>
      </c>
      <c r="F36" s="1" t="s">
        <v>196</v>
      </c>
      <c r="G36" s="1" t="s">
        <v>197</v>
      </c>
      <c r="H36" s="1">
        <v>0</v>
      </c>
      <c r="I36" s="1" t="s">
        <v>202</v>
      </c>
    </row>
    <row r="37" spans="1:9" ht="26.4" x14ac:dyDescent="0.3">
      <c r="A37" s="1" t="s">
        <v>72</v>
      </c>
      <c r="B37" s="1" t="s">
        <v>11</v>
      </c>
      <c r="C37" s="1" t="s">
        <v>198</v>
      </c>
      <c r="D37" s="1" t="s">
        <v>203</v>
      </c>
      <c r="E37" s="1" t="s">
        <v>170</v>
      </c>
      <c r="F37" s="1" t="s">
        <v>199</v>
      </c>
      <c r="G37" s="1" t="s">
        <v>200</v>
      </c>
      <c r="H37" s="1">
        <v>0</v>
      </c>
      <c r="I37" s="1" t="s">
        <v>202</v>
      </c>
    </row>
    <row r="38" spans="1:9" ht="26.4" x14ac:dyDescent="0.3">
      <c r="A38" s="1" t="s">
        <v>75</v>
      </c>
      <c r="B38" s="1" t="s">
        <v>11</v>
      </c>
      <c r="C38" s="1" t="s">
        <v>168</v>
      </c>
      <c r="D38" s="1" t="s">
        <v>204</v>
      </c>
      <c r="E38" s="1" t="s">
        <v>170</v>
      </c>
      <c r="F38" s="1" t="s">
        <v>171</v>
      </c>
      <c r="G38" s="1" t="s">
        <v>172</v>
      </c>
      <c r="H38" s="1">
        <v>396</v>
      </c>
      <c r="I38" s="1" t="s">
        <v>202</v>
      </c>
    </row>
    <row r="39" spans="1:9" ht="26.4" x14ac:dyDescent="0.3">
      <c r="A39" s="1" t="s">
        <v>75</v>
      </c>
      <c r="B39" s="1" t="s">
        <v>11</v>
      </c>
      <c r="C39" s="1" t="s">
        <v>174</v>
      </c>
      <c r="D39" s="1" t="s">
        <v>204</v>
      </c>
      <c r="E39" s="1" t="s">
        <v>170</v>
      </c>
      <c r="F39" s="1" t="s">
        <v>175</v>
      </c>
      <c r="G39" s="1" t="s">
        <v>176</v>
      </c>
      <c r="H39" s="1">
        <v>118.8</v>
      </c>
      <c r="I39" s="1" t="s">
        <v>202</v>
      </c>
    </row>
    <row r="40" spans="1:9" ht="26.4" x14ac:dyDescent="0.3">
      <c r="A40" s="1" t="s">
        <v>75</v>
      </c>
      <c r="B40" s="1" t="s">
        <v>11</v>
      </c>
      <c r="C40" s="1" t="s">
        <v>177</v>
      </c>
      <c r="D40" s="1" t="s">
        <v>204</v>
      </c>
      <c r="E40" s="1" t="s">
        <v>170</v>
      </c>
      <c r="F40" s="1" t="s">
        <v>178</v>
      </c>
      <c r="G40" s="1" t="s">
        <v>179</v>
      </c>
      <c r="H40" s="1">
        <v>396</v>
      </c>
      <c r="I40" s="1" t="s">
        <v>202</v>
      </c>
    </row>
    <row r="41" spans="1:9" ht="26.4" x14ac:dyDescent="0.3">
      <c r="A41" s="1" t="s">
        <v>75</v>
      </c>
      <c r="B41" s="1" t="s">
        <v>11</v>
      </c>
      <c r="C41" s="1" t="s">
        <v>180</v>
      </c>
      <c r="D41" s="1" t="s">
        <v>204</v>
      </c>
      <c r="E41" s="1" t="s">
        <v>170</v>
      </c>
      <c r="F41" s="1" t="s">
        <v>181</v>
      </c>
      <c r="G41" s="1" t="s">
        <v>182</v>
      </c>
      <c r="H41" s="1">
        <v>2376</v>
      </c>
      <c r="I41" s="1" t="s">
        <v>202</v>
      </c>
    </row>
    <row r="42" spans="1:9" ht="26.4" x14ac:dyDescent="0.3">
      <c r="A42" s="1" t="s">
        <v>75</v>
      </c>
      <c r="B42" s="1" t="s">
        <v>11</v>
      </c>
      <c r="C42" s="1" t="s">
        <v>183</v>
      </c>
      <c r="D42" s="1" t="s">
        <v>204</v>
      </c>
      <c r="E42" s="1" t="s">
        <v>170</v>
      </c>
      <c r="F42" s="1" t="s">
        <v>184</v>
      </c>
      <c r="G42" s="1" t="s">
        <v>185</v>
      </c>
      <c r="H42" s="1">
        <v>0</v>
      </c>
      <c r="I42" s="1" t="s">
        <v>202</v>
      </c>
    </row>
    <row r="43" spans="1:9" ht="26.4" x14ac:dyDescent="0.3">
      <c r="A43" s="1" t="s">
        <v>75</v>
      </c>
      <c r="B43" s="1" t="s">
        <v>11</v>
      </c>
      <c r="C43" s="1" t="s">
        <v>186</v>
      </c>
      <c r="D43" s="1" t="s">
        <v>204</v>
      </c>
      <c r="E43" s="1" t="s">
        <v>170</v>
      </c>
      <c r="F43" s="1" t="s">
        <v>187</v>
      </c>
      <c r="G43" s="1" t="s">
        <v>188</v>
      </c>
      <c r="H43" s="1">
        <v>0</v>
      </c>
      <c r="I43" s="1" t="s">
        <v>202</v>
      </c>
    </row>
    <row r="44" spans="1:9" ht="26.4" x14ac:dyDescent="0.3">
      <c r="A44" s="1" t="s">
        <v>75</v>
      </c>
      <c r="B44" s="1" t="s">
        <v>11</v>
      </c>
      <c r="C44" s="1" t="s">
        <v>189</v>
      </c>
      <c r="D44" s="1" t="s">
        <v>204</v>
      </c>
      <c r="E44" s="1" t="s">
        <v>170</v>
      </c>
      <c r="F44" s="1" t="s">
        <v>190</v>
      </c>
      <c r="G44" s="1" t="s">
        <v>191</v>
      </c>
      <c r="H44" s="1">
        <v>0</v>
      </c>
      <c r="I44" s="1" t="s">
        <v>202</v>
      </c>
    </row>
    <row r="45" spans="1:9" ht="26.4" x14ac:dyDescent="0.3">
      <c r="A45" s="1" t="s">
        <v>75</v>
      </c>
      <c r="B45" s="1" t="s">
        <v>11</v>
      </c>
      <c r="C45" s="1" t="s">
        <v>192</v>
      </c>
      <c r="D45" s="1" t="s">
        <v>204</v>
      </c>
      <c r="E45" s="1" t="s">
        <v>170</v>
      </c>
      <c r="F45" s="1" t="s">
        <v>193</v>
      </c>
      <c r="G45" s="1" t="s">
        <v>194</v>
      </c>
      <c r="H45" s="1">
        <v>0</v>
      </c>
      <c r="I45" s="1" t="s">
        <v>202</v>
      </c>
    </row>
    <row r="46" spans="1:9" ht="26.4" x14ac:dyDescent="0.3">
      <c r="A46" s="1" t="s">
        <v>75</v>
      </c>
      <c r="B46" s="1" t="s">
        <v>11</v>
      </c>
      <c r="C46" s="1" t="s">
        <v>195</v>
      </c>
      <c r="D46" s="1" t="s">
        <v>204</v>
      </c>
      <c r="E46" s="1" t="s">
        <v>170</v>
      </c>
      <c r="F46" s="1" t="s">
        <v>196</v>
      </c>
      <c r="G46" s="1" t="s">
        <v>197</v>
      </c>
      <c r="H46" s="1">
        <v>0</v>
      </c>
      <c r="I46" s="1" t="s">
        <v>202</v>
      </c>
    </row>
    <row r="47" spans="1:9" ht="26.4" x14ac:dyDescent="0.3">
      <c r="A47" s="1" t="s">
        <v>75</v>
      </c>
      <c r="B47" s="1" t="s">
        <v>11</v>
      </c>
      <c r="C47" s="1" t="s">
        <v>198</v>
      </c>
      <c r="D47" s="1" t="s">
        <v>204</v>
      </c>
      <c r="E47" s="1" t="s">
        <v>170</v>
      </c>
      <c r="F47" s="1" t="s">
        <v>199</v>
      </c>
      <c r="G47" s="1" t="s">
        <v>200</v>
      </c>
      <c r="H47" s="1">
        <v>0</v>
      </c>
      <c r="I47" s="1" t="s">
        <v>202</v>
      </c>
    </row>
    <row r="48" spans="1:9" ht="26.4" x14ac:dyDescent="0.3">
      <c r="A48" s="1" t="s">
        <v>78</v>
      </c>
      <c r="B48" s="1" t="s">
        <v>11</v>
      </c>
      <c r="C48" s="1" t="s">
        <v>168</v>
      </c>
      <c r="D48" s="1" t="s">
        <v>205</v>
      </c>
      <c r="E48" s="1" t="s">
        <v>170</v>
      </c>
      <c r="F48" s="1" t="s">
        <v>171</v>
      </c>
      <c r="G48" s="1" t="s">
        <v>172</v>
      </c>
      <c r="H48" s="1">
        <v>397</v>
      </c>
      <c r="I48" s="1" t="s">
        <v>202</v>
      </c>
    </row>
    <row r="49" spans="1:9" ht="26.4" x14ac:dyDescent="0.3">
      <c r="A49" s="1" t="s">
        <v>78</v>
      </c>
      <c r="B49" s="1" t="s">
        <v>11</v>
      </c>
      <c r="C49" s="1" t="s">
        <v>174</v>
      </c>
      <c r="D49" s="1" t="s">
        <v>205</v>
      </c>
      <c r="E49" s="1" t="s">
        <v>170</v>
      </c>
      <c r="F49" s="1" t="s">
        <v>175</v>
      </c>
      <c r="G49" s="1" t="s">
        <v>176</v>
      </c>
      <c r="H49" s="1">
        <v>119.1</v>
      </c>
      <c r="I49" s="1" t="s">
        <v>202</v>
      </c>
    </row>
    <row r="50" spans="1:9" ht="26.4" x14ac:dyDescent="0.3">
      <c r="A50" s="1" t="s">
        <v>78</v>
      </c>
      <c r="B50" s="1" t="s">
        <v>11</v>
      </c>
      <c r="C50" s="1" t="s">
        <v>177</v>
      </c>
      <c r="D50" s="1" t="s">
        <v>205</v>
      </c>
      <c r="E50" s="1" t="s">
        <v>170</v>
      </c>
      <c r="F50" s="1" t="s">
        <v>178</v>
      </c>
      <c r="G50" s="1" t="s">
        <v>179</v>
      </c>
      <c r="H50" s="1">
        <v>397</v>
      </c>
      <c r="I50" s="1" t="s">
        <v>202</v>
      </c>
    </row>
    <row r="51" spans="1:9" ht="26.4" x14ac:dyDescent="0.3">
      <c r="A51" s="1" t="s">
        <v>78</v>
      </c>
      <c r="B51" s="1" t="s">
        <v>11</v>
      </c>
      <c r="C51" s="1" t="s">
        <v>180</v>
      </c>
      <c r="D51" s="1" t="s">
        <v>205</v>
      </c>
      <c r="E51" s="1" t="s">
        <v>170</v>
      </c>
      <c r="F51" s="1" t="s">
        <v>181</v>
      </c>
      <c r="G51" s="1" t="s">
        <v>182</v>
      </c>
      <c r="H51" s="1">
        <v>2382</v>
      </c>
      <c r="I51" s="1" t="s">
        <v>202</v>
      </c>
    </row>
    <row r="52" spans="1:9" ht="26.4" x14ac:dyDescent="0.3">
      <c r="A52" s="1" t="s">
        <v>78</v>
      </c>
      <c r="B52" s="1" t="s">
        <v>11</v>
      </c>
      <c r="C52" s="1" t="s">
        <v>183</v>
      </c>
      <c r="D52" s="1" t="s">
        <v>205</v>
      </c>
      <c r="E52" s="1" t="s">
        <v>170</v>
      </c>
      <c r="F52" s="1" t="s">
        <v>184</v>
      </c>
      <c r="G52" s="1" t="s">
        <v>185</v>
      </c>
      <c r="H52" s="1">
        <v>0</v>
      </c>
      <c r="I52" s="1" t="s">
        <v>202</v>
      </c>
    </row>
    <row r="53" spans="1:9" ht="26.4" x14ac:dyDescent="0.3">
      <c r="A53" s="1" t="s">
        <v>78</v>
      </c>
      <c r="B53" s="1" t="s">
        <v>11</v>
      </c>
      <c r="C53" s="1" t="s">
        <v>186</v>
      </c>
      <c r="D53" s="1" t="s">
        <v>205</v>
      </c>
      <c r="E53" s="1" t="s">
        <v>170</v>
      </c>
      <c r="F53" s="1" t="s">
        <v>187</v>
      </c>
      <c r="G53" s="1" t="s">
        <v>188</v>
      </c>
      <c r="H53" s="1">
        <v>0</v>
      </c>
      <c r="I53" s="1" t="s">
        <v>202</v>
      </c>
    </row>
    <row r="54" spans="1:9" ht="26.4" x14ac:dyDescent="0.3">
      <c r="A54" s="1" t="s">
        <v>78</v>
      </c>
      <c r="B54" s="1" t="s">
        <v>11</v>
      </c>
      <c r="C54" s="1" t="s">
        <v>189</v>
      </c>
      <c r="D54" s="1" t="s">
        <v>205</v>
      </c>
      <c r="E54" s="1" t="s">
        <v>170</v>
      </c>
      <c r="F54" s="1" t="s">
        <v>190</v>
      </c>
      <c r="G54" s="1" t="s">
        <v>191</v>
      </c>
      <c r="H54" s="1">
        <v>0</v>
      </c>
      <c r="I54" s="1" t="s">
        <v>202</v>
      </c>
    </row>
    <row r="55" spans="1:9" ht="26.4" x14ac:dyDescent="0.3">
      <c r="A55" s="1" t="s">
        <v>78</v>
      </c>
      <c r="B55" s="1" t="s">
        <v>11</v>
      </c>
      <c r="C55" s="1" t="s">
        <v>192</v>
      </c>
      <c r="D55" s="1" t="s">
        <v>205</v>
      </c>
      <c r="E55" s="1" t="s">
        <v>170</v>
      </c>
      <c r="F55" s="1" t="s">
        <v>193</v>
      </c>
      <c r="G55" s="1" t="s">
        <v>194</v>
      </c>
      <c r="H55" s="1">
        <v>0</v>
      </c>
      <c r="I55" s="1" t="s">
        <v>202</v>
      </c>
    </row>
    <row r="56" spans="1:9" ht="26.4" x14ac:dyDescent="0.3">
      <c r="A56" s="1" t="s">
        <v>78</v>
      </c>
      <c r="B56" s="1" t="s">
        <v>11</v>
      </c>
      <c r="C56" s="1" t="s">
        <v>195</v>
      </c>
      <c r="D56" s="1" t="s">
        <v>205</v>
      </c>
      <c r="E56" s="1" t="s">
        <v>170</v>
      </c>
      <c r="F56" s="1" t="s">
        <v>196</v>
      </c>
      <c r="G56" s="1" t="s">
        <v>197</v>
      </c>
      <c r="H56" s="1">
        <v>0</v>
      </c>
      <c r="I56" s="1" t="s">
        <v>202</v>
      </c>
    </row>
    <row r="57" spans="1:9" ht="26.4" x14ac:dyDescent="0.3">
      <c r="A57" s="1" t="s">
        <v>78</v>
      </c>
      <c r="B57" s="1" t="s">
        <v>11</v>
      </c>
      <c r="C57" s="1" t="s">
        <v>198</v>
      </c>
      <c r="D57" s="1" t="s">
        <v>205</v>
      </c>
      <c r="E57" s="1" t="s">
        <v>170</v>
      </c>
      <c r="F57" s="1" t="s">
        <v>199</v>
      </c>
      <c r="G57" s="1" t="s">
        <v>200</v>
      </c>
      <c r="H57" s="1">
        <v>0</v>
      </c>
      <c r="I57" s="1" t="s">
        <v>202</v>
      </c>
    </row>
    <row r="58" spans="1:9" ht="26.4" x14ac:dyDescent="0.3">
      <c r="A58" s="1" t="s">
        <v>81</v>
      </c>
      <c r="B58" s="1" t="s">
        <v>11</v>
      </c>
      <c r="C58" s="1" t="s">
        <v>168</v>
      </c>
      <c r="D58" s="1" t="s">
        <v>206</v>
      </c>
      <c r="E58" s="1" t="s">
        <v>170</v>
      </c>
      <c r="F58" s="1" t="s">
        <v>171</v>
      </c>
      <c r="G58" s="1" t="s">
        <v>172</v>
      </c>
      <c r="H58" s="1">
        <v>1000</v>
      </c>
      <c r="I58" s="1" t="s">
        <v>202</v>
      </c>
    </row>
    <row r="59" spans="1:9" ht="26.4" x14ac:dyDescent="0.3">
      <c r="A59" s="1" t="s">
        <v>81</v>
      </c>
      <c r="B59" s="1" t="s">
        <v>11</v>
      </c>
      <c r="C59" s="1" t="s">
        <v>174</v>
      </c>
      <c r="D59" s="1" t="s">
        <v>206</v>
      </c>
      <c r="E59" s="1" t="s">
        <v>170</v>
      </c>
      <c r="F59" s="1" t="s">
        <v>175</v>
      </c>
      <c r="G59" s="1" t="s">
        <v>176</v>
      </c>
      <c r="H59" s="1">
        <v>300</v>
      </c>
      <c r="I59" s="1" t="s">
        <v>202</v>
      </c>
    </row>
    <row r="60" spans="1:9" ht="26.4" x14ac:dyDescent="0.3">
      <c r="A60" s="1" t="s">
        <v>81</v>
      </c>
      <c r="B60" s="1" t="s">
        <v>11</v>
      </c>
      <c r="C60" s="1" t="s">
        <v>177</v>
      </c>
      <c r="D60" s="1" t="s">
        <v>206</v>
      </c>
      <c r="E60" s="1" t="s">
        <v>170</v>
      </c>
      <c r="F60" s="1" t="s">
        <v>178</v>
      </c>
      <c r="G60" s="1" t="s">
        <v>179</v>
      </c>
      <c r="H60" s="1">
        <v>1000</v>
      </c>
      <c r="I60" s="1" t="s">
        <v>202</v>
      </c>
    </row>
    <row r="61" spans="1:9" ht="26.4" x14ac:dyDescent="0.3">
      <c r="A61" s="1" t="s">
        <v>81</v>
      </c>
      <c r="B61" s="1" t="s">
        <v>11</v>
      </c>
      <c r="C61" s="1" t="s">
        <v>180</v>
      </c>
      <c r="D61" s="1" t="s">
        <v>206</v>
      </c>
      <c r="E61" s="1" t="s">
        <v>170</v>
      </c>
      <c r="F61" s="1" t="s">
        <v>181</v>
      </c>
      <c r="G61" s="1" t="s">
        <v>182</v>
      </c>
      <c r="H61" s="1">
        <v>6000</v>
      </c>
      <c r="I61" s="1" t="s">
        <v>202</v>
      </c>
    </row>
    <row r="62" spans="1:9" ht="26.4" x14ac:dyDescent="0.3">
      <c r="A62" s="1" t="s">
        <v>81</v>
      </c>
      <c r="B62" s="1" t="s">
        <v>11</v>
      </c>
      <c r="C62" s="1" t="s">
        <v>183</v>
      </c>
      <c r="D62" s="1" t="s">
        <v>206</v>
      </c>
      <c r="E62" s="1" t="s">
        <v>170</v>
      </c>
      <c r="F62" s="1" t="s">
        <v>184</v>
      </c>
      <c r="G62" s="1" t="s">
        <v>185</v>
      </c>
      <c r="H62" s="1">
        <v>0</v>
      </c>
      <c r="I62" s="1" t="s">
        <v>202</v>
      </c>
    </row>
    <row r="63" spans="1:9" ht="26.4" x14ac:dyDescent="0.3">
      <c r="A63" s="1" t="s">
        <v>81</v>
      </c>
      <c r="B63" s="1" t="s">
        <v>11</v>
      </c>
      <c r="C63" s="1" t="s">
        <v>186</v>
      </c>
      <c r="D63" s="1" t="s">
        <v>206</v>
      </c>
      <c r="E63" s="1" t="s">
        <v>170</v>
      </c>
      <c r="F63" s="1" t="s">
        <v>187</v>
      </c>
      <c r="G63" s="1" t="s">
        <v>188</v>
      </c>
      <c r="H63" s="1">
        <v>0</v>
      </c>
      <c r="I63" s="1" t="s">
        <v>202</v>
      </c>
    </row>
    <row r="64" spans="1:9" ht="26.4" x14ac:dyDescent="0.3">
      <c r="A64" s="1" t="s">
        <v>81</v>
      </c>
      <c r="B64" s="1" t="s">
        <v>11</v>
      </c>
      <c r="C64" s="1" t="s">
        <v>189</v>
      </c>
      <c r="D64" s="1" t="s">
        <v>206</v>
      </c>
      <c r="E64" s="1" t="s">
        <v>170</v>
      </c>
      <c r="F64" s="1" t="s">
        <v>190</v>
      </c>
      <c r="G64" s="1" t="s">
        <v>191</v>
      </c>
      <c r="H64" s="1">
        <v>0</v>
      </c>
      <c r="I64" s="1" t="s">
        <v>202</v>
      </c>
    </row>
    <row r="65" spans="1:9" ht="26.4" x14ac:dyDescent="0.3">
      <c r="A65" s="1" t="s">
        <v>81</v>
      </c>
      <c r="B65" s="1" t="s">
        <v>11</v>
      </c>
      <c r="C65" s="1" t="s">
        <v>192</v>
      </c>
      <c r="D65" s="1" t="s">
        <v>206</v>
      </c>
      <c r="E65" s="1" t="s">
        <v>170</v>
      </c>
      <c r="F65" s="1" t="s">
        <v>193</v>
      </c>
      <c r="G65" s="1" t="s">
        <v>194</v>
      </c>
      <c r="H65" s="1">
        <v>0</v>
      </c>
      <c r="I65" s="1" t="s">
        <v>202</v>
      </c>
    </row>
    <row r="66" spans="1:9" ht="26.4" x14ac:dyDescent="0.3">
      <c r="A66" s="1" t="s">
        <v>81</v>
      </c>
      <c r="B66" s="1" t="s">
        <v>11</v>
      </c>
      <c r="C66" s="1" t="s">
        <v>195</v>
      </c>
      <c r="D66" s="1" t="s">
        <v>206</v>
      </c>
      <c r="E66" s="1" t="s">
        <v>170</v>
      </c>
      <c r="F66" s="1" t="s">
        <v>196</v>
      </c>
      <c r="G66" s="1" t="s">
        <v>197</v>
      </c>
      <c r="H66" s="1">
        <v>0</v>
      </c>
      <c r="I66" s="1" t="s">
        <v>202</v>
      </c>
    </row>
    <row r="67" spans="1:9" ht="26.4" x14ac:dyDescent="0.3">
      <c r="A67" s="1" t="s">
        <v>81</v>
      </c>
      <c r="B67" s="1" t="s">
        <v>11</v>
      </c>
      <c r="C67" s="1" t="s">
        <v>198</v>
      </c>
      <c r="D67" s="1" t="s">
        <v>206</v>
      </c>
      <c r="E67" s="1" t="s">
        <v>170</v>
      </c>
      <c r="F67" s="1" t="s">
        <v>199</v>
      </c>
      <c r="G67" s="1" t="s">
        <v>200</v>
      </c>
      <c r="H67" s="1">
        <v>0</v>
      </c>
      <c r="I67" s="1" t="s">
        <v>202</v>
      </c>
    </row>
    <row r="68" spans="1:9" ht="26.4" x14ac:dyDescent="0.3">
      <c r="A68" s="1" t="s">
        <v>84</v>
      </c>
      <c r="B68" s="1" t="s">
        <v>11</v>
      </c>
      <c r="C68" s="1" t="s">
        <v>168</v>
      </c>
      <c r="D68" s="1" t="s">
        <v>207</v>
      </c>
      <c r="E68" s="1" t="s">
        <v>170</v>
      </c>
      <c r="F68" s="1" t="s">
        <v>171</v>
      </c>
      <c r="G68" s="1" t="s">
        <v>172</v>
      </c>
      <c r="H68" s="1">
        <v>520</v>
      </c>
      <c r="I68" s="1" t="s">
        <v>202</v>
      </c>
    </row>
    <row r="69" spans="1:9" ht="26.4" x14ac:dyDescent="0.3">
      <c r="A69" s="1" t="s">
        <v>84</v>
      </c>
      <c r="B69" s="1" t="s">
        <v>11</v>
      </c>
      <c r="C69" s="1" t="s">
        <v>174</v>
      </c>
      <c r="D69" s="1" t="s">
        <v>207</v>
      </c>
      <c r="E69" s="1" t="s">
        <v>170</v>
      </c>
      <c r="F69" s="1" t="s">
        <v>175</v>
      </c>
      <c r="G69" s="1" t="s">
        <v>176</v>
      </c>
      <c r="H69" s="1">
        <v>75</v>
      </c>
      <c r="I69" s="1" t="s">
        <v>202</v>
      </c>
    </row>
    <row r="70" spans="1:9" ht="26.4" x14ac:dyDescent="0.3">
      <c r="A70" s="1" t="s">
        <v>84</v>
      </c>
      <c r="B70" s="1" t="s">
        <v>11</v>
      </c>
      <c r="C70" s="1" t="s">
        <v>177</v>
      </c>
      <c r="D70" s="1" t="s">
        <v>207</v>
      </c>
      <c r="E70" s="1" t="s">
        <v>170</v>
      </c>
      <c r="F70" s="1" t="s">
        <v>178</v>
      </c>
      <c r="G70" s="1" t="s">
        <v>179</v>
      </c>
      <c r="H70" s="1">
        <v>250</v>
      </c>
      <c r="I70" s="1" t="s">
        <v>202</v>
      </c>
    </row>
    <row r="71" spans="1:9" ht="26.4" x14ac:dyDescent="0.3">
      <c r="A71" s="1" t="s">
        <v>84</v>
      </c>
      <c r="B71" s="1" t="s">
        <v>11</v>
      </c>
      <c r="C71" s="1" t="s">
        <v>180</v>
      </c>
      <c r="D71" s="1" t="s">
        <v>207</v>
      </c>
      <c r="E71" s="1" t="s">
        <v>170</v>
      </c>
      <c r="F71" s="1" t="s">
        <v>181</v>
      </c>
      <c r="G71" s="1" t="s">
        <v>182</v>
      </c>
      <c r="H71" s="1">
        <v>1500</v>
      </c>
      <c r="I71" s="1" t="s">
        <v>202</v>
      </c>
    </row>
    <row r="72" spans="1:9" ht="26.4" x14ac:dyDescent="0.3">
      <c r="A72" s="1" t="s">
        <v>84</v>
      </c>
      <c r="B72" s="1" t="s">
        <v>11</v>
      </c>
      <c r="C72" s="1" t="s">
        <v>183</v>
      </c>
      <c r="D72" s="1" t="s">
        <v>207</v>
      </c>
      <c r="E72" s="1" t="s">
        <v>170</v>
      </c>
      <c r="F72" s="1" t="s">
        <v>184</v>
      </c>
      <c r="G72" s="1" t="s">
        <v>185</v>
      </c>
      <c r="H72" s="1">
        <v>72</v>
      </c>
      <c r="I72" s="1" t="s">
        <v>202</v>
      </c>
    </row>
    <row r="73" spans="1:9" ht="26.4" x14ac:dyDescent="0.3">
      <c r="A73" s="1" t="s">
        <v>84</v>
      </c>
      <c r="B73" s="1" t="s">
        <v>11</v>
      </c>
      <c r="C73" s="1" t="s">
        <v>186</v>
      </c>
      <c r="D73" s="1" t="s">
        <v>207</v>
      </c>
      <c r="E73" s="1" t="s">
        <v>170</v>
      </c>
      <c r="F73" s="1" t="s">
        <v>187</v>
      </c>
      <c r="G73" s="1" t="s">
        <v>188</v>
      </c>
      <c r="H73" s="1">
        <v>180</v>
      </c>
      <c r="I73" s="1" t="s">
        <v>202</v>
      </c>
    </row>
    <row r="74" spans="1:9" ht="26.4" x14ac:dyDescent="0.3">
      <c r="A74" s="1" t="s">
        <v>84</v>
      </c>
      <c r="B74" s="1" t="s">
        <v>11</v>
      </c>
      <c r="C74" s="1" t="s">
        <v>189</v>
      </c>
      <c r="D74" s="1" t="s">
        <v>207</v>
      </c>
      <c r="E74" s="1" t="s">
        <v>170</v>
      </c>
      <c r="F74" s="1" t="s">
        <v>190</v>
      </c>
      <c r="G74" s="1" t="s">
        <v>191</v>
      </c>
      <c r="H74" s="1">
        <v>1260</v>
      </c>
      <c r="I74" s="1" t="s">
        <v>202</v>
      </c>
    </row>
    <row r="75" spans="1:9" ht="26.4" x14ac:dyDescent="0.3">
      <c r="A75" s="1" t="s">
        <v>84</v>
      </c>
      <c r="B75" s="1" t="s">
        <v>11</v>
      </c>
      <c r="C75" s="1" t="s">
        <v>192</v>
      </c>
      <c r="D75" s="1" t="s">
        <v>207</v>
      </c>
      <c r="E75" s="1" t="s">
        <v>170</v>
      </c>
      <c r="F75" s="1" t="s">
        <v>193</v>
      </c>
      <c r="G75" s="1" t="s">
        <v>194</v>
      </c>
      <c r="H75" s="1">
        <v>62.999999999999993</v>
      </c>
      <c r="I75" s="1" t="s">
        <v>202</v>
      </c>
    </row>
    <row r="76" spans="1:9" ht="26.4" x14ac:dyDescent="0.3">
      <c r="A76" s="1" t="s">
        <v>84</v>
      </c>
      <c r="B76" s="1" t="s">
        <v>11</v>
      </c>
      <c r="C76" s="1" t="s">
        <v>195</v>
      </c>
      <c r="D76" s="1" t="s">
        <v>207</v>
      </c>
      <c r="E76" s="1" t="s">
        <v>170</v>
      </c>
      <c r="F76" s="1" t="s">
        <v>196</v>
      </c>
      <c r="G76" s="1" t="s">
        <v>197</v>
      </c>
      <c r="H76" s="1">
        <v>90</v>
      </c>
      <c r="I76" s="1" t="s">
        <v>202</v>
      </c>
    </row>
    <row r="77" spans="1:9" ht="26.4" x14ac:dyDescent="0.3">
      <c r="A77" s="1" t="s">
        <v>84</v>
      </c>
      <c r="B77" s="1" t="s">
        <v>11</v>
      </c>
      <c r="C77" s="1" t="s">
        <v>198</v>
      </c>
      <c r="D77" s="1" t="s">
        <v>207</v>
      </c>
      <c r="E77" s="1" t="s">
        <v>170</v>
      </c>
      <c r="F77" s="1" t="s">
        <v>199</v>
      </c>
      <c r="G77" s="1" t="s">
        <v>200</v>
      </c>
      <c r="H77" s="1">
        <v>1170</v>
      </c>
      <c r="I77" s="1" t="s">
        <v>202</v>
      </c>
    </row>
    <row r="78" spans="1:9" ht="26.4" x14ac:dyDescent="0.3">
      <c r="A78" s="1" t="s">
        <v>87</v>
      </c>
      <c r="B78" s="1" t="s">
        <v>11</v>
      </c>
      <c r="C78" s="1" t="s">
        <v>168</v>
      </c>
      <c r="D78" s="1" t="s">
        <v>208</v>
      </c>
      <c r="E78" s="1" t="s">
        <v>170</v>
      </c>
      <c r="F78" s="1" t="s">
        <v>171</v>
      </c>
      <c r="G78" s="1" t="s">
        <v>172</v>
      </c>
      <c r="H78" s="1">
        <v>10</v>
      </c>
      <c r="I78" s="1" t="s">
        <v>202</v>
      </c>
    </row>
    <row r="79" spans="1:9" ht="26.4" x14ac:dyDescent="0.3">
      <c r="A79" s="1" t="s">
        <v>87</v>
      </c>
      <c r="B79" s="1" t="s">
        <v>11</v>
      </c>
      <c r="C79" s="1" t="s">
        <v>174</v>
      </c>
      <c r="D79" s="1" t="s">
        <v>208</v>
      </c>
      <c r="E79" s="1" t="s">
        <v>170</v>
      </c>
      <c r="F79" s="1" t="s">
        <v>175</v>
      </c>
      <c r="G79" s="1" t="s">
        <v>176</v>
      </c>
      <c r="H79" s="1">
        <v>3</v>
      </c>
      <c r="I79" s="1" t="s">
        <v>202</v>
      </c>
    </row>
    <row r="80" spans="1:9" ht="26.4" x14ac:dyDescent="0.3">
      <c r="A80" s="1" t="s">
        <v>87</v>
      </c>
      <c r="B80" s="1" t="s">
        <v>11</v>
      </c>
      <c r="C80" s="1" t="s">
        <v>177</v>
      </c>
      <c r="D80" s="1" t="s">
        <v>208</v>
      </c>
      <c r="E80" s="1" t="s">
        <v>170</v>
      </c>
      <c r="F80" s="1" t="s">
        <v>178</v>
      </c>
      <c r="G80" s="1" t="s">
        <v>179</v>
      </c>
      <c r="H80" s="1">
        <v>10</v>
      </c>
      <c r="I80" s="1" t="s">
        <v>202</v>
      </c>
    </row>
    <row r="81" spans="1:9" ht="26.4" x14ac:dyDescent="0.3">
      <c r="A81" s="1" t="s">
        <v>87</v>
      </c>
      <c r="B81" s="1" t="s">
        <v>11</v>
      </c>
      <c r="C81" s="1" t="s">
        <v>180</v>
      </c>
      <c r="D81" s="1" t="s">
        <v>208</v>
      </c>
      <c r="E81" s="1" t="s">
        <v>170</v>
      </c>
      <c r="F81" s="1" t="s">
        <v>181</v>
      </c>
      <c r="G81" s="1" t="s">
        <v>182</v>
      </c>
      <c r="H81" s="1">
        <v>60</v>
      </c>
      <c r="I81" s="1" t="s">
        <v>202</v>
      </c>
    </row>
    <row r="82" spans="1:9" ht="26.4" x14ac:dyDescent="0.3">
      <c r="A82" s="1" t="s">
        <v>87</v>
      </c>
      <c r="B82" s="1" t="s">
        <v>11</v>
      </c>
      <c r="C82" s="1" t="s">
        <v>183</v>
      </c>
      <c r="D82" s="1" t="s">
        <v>208</v>
      </c>
      <c r="E82" s="1" t="s">
        <v>170</v>
      </c>
      <c r="F82" s="1" t="s">
        <v>184</v>
      </c>
      <c r="G82" s="1" t="s">
        <v>185</v>
      </c>
      <c r="H82" s="1">
        <v>0</v>
      </c>
      <c r="I82" s="1" t="s">
        <v>202</v>
      </c>
    </row>
    <row r="83" spans="1:9" ht="26.4" x14ac:dyDescent="0.3">
      <c r="A83" s="1" t="s">
        <v>87</v>
      </c>
      <c r="B83" s="1" t="s">
        <v>11</v>
      </c>
      <c r="C83" s="1" t="s">
        <v>186</v>
      </c>
      <c r="D83" s="1" t="s">
        <v>208</v>
      </c>
      <c r="E83" s="1" t="s">
        <v>170</v>
      </c>
      <c r="F83" s="1" t="s">
        <v>187</v>
      </c>
      <c r="G83" s="1" t="s">
        <v>188</v>
      </c>
      <c r="H83" s="1">
        <v>0</v>
      </c>
      <c r="I83" s="1" t="s">
        <v>202</v>
      </c>
    </row>
    <row r="84" spans="1:9" ht="26.4" x14ac:dyDescent="0.3">
      <c r="A84" s="1" t="s">
        <v>87</v>
      </c>
      <c r="B84" s="1" t="s">
        <v>11</v>
      </c>
      <c r="C84" s="1" t="s">
        <v>189</v>
      </c>
      <c r="D84" s="1" t="s">
        <v>208</v>
      </c>
      <c r="E84" s="1" t="s">
        <v>170</v>
      </c>
      <c r="F84" s="1" t="s">
        <v>190</v>
      </c>
      <c r="G84" s="1" t="s">
        <v>191</v>
      </c>
      <c r="H84" s="1">
        <v>0</v>
      </c>
      <c r="I84" s="1" t="s">
        <v>202</v>
      </c>
    </row>
    <row r="85" spans="1:9" ht="26.4" x14ac:dyDescent="0.3">
      <c r="A85" s="1" t="s">
        <v>87</v>
      </c>
      <c r="B85" s="1" t="s">
        <v>11</v>
      </c>
      <c r="C85" s="1" t="s">
        <v>192</v>
      </c>
      <c r="D85" s="1" t="s">
        <v>208</v>
      </c>
      <c r="E85" s="1" t="s">
        <v>170</v>
      </c>
      <c r="F85" s="1" t="s">
        <v>193</v>
      </c>
      <c r="G85" s="1" t="s">
        <v>194</v>
      </c>
      <c r="H85" s="1">
        <v>0</v>
      </c>
      <c r="I85" s="1" t="s">
        <v>202</v>
      </c>
    </row>
    <row r="86" spans="1:9" ht="26.4" x14ac:dyDescent="0.3">
      <c r="A86" s="1" t="s">
        <v>87</v>
      </c>
      <c r="B86" s="1" t="s">
        <v>11</v>
      </c>
      <c r="C86" s="1" t="s">
        <v>195</v>
      </c>
      <c r="D86" s="1" t="s">
        <v>208</v>
      </c>
      <c r="E86" s="1" t="s">
        <v>170</v>
      </c>
      <c r="F86" s="1" t="s">
        <v>196</v>
      </c>
      <c r="G86" s="1" t="s">
        <v>197</v>
      </c>
      <c r="H86" s="1">
        <v>0</v>
      </c>
      <c r="I86" s="1" t="s">
        <v>202</v>
      </c>
    </row>
    <row r="87" spans="1:9" ht="26.4" x14ac:dyDescent="0.3">
      <c r="A87" s="1" t="s">
        <v>87</v>
      </c>
      <c r="B87" s="1" t="s">
        <v>11</v>
      </c>
      <c r="C87" s="1" t="s">
        <v>198</v>
      </c>
      <c r="D87" s="1" t="s">
        <v>208</v>
      </c>
      <c r="E87" s="1" t="s">
        <v>170</v>
      </c>
      <c r="F87" s="1" t="s">
        <v>199</v>
      </c>
      <c r="G87" s="1" t="s">
        <v>200</v>
      </c>
      <c r="H87" s="1">
        <v>0</v>
      </c>
      <c r="I87" s="1" t="s">
        <v>202</v>
      </c>
    </row>
    <row r="88" spans="1:9" ht="26.4" x14ac:dyDescent="0.3">
      <c r="A88" s="1" t="s">
        <v>90</v>
      </c>
      <c r="B88" s="1" t="s">
        <v>11</v>
      </c>
      <c r="C88" s="1" t="s">
        <v>168</v>
      </c>
      <c r="D88" s="1" t="s">
        <v>209</v>
      </c>
      <c r="E88" s="1" t="s">
        <v>170</v>
      </c>
      <c r="F88" s="1" t="s">
        <v>171</v>
      </c>
      <c r="G88" s="1" t="s">
        <v>172</v>
      </c>
      <c r="H88" s="1">
        <v>10</v>
      </c>
      <c r="I88" s="1" t="s">
        <v>202</v>
      </c>
    </row>
    <row r="89" spans="1:9" ht="26.4" x14ac:dyDescent="0.3">
      <c r="A89" s="1" t="s">
        <v>90</v>
      </c>
      <c r="B89" s="1" t="s">
        <v>11</v>
      </c>
      <c r="C89" s="1" t="s">
        <v>174</v>
      </c>
      <c r="D89" s="1" t="s">
        <v>209</v>
      </c>
      <c r="E89" s="1" t="s">
        <v>170</v>
      </c>
      <c r="F89" s="1" t="s">
        <v>175</v>
      </c>
      <c r="G89" s="1" t="s">
        <v>176</v>
      </c>
      <c r="H89" s="1">
        <v>0</v>
      </c>
      <c r="I89" s="1" t="s">
        <v>202</v>
      </c>
    </row>
    <row r="90" spans="1:9" ht="26.4" x14ac:dyDescent="0.3">
      <c r="A90" s="1" t="s">
        <v>90</v>
      </c>
      <c r="B90" s="1" t="s">
        <v>11</v>
      </c>
      <c r="C90" s="1" t="s">
        <v>177</v>
      </c>
      <c r="D90" s="1" t="s">
        <v>209</v>
      </c>
      <c r="E90" s="1" t="s">
        <v>170</v>
      </c>
      <c r="F90" s="1" t="s">
        <v>178</v>
      </c>
      <c r="G90" s="1" t="s">
        <v>179</v>
      </c>
      <c r="H90" s="1">
        <v>0</v>
      </c>
      <c r="I90" s="1" t="s">
        <v>202</v>
      </c>
    </row>
    <row r="91" spans="1:9" ht="26.4" x14ac:dyDescent="0.3">
      <c r="A91" s="1" t="s">
        <v>90</v>
      </c>
      <c r="B91" s="1" t="s">
        <v>11</v>
      </c>
      <c r="C91" s="1" t="s">
        <v>180</v>
      </c>
      <c r="D91" s="1" t="s">
        <v>209</v>
      </c>
      <c r="E91" s="1" t="s">
        <v>170</v>
      </c>
      <c r="F91" s="1" t="s">
        <v>181</v>
      </c>
      <c r="G91" s="1" t="s">
        <v>182</v>
      </c>
      <c r="H91" s="1">
        <v>0</v>
      </c>
      <c r="I91" s="1" t="s">
        <v>202</v>
      </c>
    </row>
    <row r="92" spans="1:9" ht="26.4" x14ac:dyDescent="0.3">
      <c r="A92" s="1" t="s">
        <v>90</v>
      </c>
      <c r="B92" s="1" t="s">
        <v>11</v>
      </c>
      <c r="C92" s="1" t="s">
        <v>183</v>
      </c>
      <c r="D92" s="1" t="s">
        <v>209</v>
      </c>
      <c r="E92" s="1" t="s">
        <v>170</v>
      </c>
      <c r="F92" s="1" t="s">
        <v>184</v>
      </c>
      <c r="G92" s="1" t="s">
        <v>185</v>
      </c>
      <c r="H92" s="1">
        <v>0</v>
      </c>
      <c r="I92" s="1" t="s">
        <v>202</v>
      </c>
    </row>
    <row r="93" spans="1:9" ht="26.4" x14ac:dyDescent="0.3">
      <c r="A93" s="1" t="s">
        <v>90</v>
      </c>
      <c r="B93" s="1" t="s">
        <v>11</v>
      </c>
      <c r="C93" s="1" t="s">
        <v>186</v>
      </c>
      <c r="D93" s="1" t="s">
        <v>209</v>
      </c>
      <c r="E93" s="1" t="s">
        <v>170</v>
      </c>
      <c r="F93" s="1" t="s">
        <v>187</v>
      </c>
      <c r="G93" s="1" t="s">
        <v>188</v>
      </c>
      <c r="H93" s="1">
        <v>0</v>
      </c>
      <c r="I93" s="1" t="s">
        <v>202</v>
      </c>
    </row>
    <row r="94" spans="1:9" ht="26.4" x14ac:dyDescent="0.3">
      <c r="A94" s="1" t="s">
        <v>90</v>
      </c>
      <c r="B94" s="1" t="s">
        <v>11</v>
      </c>
      <c r="C94" s="1" t="s">
        <v>189</v>
      </c>
      <c r="D94" s="1" t="s">
        <v>209</v>
      </c>
      <c r="E94" s="1" t="s">
        <v>170</v>
      </c>
      <c r="F94" s="1" t="s">
        <v>190</v>
      </c>
      <c r="G94" s="1" t="s">
        <v>191</v>
      </c>
      <c r="H94" s="1">
        <v>0</v>
      </c>
      <c r="I94" s="1" t="s">
        <v>202</v>
      </c>
    </row>
    <row r="95" spans="1:9" ht="26.4" x14ac:dyDescent="0.3">
      <c r="A95" s="1" t="s">
        <v>90</v>
      </c>
      <c r="B95" s="1" t="s">
        <v>11</v>
      </c>
      <c r="C95" s="1" t="s">
        <v>192</v>
      </c>
      <c r="D95" s="1" t="s">
        <v>209</v>
      </c>
      <c r="E95" s="1" t="s">
        <v>170</v>
      </c>
      <c r="F95" s="1" t="s">
        <v>193</v>
      </c>
      <c r="G95" s="1" t="s">
        <v>194</v>
      </c>
      <c r="H95" s="1">
        <v>7</v>
      </c>
      <c r="I95" s="1" t="s">
        <v>202</v>
      </c>
    </row>
    <row r="96" spans="1:9" ht="26.4" x14ac:dyDescent="0.3">
      <c r="A96" s="1" t="s">
        <v>90</v>
      </c>
      <c r="B96" s="1" t="s">
        <v>11</v>
      </c>
      <c r="C96" s="1" t="s">
        <v>195</v>
      </c>
      <c r="D96" s="1" t="s">
        <v>209</v>
      </c>
      <c r="E96" s="1" t="s">
        <v>170</v>
      </c>
      <c r="F96" s="1" t="s">
        <v>196</v>
      </c>
      <c r="G96" s="1" t="s">
        <v>197</v>
      </c>
      <c r="H96" s="1">
        <v>10</v>
      </c>
      <c r="I96" s="1" t="s">
        <v>202</v>
      </c>
    </row>
    <row r="97" spans="1:9" ht="26.4" x14ac:dyDescent="0.3">
      <c r="A97" s="1" t="s">
        <v>90</v>
      </c>
      <c r="B97" s="1" t="s">
        <v>11</v>
      </c>
      <c r="C97" s="1" t="s">
        <v>198</v>
      </c>
      <c r="D97" s="1" t="s">
        <v>209</v>
      </c>
      <c r="E97" s="1" t="s">
        <v>170</v>
      </c>
      <c r="F97" s="1" t="s">
        <v>199</v>
      </c>
      <c r="G97" s="1" t="s">
        <v>200</v>
      </c>
      <c r="H97" s="1">
        <v>130</v>
      </c>
      <c r="I97" s="1" t="s">
        <v>202</v>
      </c>
    </row>
    <row r="98" spans="1:9" ht="26.4" x14ac:dyDescent="0.3">
      <c r="A98" s="1" t="s">
        <v>94</v>
      </c>
      <c r="B98" s="1" t="s">
        <v>12</v>
      </c>
      <c r="C98" s="1" t="s">
        <v>210</v>
      </c>
      <c r="D98" s="1" t="s">
        <v>211</v>
      </c>
      <c r="E98" s="1" t="s">
        <v>212</v>
      </c>
      <c r="F98" s="1" t="s">
        <v>213</v>
      </c>
      <c r="G98" s="1" t="s">
        <v>214</v>
      </c>
      <c r="H98" s="1">
        <v>1690.8</v>
      </c>
      <c r="I98" s="1" t="s">
        <v>215</v>
      </c>
    </row>
    <row r="99" spans="1:9" ht="26.4" x14ac:dyDescent="0.3">
      <c r="A99" s="1" t="s">
        <v>94</v>
      </c>
      <c r="B99" s="1" t="s">
        <v>12</v>
      </c>
      <c r="C99" s="1" t="s">
        <v>216</v>
      </c>
      <c r="D99" s="1" t="s">
        <v>211</v>
      </c>
      <c r="E99" s="1" t="s">
        <v>212</v>
      </c>
      <c r="F99" s="1" t="s">
        <v>217</v>
      </c>
      <c r="G99" s="1" t="s">
        <v>218</v>
      </c>
      <c r="H99" s="1">
        <v>1690.8</v>
      </c>
      <c r="I99" s="1" t="s">
        <v>215</v>
      </c>
    </row>
    <row r="100" spans="1:9" ht="26.4" x14ac:dyDescent="0.3">
      <c r="A100" s="1" t="s">
        <v>94</v>
      </c>
      <c r="B100" s="1" t="s">
        <v>12</v>
      </c>
      <c r="C100" s="1" t="s">
        <v>219</v>
      </c>
      <c r="D100" s="1" t="s">
        <v>211</v>
      </c>
      <c r="E100" s="1" t="s">
        <v>212</v>
      </c>
      <c r="F100" s="1" t="s">
        <v>220</v>
      </c>
      <c r="G100" s="1" t="s">
        <v>221</v>
      </c>
      <c r="H100" s="1">
        <v>1690.8</v>
      </c>
      <c r="I100" s="1" t="s">
        <v>215</v>
      </c>
    </row>
    <row r="101" spans="1:9" ht="26.4" x14ac:dyDescent="0.3">
      <c r="A101" s="1" t="s">
        <v>94</v>
      </c>
      <c r="B101" s="1" t="s">
        <v>12</v>
      </c>
      <c r="C101" s="1" t="s">
        <v>222</v>
      </c>
      <c r="D101" s="1" t="s">
        <v>211</v>
      </c>
      <c r="E101" s="1" t="s">
        <v>212</v>
      </c>
      <c r="F101" s="1" t="s">
        <v>223</v>
      </c>
      <c r="G101" s="1">
        <v>2000</v>
      </c>
      <c r="H101" s="1">
        <v>2000</v>
      </c>
      <c r="I101" s="1" t="s">
        <v>215</v>
      </c>
    </row>
    <row r="102" spans="1:9" ht="26.4" x14ac:dyDescent="0.3">
      <c r="A102" s="1" t="s">
        <v>94</v>
      </c>
      <c r="B102" s="1" t="s">
        <v>12</v>
      </c>
      <c r="C102" s="1" t="s">
        <v>224</v>
      </c>
      <c r="D102" s="1" t="s">
        <v>211</v>
      </c>
      <c r="E102" s="1" t="s">
        <v>212</v>
      </c>
      <c r="F102" s="1" t="s">
        <v>225</v>
      </c>
      <c r="G102" s="1" t="s">
        <v>226</v>
      </c>
      <c r="H102" s="1">
        <v>23</v>
      </c>
      <c r="I102" s="1" t="s">
        <v>215</v>
      </c>
    </row>
    <row r="103" spans="1:9" ht="26.4" x14ac:dyDescent="0.3">
      <c r="A103" s="1" t="s">
        <v>109</v>
      </c>
      <c r="B103" s="1" t="s">
        <v>12</v>
      </c>
      <c r="C103" s="1" t="s">
        <v>210</v>
      </c>
      <c r="D103" s="1" t="s">
        <v>211</v>
      </c>
      <c r="E103" s="1" t="s">
        <v>212</v>
      </c>
      <c r="F103" s="1" t="s">
        <v>227</v>
      </c>
      <c r="G103" s="1" t="s">
        <v>228</v>
      </c>
      <c r="H103" s="1">
        <v>1856.538461538461</v>
      </c>
      <c r="I103" s="1" t="s">
        <v>215</v>
      </c>
    </row>
    <row r="104" spans="1:9" ht="26.4" x14ac:dyDescent="0.3">
      <c r="A104" s="1" t="s">
        <v>109</v>
      </c>
      <c r="B104" s="1" t="s">
        <v>12</v>
      </c>
      <c r="C104" s="1" t="s">
        <v>216</v>
      </c>
      <c r="D104" s="1" t="s">
        <v>211</v>
      </c>
      <c r="E104" s="1" t="s">
        <v>212</v>
      </c>
      <c r="F104" s="1" t="s">
        <v>229</v>
      </c>
      <c r="G104" s="1" t="s">
        <v>230</v>
      </c>
      <c r="H104" s="1">
        <v>1856.538461538461</v>
      </c>
      <c r="I104" s="1" t="s">
        <v>215</v>
      </c>
    </row>
    <row r="105" spans="1:9" ht="26.4" x14ac:dyDescent="0.3">
      <c r="A105" s="1" t="s">
        <v>109</v>
      </c>
      <c r="B105" s="1" t="s">
        <v>12</v>
      </c>
      <c r="C105" s="1" t="s">
        <v>219</v>
      </c>
      <c r="D105" s="1" t="s">
        <v>211</v>
      </c>
      <c r="E105" s="1" t="s">
        <v>212</v>
      </c>
      <c r="F105" s="1" t="s">
        <v>231</v>
      </c>
      <c r="G105" s="1" t="s">
        <v>232</v>
      </c>
      <c r="H105" s="1">
        <v>1856.538461538461</v>
      </c>
      <c r="I105" s="1" t="s">
        <v>215</v>
      </c>
    </row>
    <row r="106" spans="1:9" ht="26.4" x14ac:dyDescent="0.3">
      <c r="A106" s="1" t="s">
        <v>109</v>
      </c>
      <c r="B106" s="1" t="s">
        <v>12</v>
      </c>
      <c r="C106" s="1" t="s">
        <v>222</v>
      </c>
      <c r="D106" s="1" t="s">
        <v>211</v>
      </c>
      <c r="E106" s="1" t="s">
        <v>212</v>
      </c>
      <c r="F106" s="1" t="s">
        <v>223</v>
      </c>
      <c r="G106" s="1">
        <v>2000</v>
      </c>
      <c r="H106" s="1">
        <v>2000</v>
      </c>
      <c r="I106" s="1" t="s">
        <v>215</v>
      </c>
    </row>
    <row r="107" spans="1:9" ht="26.4" x14ac:dyDescent="0.3">
      <c r="A107" s="1" t="s">
        <v>109</v>
      </c>
      <c r="B107" s="1" t="s">
        <v>12</v>
      </c>
      <c r="C107" s="1" t="s">
        <v>224</v>
      </c>
      <c r="D107" s="1" t="s">
        <v>211</v>
      </c>
      <c r="E107" s="1" t="s">
        <v>212</v>
      </c>
      <c r="F107" s="1" t="s">
        <v>225</v>
      </c>
      <c r="G107" s="1" t="s">
        <v>226</v>
      </c>
      <c r="H107" s="1">
        <v>23</v>
      </c>
      <c r="I107" s="1" t="s">
        <v>215</v>
      </c>
    </row>
    <row r="108" spans="1:9" ht="52.8" x14ac:dyDescent="0.3">
      <c r="A108" s="1" t="s">
        <v>118</v>
      </c>
      <c r="B108" s="1" t="s">
        <v>13</v>
      </c>
      <c r="C108" s="1" t="s">
        <v>233</v>
      </c>
      <c r="D108" s="1" t="s">
        <v>211</v>
      </c>
      <c r="I108" s="1" t="s">
        <v>234</v>
      </c>
    </row>
    <row r="109" spans="1:9" ht="105.6" x14ac:dyDescent="0.3">
      <c r="A109" s="1" t="s">
        <v>137</v>
      </c>
      <c r="B109" s="1" t="s">
        <v>15</v>
      </c>
      <c r="C109" s="1" t="s">
        <v>235</v>
      </c>
      <c r="D109" s="1" t="s">
        <v>236</v>
      </c>
      <c r="E109" s="1" t="s">
        <v>237</v>
      </c>
      <c r="F109" s="1" t="s">
        <v>238</v>
      </c>
      <c r="G109" s="1" t="s">
        <v>239</v>
      </c>
      <c r="H109" s="1">
        <v>6.2</v>
      </c>
      <c r="I109" s="1" t="s">
        <v>240</v>
      </c>
    </row>
    <row r="110" spans="1:9" ht="105.6" x14ac:dyDescent="0.3">
      <c r="A110" s="1" t="s">
        <v>137</v>
      </c>
      <c r="B110" s="1" t="s">
        <v>15</v>
      </c>
      <c r="C110" s="1" t="s">
        <v>241</v>
      </c>
      <c r="D110" s="1" t="s">
        <v>236</v>
      </c>
      <c r="E110" s="1" t="s">
        <v>237</v>
      </c>
      <c r="F110" s="1" t="s">
        <v>242</v>
      </c>
      <c r="G110" s="1" t="s">
        <v>243</v>
      </c>
      <c r="H110" s="1">
        <v>16</v>
      </c>
      <c r="I110" s="1" t="s">
        <v>240</v>
      </c>
    </row>
    <row r="111" spans="1:9" ht="105.6" x14ac:dyDescent="0.3">
      <c r="A111" s="1" t="s">
        <v>137</v>
      </c>
      <c r="B111" s="1" t="s">
        <v>15</v>
      </c>
      <c r="C111" s="1" t="s">
        <v>244</v>
      </c>
      <c r="D111" s="1" t="s">
        <v>236</v>
      </c>
      <c r="E111" s="1" t="s">
        <v>237</v>
      </c>
      <c r="F111" s="1" t="s">
        <v>245</v>
      </c>
      <c r="G111" s="1" t="s">
        <v>246</v>
      </c>
      <c r="H111" s="1">
        <v>6</v>
      </c>
      <c r="I111" s="1" t="s">
        <v>240</v>
      </c>
    </row>
    <row r="112" spans="1:9" ht="105.6" x14ac:dyDescent="0.3">
      <c r="A112" s="1" t="s">
        <v>137</v>
      </c>
      <c r="B112" s="1" t="s">
        <v>15</v>
      </c>
      <c r="C112" s="1" t="s">
        <v>247</v>
      </c>
      <c r="D112" s="1" t="s">
        <v>236</v>
      </c>
      <c r="E112" s="1" t="s">
        <v>237</v>
      </c>
      <c r="F112" s="1" t="s">
        <v>248</v>
      </c>
      <c r="G112" s="1" t="s">
        <v>249</v>
      </c>
      <c r="H112" s="1">
        <v>-1</v>
      </c>
      <c r="I112" s="1" t="s">
        <v>240</v>
      </c>
    </row>
    <row r="113" spans="1:9" ht="105.6" x14ac:dyDescent="0.3">
      <c r="A113" s="1" t="s">
        <v>137</v>
      </c>
      <c r="B113" s="1" t="s">
        <v>15</v>
      </c>
      <c r="C113" s="1" t="s">
        <v>250</v>
      </c>
      <c r="D113" s="1" t="s">
        <v>236</v>
      </c>
      <c r="E113" s="1" t="s">
        <v>251</v>
      </c>
      <c r="F113" s="1" t="s">
        <v>252</v>
      </c>
      <c r="G113" s="1" t="s">
        <v>253</v>
      </c>
      <c r="H113" s="1">
        <v>96</v>
      </c>
      <c r="I113" s="1" t="s">
        <v>240</v>
      </c>
    </row>
    <row r="114" spans="1:9" ht="105.6" x14ac:dyDescent="0.3">
      <c r="A114" s="1" t="s">
        <v>137</v>
      </c>
      <c r="B114" s="1" t="s">
        <v>15</v>
      </c>
      <c r="C114" s="1" t="s">
        <v>254</v>
      </c>
      <c r="D114" s="1" t="s">
        <v>236</v>
      </c>
      <c r="E114" s="1" t="s">
        <v>251</v>
      </c>
      <c r="F114" s="1" t="s">
        <v>255</v>
      </c>
      <c r="G114" s="1" t="s">
        <v>256</v>
      </c>
      <c r="H114" s="1">
        <v>51</v>
      </c>
      <c r="I114" s="1" t="s">
        <v>240</v>
      </c>
    </row>
    <row r="115" spans="1:9" ht="105.6" x14ac:dyDescent="0.3">
      <c r="A115" s="1" t="s">
        <v>137</v>
      </c>
      <c r="B115" s="1" t="s">
        <v>15</v>
      </c>
      <c r="C115" s="1" t="s">
        <v>257</v>
      </c>
      <c r="D115" s="1" t="s">
        <v>236</v>
      </c>
      <c r="E115" s="1" t="s">
        <v>251</v>
      </c>
      <c r="F115" s="1" t="s">
        <v>258</v>
      </c>
      <c r="G115" s="1" t="s">
        <v>259</v>
      </c>
      <c r="H115" s="1">
        <v>31</v>
      </c>
      <c r="I115" s="1" t="s">
        <v>240</v>
      </c>
    </row>
    <row r="116" spans="1:9" ht="79.2" x14ac:dyDescent="0.3">
      <c r="A116" s="1" t="s">
        <v>124</v>
      </c>
      <c r="B116" s="1" t="s">
        <v>14</v>
      </c>
      <c r="C116" s="1" t="s">
        <v>260</v>
      </c>
      <c r="D116" s="1" t="s">
        <v>261</v>
      </c>
      <c r="E116" s="1" t="s">
        <v>262</v>
      </c>
      <c r="F116" s="1" t="s">
        <v>263</v>
      </c>
      <c r="G116" s="1" t="s">
        <v>264</v>
      </c>
      <c r="H116" s="1">
        <v>1</v>
      </c>
      <c r="I116" s="1" t="s">
        <v>265</v>
      </c>
    </row>
    <row r="117" spans="1:9" ht="79.2" x14ac:dyDescent="0.3">
      <c r="A117" s="1" t="s">
        <v>124</v>
      </c>
      <c r="B117" s="1" t="s">
        <v>14</v>
      </c>
      <c r="C117" s="1" t="s">
        <v>266</v>
      </c>
      <c r="D117" s="1" t="s">
        <v>261</v>
      </c>
      <c r="E117" s="1" t="s">
        <v>262</v>
      </c>
      <c r="F117" s="1" t="s">
        <v>263</v>
      </c>
      <c r="G117" s="1" t="s">
        <v>264</v>
      </c>
      <c r="H117" s="1">
        <v>0</v>
      </c>
      <c r="I117" s="1" t="s">
        <v>265</v>
      </c>
    </row>
    <row r="118" spans="1:9" ht="39.6" x14ac:dyDescent="0.3">
      <c r="A118" s="1" t="s">
        <v>131</v>
      </c>
      <c r="B118" s="1" t="s">
        <v>14</v>
      </c>
      <c r="C118" s="1" t="s">
        <v>260</v>
      </c>
      <c r="D118" s="1" t="s">
        <v>211</v>
      </c>
      <c r="E118" s="1" t="s">
        <v>262</v>
      </c>
      <c r="F118" s="1" t="s">
        <v>267</v>
      </c>
      <c r="G118" s="1" t="s">
        <v>268</v>
      </c>
      <c r="H118" s="1">
        <v>1.4</v>
      </c>
      <c r="I118" s="1" t="s">
        <v>269</v>
      </c>
    </row>
    <row r="119" spans="1:9" ht="39.6" x14ac:dyDescent="0.3">
      <c r="A119" s="1" t="s">
        <v>131</v>
      </c>
      <c r="B119" s="1" t="s">
        <v>14</v>
      </c>
      <c r="C119" s="1" t="s">
        <v>266</v>
      </c>
      <c r="D119" s="1" t="s">
        <v>211</v>
      </c>
      <c r="E119" s="1" t="s">
        <v>262</v>
      </c>
      <c r="F119" s="1" t="s">
        <v>267</v>
      </c>
      <c r="G119" s="1" t="s">
        <v>268</v>
      </c>
      <c r="H119" s="1">
        <v>2</v>
      </c>
      <c r="I119" s="1" t="s">
        <v>269</v>
      </c>
    </row>
  </sheetData>
  <autoFilter ref="A7:I119" xr:uid="{00000000-0009-0000-0000-000006000000}"/>
  <mergeCells count="1">
    <mergeCell ref="A1:I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0"/>
  <sheetViews>
    <sheetView showGridLines="0" workbookViewId="0">
      <pane ySplit="7" topLeftCell="A8" activePane="bottomLeft" state="frozen"/>
      <selection pane="bottomLeft"/>
    </sheetView>
  </sheetViews>
  <sheetFormatPr baseColWidth="10" defaultColWidth="8.88671875" defaultRowHeight="14.4" x14ac:dyDescent="0.3"/>
  <cols>
    <col min="1" max="1" width="12" customWidth="1"/>
    <col min="2" max="2" width="34" customWidth="1"/>
    <col min="3" max="3" width="14" customWidth="1"/>
    <col min="4" max="4" width="25" customWidth="1"/>
    <col min="5" max="5" width="90" customWidth="1"/>
  </cols>
  <sheetData>
    <row r="1" spans="1:5" ht="24" customHeight="1" x14ac:dyDescent="0.3">
      <c r="A1" s="12" t="s">
        <v>270</v>
      </c>
      <c r="B1" s="11"/>
      <c r="C1" s="11"/>
      <c r="D1" s="11"/>
      <c r="E1" s="11"/>
    </row>
    <row r="2" spans="1:5" ht="15" customHeight="1" x14ac:dyDescent="0.3">
      <c r="A2" s="11"/>
      <c r="B2" s="11"/>
      <c r="C2" s="11"/>
      <c r="D2" s="11"/>
      <c r="E2" s="11"/>
    </row>
    <row r="4" spans="1:5" x14ac:dyDescent="0.3">
      <c r="A4" s="10" t="s">
        <v>271</v>
      </c>
      <c r="B4" s="11"/>
      <c r="C4" s="11"/>
      <c r="D4" s="11"/>
      <c r="E4" s="11"/>
    </row>
    <row r="5" spans="1:5" x14ac:dyDescent="0.3">
      <c r="A5" s="11"/>
      <c r="B5" s="11"/>
      <c r="C5" s="11"/>
      <c r="D5" s="11"/>
      <c r="E5" s="11"/>
    </row>
    <row r="7" spans="1:5" x14ac:dyDescent="0.3">
      <c r="A7" s="3" t="s">
        <v>36</v>
      </c>
      <c r="B7" s="3" t="s">
        <v>163</v>
      </c>
      <c r="C7" s="3" t="s">
        <v>164</v>
      </c>
      <c r="D7" s="3" t="s">
        <v>272</v>
      </c>
      <c r="E7" s="3" t="s">
        <v>273</v>
      </c>
    </row>
    <row r="8" spans="1:5" x14ac:dyDescent="0.3">
      <c r="A8" s="1" t="s">
        <v>46</v>
      </c>
      <c r="B8" s="1" t="s">
        <v>170</v>
      </c>
      <c r="C8" s="1" t="s">
        <v>274</v>
      </c>
      <c r="D8" s="1" t="s">
        <v>275</v>
      </c>
      <c r="E8" s="1" t="s">
        <v>276</v>
      </c>
    </row>
    <row r="9" spans="1:5" x14ac:dyDescent="0.3">
      <c r="A9" s="1" t="s">
        <v>46</v>
      </c>
      <c r="B9" s="1" t="s">
        <v>170</v>
      </c>
      <c r="C9" s="1" t="s">
        <v>277</v>
      </c>
      <c r="D9" s="1" t="s">
        <v>275</v>
      </c>
      <c r="E9" s="1" t="s">
        <v>276</v>
      </c>
    </row>
    <row r="10" spans="1:5" x14ac:dyDescent="0.3">
      <c r="A10" s="1" t="s">
        <v>46</v>
      </c>
      <c r="B10" s="1" t="s">
        <v>170</v>
      </c>
      <c r="C10" s="1" t="s">
        <v>278</v>
      </c>
      <c r="D10" s="1" t="s">
        <v>275</v>
      </c>
      <c r="E10" s="1" t="s">
        <v>276</v>
      </c>
    </row>
  </sheetData>
  <mergeCells count="2">
    <mergeCell ref="A1:E2"/>
    <mergeCell ref="A4:E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Resumen</vt:lpstr>
      <vt:lpstr>DOP por cantidad</vt:lpstr>
      <vt:lpstr>costo de producción</vt:lpstr>
      <vt:lpstr>caja</vt:lpstr>
      <vt:lpstr>consecuencias</vt:lpstr>
      <vt:lpstr>puntajes</vt:lpstr>
      <vt:lpstr>Fuentes originales</vt:lpstr>
      <vt:lpstr>Errores del original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Joel Castillo</cp:lastModifiedBy>
  <dcterms:created xsi:type="dcterms:W3CDTF">2026-10-23T15:27:24Z</dcterms:created>
  <dcterms:modified xsi:type="dcterms:W3CDTF">2026-10-23T15:27:31Z</dcterms:modified>
</cp:coreProperties>
</file>