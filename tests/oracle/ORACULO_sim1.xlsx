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sim1" sheetId="13" state="visible" r:id="rId13"/>
    <sheet xmlns:r="http://schemas.openxmlformats.org/officeDocument/2006/relationships" name="Catalogo_Numerico_sim1" sheetId="14" state="visible" r:id="rId14"/>
    <sheet xmlns:r="http://schemas.openxmlformats.org/officeDocument/2006/relationships" name="Lotes_Pipeline_sim1" sheetId="15" state="visible" r:id="rId15"/>
    <sheet xmlns:r="http://schemas.openxmlformats.org/officeDocument/2006/relationships" name="Mercados_Pipeline_sim1"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W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 width="20" customWidth="1" style="184" min="157" max="157"/>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puntajePrecio</t>
        </is>
      </c>
      <c r="ED1" s="0" t="inlineStr">
        <is>
          <t>calidadMercado</t>
        </is>
      </c>
      <c r="EE1" s="0" t="inlineStr">
        <is>
          <t>puntajeTotal</t>
        </is>
      </c>
      <c r="EF1" s="0" t="inlineStr">
        <is>
          <t>porcentaje</t>
        </is>
      </c>
      <c r="EG1" s="0" t="inlineStr">
        <is>
          <t>asignado</t>
        </is>
      </c>
      <c r="EH1" s="0" t="inlineStr">
        <is>
          <t>demandaAjustada</t>
        </is>
      </c>
      <c r="EI1" s="0" t="inlineStr">
        <is>
          <t>vendido</t>
        </is>
      </c>
      <c r="EJ1" s="0" t="inlineStr">
        <is>
          <t>ingresos</t>
        </is>
      </c>
      <c r="EK1" s="0" t="inlineStr">
        <is>
          <t>inventarioProducto</t>
        </is>
      </c>
      <c r="EL1" s="0" t="inlineStr">
        <is>
          <t>almacenaje</t>
        </is>
      </c>
      <c r="EM1" s="0" t="inlineStr">
        <is>
          <t>horasExtra</t>
        </is>
      </c>
      <c r="EN1" s="0" t="inlineStr">
        <is>
          <t>costoGarantia</t>
        </is>
      </c>
      <c r="EO1" s="0" t="inlineStr">
        <is>
          <t>costoRecurrente</t>
        </is>
      </c>
      <c r="EP1" s="0" t="inlineStr">
        <is>
          <t>costoLeadTime</t>
        </is>
      </c>
      <c r="EQ1" s="0" t="inlineStr">
        <is>
          <t>costoAnalista</t>
        </is>
      </c>
      <c r="ER1" s="0" t="inlineStr">
        <is>
          <t>costosTotales</t>
        </is>
      </c>
      <c r="ES1" s="0" t="inlineStr">
        <is>
          <t>utilidad</t>
        </is>
      </c>
      <c r="ET1" s="0" t="inlineStr">
        <is>
          <t>CONS-01</t>
        </is>
      </c>
      <c r="EU1" s="0" t="inlineStr">
        <is>
          <t>CONS-02</t>
        </is>
      </c>
      <c r="EV1" s="0" t="inlineStr">
        <is>
          <t>CONS-03</t>
        </is>
      </c>
      <c r="EW1" s="0" t="inlineStr">
        <is>
          <t>CONS-04</t>
        </is>
      </c>
      <c r="EX1" s="0" t="inlineStr">
        <is>
          <t>CONS-05</t>
        </is>
      </c>
      <c r="EY1" s="0" t="inlineStr">
        <is>
          <t>CONS-06</t>
        </is>
      </c>
      <c r="EZ1" s="0" t="inlineStr">
        <is>
          <t>CONS-07</t>
        </is>
      </c>
      <c r="FA1" s="0" t="inlineStr">
        <is>
          <t>CONS-08</t>
        </is>
      </c>
      <c r="FB1" t="inlineStr">
        <is>
          <t>capitalInicial</t>
        </is>
      </c>
      <c r="FC1" t="inlineStr">
        <is>
          <t>compraActivos</t>
        </is>
      </c>
      <c r="FD1" t="inlineStr">
        <is>
          <t>adquisicionNeta</t>
        </is>
      </c>
      <c r="FE1" t="inlineStr">
        <is>
          <t>valorCompradoNeto</t>
        </is>
      </c>
      <c r="FF1" t="inlineStr">
        <is>
          <t>valorInventarioNeto</t>
        </is>
      </c>
      <c r="FG1" t="inlineStr">
        <is>
          <t>cajaInicial</t>
        </is>
      </c>
      <c r="FH1" t="inlineStr">
        <is>
          <t>tasaNuevoPrestamo</t>
        </is>
      </c>
      <c r="FI1" t="inlineStr">
        <is>
          <t>interesMensual</t>
        </is>
      </c>
      <c r="FJ1" t="inlineStr">
        <is>
          <t>tasaMensual</t>
        </is>
      </c>
      <c r="FK1" t="inlineStr">
        <is>
          <t>intereses</t>
        </is>
      </c>
      <c r="FL1" t="inlineStr">
        <is>
          <t>pagosOperacion</t>
        </is>
      </c>
      <c r="FM1" t="inlineStr">
        <is>
          <t>cajaFinal</t>
        </is>
      </c>
      <c r="FN1" t="inlineStr">
        <is>
          <t>depreciacionAcumulada</t>
        </is>
      </c>
      <c r="FO1" t="inlineStr">
        <is>
          <t>activosCosto</t>
        </is>
      </c>
      <c r="FP1" t="inlineStr">
        <is>
          <t>activosFijos</t>
        </is>
      </c>
      <c r="FQ1" t="inlineStr">
        <is>
          <t>financial.estadoResultados.ingresos</t>
        </is>
      </c>
      <c r="FR1" t="inlineStr">
        <is>
          <t>financial.estadoResultados.ventasNetas</t>
        </is>
      </c>
      <c r="FS1" t="inlineStr">
        <is>
          <t>financial.estadoResultados.costos</t>
        </is>
      </c>
      <c r="FT1" t="inlineStr">
        <is>
          <t>financial.estadoResultados.utilidad</t>
        </is>
      </c>
      <c r="FU1" t="inlineStr">
        <is>
          <t>financial.estadoResultados.depreciacion</t>
        </is>
      </c>
      <c r="FV1" t="inlineStr">
        <is>
          <t>financial.estadoResultados.intereses</t>
        </is>
      </c>
      <c r="FW1" t="inlineStr">
        <is>
          <t>financial.estadoResultados.costosProduccion</t>
        </is>
      </c>
      <c r="FX1" t="inlineStr">
        <is>
          <t>financial.balanceCaja.cajaInicial</t>
        </is>
      </c>
      <c r="FY1" t="inlineStr">
        <is>
          <t>financial.balanceCaja.entradas</t>
        </is>
      </c>
      <c r="FZ1" t="inlineStr">
        <is>
          <t>financial.balanceCaja.salidas</t>
        </is>
      </c>
      <c r="GA1" t="inlineStr">
        <is>
          <t>financial.balanceCaja.cajaFinal</t>
        </is>
      </c>
      <c r="GB1" t="inlineStr">
        <is>
          <t>financial.flujoCaja.cajaInicial</t>
        </is>
      </c>
      <c r="GC1" t="inlineStr">
        <is>
          <t>financial.flujoCaja.cobrosVentas</t>
        </is>
      </c>
      <c r="GD1" t="inlineStr">
        <is>
          <t>financial.flujoCaja.pagosOperacion</t>
        </is>
      </c>
      <c r="GE1" t="inlineStr">
        <is>
          <t>financial.flujoCaja.compraActivos</t>
        </is>
      </c>
      <c r="GF1" t="inlineStr">
        <is>
          <t>financial.flujoCaja.financiamiento</t>
        </is>
      </c>
      <c r="GG1" t="inlineStr">
        <is>
          <t>financial.flujoCaja.operacion</t>
        </is>
      </c>
      <c r="GH1" t="inlineStr">
        <is>
          <t>financial.flujoCaja.inversion</t>
        </is>
      </c>
      <c r="GI1" t="inlineStr">
        <is>
          <t>financial.flujoCaja.flujoNeto</t>
        </is>
      </c>
      <c r="GJ1" t="inlineStr">
        <is>
          <t>financial.flujoCaja.cajaFinal</t>
        </is>
      </c>
      <c r="GK1" t="inlineStr">
        <is>
          <t>financial.balanceGeneral.efectivo</t>
        </is>
      </c>
      <c r="GL1" t="inlineStr">
        <is>
          <t>financial.balanceGeneral.activosFijos</t>
        </is>
      </c>
      <c r="GM1" t="inlineStr">
        <is>
          <t>financial.balanceGeneral.inventarioMP</t>
        </is>
      </c>
      <c r="GN1" t="inlineStr">
        <is>
          <t>financial.balanceGeneral.activos</t>
        </is>
      </c>
      <c r="GO1" t="inlineStr">
        <is>
          <t>financial.balanceGeneral.deuda</t>
        </is>
      </c>
      <c r="GP1" t="inlineStr">
        <is>
          <t>financial.balanceGeneral.patrimonio</t>
        </is>
      </c>
      <c r="GQ1" t="inlineStr">
        <is>
          <t>financial.balanceGeneral.pasivoPatrimonio</t>
        </is>
      </c>
      <c r="GR1" t="inlineStr">
        <is>
          <t>financial.financiamiento.montoPrestamo</t>
        </is>
      </c>
      <c r="GS1" t="inlineStr">
        <is>
          <t>financial.financiamiento.tasaTEA</t>
        </is>
      </c>
      <c r="GT1" t="inlineStr">
        <is>
          <t>financial.financiamiento.deudaPrincipal</t>
        </is>
      </c>
      <c r="GU1" t="inlineStr">
        <is>
          <t>financial.financiamiento.tasaAdicionalProximoPrestamo</t>
        </is>
      </c>
      <c r="GV1" t="inlineStr">
        <is>
          <t>financial.financiamiento.tasaMensual</t>
        </is>
      </c>
      <c r="GW1"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520</v>
      </c>
      <c r="J2" s="0" t="n">
        <v>40</v>
      </c>
      <c r="K2" s="0" t="n">
        <v>1</v>
      </c>
      <c r="L2" s="0" t="n">
        <v>6000</v>
      </c>
      <c r="M2" s="0" t="inlineStr">
        <is>
          <t>MYPE</t>
        </is>
      </c>
      <c r="N2" s="0" t="inlineStr">
        <is>
          <t>INF-03</t>
        </is>
      </c>
      <c r="O2" s="0" t="inlineStr">
        <is>
          <t>INF-06</t>
        </is>
      </c>
      <c r="P2" s="0" t="inlineStr">
        <is>
          <t>INF-09</t>
        </is>
      </c>
      <c r="Q2" s="0" t="inlineStr">
        <is>
          <t>RH-02</t>
        </is>
      </c>
      <c r="R2" s="0" t="inlineStr">
        <is>
          <t>RH-05</t>
        </is>
      </c>
      <c r="S2" s="0" t="inlineStr">
        <is>
          <t>RH-08</t>
        </is>
      </c>
      <c r="T2" s="0" t="inlineStr">
        <is>
          <t>RH-10A</t>
        </is>
      </c>
      <c r="U2" s="0" t="inlineStr">
        <is>
          <t>COM-01C</t>
        </is>
      </c>
      <c r="V2" s="0" t="inlineStr">
        <is>
          <t>FIN-01B</t>
        </is>
      </c>
      <c r="W2" s="0" t="inlineStr">
        <is>
          <t>INV-01B</t>
        </is>
      </c>
      <c r="X2" s="0" t="inlineStr">
        <is>
          <t>COM-06B</t>
        </is>
      </c>
      <c r="Y2" s="0" t="inlineStr">
        <is>
          <t>INV-02B</t>
        </is>
      </c>
      <c r="Z2" s="0" t="inlineStr"/>
      <c r="AA2" s="0" t="inlineStr"/>
      <c r="AB2" s="0" t="inlineStr"/>
      <c r="AC2" s="0" t="inlineStr"/>
      <c r="AD2" s="0" t="inlineStr"/>
      <c r="AE2" s="0" t="inlineStr"/>
      <c r="AF2" s="0">
        <f>IFERROR(INDEX('Catalogo_Numerico_sim1'!$I$2:$I$69,MATCH(N2,'Catalogo_Numerico_sim1'!$A$2:$A$69,0)),0)+IFERROR(INDEX('Catalogo_Numerico_sim1'!$I$2:$I$69,MATCH(O2,'Catalogo_Numerico_sim1'!$A$2:$A$69,0)),0)+IFERROR(INDEX('Catalogo_Numerico_sim1'!$I$2:$I$69,MATCH(P2,'Catalogo_Numerico_sim1'!$A$2:$A$69,0)),0)+IFERROR(INDEX('Catalogo_Numerico_sim1'!$I$2:$I$69,MATCH(Q2,'Catalogo_Numerico_sim1'!$A$2:$A$69,0)),0)+IFERROR(INDEX('Catalogo_Numerico_sim1'!$I$2:$I$69,MATCH(R2,'Catalogo_Numerico_sim1'!$A$2:$A$69,0)),0)+IFERROR(INDEX('Catalogo_Numerico_sim1'!$I$2:$I$69,MATCH(S2,'Catalogo_Numerico_sim1'!$A$2:$A$69,0)),0)+IFERROR(INDEX('Catalogo_Numerico_sim1'!$I$2:$I$69,MATCH(T2,'Catalogo_Numerico_sim1'!$A$2:$A$69,0)),0)+IFERROR(INDEX('Catalogo_Numerico_sim1'!$I$2:$I$69,MATCH(U2,'Catalogo_Numerico_sim1'!$A$2:$A$69,0)),0)+IFERROR(INDEX('Catalogo_Numerico_sim1'!$I$2:$I$69,MATCH(V2,'Catalogo_Numerico_sim1'!$A$2:$A$69,0)),0)+IFERROR(INDEX('Catalogo_Numerico_sim1'!$I$2:$I$69,MATCH(W2,'Catalogo_Numerico_sim1'!$A$2:$A$69,0)),0)+IFERROR(INDEX('Catalogo_Numerico_sim1'!$I$2:$I$69,MATCH(X2,'Catalogo_Numerico_sim1'!$A$2:$A$69,0)),0)+IFERROR(INDEX('Catalogo_Numerico_sim1'!$I$2:$I$69,MATCH(Y2,'Catalogo_Numerico_sim1'!$A$2:$A$69,0)),0)</f>
        <v/>
      </c>
      <c r="AG2" s="0">
        <f>IFERROR(INDEX('Catalogo_Numerico_sim1'!$J$2:$J$69,MATCH(N2,'Catalogo_Numerico_sim1'!$A$2:$A$69,0)),0)+IFERROR(INDEX('Catalogo_Numerico_sim1'!$J$2:$J$69,MATCH(O2,'Catalogo_Numerico_sim1'!$A$2:$A$69,0)),0)+IFERROR(INDEX('Catalogo_Numerico_sim1'!$J$2:$J$69,MATCH(P2,'Catalogo_Numerico_sim1'!$A$2:$A$69,0)),0)+IFERROR(INDEX('Catalogo_Numerico_sim1'!$J$2:$J$69,MATCH(Q2,'Catalogo_Numerico_sim1'!$A$2:$A$69,0)),0)+IFERROR(INDEX('Catalogo_Numerico_sim1'!$J$2:$J$69,MATCH(R2,'Catalogo_Numerico_sim1'!$A$2:$A$69,0)),0)+IFERROR(INDEX('Catalogo_Numerico_sim1'!$J$2:$J$69,MATCH(S2,'Catalogo_Numerico_sim1'!$A$2:$A$69,0)),0)+IFERROR(INDEX('Catalogo_Numerico_sim1'!$J$2:$J$69,MATCH(T2,'Catalogo_Numerico_sim1'!$A$2:$A$69,0)),0)+IFERROR(INDEX('Catalogo_Numerico_sim1'!$J$2:$J$69,MATCH(U2,'Catalogo_Numerico_sim1'!$A$2:$A$69,0)),0)+IFERROR(INDEX('Catalogo_Numerico_sim1'!$J$2:$J$69,MATCH(V2,'Catalogo_Numerico_sim1'!$A$2:$A$69,0)),0)+IFERROR(INDEX('Catalogo_Numerico_sim1'!$J$2:$J$69,MATCH(W2,'Catalogo_Numerico_sim1'!$A$2:$A$69,0)),0)+IFERROR(INDEX('Catalogo_Numerico_sim1'!$J$2:$J$69,MATCH(X2,'Catalogo_Numerico_sim1'!$A$2:$A$69,0)),0)+IFERROR(INDEX('Catalogo_Numerico_sim1'!$J$2:$J$69,MATCH(Y2,'Catalogo_Numerico_sim1'!$A$2:$A$69,0)),0)</f>
        <v/>
      </c>
      <c r="AH2" s="0">
        <f>IFERROR(INDEX('Catalogo_Numerico_sim1'!$K$2:$K$69,MATCH(N2,'Catalogo_Numerico_sim1'!$A$2:$A$69,0)),0)+IFERROR(INDEX('Catalogo_Numerico_sim1'!$K$2:$K$69,MATCH(O2,'Catalogo_Numerico_sim1'!$A$2:$A$69,0)),0)+IFERROR(INDEX('Catalogo_Numerico_sim1'!$K$2:$K$69,MATCH(P2,'Catalogo_Numerico_sim1'!$A$2:$A$69,0)),0)+IFERROR(INDEX('Catalogo_Numerico_sim1'!$K$2:$K$69,MATCH(Q2,'Catalogo_Numerico_sim1'!$A$2:$A$69,0)),0)+IFERROR(INDEX('Catalogo_Numerico_sim1'!$K$2:$K$69,MATCH(R2,'Catalogo_Numerico_sim1'!$A$2:$A$69,0)),0)+IFERROR(INDEX('Catalogo_Numerico_sim1'!$K$2:$K$69,MATCH(S2,'Catalogo_Numerico_sim1'!$A$2:$A$69,0)),0)+IFERROR(INDEX('Catalogo_Numerico_sim1'!$K$2:$K$69,MATCH(T2,'Catalogo_Numerico_sim1'!$A$2:$A$69,0)),0)+IFERROR(INDEX('Catalogo_Numerico_sim1'!$K$2:$K$69,MATCH(U2,'Catalogo_Numerico_sim1'!$A$2:$A$69,0)),0)+IFERROR(INDEX('Catalogo_Numerico_sim1'!$K$2:$K$69,MATCH(V2,'Catalogo_Numerico_sim1'!$A$2:$A$69,0)),0)+IFERROR(INDEX('Catalogo_Numerico_sim1'!$K$2:$K$69,MATCH(W2,'Catalogo_Numerico_sim1'!$A$2:$A$69,0)),0)+IFERROR(INDEX('Catalogo_Numerico_sim1'!$K$2:$K$69,MATCH(X2,'Catalogo_Numerico_sim1'!$A$2:$A$69,0)),0)+IFERROR(INDEX('Catalogo_Numerico_sim1'!$K$2:$K$69,MATCH(Y2,'Catalogo_Numerico_sim1'!$A$2:$A$69,0)),0)</f>
        <v/>
      </c>
      <c r="AI2" s="0">
        <f>IFERROR(('Lotes_Pipeline_sim1'!H2*'Lotes_Pipeline_sim1'!J2+'Lotes_Pipeline_sim1'!H3*'Lotes_Pipeline_sim1'!J3+'Lotes_Pipeline_sim1'!H4*'Lotes_Pipeline_sim1'!J4)/I2,0)</f>
        <v/>
      </c>
      <c r="AJ2" s="0">
        <f>IF(OR(AND('Lotes_Pipeline_sim1'!C2="SEG-03",'Lotes_Pipeline_sim1'!H2&gt;0,'Lotes_Pipeline_sim1'!J2&lt;4),AND('Lotes_Pipeline_sim1'!C3="SEG-03",'Lotes_Pipeline_sim1'!H3&gt;0,'Lotes_Pipeline_sim1'!J3&lt;4),AND('Lotes_Pipeline_sim1'!C4="SEG-03",'Lotes_Pipeline_sim1'!H4&gt;0,'Lotes_Pipeline_sim1'!J4&lt;4)),-2,0)+IF(OR(AND('Lotes_Pipeline_sim1'!C2="SEG-03",'Lotes_Pipeline_sim1'!H2&gt;0,'Lotes_Pipeline_sim1'!J2&gt;=7),AND('Lotes_Pipeline_sim1'!C3="SEG-03",'Lotes_Pipeline_sim1'!H3&gt;0,'Lotes_Pipeline_sim1'!J3&gt;=7),AND('Lotes_Pipeline_sim1'!C4="SEG-03",'Lotes_Pipeline_sim1'!H4&gt;0,'Lotes_Pipeline_sim1'!J4&gt;=7)),2,0)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1</v>
      </c>
      <c r="AZ2" s="0" t="n">
        <v>0</v>
      </c>
      <c r="BA2" s="0" t="n">
        <v>0</v>
      </c>
      <c r="BB2" s="0" t="n">
        <v>1</v>
      </c>
      <c r="BC2" s="0" t="n">
        <v>0</v>
      </c>
      <c r="BD2" s="0" t="n">
        <v>0</v>
      </c>
      <c r="BE2" s="0">
        <f>AV2*5*1+AY2*7*1+BB2*9*1</f>
        <v/>
      </c>
      <c r="BF2" s="0" t="n">
        <v>0</v>
      </c>
      <c r="BG2" s="0" t="n">
        <v>0</v>
      </c>
      <c r="BH2" s="0" t="n">
        <v>1</v>
      </c>
      <c r="BI2" s="0" t="n">
        <v>1</v>
      </c>
      <c r="BJ2" s="0" t="n">
        <v>0</v>
      </c>
      <c r="BK2" s="0" t="n">
        <v>0</v>
      </c>
      <c r="BL2" s="0" t="n">
        <v>0</v>
      </c>
      <c r="BM2" s="0" t="n">
        <v>1</v>
      </c>
      <c r="BN2" s="0" t="n">
        <v>0</v>
      </c>
      <c r="BO2" s="0">
        <f>BF2*6*1+BG2*6*1.2+BH2*6*1.5+BI2*8*1+BJ2*8*1.2+BK2*8*1.5+BL2*12*1+BM2*12*1.2+BN2*12*1.5</f>
        <v/>
      </c>
      <c r="BP2" s="0" t="n">
        <v>0</v>
      </c>
      <c r="BQ2" s="0" t="n">
        <v>1</v>
      </c>
      <c r="BR2" s="0" t="n">
        <v>0</v>
      </c>
      <c r="BS2" s="0" t="n">
        <v>0</v>
      </c>
      <c r="BT2" s="0" t="n">
        <v>0</v>
      </c>
      <c r="BU2" s="0" t="n">
        <v>0</v>
      </c>
      <c r="BV2" s="0" t="n">
        <v>1</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CC2*24*1.08</f>
        <v/>
      </c>
      <c r="CE2" s="0">
        <f>ROUND(CD2*CB2,0)</f>
        <v/>
      </c>
      <c r="CF2" s="0" t="n">
        <v>100</v>
      </c>
      <c r="CG2" s="0">
        <f>0+CF2</f>
        <v/>
      </c>
      <c r="CH2" s="0" t="n">
        <v>100</v>
      </c>
      <c r="CI2" s="0">
        <f>0+CH2</f>
        <v/>
      </c>
      <c r="CJ2" s="0" t="n">
        <v>100</v>
      </c>
      <c r="CK2" s="0">
        <f>0+CJ2</f>
        <v/>
      </c>
      <c r="CL2" s="0" t="n">
        <v>1000</v>
      </c>
      <c r="CM2" s="0">
        <f>0+CL2</f>
        <v/>
      </c>
      <c r="CN2" s="0" t="n">
        <v>1000</v>
      </c>
      <c r="CO2" s="0">
        <f>0+CN2</f>
        <v/>
      </c>
      <c r="CP2" s="0" t="n">
        <v>6000</v>
      </c>
      <c r="CQ2" s="0">
        <f>0+CP2</f>
        <v/>
      </c>
      <c r="CR2" s="0" t="n">
        <v>6000</v>
      </c>
      <c r="CS2" s="0">
        <f>0+CR2</f>
        <v/>
      </c>
      <c r="CT2" s="0" t="n">
        <v>6000</v>
      </c>
      <c r="CU2" s="0">
        <f>0+CT2</f>
        <v/>
      </c>
      <c r="CV2" s="0">
        <f>(CG2)/0.3</f>
        <v/>
      </c>
      <c r="CW2" s="0">
        <f>(CM2)/1</f>
        <v/>
      </c>
      <c r="CX2" s="0">
        <f>(CQ2)/6</f>
        <v/>
      </c>
      <c r="CY2" s="0">
        <f>ROUNDDOWN(MIN(I2,CE2,CV2,CW2,CX2),0)</f>
        <v/>
      </c>
      <c r="CZ2" s="0">
        <f>'Lotes_Pipeline_sim1'!U2+'Lotes_Pipeline_sim1'!U3+'Lotes_Pipeline_sim1'!U4</f>
        <v/>
      </c>
      <c r="DA2" s="0">
        <f>DB2+DD2+DF2</f>
        <v/>
      </c>
      <c r="DB2" s="0">
        <f>'Lotes_Pipeline_sim1'!X2+'Lotes_Pipeline_sim1'!X3+'Lotes_Pipeline_sim1'!X4</f>
        <v/>
      </c>
      <c r="DC2" s="0">
        <f>CG2-DB2</f>
        <v/>
      </c>
      <c r="DD2" s="0">
        <f>'Lotes_Pipeline_sim1'!AA2+'Lotes_Pipeline_sim1'!AA3+'Lotes_Pipeline_sim1'!AA4</f>
        <v/>
      </c>
      <c r="DE2" s="0">
        <f>CI2-DD2</f>
        <v/>
      </c>
      <c r="DF2" s="0">
        <f>'Lotes_Pipeline_sim1'!AD2+'Lotes_Pipeline_sim1'!AD3+'Lotes_Pipeline_sim1'!AD4</f>
        <v/>
      </c>
      <c r="DG2" s="0">
        <f>CK2-DF2</f>
        <v/>
      </c>
      <c r="DH2" s="0">
        <f>DI2+DK2</f>
        <v/>
      </c>
      <c r="DI2" s="0">
        <f>'Lotes_Pipeline_sim1'!AG2+'Lotes_Pipeline_sim1'!AG3+'Lotes_Pipeline_sim1'!AG4</f>
        <v/>
      </c>
      <c r="DJ2" s="0">
        <f>CM2-DI2</f>
        <v/>
      </c>
      <c r="DK2" s="0">
        <f>'Lotes_Pipeline_sim1'!AJ2+'Lotes_Pipeline_sim1'!AJ3+'Lotes_Pipeline_sim1'!AJ4</f>
        <v/>
      </c>
      <c r="DL2" s="0">
        <f>CO2-DK2</f>
        <v/>
      </c>
      <c r="DM2" s="0">
        <f>DN2+DP2+DR2</f>
        <v/>
      </c>
      <c r="DN2" s="0">
        <f>'Lotes_Pipeline_sim1'!AM2+'Lotes_Pipeline_sim1'!AM3+'Lotes_Pipeline_sim1'!AM4</f>
        <v/>
      </c>
      <c r="DO2" s="0">
        <f>CQ2-DN2</f>
        <v/>
      </c>
      <c r="DP2" s="0">
        <f>'Lotes_Pipeline_sim1'!AP2+'Lotes_Pipeline_sim1'!AP3+'Lotes_Pipeline_sim1'!AP4</f>
        <v/>
      </c>
      <c r="DQ2" s="0">
        <f>CS2-DP2</f>
        <v/>
      </c>
      <c r="DR2" s="0">
        <f>'Lotes_Pipeline_sim1'!AS2+'Lotes_Pipeline_sim1'!AS3+'Lotes_Pipeline_sim1'!AS4</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(DB2*25+DD2*45+DF2*80+DI2*4+DK2*9+DN2*2+DP2*4+DR2*7)*0.92</f>
        <v/>
      </c>
      <c r="DV2" s="0">
        <f>1*2500*0.05/12*1+1*3500*0.05/12*1+1*1200*0.05/12*1+1*300*0.05/12*1</f>
        <v/>
      </c>
      <c r="DW2" s="0">
        <f>1*(2375.0/10/12*1)+1*(3325.0/10/12*1)+1*(1140.0/8/12*1)+1*(285.0/5/12*1)</f>
        <v/>
      </c>
      <c r="DX2" s="0">
        <f>IFERROR(('Lotes_Pipeline_sim1'!U4)/CZ2,0)*10+IFERROR(CA2/BZ2,0)*10+(IFERROR(DF2/(DB2+DD2+DF2),0)+IFERROR(DK2/(DI2+DK2),0)+IFERROR(DR2/(DP2+DR2),0))/3*10+L2/10000*10</f>
        <v/>
      </c>
      <c r="DY2" s="0">
        <f>7+AJ2</f>
        <v/>
      </c>
      <c r="DZ2" s="0">
        <f>0+CZ2</f>
        <v/>
      </c>
      <c r="EA2" s="0" t="n">
        <v>3500</v>
      </c>
      <c r="EB2" s="0" t="n">
        <v>0</v>
      </c>
      <c r="EC2" s="0">
        <f>IF(D2="SEG-01",IFERROR(100*(_xlfn.MAXIFS($J$2:$J$5,$C$2:$C$5,C2)-J2)/(_xlfn.MAXIFS($J$2:$J$5,$C$2:$C$5,C2)-_xlfn.MINIFS($J$2:$J$5,$C$2:$C$5,C2)),100),100-ABS(J2-EB2)/EB2*100)</f>
        <v/>
      </c>
      <c r="ED2" s="0">
        <f>ROUND(MIN(100,AI2*10),0)</f>
        <v/>
      </c>
      <c r="EE2" s="0">
        <f>0.7*EC2+0.2*DY2*10+0.1*ED2</f>
        <v/>
      </c>
      <c r="EF2" s="0">
        <f>IFERROR(EE2/SUMIF($C$2:$C$5,C2,$EE$2:$EE$5),0)</f>
        <v/>
      </c>
      <c r="EG2" s="0">
        <f>'Mercados_Pipeline_sim1'!J2</f>
        <v/>
      </c>
      <c r="EH2" s="0">
        <f>'Mercados_Pipeline_sim1'!I2</f>
        <v/>
      </c>
      <c r="EI2" s="0">
        <f>'Lotes_Pipeline_sim1'!AW2+'Lotes_Pipeline_sim1'!AW3+'Lotes_Pipeline_sim1'!AW4</f>
        <v/>
      </c>
      <c r="EJ2" s="0">
        <f>'Lotes_Pipeline_sim1'!AX2+'Lotes_Pipeline_sim1'!AX3+'Lotes_Pipeline_sim1'!AX4</f>
        <v/>
      </c>
      <c r="EK2" s="0">
        <f>'Lotes_Pipeline_sim1'!AY2+'Lotes_Pipeline_sim1'!AY3+'Lotes_Pipeline_sim1'!AY4</f>
        <v/>
      </c>
      <c r="EL2" s="0">
        <f>EK2*2</f>
        <v/>
      </c>
      <c r="EM2" s="0">
        <f>IF(I2&gt;CE2,0.25*DT2*IFERROR(MIN(1,(I2-CE2)/CE2),1),0)</f>
        <v/>
      </c>
      <c r="EN2" s="0">
        <f>0</f>
        <v/>
      </c>
      <c r="EO2" s="0">
        <f>(IFERROR(INDEX('Catalogo_Numerico_sim1'!$G$2:$G$69,MATCH("COM-01C",'Catalogo_Numerico_sim1'!$A$2:$A$69,0)),0)+IFERROR(INDEX('Catalogo_Numerico_sim1'!$G$2:$G$69,MATCH("INV-01B",'Catalogo_Numerico_sim1'!$A$2:$A$69,0)),0))*1</f>
        <v/>
      </c>
      <c r="EP2" s="0">
        <f>0</f>
        <v/>
      </c>
      <c r="EQ2" s="0" t="n">
        <v>0</v>
      </c>
      <c r="ER2" s="0">
        <f>DT2+DU2+DV2+DW2+L2+EL2+EM2+EN2+EO2+EP2+EQ2</f>
        <v/>
      </c>
      <c r="ES2" s="0">
        <f>EJ2-ER2</f>
        <v/>
      </c>
      <c r="ET2" s="0">
        <f>OR(AND('Lotes_Pipeline_sim1'!C2="SEG-03",'Lotes_Pipeline_sim1'!H2&gt;0,'Lotes_Pipeline_sim1'!J2&lt;4),AND('Lotes_Pipeline_sim1'!C3="SEG-03",'Lotes_Pipeline_sim1'!H3&gt;0,'Lotes_Pipeline_sim1'!J3&lt;4),AND('Lotes_Pipeline_sim1'!C4="SEG-03",'Lotes_Pipeline_sim1'!H4&gt;0,'Lotes_Pipeline_sim1'!J4&lt;4))</f>
        <v/>
      </c>
      <c r="EU2" s="0">
        <f>OR(AND('Lotes_Pipeline_sim1'!C2="SEG-03",'Lotes_Pipeline_sim1'!H2&gt;0,'Lotes_Pipeline_sim1'!J2&gt;=7),AND('Lotes_Pipeline_sim1'!C3="SEG-03",'Lotes_Pipeline_sim1'!H3&gt;0,'Lotes_Pipeline_sim1'!J3&gt;=7),AND('Lotes_Pipeline_sim1'!C4="SEG-03",'Lotes_Pipeline_sim1'!H4&gt;0,'Lotes_Pipeline_sim1'!J4&gt;=7))</f>
        <v/>
      </c>
      <c r="EV2" s="0">
        <f>AF2&lt;4</f>
        <v/>
      </c>
      <c r="EW2" s="0">
        <f>AM2&gt;=2</f>
        <v/>
      </c>
      <c r="EX2" s="0">
        <f>AH2&lt;3</f>
        <v/>
      </c>
      <c r="EY2" s="0">
        <f>I2&gt;CE2</f>
        <v/>
      </c>
      <c r="EZ2" s="0">
        <f>CZ2&gt;EI2</f>
        <v/>
      </c>
      <c r="FA2" s="0">
        <f>AND(K2=0,AF2&lt;5)</f>
        <v/>
      </c>
      <c r="FB2" t="n">
        <v>1000000</v>
      </c>
      <c r="FC2">
        <f>1*2500*(1+0.03+0.02)+1*3500*(1+0.03+0.02)+1*1200*(1+0.03+0.02)+1*300*(1+0+0.01)</f>
        <v/>
      </c>
      <c r="FD2">
        <f>1*2500+1*3500+1*1200+1*300</f>
        <v/>
      </c>
      <c r="FE2">
        <f>(CF2*25+CH2*45+CJ2*80+CL2*4+CN2*9+CP2*2+CR2*4+CT2*7)*0.92</f>
        <v/>
      </c>
      <c r="FF2">
        <f>(DC2*25+DE2*45+DG2*80+DJ2*4+DL2*9+DO2*2+DQ2*4+DS2*7)*0.92</f>
        <v/>
      </c>
      <c r="FG2">
        <f>FB2</f>
        <v/>
      </c>
      <c r="FH2">
        <f>(1+AR2/100)^(1/12)-1</f>
        <v/>
      </c>
      <c r="FI2">
        <f>0*0+AP2*FH2</f>
        <v/>
      </c>
      <c r="FJ2">
        <f>IFERROR(FI2/(0+AP2),0)</f>
        <v/>
      </c>
      <c r="FK2">
        <f>FI2*1</f>
        <v/>
      </c>
      <c r="FL2">
        <f>ER2-DW2-DU2+FE2+FK2</f>
        <v/>
      </c>
      <c r="FM2">
        <f>FG2+EJ2+AP2-FL2-FC2</f>
        <v/>
      </c>
      <c r="FN2">
        <f>0+DW2</f>
        <v/>
      </c>
      <c r="FO2">
        <f>0+FD2</f>
        <v/>
      </c>
      <c r="FP2">
        <f>FO2-FN2</f>
        <v/>
      </c>
      <c r="FQ2">
        <f>EJ2</f>
        <v/>
      </c>
      <c r="FR2">
        <f>EJ2</f>
        <v/>
      </c>
      <c r="FS2">
        <f>ER2+FK2</f>
        <v/>
      </c>
      <c r="FT2">
        <f>ES2-FK2</f>
        <v/>
      </c>
      <c r="FU2">
        <f>DW2</f>
        <v/>
      </c>
      <c r="FV2">
        <f>FK2</f>
        <v/>
      </c>
      <c r="FW2">
        <f>ER2</f>
        <v/>
      </c>
      <c r="FX2">
        <f>FG2</f>
        <v/>
      </c>
      <c r="FY2">
        <f>EJ2+AP2</f>
        <v/>
      </c>
      <c r="FZ2">
        <f>FL2+FC2</f>
        <v/>
      </c>
      <c r="GA2">
        <f>FM2</f>
        <v/>
      </c>
      <c r="GB2">
        <f>FG2</f>
        <v/>
      </c>
      <c r="GC2">
        <f>EJ2</f>
        <v/>
      </c>
      <c r="GD2">
        <f>FL2</f>
        <v/>
      </c>
      <c r="GE2">
        <f>FC2</f>
        <v/>
      </c>
      <c r="GF2">
        <f>AP2</f>
        <v/>
      </c>
      <c r="GG2">
        <f>EJ2-FL2</f>
        <v/>
      </c>
      <c r="GH2">
        <f>-FC2</f>
        <v/>
      </c>
      <c r="GI2">
        <f>FM2-FG2</f>
        <v/>
      </c>
      <c r="GJ2">
        <f>FM2</f>
        <v/>
      </c>
      <c r="GK2">
        <f>FM2</f>
        <v/>
      </c>
      <c r="GL2">
        <f>FP2</f>
        <v/>
      </c>
      <c r="GM2">
        <f>FF2</f>
        <v/>
      </c>
      <c r="GN2">
        <f>FM2+FP2+FF2</f>
        <v/>
      </c>
      <c r="GO2">
        <f>AS2</f>
        <v/>
      </c>
      <c r="GP2">
        <f>FM2+FP2+FF2-AS2</f>
        <v/>
      </c>
      <c r="GQ2">
        <f>FM2+FP2+FF2</f>
        <v/>
      </c>
      <c r="GR2">
        <f>AP2</f>
        <v/>
      </c>
      <c r="GS2">
        <f>AR2</f>
        <v/>
      </c>
      <c r="GT2">
        <f>AS2</f>
        <v/>
      </c>
      <c r="GU2">
        <f>AT2</f>
        <v/>
      </c>
      <c r="GV2">
        <f>FJ2</f>
        <v/>
      </c>
      <c r="GW2">
        <f>FK2</f>
        <v/>
      </c>
    </row>
    <row r="3">
      <c r="A3" s="0" t="n">
        <v>1</v>
      </c>
      <c r="B3" s="0" t="inlineStr">
        <is>
          <t>B</t>
        </is>
      </c>
      <c r="C3" s="0" t="inlineStr">
        <is>
          <t>1|SEG-01</t>
        </is>
      </c>
      <c r="D3" s="0" t="inlineStr">
        <is>
          <t>SEG-01</t>
        </is>
      </c>
      <c r="E3" s="0" t="inlineStr">
        <is>
          <t>INF-08</t>
        </is>
      </c>
      <c r="F3" s="0" t="inlineStr">
        <is>
          <t>INS-01</t>
        </is>
      </c>
      <c r="G3" s="0" t="inlineStr">
        <is>
          <t>INS-04</t>
        </is>
      </c>
      <c r="H3" s="0" t="inlineStr">
        <is>
          <t>INS-06</t>
        </is>
      </c>
      <c r="I3" s="0" t="n">
        <v>520</v>
      </c>
      <c r="J3" s="0" t="n">
        <v>45</v>
      </c>
      <c r="K3" s="0" t="n">
        <v>1</v>
      </c>
      <c r="L3" s="0" t="n">
        <v>6000</v>
      </c>
      <c r="M3" s="0" t="inlineStr">
        <is>
          <t>MYPE</t>
        </is>
      </c>
      <c r="N3" s="0" t="inlineStr">
        <is>
          <t>INF-03</t>
        </is>
      </c>
      <c r="O3" s="0" t="inlineStr">
        <is>
          <t>INF-06</t>
        </is>
      </c>
      <c r="P3" s="0" t="inlineStr">
        <is>
          <t>INF-09</t>
        </is>
      </c>
      <c r="Q3" s="0" t="inlineStr">
        <is>
          <t>RH-02</t>
        </is>
      </c>
      <c r="R3" s="0" t="inlineStr">
        <is>
          <t>RH-05</t>
        </is>
      </c>
      <c r="S3" s="0" t="inlineStr">
        <is>
          <t>RH-08</t>
        </is>
      </c>
      <c r="T3" s="0" t="inlineStr">
        <is>
          <t>RH-10A</t>
        </is>
      </c>
      <c r="U3" s="0" t="inlineStr">
        <is>
          <t>COM-01C</t>
        </is>
      </c>
      <c r="V3" s="0" t="inlineStr">
        <is>
          <t>FIN-01B</t>
        </is>
      </c>
      <c r="W3" s="0" t="inlineStr">
        <is>
          <t>INV-01B</t>
        </is>
      </c>
      <c r="X3" s="0" t="inlineStr">
        <is>
          <t>COM-06B</t>
        </is>
      </c>
      <c r="Y3" s="0" t="inlineStr">
        <is>
          <t>INV-02B</t>
        </is>
      </c>
      <c r="Z3" s="0" t="inlineStr"/>
      <c r="AA3" s="0" t="inlineStr"/>
      <c r="AB3" s="0" t="inlineStr"/>
      <c r="AC3" s="0" t="inlineStr"/>
      <c r="AD3" s="0" t="inlineStr"/>
      <c r="AE3" s="0" t="inlineStr"/>
      <c r="AF3" s="0">
        <f>IFERROR(INDEX('Catalogo_Numerico_sim1'!$I$2:$I$69,MATCH(N3,'Catalogo_Numerico_sim1'!$A$2:$A$69,0)),0)+IFERROR(INDEX('Catalogo_Numerico_sim1'!$I$2:$I$69,MATCH(O3,'Catalogo_Numerico_sim1'!$A$2:$A$69,0)),0)+IFERROR(INDEX('Catalogo_Numerico_sim1'!$I$2:$I$69,MATCH(P3,'Catalogo_Numerico_sim1'!$A$2:$A$69,0)),0)+IFERROR(INDEX('Catalogo_Numerico_sim1'!$I$2:$I$69,MATCH(Q3,'Catalogo_Numerico_sim1'!$A$2:$A$69,0)),0)+IFERROR(INDEX('Catalogo_Numerico_sim1'!$I$2:$I$69,MATCH(R3,'Catalogo_Numerico_sim1'!$A$2:$A$69,0)),0)+IFERROR(INDEX('Catalogo_Numerico_sim1'!$I$2:$I$69,MATCH(S3,'Catalogo_Numerico_sim1'!$A$2:$A$69,0)),0)+IFERROR(INDEX('Catalogo_Numerico_sim1'!$I$2:$I$69,MATCH(T3,'Catalogo_Numerico_sim1'!$A$2:$A$69,0)),0)+IFERROR(INDEX('Catalogo_Numerico_sim1'!$I$2:$I$69,MATCH(U3,'Catalogo_Numerico_sim1'!$A$2:$A$69,0)),0)+IFERROR(INDEX('Catalogo_Numerico_sim1'!$I$2:$I$69,MATCH(V3,'Catalogo_Numerico_sim1'!$A$2:$A$69,0)),0)+IFERROR(INDEX('Catalogo_Numerico_sim1'!$I$2:$I$69,MATCH(W3,'Catalogo_Numerico_sim1'!$A$2:$A$69,0)),0)+IFERROR(INDEX('Catalogo_Numerico_sim1'!$I$2:$I$69,MATCH(X3,'Catalogo_Numerico_sim1'!$A$2:$A$69,0)),0)+IFERROR(INDEX('Catalogo_Numerico_sim1'!$I$2:$I$69,MATCH(Y3,'Catalogo_Numerico_sim1'!$A$2:$A$69,0)),0)</f>
        <v/>
      </c>
      <c r="AG3" s="0">
        <f>IFERROR(INDEX('Catalogo_Numerico_sim1'!$J$2:$J$69,MATCH(N3,'Catalogo_Numerico_sim1'!$A$2:$A$69,0)),0)+IFERROR(INDEX('Catalogo_Numerico_sim1'!$J$2:$J$69,MATCH(O3,'Catalogo_Numerico_sim1'!$A$2:$A$69,0)),0)+IFERROR(INDEX('Catalogo_Numerico_sim1'!$J$2:$J$69,MATCH(P3,'Catalogo_Numerico_sim1'!$A$2:$A$69,0)),0)+IFERROR(INDEX('Catalogo_Numerico_sim1'!$J$2:$J$69,MATCH(Q3,'Catalogo_Numerico_sim1'!$A$2:$A$69,0)),0)+IFERROR(INDEX('Catalogo_Numerico_sim1'!$J$2:$J$69,MATCH(R3,'Catalogo_Numerico_sim1'!$A$2:$A$69,0)),0)+IFERROR(INDEX('Catalogo_Numerico_sim1'!$J$2:$J$69,MATCH(S3,'Catalogo_Numerico_sim1'!$A$2:$A$69,0)),0)+IFERROR(INDEX('Catalogo_Numerico_sim1'!$J$2:$J$69,MATCH(T3,'Catalogo_Numerico_sim1'!$A$2:$A$69,0)),0)+IFERROR(INDEX('Catalogo_Numerico_sim1'!$J$2:$J$69,MATCH(U3,'Catalogo_Numerico_sim1'!$A$2:$A$69,0)),0)+IFERROR(INDEX('Catalogo_Numerico_sim1'!$J$2:$J$69,MATCH(V3,'Catalogo_Numerico_sim1'!$A$2:$A$69,0)),0)+IFERROR(INDEX('Catalogo_Numerico_sim1'!$J$2:$J$69,MATCH(W3,'Catalogo_Numerico_sim1'!$A$2:$A$69,0)),0)+IFERROR(INDEX('Catalogo_Numerico_sim1'!$J$2:$J$69,MATCH(X3,'Catalogo_Numerico_sim1'!$A$2:$A$69,0)),0)+IFERROR(INDEX('Catalogo_Numerico_sim1'!$J$2:$J$69,MATCH(Y3,'Catalogo_Numerico_sim1'!$A$2:$A$69,0)),0)</f>
        <v/>
      </c>
      <c r="AH3" s="0">
        <f>IFERROR(INDEX('Catalogo_Numerico_sim1'!$K$2:$K$69,MATCH(N3,'Catalogo_Numerico_sim1'!$A$2:$A$69,0)),0)+IFERROR(INDEX('Catalogo_Numerico_sim1'!$K$2:$K$69,MATCH(O3,'Catalogo_Numerico_sim1'!$A$2:$A$69,0)),0)+IFERROR(INDEX('Catalogo_Numerico_sim1'!$K$2:$K$69,MATCH(P3,'Catalogo_Numerico_sim1'!$A$2:$A$69,0)),0)+IFERROR(INDEX('Catalogo_Numerico_sim1'!$K$2:$K$69,MATCH(Q3,'Catalogo_Numerico_sim1'!$A$2:$A$69,0)),0)+IFERROR(INDEX('Catalogo_Numerico_sim1'!$K$2:$K$69,MATCH(R3,'Catalogo_Numerico_sim1'!$A$2:$A$69,0)),0)+IFERROR(INDEX('Catalogo_Numerico_sim1'!$K$2:$K$69,MATCH(S3,'Catalogo_Numerico_sim1'!$A$2:$A$69,0)),0)+IFERROR(INDEX('Catalogo_Numerico_sim1'!$K$2:$K$69,MATCH(T3,'Catalogo_Numerico_sim1'!$A$2:$A$69,0)),0)+IFERROR(INDEX('Catalogo_Numerico_sim1'!$K$2:$K$69,MATCH(U3,'Catalogo_Numerico_sim1'!$A$2:$A$69,0)),0)+IFERROR(INDEX('Catalogo_Numerico_sim1'!$K$2:$K$69,MATCH(V3,'Catalogo_Numerico_sim1'!$A$2:$A$69,0)),0)+IFERROR(INDEX('Catalogo_Numerico_sim1'!$K$2:$K$69,MATCH(W3,'Catalogo_Numerico_sim1'!$A$2:$A$69,0)),0)+IFERROR(INDEX('Catalogo_Numerico_sim1'!$K$2:$K$69,MATCH(X3,'Catalogo_Numerico_sim1'!$A$2:$A$69,0)),0)+IFERROR(INDEX('Catalogo_Numerico_sim1'!$K$2:$K$69,MATCH(Y3,'Catalogo_Numerico_sim1'!$A$2:$A$69,0)),0)</f>
        <v/>
      </c>
      <c r="AI3" s="0">
        <f>IFERROR(('Lotes_Pipeline_sim1'!H5*'Lotes_Pipeline_sim1'!J5+'Lotes_Pipeline_sim1'!H6*'Lotes_Pipeline_sim1'!J6+'Lotes_Pipeline_sim1'!H7*'Lotes_Pipeline_sim1'!J7)/I3,0)</f>
        <v/>
      </c>
      <c r="AJ3" s="0">
        <f>IF(OR(AND('Lotes_Pipeline_sim1'!C5="SEG-03",'Lotes_Pipeline_sim1'!H5&gt;0,'Lotes_Pipeline_sim1'!J5&lt;4),AND('Lotes_Pipeline_sim1'!C6="SEG-03",'Lotes_Pipeline_sim1'!H6&gt;0,'Lotes_Pipeline_sim1'!J6&lt;4),AND('Lotes_Pipeline_sim1'!C7="SEG-03",'Lotes_Pipeline_sim1'!H7&gt;0,'Lotes_Pipeline_sim1'!J7&lt;4)),-2,0)+IF(OR(AND('Lotes_Pipeline_sim1'!C5="SEG-03",'Lotes_Pipeline_sim1'!H5&gt;0,'Lotes_Pipeline_sim1'!J5&gt;=7),AND('Lotes_Pipeline_sim1'!C6="SEG-03",'Lotes_Pipeline_sim1'!H6&gt;0,'Lotes_Pipeline_sim1'!J6&gt;=7),AND('Lotes_Pipeline_sim1'!C7="SEG-03",'Lotes_Pipeline_sim1'!H7&gt;0,'Lotes_Pipeline_sim1'!J7&gt;=7)),2,0)</f>
        <v/>
      </c>
      <c r="AK3" s="0">
        <f>IF(AND(D3="SEG-03",I3&gt;0),IF(AI3&lt;4,0.65,IF(AI3&gt;=7,1.4,1)),1)</f>
        <v/>
      </c>
      <c r="AL3" s="0">
        <f>AG3+AJ3</f>
        <v/>
      </c>
      <c r="AM3" s="0">
        <f>IF(AL3&lt;3,0+1,0)</f>
        <v/>
      </c>
      <c r="AN3" s="0">
        <f>IF(AM3&gt;=2,0.8,1)</f>
        <v/>
      </c>
      <c r="AO3" s="0">
        <f>IF(AH3&lt;3,3,0)</f>
        <v/>
      </c>
      <c r="AP3" s="0" t="n">
        <v>0</v>
      </c>
      <c r="AQ3" s="0" t="n">
        <v>20</v>
      </c>
      <c r="AR3" s="0">
        <f>AQ3+0</f>
        <v/>
      </c>
      <c r="AS3" s="0">
        <f>0+AP3</f>
        <v/>
      </c>
      <c r="AT3" s="0">
        <f>IF(AP3&gt;0,AO3,MAX(0,AO3))</f>
        <v/>
      </c>
      <c r="AU3" s="0">
        <f>IF(AF3&lt;4,0.7,1)*IF(AND(K3=0,AF3&lt;5),0.95,1)</f>
        <v/>
      </c>
      <c r="AV3" s="0" t="n">
        <v>1</v>
      </c>
      <c r="AW3" s="0" t="n">
        <v>0</v>
      </c>
      <c r="AX3" s="0" t="n">
        <v>0</v>
      </c>
      <c r="AY3" s="0" t="n">
        <v>1</v>
      </c>
      <c r="AZ3" s="0" t="n">
        <v>0</v>
      </c>
      <c r="BA3" s="0" t="n">
        <v>0</v>
      </c>
      <c r="BB3" s="0" t="n">
        <v>1</v>
      </c>
      <c r="BC3" s="0" t="n">
        <v>0</v>
      </c>
      <c r="BD3" s="0" t="n">
        <v>0</v>
      </c>
      <c r="BE3" s="0">
        <f>AV3*5*1+AY3*7*1+BB3*9*1</f>
        <v/>
      </c>
      <c r="BF3" s="0" t="n">
        <v>0</v>
      </c>
      <c r="BG3" s="0" t="n">
        <v>0</v>
      </c>
      <c r="BH3" s="0" t="n">
        <v>1</v>
      </c>
      <c r="BI3" s="0" t="n">
        <v>1</v>
      </c>
      <c r="BJ3" s="0" t="n">
        <v>0</v>
      </c>
      <c r="BK3" s="0" t="n">
        <v>0</v>
      </c>
      <c r="BL3" s="0" t="n">
        <v>0</v>
      </c>
      <c r="BM3" s="0" t="n">
        <v>1</v>
      </c>
      <c r="BN3" s="0" t="n">
        <v>0</v>
      </c>
      <c r="BO3" s="0">
        <f>BF3*6*1+BG3*6*1.2+BH3*6*1.5+BI3*8*1+BJ3*8*1.2+BK3*8*1.5+BL3*12*1+BM3*12*1.2+BN3*12*1.5</f>
        <v/>
      </c>
      <c r="BP3" s="0" t="n">
        <v>0</v>
      </c>
      <c r="BQ3" s="0" t="n">
        <v>1</v>
      </c>
      <c r="BR3" s="0" t="n">
        <v>0</v>
      </c>
      <c r="BS3" s="0" t="n">
        <v>0</v>
      </c>
      <c r="BT3" s="0" t="n">
        <v>0</v>
      </c>
      <c r="BU3" s="0" t="n">
        <v>0</v>
      </c>
      <c r="BV3" s="0" t="n">
        <v>1</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CC3*24*1.08</f>
        <v/>
      </c>
      <c r="CE3" s="0">
        <f>ROUND(CD3*CB3,0)</f>
        <v/>
      </c>
      <c r="CF3" s="0" t="n">
        <v>100</v>
      </c>
      <c r="CG3" s="0">
        <f>0+CF3</f>
        <v/>
      </c>
      <c r="CH3" s="0" t="n">
        <v>100</v>
      </c>
      <c r="CI3" s="0">
        <f>0+CH3</f>
        <v/>
      </c>
      <c r="CJ3" s="0" t="n">
        <v>100</v>
      </c>
      <c r="CK3" s="0">
        <f>0+CJ3</f>
        <v/>
      </c>
      <c r="CL3" s="0" t="n">
        <v>1000</v>
      </c>
      <c r="CM3" s="0">
        <f>0+CL3</f>
        <v/>
      </c>
      <c r="CN3" s="0" t="n">
        <v>1000</v>
      </c>
      <c r="CO3" s="0">
        <f>0+CN3</f>
        <v/>
      </c>
      <c r="CP3" s="0" t="n">
        <v>6000</v>
      </c>
      <c r="CQ3" s="0">
        <f>0+CP3</f>
        <v/>
      </c>
      <c r="CR3" s="0" t="n">
        <v>6000</v>
      </c>
      <c r="CS3" s="0">
        <f>0+CR3</f>
        <v/>
      </c>
      <c r="CT3" s="0" t="n">
        <v>6000</v>
      </c>
      <c r="CU3" s="0">
        <f>0+CT3</f>
        <v/>
      </c>
      <c r="CV3" s="0">
        <f>(CG3)/0.3</f>
        <v/>
      </c>
      <c r="CW3" s="0">
        <f>(CM3)/1</f>
        <v/>
      </c>
      <c r="CX3" s="0">
        <f>(CQ3)/6</f>
        <v/>
      </c>
      <c r="CY3" s="0">
        <f>ROUNDDOWN(MIN(I3,CE3,CV3,CW3,CX3),0)</f>
        <v/>
      </c>
      <c r="CZ3" s="0">
        <f>'Lotes_Pipeline_sim1'!U5+'Lotes_Pipeline_sim1'!U6+'Lotes_Pipeline_sim1'!U7</f>
        <v/>
      </c>
      <c r="DA3" s="0">
        <f>DB3+DD3+DF3</f>
        <v/>
      </c>
      <c r="DB3" s="0">
        <f>'Lotes_Pipeline_sim1'!X5+'Lotes_Pipeline_sim1'!X6+'Lotes_Pipeline_sim1'!X7</f>
        <v/>
      </c>
      <c r="DC3" s="0">
        <f>CG3-DB3</f>
        <v/>
      </c>
      <c r="DD3" s="0">
        <f>'Lotes_Pipeline_sim1'!AA5+'Lotes_Pipeline_sim1'!AA6+'Lotes_Pipeline_sim1'!AA7</f>
        <v/>
      </c>
      <c r="DE3" s="0">
        <f>CI3-DD3</f>
        <v/>
      </c>
      <c r="DF3" s="0">
        <f>'Lotes_Pipeline_sim1'!AD5+'Lotes_Pipeline_sim1'!AD6+'Lotes_Pipeline_sim1'!AD7</f>
        <v/>
      </c>
      <c r="DG3" s="0">
        <f>CK3-DF3</f>
        <v/>
      </c>
      <c r="DH3" s="0">
        <f>DI3+DK3</f>
        <v/>
      </c>
      <c r="DI3" s="0">
        <f>'Lotes_Pipeline_sim1'!AG5+'Lotes_Pipeline_sim1'!AG6+'Lotes_Pipeline_sim1'!AG7</f>
        <v/>
      </c>
      <c r="DJ3" s="0">
        <f>CM3-DI3</f>
        <v/>
      </c>
      <c r="DK3" s="0">
        <f>'Lotes_Pipeline_sim1'!AJ5+'Lotes_Pipeline_sim1'!AJ6+'Lotes_Pipeline_sim1'!AJ7</f>
        <v/>
      </c>
      <c r="DL3" s="0">
        <f>CO3-DK3</f>
        <v/>
      </c>
      <c r="DM3" s="0">
        <f>DN3+DP3+DR3</f>
        <v/>
      </c>
      <c r="DN3" s="0">
        <f>'Lotes_Pipeline_sim1'!AM5+'Lotes_Pipeline_sim1'!AM6+'Lotes_Pipeline_sim1'!AM7</f>
        <v/>
      </c>
      <c r="DO3" s="0">
        <f>CQ3-DN3</f>
        <v/>
      </c>
      <c r="DP3" s="0">
        <f>'Lotes_Pipeline_sim1'!AP5+'Lotes_Pipeline_sim1'!AP6+'Lotes_Pipeline_sim1'!AP7</f>
        <v/>
      </c>
      <c r="DQ3" s="0">
        <f>CS3-DP3</f>
        <v/>
      </c>
      <c r="DR3" s="0">
        <f>'Lotes_Pipeline_sim1'!AS5+'Lotes_Pipeline_sim1'!AS6+'Lotes_Pipeline_sim1'!AS7</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(DB3*25+DD3*45+DF3*80+DI3*4+DK3*9+DN3*2+DP3*4+DR3*7)*0.92</f>
        <v/>
      </c>
      <c r="DV3" s="0">
        <f>1*2500*0.05/12*1+1*3500*0.05/12*1+1*1200*0.05/12*1+1*300*0.05/12*1</f>
        <v/>
      </c>
      <c r="DW3" s="0">
        <f>1*(2375.0/10/12*1)+1*(3325.0/10/12*1)+1*(1140.0/8/12*1)+1*(285.0/5/12*1)</f>
        <v/>
      </c>
      <c r="DX3" s="0">
        <f>IFERROR(('Lotes_Pipeline_sim1'!U7)/CZ3,0)*10+IFERROR(CA3/BZ3,0)*10+(IFERROR(DF3/(DB3+DD3+DF3),0)+IFERROR(DK3/(DI3+DK3),0)+IFERROR(DR3/(DP3+DR3),0))/3*10+L3/10000*10</f>
        <v/>
      </c>
      <c r="DY3" s="0">
        <f>8.3+AJ3</f>
        <v/>
      </c>
      <c r="DZ3" s="0">
        <f>0+CZ3</f>
        <v/>
      </c>
      <c r="EA3" s="0" t="n">
        <v>3500</v>
      </c>
      <c r="EB3" s="0" t="n">
        <v>0</v>
      </c>
      <c r="EC3" s="0">
        <f>IF(D3="SEG-01",IFERROR(100*(_xlfn.MAXIFS($J$2:$J$5,$C$2:$C$5,C3)-J3)/(_xlfn.MAXIFS($J$2:$J$5,$C$2:$C$5,C3)-_xlfn.MINIFS($J$2:$J$5,$C$2:$C$5,C3)),100),100-ABS(J3-EB3)/EB3*100)</f>
        <v/>
      </c>
      <c r="ED3" s="0">
        <f>ROUND(MIN(100,AI3*10),0)</f>
        <v/>
      </c>
      <c r="EE3" s="0">
        <f>0.7*EC3+0.2*DY3*10+0.1*ED3</f>
        <v/>
      </c>
      <c r="EF3" s="0">
        <f>IFERROR(EE3/SUMIF($C$2:$C$5,C3,$EE$2:$EE$5),0)</f>
        <v/>
      </c>
      <c r="EG3" s="0">
        <f>'Mercados_Pipeline_sim1'!J5</f>
        <v/>
      </c>
      <c r="EH3" s="0">
        <f>'Mercados_Pipeline_sim1'!I5</f>
        <v/>
      </c>
      <c r="EI3" s="0">
        <f>'Lotes_Pipeline_sim1'!AW5+'Lotes_Pipeline_sim1'!AW6+'Lotes_Pipeline_sim1'!AW7</f>
        <v/>
      </c>
      <c r="EJ3" s="0">
        <f>'Lotes_Pipeline_sim1'!AX5+'Lotes_Pipeline_sim1'!AX6+'Lotes_Pipeline_sim1'!AX7</f>
        <v/>
      </c>
      <c r="EK3" s="0">
        <f>'Lotes_Pipeline_sim1'!AY5+'Lotes_Pipeline_sim1'!AY6+'Lotes_Pipeline_sim1'!AY7</f>
        <v/>
      </c>
      <c r="EL3" s="0">
        <f>EK3*2</f>
        <v/>
      </c>
      <c r="EM3" s="0">
        <f>IF(I3&gt;CE3,0.25*DT3*IFERROR(MIN(1,(I3-CE3)/CE3),1),0)</f>
        <v/>
      </c>
      <c r="EN3" s="0">
        <f>0</f>
        <v/>
      </c>
      <c r="EO3" s="0">
        <f>(IFERROR(INDEX('Catalogo_Numerico_sim1'!$G$2:$G$69,MATCH("COM-01C",'Catalogo_Numerico_sim1'!$A$2:$A$69,0)),0)+IFERROR(INDEX('Catalogo_Numerico_sim1'!$G$2:$G$69,MATCH("INV-01B",'Catalogo_Numerico_sim1'!$A$2:$A$69,0)),0))*1</f>
        <v/>
      </c>
      <c r="EP3" s="0">
        <f>0</f>
        <v/>
      </c>
      <c r="EQ3" s="0" t="n">
        <v>0</v>
      </c>
      <c r="ER3" s="0">
        <f>DT3+DU3+DV3+DW3+L3+EL3+EM3+EN3+EO3+EP3+EQ3</f>
        <v/>
      </c>
      <c r="ES3" s="0">
        <f>EJ3-ER3</f>
        <v/>
      </c>
      <c r="ET3" s="0">
        <f>OR(AND('Lotes_Pipeline_sim1'!C5="SEG-03",'Lotes_Pipeline_sim1'!H5&gt;0,'Lotes_Pipeline_sim1'!J5&lt;4),AND('Lotes_Pipeline_sim1'!C6="SEG-03",'Lotes_Pipeline_sim1'!H6&gt;0,'Lotes_Pipeline_sim1'!J6&lt;4),AND('Lotes_Pipeline_sim1'!C7="SEG-03",'Lotes_Pipeline_sim1'!H7&gt;0,'Lotes_Pipeline_sim1'!J7&lt;4))</f>
        <v/>
      </c>
      <c r="EU3" s="0">
        <f>OR(AND('Lotes_Pipeline_sim1'!C5="SEG-03",'Lotes_Pipeline_sim1'!H5&gt;0,'Lotes_Pipeline_sim1'!J5&gt;=7),AND('Lotes_Pipeline_sim1'!C6="SEG-03",'Lotes_Pipeline_sim1'!H6&gt;0,'Lotes_Pipeline_sim1'!J6&gt;=7),AND('Lotes_Pipeline_sim1'!C7="SEG-03",'Lotes_Pipeline_sim1'!H7&gt;0,'Lotes_Pipeline_sim1'!J7&gt;=7))</f>
        <v/>
      </c>
      <c r="EV3" s="0">
        <f>AF3&lt;4</f>
        <v/>
      </c>
      <c r="EW3" s="0">
        <f>AM3&gt;=2</f>
        <v/>
      </c>
      <c r="EX3" s="0">
        <f>AH3&lt;3</f>
        <v/>
      </c>
      <c r="EY3" s="0">
        <f>I3&gt;CE3</f>
        <v/>
      </c>
      <c r="EZ3" s="0">
        <f>CZ3&gt;EI3</f>
        <v/>
      </c>
      <c r="FA3" s="0">
        <f>AND(K3=0,AF3&lt;5)</f>
        <v/>
      </c>
      <c r="FB3" t="n">
        <v>1000000</v>
      </c>
      <c r="FC3">
        <f>1*2500*(1+0.03+0.02)+1*3500*(1+0.03+0.02)+1*1200*(1+0.03+0.02)+1*300*(1+0+0.01)</f>
        <v/>
      </c>
      <c r="FD3">
        <f>1*2500+1*3500+1*1200+1*300</f>
        <v/>
      </c>
      <c r="FE3">
        <f>(CF3*25+CH3*45+CJ3*80+CL3*4+CN3*9+CP3*2+CR3*4+CT3*7)*0.92</f>
        <v/>
      </c>
      <c r="FF3">
        <f>(DC3*25+DE3*45+DG3*80+DJ3*4+DL3*9+DO3*2+DQ3*4+DS3*7)*0.92</f>
        <v/>
      </c>
      <c r="FG3">
        <f>FB3</f>
        <v/>
      </c>
      <c r="FH3">
        <f>(1+AR3/100)^(1/12)-1</f>
        <v/>
      </c>
      <c r="FI3">
        <f>0*0+AP3*FH3</f>
        <v/>
      </c>
      <c r="FJ3">
        <f>IFERROR(FI3/(0+AP3),0)</f>
        <v/>
      </c>
      <c r="FK3">
        <f>FI3*1</f>
        <v/>
      </c>
      <c r="FL3">
        <f>ER3-DW3-DU3+FE3+FK3</f>
        <v/>
      </c>
      <c r="FM3">
        <f>FG3+EJ3+AP3-FL3-FC3</f>
        <v/>
      </c>
      <c r="FN3">
        <f>0+DW3</f>
        <v/>
      </c>
      <c r="FO3">
        <f>0+FD3</f>
        <v/>
      </c>
      <c r="FP3">
        <f>FO3-FN3</f>
        <v/>
      </c>
      <c r="FQ3">
        <f>EJ3</f>
        <v/>
      </c>
      <c r="FR3">
        <f>EJ3</f>
        <v/>
      </c>
      <c r="FS3">
        <f>ER3+FK3</f>
        <v/>
      </c>
      <c r="FT3">
        <f>ES3-FK3</f>
        <v/>
      </c>
      <c r="FU3">
        <f>DW3</f>
        <v/>
      </c>
      <c r="FV3">
        <f>FK3</f>
        <v/>
      </c>
      <c r="FW3">
        <f>ER3</f>
        <v/>
      </c>
      <c r="FX3">
        <f>FG3</f>
        <v/>
      </c>
      <c r="FY3">
        <f>EJ3+AP3</f>
        <v/>
      </c>
      <c r="FZ3">
        <f>FL3+FC3</f>
        <v/>
      </c>
      <c r="GA3">
        <f>FM3</f>
        <v/>
      </c>
      <c r="GB3">
        <f>FG3</f>
        <v/>
      </c>
      <c r="GC3">
        <f>EJ3</f>
        <v/>
      </c>
      <c r="GD3">
        <f>FL3</f>
        <v/>
      </c>
      <c r="GE3">
        <f>FC3</f>
        <v/>
      </c>
      <c r="GF3">
        <f>AP3</f>
        <v/>
      </c>
      <c r="GG3">
        <f>EJ3-FL3</f>
        <v/>
      </c>
      <c r="GH3">
        <f>-FC3</f>
        <v/>
      </c>
      <c r="GI3">
        <f>FM3-FG3</f>
        <v/>
      </c>
      <c r="GJ3">
        <f>FM3</f>
        <v/>
      </c>
      <c r="GK3">
        <f>FM3</f>
        <v/>
      </c>
      <c r="GL3">
        <f>FP3</f>
        <v/>
      </c>
      <c r="GM3">
        <f>FF3</f>
        <v/>
      </c>
      <c r="GN3">
        <f>FM3+FP3+FF3</f>
        <v/>
      </c>
      <c r="GO3">
        <f>AS3</f>
        <v/>
      </c>
      <c r="GP3">
        <f>FM3+FP3+FF3-AS3</f>
        <v/>
      </c>
      <c r="GQ3">
        <f>FM3+FP3+FF3</f>
        <v/>
      </c>
      <c r="GR3">
        <f>AP3</f>
        <v/>
      </c>
      <c r="GS3">
        <f>AR3</f>
        <v/>
      </c>
      <c r="GT3">
        <f>AS3</f>
        <v/>
      </c>
      <c r="GU3">
        <f>AT3</f>
        <v/>
      </c>
      <c r="GV3">
        <f>FJ3</f>
        <v/>
      </c>
      <c r="GW3">
        <f>FK3</f>
        <v/>
      </c>
    </row>
    <row r="4">
      <c r="A4" s="0" t="n">
        <v>1</v>
      </c>
      <c r="B4" s="0" t="inlineStr">
        <is>
          <t>C</t>
        </is>
      </c>
      <c r="C4" s="0" t="inlineStr">
        <is>
          <t>1|SEG-01</t>
        </is>
      </c>
      <c r="D4" s="0" t="inlineStr">
        <is>
          <t>SEG-01</t>
        </is>
      </c>
      <c r="E4" s="0" t="inlineStr">
        <is>
          <t>INF-08</t>
        </is>
      </c>
      <c r="F4" s="0" t="inlineStr">
        <is>
          <t>INS-01</t>
        </is>
      </c>
      <c r="G4" s="0" t="inlineStr">
        <is>
          <t>INS-04</t>
        </is>
      </c>
      <c r="H4" s="0" t="inlineStr">
        <is>
          <t>INS-06</t>
        </is>
      </c>
      <c r="I4" s="0" t="n">
        <v>520</v>
      </c>
      <c r="J4" s="0" t="n">
        <v>43</v>
      </c>
      <c r="K4" s="0" t="n">
        <v>1</v>
      </c>
      <c r="L4" s="0" t="n">
        <v>6000</v>
      </c>
      <c r="M4" s="0" t="inlineStr">
        <is>
          <t>MYPE</t>
        </is>
      </c>
      <c r="N4" s="0" t="inlineStr">
        <is>
          <t>INF-03</t>
        </is>
      </c>
      <c r="O4" s="0" t="inlineStr">
        <is>
          <t>INF-06</t>
        </is>
      </c>
      <c r="P4" s="0" t="inlineStr">
        <is>
          <t>INF-09</t>
        </is>
      </c>
      <c r="Q4" s="0" t="inlineStr">
        <is>
          <t>RH-02</t>
        </is>
      </c>
      <c r="R4" s="0" t="inlineStr">
        <is>
          <t>RH-05</t>
        </is>
      </c>
      <c r="S4" s="0" t="inlineStr">
        <is>
          <t>RH-08</t>
        </is>
      </c>
      <c r="T4" s="0" t="inlineStr">
        <is>
          <t>RH-10A</t>
        </is>
      </c>
      <c r="U4" s="0" t="inlineStr">
        <is>
          <t>COM-01C</t>
        </is>
      </c>
      <c r="V4" s="0" t="inlineStr">
        <is>
          <t>FIN-01B</t>
        </is>
      </c>
      <c r="W4" s="0" t="inlineStr">
        <is>
          <t>INV-01B</t>
        </is>
      </c>
      <c r="X4" s="0" t="inlineStr">
        <is>
          <t>COM-06B</t>
        </is>
      </c>
      <c r="Y4" s="0" t="inlineStr">
        <is>
          <t>INV-02B</t>
        </is>
      </c>
      <c r="Z4" s="0" t="inlineStr"/>
      <c r="AA4" s="0" t="inlineStr"/>
      <c r="AB4" s="0" t="inlineStr"/>
      <c r="AC4" s="0" t="inlineStr"/>
      <c r="AD4" s="0" t="inlineStr"/>
      <c r="AE4" s="0" t="inlineStr"/>
      <c r="AF4" s="0">
        <f>IFERROR(INDEX('Catalogo_Numerico_sim1'!$I$2:$I$69,MATCH(N4,'Catalogo_Numerico_sim1'!$A$2:$A$69,0)),0)+IFERROR(INDEX('Catalogo_Numerico_sim1'!$I$2:$I$69,MATCH(O4,'Catalogo_Numerico_sim1'!$A$2:$A$69,0)),0)+IFERROR(INDEX('Catalogo_Numerico_sim1'!$I$2:$I$69,MATCH(P4,'Catalogo_Numerico_sim1'!$A$2:$A$69,0)),0)+IFERROR(INDEX('Catalogo_Numerico_sim1'!$I$2:$I$69,MATCH(Q4,'Catalogo_Numerico_sim1'!$A$2:$A$69,0)),0)+IFERROR(INDEX('Catalogo_Numerico_sim1'!$I$2:$I$69,MATCH(R4,'Catalogo_Numerico_sim1'!$A$2:$A$69,0)),0)+IFERROR(INDEX('Catalogo_Numerico_sim1'!$I$2:$I$69,MATCH(S4,'Catalogo_Numerico_sim1'!$A$2:$A$69,0)),0)+IFERROR(INDEX('Catalogo_Numerico_sim1'!$I$2:$I$69,MATCH(T4,'Catalogo_Numerico_sim1'!$A$2:$A$69,0)),0)+IFERROR(INDEX('Catalogo_Numerico_sim1'!$I$2:$I$69,MATCH(U4,'Catalogo_Numerico_sim1'!$A$2:$A$69,0)),0)+IFERROR(INDEX('Catalogo_Numerico_sim1'!$I$2:$I$69,MATCH(V4,'Catalogo_Numerico_sim1'!$A$2:$A$69,0)),0)+IFERROR(INDEX('Catalogo_Numerico_sim1'!$I$2:$I$69,MATCH(W4,'Catalogo_Numerico_sim1'!$A$2:$A$69,0)),0)+IFERROR(INDEX('Catalogo_Numerico_sim1'!$I$2:$I$69,MATCH(X4,'Catalogo_Numerico_sim1'!$A$2:$A$69,0)),0)+IFERROR(INDEX('Catalogo_Numerico_sim1'!$I$2:$I$69,MATCH(Y4,'Catalogo_Numerico_sim1'!$A$2:$A$69,0)),0)</f>
        <v/>
      </c>
      <c r="AG4" s="0">
        <f>IFERROR(INDEX('Catalogo_Numerico_sim1'!$J$2:$J$69,MATCH(N4,'Catalogo_Numerico_sim1'!$A$2:$A$69,0)),0)+IFERROR(INDEX('Catalogo_Numerico_sim1'!$J$2:$J$69,MATCH(O4,'Catalogo_Numerico_sim1'!$A$2:$A$69,0)),0)+IFERROR(INDEX('Catalogo_Numerico_sim1'!$J$2:$J$69,MATCH(P4,'Catalogo_Numerico_sim1'!$A$2:$A$69,0)),0)+IFERROR(INDEX('Catalogo_Numerico_sim1'!$J$2:$J$69,MATCH(Q4,'Catalogo_Numerico_sim1'!$A$2:$A$69,0)),0)+IFERROR(INDEX('Catalogo_Numerico_sim1'!$J$2:$J$69,MATCH(R4,'Catalogo_Numerico_sim1'!$A$2:$A$69,0)),0)+IFERROR(INDEX('Catalogo_Numerico_sim1'!$J$2:$J$69,MATCH(S4,'Catalogo_Numerico_sim1'!$A$2:$A$69,0)),0)+IFERROR(INDEX('Catalogo_Numerico_sim1'!$J$2:$J$69,MATCH(T4,'Catalogo_Numerico_sim1'!$A$2:$A$69,0)),0)+IFERROR(INDEX('Catalogo_Numerico_sim1'!$J$2:$J$69,MATCH(U4,'Catalogo_Numerico_sim1'!$A$2:$A$69,0)),0)+IFERROR(INDEX('Catalogo_Numerico_sim1'!$J$2:$J$69,MATCH(V4,'Catalogo_Numerico_sim1'!$A$2:$A$69,0)),0)+IFERROR(INDEX('Catalogo_Numerico_sim1'!$J$2:$J$69,MATCH(W4,'Catalogo_Numerico_sim1'!$A$2:$A$69,0)),0)+IFERROR(INDEX('Catalogo_Numerico_sim1'!$J$2:$J$69,MATCH(X4,'Catalogo_Numerico_sim1'!$A$2:$A$69,0)),0)+IFERROR(INDEX('Catalogo_Numerico_sim1'!$J$2:$J$69,MATCH(Y4,'Catalogo_Numerico_sim1'!$A$2:$A$69,0)),0)</f>
        <v/>
      </c>
      <c r="AH4" s="0">
        <f>IFERROR(INDEX('Catalogo_Numerico_sim1'!$K$2:$K$69,MATCH(N4,'Catalogo_Numerico_sim1'!$A$2:$A$69,0)),0)+IFERROR(INDEX('Catalogo_Numerico_sim1'!$K$2:$K$69,MATCH(O4,'Catalogo_Numerico_sim1'!$A$2:$A$69,0)),0)+IFERROR(INDEX('Catalogo_Numerico_sim1'!$K$2:$K$69,MATCH(P4,'Catalogo_Numerico_sim1'!$A$2:$A$69,0)),0)+IFERROR(INDEX('Catalogo_Numerico_sim1'!$K$2:$K$69,MATCH(Q4,'Catalogo_Numerico_sim1'!$A$2:$A$69,0)),0)+IFERROR(INDEX('Catalogo_Numerico_sim1'!$K$2:$K$69,MATCH(R4,'Catalogo_Numerico_sim1'!$A$2:$A$69,0)),0)+IFERROR(INDEX('Catalogo_Numerico_sim1'!$K$2:$K$69,MATCH(S4,'Catalogo_Numerico_sim1'!$A$2:$A$69,0)),0)+IFERROR(INDEX('Catalogo_Numerico_sim1'!$K$2:$K$69,MATCH(T4,'Catalogo_Numerico_sim1'!$A$2:$A$69,0)),0)+IFERROR(INDEX('Catalogo_Numerico_sim1'!$K$2:$K$69,MATCH(U4,'Catalogo_Numerico_sim1'!$A$2:$A$69,0)),0)+IFERROR(INDEX('Catalogo_Numerico_sim1'!$K$2:$K$69,MATCH(V4,'Catalogo_Numerico_sim1'!$A$2:$A$69,0)),0)+IFERROR(INDEX('Catalogo_Numerico_sim1'!$K$2:$K$69,MATCH(W4,'Catalogo_Numerico_sim1'!$A$2:$A$69,0)),0)+IFERROR(INDEX('Catalogo_Numerico_sim1'!$K$2:$K$69,MATCH(X4,'Catalogo_Numerico_sim1'!$A$2:$A$69,0)),0)+IFERROR(INDEX('Catalogo_Numerico_sim1'!$K$2:$K$69,MATCH(Y4,'Catalogo_Numerico_sim1'!$A$2:$A$69,0)),0)</f>
        <v/>
      </c>
      <c r="AI4" s="0">
        <f>IFERROR(('Lotes_Pipeline_sim1'!H8*'Lotes_Pipeline_sim1'!J8+'Lotes_Pipeline_sim1'!H9*'Lotes_Pipeline_sim1'!J9+'Lotes_Pipeline_sim1'!H10*'Lotes_Pipeline_sim1'!J10)/I4,0)</f>
        <v/>
      </c>
      <c r="AJ4" s="0">
        <f>IF(OR(AND('Lotes_Pipeline_sim1'!C8="SEG-03",'Lotes_Pipeline_sim1'!H8&gt;0,'Lotes_Pipeline_sim1'!J8&lt;4),AND('Lotes_Pipeline_sim1'!C9="SEG-03",'Lotes_Pipeline_sim1'!H9&gt;0,'Lotes_Pipeline_sim1'!J9&lt;4),AND('Lotes_Pipeline_sim1'!C10="SEG-03",'Lotes_Pipeline_sim1'!H10&gt;0,'Lotes_Pipeline_sim1'!J10&lt;4)),-2,0)+IF(OR(AND('Lotes_Pipeline_sim1'!C8="SEG-03",'Lotes_Pipeline_sim1'!H8&gt;0,'Lotes_Pipeline_sim1'!J8&gt;=7),AND('Lotes_Pipeline_sim1'!C9="SEG-03",'Lotes_Pipeline_sim1'!H9&gt;0,'Lotes_Pipeline_sim1'!J9&gt;=7),AND('Lotes_Pipeline_sim1'!C10="SEG-03",'Lotes_Pipeline_sim1'!H10&gt;0,'Lotes_Pipeline_sim1'!J10&gt;=7)),2,0)</f>
        <v/>
      </c>
      <c r="AK4" s="0">
        <f>IF(AND(D4="SEG-03",I4&gt;0),IF(AI4&lt;4,0.65,IF(AI4&gt;=7,1.4,1)),1)</f>
        <v/>
      </c>
      <c r="AL4" s="0">
        <f>AG4+AJ4</f>
        <v/>
      </c>
      <c r="AM4" s="0">
        <f>IF(AL4&lt;3,0+1,0)</f>
        <v/>
      </c>
      <c r="AN4" s="0">
        <f>IF(AM4&gt;=2,0.8,1)</f>
        <v/>
      </c>
      <c r="AO4" s="0">
        <f>IF(AH4&lt;3,3,0)</f>
        <v/>
      </c>
      <c r="AP4" s="0" t="n">
        <v>0</v>
      </c>
      <c r="AQ4" s="0" t="n">
        <v>20</v>
      </c>
      <c r="AR4" s="0">
        <f>AQ4+0</f>
        <v/>
      </c>
      <c r="AS4" s="0">
        <f>0+AP4</f>
        <v/>
      </c>
      <c r="AT4" s="0">
        <f>IF(AP4&gt;0,AO4,MAX(0,AO4))</f>
        <v/>
      </c>
      <c r="AU4" s="0">
        <f>IF(AF4&lt;4,0.7,1)*IF(AND(K4=0,AF4&lt;5),0.95,1)</f>
        <v/>
      </c>
      <c r="AV4" s="0" t="n">
        <v>1</v>
      </c>
      <c r="AW4" s="0" t="n">
        <v>0</v>
      </c>
      <c r="AX4" s="0" t="n">
        <v>0</v>
      </c>
      <c r="AY4" s="0" t="n">
        <v>1</v>
      </c>
      <c r="AZ4" s="0" t="n">
        <v>0</v>
      </c>
      <c r="BA4" s="0" t="n">
        <v>0</v>
      </c>
      <c r="BB4" s="0" t="n">
        <v>1</v>
      </c>
      <c r="BC4" s="0" t="n">
        <v>0</v>
      </c>
      <c r="BD4" s="0" t="n">
        <v>0</v>
      </c>
      <c r="BE4" s="0">
        <f>AV4*5*1+AY4*7*1+BB4*9*1</f>
        <v/>
      </c>
      <c r="BF4" s="0" t="n">
        <v>0</v>
      </c>
      <c r="BG4" s="0" t="n">
        <v>0</v>
      </c>
      <c r="BH4" s="0" t="n">
        <v>1</v>
      </c>
      <c r="BI4" s="0" t="n">
        <v>1</v>
      </c>
      <c r="BJ4" s="0" t="n">
        <v>0</v>
      </c>
      <c r="BK4" s="0" t="n">
        <v>0</v>
      </c>
      <c r="BL4" s="0" t="n">
        <v>0</v>
      </c>
      <c r="BM4" s="0" t="n">
        <v>1</v>
      </c>
      <c r="BN4" s="0" t="n">
        <v>0</v>
      </c>
      <c r="BO4" s="0">
        <f>BF4*6*1+BG4*6*1.2+BH4*6*1.5+BI4*8*1+BJ4*8*1.2+BK4*8*1.5+BL4*12*1+BM4*12*1.2+BN4*12*1.5</f>
        <v/>
      </c>
      <c r="BP4" s="0" t="n">
        <v>0</v>
      </c>
      <c r="BQ4" s="0" t="n">
        <v>1</v>
      </c>
      <c r="BR4" s="0" t="n">
        <v>0</v>
      </c>
      <c r="BS4" s="0" t="n">
        <v>0</v>
      </c>
      <c r="BT4" s="0" t="n">
        <v>0</v>
      </c>
      <c r="BU4" s="0" t="n">
        <v>0</v>
      </c>
      <c r="BV4" s="0" t="n">
        <v>1</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CC4*24*1.08</f>
        <v/>
      </c>
      <c r="CE4" s="0">
        <f>ROUND(CD4*CB4,0)</f>
        <v/>
      </c>
      <c r="CF4" s="0" t="n">
        <v>100</v>
      </c>
      <c r="CG4" s="0">
        <f>0+CF4</f>
        <v/>
      </c>
      <c r="CH4" s="0" t="n">
        <v>100</v>
      </c>
      <c r="CI4" s="0">
        <f>0+CH4</f>
        <v/>
      </c>
      <c r="CJ4" s="0" t="n">
        <v>100</v>
      </c>
      <c r="CK4" s="0">
        <f>0+CJ4</f>
        <v/>
      </c>
      <c r="CL4" s="0" t="n">
        <v>1000</v>
      </c>
      <c r="CM4" s="0">
        <f>0+CL4</f>
        <v/>
      </c>
      <c r="CN4" s="0" t="n">
        <v>1000</v>
      </c>
      <c r="CO4" s="0">
        <f>0+CN4</f>
        <v/>
      </c>
      <c r="CP4" s="0" t="n">
        <v>6000</v>
      </c>
      <c r="CQ4" s="0">
        <f>0+CP4</f>
        <v/>
      </c>
      <c r="CR4" s="0" t="n">
        <v>6000</v>
      </c>
      <c r="CS4" s="0">
        <f>0+CR4</f>
        <v/>
      </c>
      <c r="CT4" s="0" t="n">
        <v>6000</v>
      </c>
      <c r="CU4" s="0">
        <f>0+CT4</f>
        <v/>
      </c>
      <c r="CV4" s="0">
        <f>(CG4)/0.3</f>
        <v/>
      </c>
      <c r="CW4" s="0">
        <f>(CM4)/1</f>
        <v/>
      </c>
      <c r="CX4" s="0">
        <f>(CQ4)/6</f>
        <v/>
      </c>
      <c r="CY4" s="0">
        <f>ROUNDDOWN(MIN(I4,CE4,CV4,CW4,CX4),0)</f>
        <v/>
      </c>
      <c r="CZ4" s="0">
        <f>'Lotes_Pipeline_sim1'!U8+'Lotes_Pipeline_sim1'!U9+'Lotes_Pipeline_sim1'!U10</f>
        <v/>
      </c>
      <c r="DA4" s="0">
        <f>DB4+DD4+DF4</f>
        <v/>
      </c>
      <c r="DB4" s="0">
        <f>'Lotes_Pipeline_sim1'!X8+'Lotes_Pipeline_sim1'!X9+'Lotes_Pipeline_sim1'!X10</f>
        <v/>
      </c>
      <c r="DC4" s="0">
        <f>CG4-DB4</f>
        <v/>
      </c>
      <c r="DD4" s="0">
        <f>'Lotes_Pipeline_sim1'!AA8+'Lotes_Pipeline_sim1'!AA9+'Lotes_Pipeline_sim1'!AA10</f>
        <v/>
      </c>
      <c r="DE4" s="0">
        <f>CI4-DD4</f>
        <v/>
      </c>
      <c r="DF4" s="0">
        <f>'Lotes_Pipeline_sim1'!AD8+'Lotes_Pipeline_sim1'!AD9+'Lotes_Pipeline_sim1'!AD10</f>
        <v/>
      </c>
      <c r="DG4" s="0">
        <f>CK4-DF4</f>
        <v/>
      </c>
      <c r="DH4" s="0">
        <f>DI4+DK4</f>
        <v/>
      </c>
      <c r="DI4" s="0">
        <f>'Lotes_Pipeline_sim1'!AG8+'Lotes_Pipeline_sim1'!AG9+'Lotes_Pipeline_sim1'!AG10</f>
        <v/>
      </c>
      <c r="DJ4" s="0">
        <f>CM4-DI4</f>
        <v/>
      </c>
      <c r="DK4" s="0">
        <f>'Lotes_Pipeline_sim1'!AJ8+'Lotes_Pipeline_sim1'!AJ9+'Lotes_Pipeline_sim1'!AJ10</f>
        <v/>
      </c>
      <c r="DL4" s="0">
        <f>CO4-DK4</f>
        <v/>
      </c>
      <c r="DM4" s="0">
        <f>DN4+DP4+DR4</f>
        <v/>
      </c>
      <c r="DN4" s="0">
        <f>'Lotes_Pipeline_sim1'!AM8+'Lotes_Pipeline_sim1'!AM9+'Lotes_Pipeline_sim1'!AM10</f>
        <v/>
      </c>
      <c r="DO4" s="0">
        <f>CQ4-DN4</f>
        <v/>
      </c>
      <c r="DP4" s="0">
        <f>'Lotes_Pipeline_sim1'!AP8+'Lotes_Pipeline_sim1'!AP9+'Lotes_Pipeline_sim1'!AP10</f>
        <v/>
      </c>
      <c r="DQ4" s="0">
        <f>CS4-DP4</f>
        <v/>
      </c>
      <c r="DR4" s="0">
        <f>'Lotes_Pipeline_sim1'!AS8+'Lotes_Pipeline_sim1'!AS9+'Lotes_Pipeline_sim1'!AS10</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(DB4*25+DD4*45+DF4*80+DI4*4+DK4*9+DN4*2+DP4*4+DR4*7)*0.92</f>
        <v/>
      </c>
      <c r="DV4" s="0">
        <f>1*2500*0.05/12*1+1*3500*0.05/12*1+1*1200*0.05/12*1+1*300*0.05/12*1</f>
        <v/>
      </c>
      <c r="DW4" s="0">
        <f>1*(2375.0/10/12*1)+1*(3325.0/10/12*1)+1*(1140.0/8/12*1)+1*(285.0/5/12*1)</f>
        <v/>
      </c>
      <c r="DX4" s="0">
        <f>IFERROR(('Lotes_Pipeline_sim1'!U10)/CZ4,0)*10+IFERROR(CA4/BZ4,0)*10+(IFERROR(DF4/(DB4+DD4+DF4),0)+IFERROR(DK4/(DI4+DK4),0)+IFERROR(DR4/(DP4+DR4),0))/3*10+L4/10000*10</f>
        <v/>
      </c>
      <c r="DY4" s="0">
        <f>10.2+AJ4</f>
        <v/>
      </c>
      <c r="DZ4" s="0">
        <f>0+CZ4</f>
        <v/>
      </c>
      <c r="EA4" s="0" t="n">
        <v>3500</v>
      </c>
      <c r="EB4" s="0" t="n">
        <v>0</v>
      </c>
      <c r="EC4" s="0">
        <f>IF(D4="SEG-01",IFERROR(100*(_xlfn.MAXIFS($J$2:$J$5,$C$2:$C$5,C4)-J4)/(_xlfn.MAXIFS($J$2:$J$5,$C$2:$C$5,C4)-_xlfn.MINIFS($J$2:$J$5,$C$2:$C$5,C4)),100),100-ABS(J4-EB4)/EB4*100)</f>
        <v/>
      </c>
      <c r="ED4" s="0">
        <f>ROUND(MIN(100,AI4*10),0)</f>
        <v/>
      </c>
      <c r="EE4" s="0">
        <f>0.7*EC4+0.2*DY4*10+0.1*ED4</f>
        <v/>
      </c>
      <c r="EF4" s="0">
        <f>IFERROR(EE4/SUMIF($C$2:$C$5,C4,$EE$2:$EE$5),0)</f>
        <v/>
      </c>
      <c r="EG4" s="0">
        <f>'Mercados_Pipeline_sim1'!J8</f>
        <v/>
      </c>
      <c r="EH4" s="0">
        <f>'Mercados_Pipeline_sim1'!I8</f>
        <v/>
      </c>
      <c r="EI4" s="0">
        <f>'Lotes_Pipeline_sim1'!AW8+'Lotes_Pipeline_sim1'!AW9+'Lotes_Pipeline_sim1'!AW10</f>
        <v/>
      </c>
      <c r="EJ4" s="0">
        <f>'Lotes_Pipeline_sim1'!AX8+'Lotes_Pipeline_sim1'!AX9+'Lotes_Pipeline_sim1'!AX10</f>
        <v/>
      </c>
      <c r="EK4" s="0">
        <f>'Lotes_Pipeline_sim1'!AY8+'Lotes_Pipeline_sim1'!AY9+'Lotes_Pipeline_sim1'!AY10</f>
        <v/>
      </c>
      <c r="EL4" s="0">
        <f>EK4*2</f>
        <v/>
      </c>
      <c r="EM4" s="0">
        <f>IF(I4&gt;CE4,0.25*DT4*IFERROR(MIN(1,(I4-CE4)/CE4),1),0)</f>
        <v/>
      </c>
      <c r="EN4" s="0">
        <f>0</f>
        <v/>
      </c>
      <c r="EO4" s="0">
        <f>(IFERROR(INDEX('Catalogo_Numerico_sim1'!$G$2:$G$69,MATCH("COM-01C",'Catalogo_Numerico_sim1'!$A$2:$A$69,0)),0)+IFERROR(INDEX('Catalogo_Numerico_sim1'!$G$2:$G$69,MATCH("INV-01B",'Catalogo_Numerico_sim1'!$A$2:$A$69,0)),0))*1</f>
        <v/>
      </c>
      <c r="EP4" s="0">
        <f>0</f>
        <v/>
      </c>
      <c r="EQ4" s="0" t="n">
        <v>0</v>
      </c>
      <c r="ER4" s="0">
        <f>DT4+DU4+DV4+DW4+L4+EL4+EM4+EN4+EO4+EP4+EQ4</f>
        <v/>
      </c>
      <c r="ES4" s="0">
        <f>EJ4-ER4</f>
        <v/>
      </c>
      <c r="ET4" s="0">
        <f>OR(AND('Lotes_Pipeline_sim1'!C8="SEG-03",'Lotes_Pipeline_sim1'!H8&gt;0,'Lotes_Pipeline_sim1'!J8&lt;4),AND('Lotes_Pipeline_sim1'!C9="SEG-03",'Lotes_Pipeline_sim1'!H9&gt;0,'Lotes_Pipeline_sim1'!J9&lt;4),AND('Lotes_Pipeline_sim1'!C10="SEG-03",'Lotes_Pipeline_sim1'!H10&gt;0,'Lotes_Pipeline_sim1'!J10&lt;4))</f>
        <v/>
      </c>
      <c r="EU4" s="0">
        <f>OR(AND('Lotes_Pipeline_sim1'!C8="SEG-03",'Lotes_Pipeline_sim1'!H8&gt;0,'Lotes_Pipeline_sim1'!J8&gt;=7),AND('Lotes_Pipeline_sim1'!C9="SEG-03",'Lotes_Pipeline_sim1'!H9&gt;0,'Lotes_Pipeline_sim1'!J9&gt;=7),AND('Lotes_Pipeline_sim1'!C10="SEG-03",'Lotes_Pipeline_sim1'!H10&gt;0,'Lotes_Pipeline_sim1'!J10&gt;=7))</f>
        <v/>
      </c>
      <c r="EV4" s="0">
        <f>AF4&lt;4</f>
        <v/>
      </c>
      <c r="EW4" s="0">
        <f>AM4&gt;=2</f>
        <v/>
      </c>
      <c r="EX4" s="0">
        <f>AH4&lt;3</f>
        <v/>
      </c>
      <c r="EY4" s="0">
        <f>I4&gt;CE4</f>
        <v/>
      </c>
      <c r="EZ4" s="0">
        <f>CZ4&gt;EI4</f>
        <v/>
      </c>
      <c r="FA4" s="0">
        <f>AND(K4=0,AF4&lt;5)</f>
        <v/>
      </c>
      <c r="FB4" t="n">
        <v>1000000</v>
      </c>
      <c r="FC4">
        <f>1*2500*(1+0.03+0.02)+1*3500*(1+0.03+0.02)+1*1200*(1+0.03+0.02)+1*300*(1+0+0.01)</f>
        <v/>
      </c>
      <c r="FD4">
        <f>1*2500+1*3500+1*1200+1*300</f>
        <v/>
      </c>
      <c r="FE4">
        <f>(CF4*25+CH4*45+CJ4*80+CL4*4+CN4*9+CP4*2+CR4*4+CT4*7)*0.92</f>
        <v/>
      </c>
      <c r="FF4">
        <f>(DC4*25+DE4*45+DG4*80+DJ4*4+DL4*9+DO4*2+DQ4*4+DS4*7)*0.92</f>
        <v/>
      </c>
      <c r="FG4">
        <f>FB4</f>
        <v/>
      </c>
      <c r="FH4">
        <f>(1+AR4/100)^(1/12)-1</f>
        <v/>
      </c>
      <c r="FI4">
        <f>0*0+AP4*FH4</f>
        <v/>
      </c>
      <c r="FJ4">
        <f>IFERROR(FI4/(0+AP4),0)</f>
        <v/>
      </c>
      <c r="FK4">
        <f>FI4*1</f>
        <v/>
      </c>
      <c r="FL4">
        <f>ER4-DW4-DU4+FE4+FK4</f>
        <v/>
      </c>
      <c r="FM4">
        <f>FG4+EJ4+AP4-FL4-FC4</f>
        <v/>
      </c>
      <c r="FN4">
        <f>0+DW4</f>
        <v/>
      </c>
      <c r="FO4">
        <f>0+FD4</f>
        <v/>
      </c>
      <c r="FP4">
        <f>FO4-FN4</f>
        <v/>
      </c>
      <c r="FQ4">
        <f>EJ4</f>
        <v/>
      </c>
      <c r="FR4">
        <f>EJ4</f>
        <v/>
      </c>
      <c r="FS4">
        <f>ER4+FK4</f>
        <v/>
      </c>
      <c r="FT4">
        <f>ES4-FK4</f>
        <v/>
      </c>
      <c r="FU4">
        <f>DW4</f>
        <v/>
      </c>
      <c r="FV4">
        <f>FK4</f>
        <v/>
      </c>
      <c r="FW4">
        <f>ER4</f>
        <v/>
      </c>
      <c r="FX4">
        <f>FG4</f>
        <v/>
      </c>
      <c r="FY4">
        <f>EJ4+AP4</f>
        <v/>
      </c>
      <c r="FZ4">
        <f>FL4+FC4</f>
        <v/>
      </c>
      <c r="GA4">
        <f>FM4</f>
        <v/>
      </c>
      <c r="GB4">
        <f>FG4</f>
        <v/>
      </c>
      <c r="GC4">
        <f>EJ4</f>
        <v/>
      </c>
      <c r="GD4">
        <f>FL4</f>
        <v/>
      </c>
      <c r="GE4">
        <f>FC4</f>
        <v/>
      </c>
      <c r="GF4">
        <f>AP4</f>
        <v/>
      </c>
      <c r="GG4">
        <f>EJ4-FL4</f>
        <v/>
      </c>
      <c r="GH4">
        <f>-FC4</f>
        <v/>
      </c>
      <c r="GI4">
        <f>FM4-FG4</f>
        <v/>
      </c>
      <c r="GJ4">
        <f>FM4</f>
        <v/>
      </c>
      <c r="GK4">
        <f>FM4</f>
        <v/>
      </c>
      <c r="GL4">
        <f>FP4</f>
        <v/>
      </c>
      <c r="GM4">
        <f>FF4</f>
        <v/>
      </c>
      <c r="GN4">
        <f>FM4+FP4+FF4</f>
        <v/>
      </c>
      <c r="GO4">
        <f>AS4</f>
        <v/>
      </c>
      <c r="GP4">
        <f>FM4+FP4+FF4-AS4</f>
        <v/>
      </c>
      <c r="GQ4">
        <f>FM4+FP4+FF4</f>
        <v/>
      </c>
      <c r="GR4">
        <f>AP4</f>
        <v/>
      </c>
      <c r="GS4">
        <f>AR4</f>
        <v/>
      </c>
      <c r="GT4">
        <f>AS4</f>
        <v/>
      </c>
      <c r="GU4">
        <f>AT4</f>
        <v/>
      </c>
      <c r="GV4">
        <f>FJ4</f>
        <v/>
      </c>
      <c r="GW4">
        <f>FK4</f>
        <v/>
      </c>
    </row>
    <row r="5">
      <c r="A5" s="0" t="n">
        <v>1</v>
      </c>
      <c r="B5" s="0" t="inlineStr">
        <is>
          <t>D</t>
        </is>
      </c>
      <c r="C5" s="0" t="inlineStr">
        <is>
          <t>1|SEG-01</t>
        </is>
      </c>
      <c r="D5" s="0" t="inlineStr">
        <is>
          <t>SEG-01</t>
        </is>
      </c>
      <c r="E5" s="0" t="inlineStr">
        <is>
          <t>INF-08</t>
        </is>
      </c>
      <c r="F5" s="0" t="inlineStr">
        <is>
          <t>INS-01</t>
        </is>
      </c>
      <c r="G5" s="0" t="inlineStr">
        <is>
          <t>INS-04</t>
        </is>
      </c>
      <c r="H5" s="0" t="inlineStr">
        <is>
          <t>INS-06</t>
        </is>
      </c>
      <c r="I5" s="0" t="n">
        <v>520</v>
      </c>
      <c r="J5" s="0" t="n">
        <v>41</v>
      </c>
      <c r="K5" s="0" t="n">
        <v>1</v>
      </c>
      <c r="L5" s="0" t="n">
        <v>6000</v>
      </c>
      <c r="M5" s="0" t="inlineStr">
        <is>
          <t>MYPE</t>
        </is>
      </c>
      <c r="N5" s="0" t="inlineStr">
        <is>
          <t>INF-03</t>
        </is>
      </c>
      <c r="O5" s="0" t="inlineStr">
        <is>
          <t>INF-06</t>
        </is>
      </c>
      <c r="P5" s="0" t="inlineStr">
        <is>
          <t>INF-09</t>
        </is>
      </c>
      <c r="Q5" s="0" t="inlineStr">
        <is>
          <t>RH-02</t>
        </is>
      </c>
      <c r="R5" s="0" t="inlineStr">
        <is>
          <t>RH-05</t>
        </is>
      </c>
      <c r="S5" s="0" t="inlineStr">
        <is>
          <t>RH-08</t>
        </is>
      </c>
      <c r="T5" s="0" t="inlineStr">
        <is>
          <t>RH-10A</t>
        </is>
      </c>
      <c r="U5" s="0" t="inlineStr">
        <is>
          <t>COM-01C</t>
        </is>
      </c>
      <c r="V5" s="0" t="inlineStr">
        <is>
          <t>FIN-01B</t>
        </is>
      </c>
      <c r="W5" s="0" t="inlineStr">
        <is>
          <t>INV-01B</t>
        </is>
      </c>
      <c r="X5" s="0" t="inlineStr">
        <is>
          <t>COM-06B</t>
        </is>
      </c>
      <c r="Y5" s="0" t="inlineStr">
        <is>
          <t>INV-02B</t>
        </is>
      </c>
      <c r="Z5" s="0" t="inlineStr"/>
      <c r="AA5" s="0" t="inlineStr"/>
      <c r="AB5" s="0" t="inlineStr"/>
      <c r="AC5" s="0" t="inlineStr"/>
      <c r="AD5" s="0" t="inlineStr"/>
      <c r="AE5" s="0" t="inlineStr"/>
      <c r="AF5" s="0">
        <f>IFERROR(INDEX('Catalogo_Numerico_sim1'!$I$2:$I$69,MATCH(N5,'Catalogo_Numerico_sim1'!$A$2:$A$69,0)),0)+IFERROR(INDEX('Catalogo_Numerico_sim1'!$I$2:$I$69,MATCH(O5,'Catalogo_Numerico_sim1'!$A$2:$A$69,0)),0)+IFERROR(INDEX('Catalogo_Numerico_sim1'!$I$2:$I$69,MATCH(P5,'Catalogo_Numerico_sim1'!$A$2:$A$69,0)),0)+IFERROR(INDEX('Catalogo_Numerico_sim1'!$I$2:$I$69,MATCH(Q5,'Catalogo_Numerico_sim1'!$A$2:$A$69,0)),0)+IFERROR(INDEX('Catalogo_Numerico_sim1'!$I$2:$I$69,MATCH(R5,'Catalogo_Numerico_sim1'!$A$2:$A$69,0)),0)+IFERROR(INDEX('Catalogo_Numerico_sim1'!$I$2:$I$69,MATCH(S5,'Catalogo_Numerico_sim1'!$A$2:$A$69,0)),0)+IFERROR(INDEX('Catalogo_Numerico_sim1'!$I$2:$I$69,MATCH(T5,'Catalogo_Numerico_sim1'!$A$2:$A$69,0)),0)+IFERROR(INDEX('Catalogo_Numerico_sim1'!$I$2:$I$69,MATCH(U5,'Catalogo_Numerico_sim1'!$A$2:$A$69,0)),0)+IFERROR(INDEX('Catalogo_Numerico_sim1'!$I$2:$I$69,MATCH(V5,'Catalogo_Numerico_sim1'!$A$2:$A$69,0)),0)+IFERROR(INDEX('Catalogo_Numerico_sim1'!$I$2:$I$69,MATCH(W5,'Catalogo_Numerico_sim1'!$A$2:$A$69,0)),0)+IFERROR(INDEX('Catalogo_Numerico_sim1'!$I$2:$I$69,MATCH(X5,'Catalogo_Numerico_sim1'!$A$2:$A$69,0)),0)+IFERROR(INDEX('Catalogo_Numerico_sim1'!$I$2:$I$69,MATCH(Y5,'Catalogo_Numerico_sim1'!$A$2:$A$69,0)),0)</f>
        <v/>
      </c>
      <c r="AG5" s="0">
        <f>IFERROR(INDEX('Catalogo_Numerico_sim1'!$J$2:$J$69,MATCH(N5,'Catalogo_Numerico_sim1'!$A$2:$A$69,0)),0)+IFERROR(INDEX('Catalogo_Numerico_sim1'!$J$2:$J$69,MATCH(O5,'Catalogo_Numerico_sim1'!$A$2:$A$69,0)),0)+IFERROR(INDEX('Catalogo_Numerico_sim1'!$J$2:$J$69,MATCH(P5,'Catalogo_Numerico_sim1'!$A$2:$A$69,0)),0)+IFERROR(INDEX('Catalogo_Numerico_sim1'!$J$2:$J$69,MATCH(Q5,'Catalogo_Numerico_sim1'!$A$2:$A$69,0)),0)+IFERROR(INDEX('Catalogo_Numerico_sim1'!$J$2:$J$69,MATCH(R5,'Catalogo_Numerico_sim1'!$A$2:$A$69,0)),0)+IFERROR(INDEX('Catalogo_Numerico_sim1'!$J$2:$J$69,MATCH(S5,'Catalogo_Numerico_sim1'!$A$2:$A$69,0)),0)+IFERROR(INDEX('Catalogo_Numerico_sim1'!$J$2:$J$69,MATCH(T5,'Catalogo_Numerico_sim1'!$A$2:$A$69,0)),0)+IFERROR(INDEX('Catalogo_Numerico_sim1'!$J$2:$J$69,MATCH(U5,'Catalogo_Numerico_sim1'!$A$2:$A$69,0)),0)+IFERROR(INDEX('Catalogo_Numerico_sim1'!$J$2:$J$69,MATCH(V5,'Catalogo_Numerico_sim1'!$A$2:$A$69,0)),0)+IFERROR(INDEX('Catalogo_Numerico_sim1'!$J$2:$J$69,MATCH(W5,'Catalogo_Numerico_sim1'!$A$2:$A$69,0)),0)+IFERROR(INDEX('Catalogo_Numerico_sim1'!$J$2:$J$69,MATCH(X5,'Catalogo_Numerico_sim1'!$A$2:$A$69,0)),0)+IFERROR(INDEX('Catalogo_Numerico_sim1'!$J$2:$J$69,MATCH(Y5,'Catalogo_Numerico_sim1'!$A$2:$A$69,0)),0)</f>
        <v/>
      </c>
      <c r="AH5" s="0">
        <f>IFERROR(INDEX('Catalogo_Numerico_sim1'!$K$2:$K$69,MATCH(N5,'Catalogo_Numerico_sim1'!$A$2:$A$69,0)),0)+IFERROR(INDEX('Catalogo_Numerico_sim1'!$K$2:$K$69,MATCH(O5,'Catalogo_Numerico_sim1'!$A$2:$A$69,0)),0)+IFERROR(INDEX('Catalogo_Numerico_sim1'!$K$2:$K$69,MATCH(P5,'Catalogo_Numerico_sim1'!$A$2:$A$69,0)),0)+IFERROR(INDEX('Catalogo_Numerico_sim1'!$K$2:$K$69,MATCH(Q5,'Catalogo_Numerico_sim1'!$A$2:$A$69,0)),0)+IFERROR(INDEX('Catalogo_Numerico_sim1'!$K$2:$K$69,MATCH(R5,'Catalogo_Numerico_sim1'!$A$2:$A$69,0)),0)+IFERROR(INDEX('Catalogo_Numerico_sim1'!$K$2:$K$69,MATCH(S5,'Catalogo_Numerico_sim1'!$A$2:$A$69,0)),0)+IFERROR(INDEX('Catalogo_Numerico_sim1'!$K$2:$K$69,MATCH(T5,'Catalogo_Numerico_sim1'!$A$2:$A$69,0)),0)+IFERROR(INDEX('Catalogo_Numerico_sim1'!$K$2:$K$69,MATCH(U5,'Catalogo_Numerico_sim1'!$A$2:$A$69,0)),0)+IFERROR(INDEX('Catalogo_Numerico_sim1'!$K$2:$K$69,MATCH(V5,'Catalogo_Numerico_sim1'!$A$2:$A$69,0)),0)+IFERROR(INDEX('Catalogo_Numerico_sim1'!$K$2:$K$69,MATCH(W5,'Catalogo_Numerico_sim1'!$A$2:$A$69,0)),0)+IFERROR(INDEX('Catalogo_Numerico_sim1'!$K$2:$K$69,MATCH(X5,'Catalogo_Numerico_sim1'!$A$2:$A$69,0)),0)+IFERROR(INDEX('Catalogo_Numerico_sim1'!$K$2:$K$69,MATCH(Y5,'Catalogo_Numerico_sim1'!$A$2:$A$69,0)),0)</f>
        <v/>
      </c>
      <c r="AI5" s="0">
        <f>IFERROR(('Lotes_Pipeline_sim1'!H11*'Lotes_Pipeline_sim1'!J11+'Lotes_Pipeline_sim1'!H12*'Lotes_Pipeline_sim1'!J12+'Lotes_Pipeline_sim1'!H13*'Lotes_Pipeline_sim1'!J13)/I5,0)</f>
        <v/>
      </c>
      <c r="AJ5" s="0">
        <f>IF(OR(AND('Lotes_Pipeline_sim1'!C11="SEG-03",'Lotes_Pipeline_sim1'!H11&gt;0,'Lotes_Pipeline_sim1'!J11&lt;4),AND('Lotes_Pipeline_sim1'!C12="SEG-03",'Lotes_Pipeline_sim1'!H12&gt;0,'Lotes_Pipeline_sim1'!J12&lt;4),AND('Lotes_Pipeline_sim1'!C13="SEG-03",'Lotes_Pipeline_sim1'!H13&gt;0,'Lotes_Pipeline_sim1'!J13&lt;4)),-2,0)+IF(OR(AND('Lotes_Pipeline_sim1'!C11="SEG-03",'Lotes_Pipeline_sim1'!H11&gt;0,'Lotes_Pipeline_sim1'!J11&gt;=7),AND('Lotes_Pipeline_sim1'!C12="SEG-03",'Lotes_Pipeline_sim1'!H12&gt;0,'Lotes_Pipeline_sim1'!J12&gt;=7),AND('Lotes_Pipeline_sim1'!C13="SEG-03",'Lotes_Pipeline_sim1'!H13&gt;0,'Lotes_Pipeline_sim1'!J13&gt;=7)),2,0)</f>
        <v/>
      </c>
      <c r="AK5" s="0">
        <f>IF(AND(D5="SEG-03",I5&gt;0),IF(AI5&lt;4,0.65,IF(AI5&gt;=7,1.4,1)),1)</f>
        <v/>
      </c>
      <c r="AL5" s="0">
        <f>AG5+AJ5</f>
        <v/>
      </c>
      <c r="AM5" s="0">
        <f>IF(AL5&lt;3,0+1,0)</f>
        <v/>
      </c>
      <c r="AN5" s="0">
        <f>IF(AM5&gt;=2,0.8,1)</f>
        <v/>
      </c>
      <c r="AO5" s="0">
        <f>IF(AH5&lt;3,3,0)</f>
        <v/>
      </c>
      <c r="AP5" s="0" t="n">
        <v>0</v>
      </c>
      <c r="AQ5" s="0" t="n">
        <v>20</v>
      </c>
      <c r="AR5" s="0">
        <f>AQ5+0</f>
        <v/>
      </c>
      <c r="AS5" s="0">
        <f>0+AP5</f>
        <v/>
      </c>
      <c r="AT5" s="0">
        <f>IF(AP5&gt;0,AO5,MAX(0,AO5))</f>
        <v/>
      </c>
      <c r="AU5" s="0">
        <f>IF(AF5&lt;4,0.7,1)*IF(AND(K5=0,AF5&lt;5),0.95,1)</f>
        <v/>
      </c>
      <c r="AV5" s="0" t="n">
        <v>1</v>
      </c>
      <c r="AW5" s="0" t="n">
        <v>0</v>
      </c>
      <c r="AX5" s="0" t="n">
        <v>0</v>
      </c>
      <c r="AY5" s="0" t="n">
        <v>1</v>
      </c>
      <c r="AZ5" s="0" t="n">
        <v>0</v>
      </c>
      <c r="BA5" s="0" t="n">
        <v>0</v>
      </c>
      <c r="BB5" s="0" t="n">
        <v>1</v>
      </c>
      <c r="BC5" s="0" t="n">
        <v>0</v>
      </c>
      <c r="BD5" s="0" t="n">
        <v>0</v>
      </c>
      <c r="BE5" s="0">
        <f>AV5*5*1+AY5*7*1+BB5*9*1</f>
        <v/>
      </c>
      <c r="BF5" s="0" t="n">
        <v>0</v>
      </c>
      <c r="BG5" s="0" t="n">
        <v>0</v>
      </c>
      <c r="BH5" s="0" t="n">
        <v>1</v>
      </c>
      <c r="BI5" s="0" t="n">
        <v>1</v>
      </c>
      <c r="BJ5" s="0" t="n">
        <v>0</v>
      </c>
      <c r="BK5" s="0" t="n">
        <v>0</v>
      </c>
      <c r="BL5" s="0" t="n">
        <v>0</v>
      </c>
      <c r="BM5" s="0" t="n">
        <v>1</v>
      </c>
      <c r="BN5" s="0" t="n">
        <v>0</v>
      </c>
      <c r="BO5" s="0">
        <f>BF5*6*1+BG5*6*1.2+BH5*6*1.5+BI5*8*1+BJ5*8*1.2+BK5*8*1.5+BL5*12*1+BM5*12*1.2+BN5*12*1.5</f>
        <v/>
      </c>
      <c r="BP5" s="0" t="n">
        <v>0</v>
      </c>
      <c r="BQ5" s="0" t="n">
        <v>1</v>
      </c>
      <c r="BR5" s="0" t="n">
        <v>0</v>
      </c>
      <c r="BS5" s="0" t="n">
        <v>0</v>
      </c>
      <c r="BT5" s="0" t="n">
        <v>0</v>
      </c>
      <c r="BU5" s="0" t="n">
        <v>0</v>
      </c>
      <c r="BV5" s="0" t="n">
        <v>1</v>
      </c>
      <c r="BW5" s="0" t="n">
        <v>0</v>
      </c>
      <c r="BX5" s="0" t="n">
        <v>0</v>
      </c>
      <c r="BY5" s="0">
        <f>BP5*6*1+BQ5*6*1.2+BR5*6*1.5+BS5*7*1+BT5*7*1.2+BU5*7*1.5+BV5*10*1+BW5*10*1.2+BX5*10*1.5</f>
        <v/>
      </c>
      <c r="BZ5" s="0">
        <f>AV5+AY5+BB5+BF5+BG5+BH5+BI5+BJ5+BK5+BL5+BM5+BN5+BP5+BQ5+BR5+BS5+BT5+BU5+BV5+BW5+BX5</f>
        <v/>
      </c>
      <c r="CA5" s="0">
        <f>BB5+BL5+BM5+BN5+BV5+BW5+BX5</f>
        <v/>
      </c>
      <c r="CB5" s="0">
        <f>0.9+(BB5+BL5+BV5)*0.01+K5*0.04</f>
        <v/>
      </c>
      <c r="CC5" s="0">
        <f>MIN(BE5,BO5,BY5)</f>
        <v/>
      </c>
      <c r="CD5" s="0">
        <f>CC5*24*1.08</f>
        <v/>
      </c>
      <c r="CE5" s="0">
        <f>ROUND(CD5*CB5,0)</f>
        <v/>
      </c>
      <c r="CF5" s="0" t="n">
        <v>100</v>
      </c>
      <c r="CG5" s="0">
        <f>0+CF5</f>
        <v/>
      </c>
      <c r="CH5" s="0" t="n">
        <v>100</v>
      </c>
      <c r="CI5" s="0">
        <f>0+CH5</f>
        <v/>
      </c>
      <c r="CJ5" s="0" t="n">
        <v>100</v>
      </c>
      <c r="CK5" s="0">
        <f>0+CJ5</f>
        <v/>
      </c>
      <c r="CL5" s="0" t="n">
        <v>1000</v>
      </c>
      <c r="CM5" s="0">
        <f>0+CL5</f>
        <v/>
      </c>
      <c r="CN5" s="0" t="n">
        <v>1000</v>
      </c>
      <c r="CO5" s="0">
        <f>0+CN5</f>
        <v/>
      </c>
      <c r="CP5" s="0" t="n">
        <v>6000</v>
      </c>
      <c r="CQ5" s="0">
        <f>0+CP5</f>
        <v/>
      </c>
      <c r="CR5" s="0" t="n">
        <v>6000</v>
      </c>
      <c r="CS5" s="0">
        <f>0+CR5</f>
        <v/>
      </c>
      <c r="CT5" s="0" t="n">
        <v>6000</v>
      </c>
      <c r="CU5" s="0">
        <f>0+CT5</f>
        <v/>
      </c>
      <c r="CV5" s="0">
        <f>(CG5)/0.3</f>
        <v/>
      </c>
      <c r="CW5" s="0">
        <f>(CM5)/1</f>
        <v/>
      </c>
      <c r="CX5" s="0">
        <f>(CQ5)/6</f>
        <v/>
      </c>
      <c r="CY5" s="0">
        <f>ROUNDDOWN(MIN(I5,CE5,CV5,CW5,CX5),0)</f>
        <v/>
      </c>
      <c r="CZ5" s="0">
        <f>'Lotes_Pipeline_sim1'!U11+'Lotes_Pipeline_sim1'!U12+'Lotes_Pipeline_sim1'!U13</f>
        <v/>
      </c>
      <c r="DA5" s="0">
        <f>DB5+DD5+DF5</f>
        <v/>
      </c>
      <c r="DB5" s="0">
        <f>'Lotes_Pipeline_sim1'!X11+'Lotes_Pipeline_sim1'!X12+'Lotes_Pipeline_sim1'!X13</f>
        <v/>
      </c>
      <c r="DC5" s="0">
        <f>CG5-DB5</f>
        <v/>
      </c>
      <c r="DD5" s="0">
        <f>'Lotes_Pipeline_sim1'!AA11+'Lotes_Pipeline_sim1'!AA12+'Lotes_Pipeline_sim1'!AA13</f>
        <v/>
      </c>
      <c r="DE5" s="0">
        <f>CI5-DD5</f>
        <v/>
      </c>
      <c r="DF5" s="0">
        <f>'Lotes_Pipeline_sim1'!AD11+'Lotes_Pipeline_sim1'!AD12+'Lotes_Pipeline_sim1'!AD13</f>
        <v/>
      </c>
      <c r="DG5" s="0">
        <f>CK5-DF5</f>
        <v/>
      </c>
      <c r="DH5" s="0">
        <f>DI5+DK5</f>
        <v/>
      </c>
      <c r="DI5" s="0">
        <f>'Lotes_Pipeline_sim1'!AG11+'Lotes_Pipeline_sim1'!AG12+'Lotes_Pipeline_sim1'!AG13</f>
        <v/>
      </c>
      <c r="DJ5" s="0">
        <f>CM5-DI5</f>
        <v/>
      </c>
      <c r="DK5" s="0">
        <f>'Lotes_Pipeline_sim1'!AJ11+'Lotes_Pipeline_sim1'!AJ12+'Lotes_Pipeline_sim1'!AJ13</f>
        <v/>
      </c>
      <c r="DL5" s="0">
        <f>CO5-DK5</f>
        <v/>
      </c>
      <c r="DM5" s="0">
        <f>DN5+DP5+DR5</f>
        <v/>
      </c>
      <c r="DN5" s="0">
        <f>'Lotes_Pipeline_sim1'!AM11+'Lotes_Pipeline_sim1'!AM12+'Lotes_Pipeline_sim1'!AM13</f>
        <v/>
      </c>
      <c r="DO5" s="0">
        <f>CQ5-DN5</f>
        <v/>
      </c>
      <c r="DP5" s="0">
        <f>'Lotes_Pipeline_sim1'!AP11+'Lotes_Pipeline_sim1'!AP12+'Lotes_Pipeline_sim1'!AP13</f>
        <v/>
      </c>
      <c r="DQ5" s="0">
        <f>CS5-DP5</f>
        <v/>
      </c>
      <c r="DR5" s="0">
        <f>'Lotes_Pipeline_sim1'!AS11+'Lotes_Pipeline_sim1'!AS12+'Lotes_Pipeline_sim1'!AS13</f>
        <v/>
      </c>
      <c r="DS5" s="0">
        <f>CU5-DR5</f>
        <v/>
      </c>
      <c r="DT5" s="0">
        <f>((AV5+AW5+AX5)*IF(M5="NO_MYPE",'Costos De Producción'!V11,'Costos De Producción'!U11)+(AY5+AZ5+BA5)*IF(M5="NO_MYPE",'Costos De Producción'!V20,'Costos De Producción'!U20)+(BB5+BC5+BD5)*IF(M5="NO_MYPE",'Costos De Producción'!V29,'Costos De Producción'!U29)+(BF5+BG5+BH5)*IF(M5="NO_MYPE",'Costos De Producción'!Z11,'Costos De Producción'!Y11)+(BI5+BJ5+BK5)*IF(M5="NO_MYPE",'Costos De Producción'!Z20,'Costos De Producción'!Y20)+(BL5+BM5+BN5)*IF(M5="NO_MYPE",'Costos De Producción'!Z29,'Costos De Producción'!Y29)+(BP5+BQ5+BR5)*IF(M5="NO_MYPE",'Costos De Producción'!AD11,'Costos De Producción'!AC11)+(BS5+BT5+BU5)*IF(M5="NO_MYPE",'Costos De Producción'!AD20,'Costos De Producción'!AC20)+(BV5+BW5+BX5)*IF(M5="NO_MYPE",'Costos De Producción'!AD29,'Costos De Producción'!AC29)+K5*IF(M5="NO_MYPE",'Costos De Producción'!V39,'Costos De Producción'!U39)+IF(M5="NO_MYPE",'Costos De Producción'!Z39,'Costos De Producción'!Y39)+'Costos De Producción'!AC33)*1</f>
        <v/>
      </c>
      <c r="DU5" s="0">
        <f>(DB5*25+DD5*45+DF5*80+DI5*4+DK5*9+DN5*2+DP5*4+DR5*7)*0.92</f>
        <v/>
      </c>
      <c r="DV5" s="0">
        <f>1*2500*0.05/12*1+1*3500*0.05/12*1+1*1200*0.05/12*1+1*300*0.05/12*1</f>
        <v/>
      </c>
      <c r="DW5" s="0">
        <f>1*(2375.0/10/12*1)+1*(3325.0/10/12*1)+1*(1140.0/8/12*1)+1*(285.0/5/12*1)</f>
        <v/>
      </c>
      <c r="DX5" s="0">
        <f>IFERROR(('Lotes_Pipeline_sim1'!U13)/CZ5,0)*10+IFERROR(CA5/BZ5,0)*10+(IFERROR(DF5/(DB5+DD5+DF5),0)+IFERROR(DK5/(DI5+DK5),0)+IFERROR(DR5/(DP5+DR5),0))/3*10+L5/10000*10</f>
        <v/>
      </c>
      <c r="DY5" s="0">
        <f>9+AJ5</f>
        <v/>
      </c>
      <c r="DZ5" s="0">
        <f>0+CZ5</f>
        <v/>
      </c>
      <c r="EA5" s="0" t="n">
        <v>3500</v>
      </c>
      <c r="EB5" s="0" t="n">
        <v>0</v>
      </c>
      <c r="EC5" s="0">
        <f>IF(D5="SEG-01",IFERROR(100*(_xlfn.MAXIFS($J$2:$J$5,$C$2:$C$5,C5)-J5)/(_xlfn.MAXIFS($J$2:$J$5,$C$2:$C$5,C5)-_xlfn.MINIFS($J$2:$J$5,$C$2:$C$5,C5)),100),100-ABS(J5-EB5)/EB5*100)</f>
        <v/>
      </c>
      <c r="ED5" s="0">
        <f>ROUND(MIN(100,AI5*10),0)</f>
        <v/>
      </c>
      <c r="EE5" s="0">
        <f>0.7*EC5+0.2*DY5*10+0.1*ED5</f>
        <v/>
      </c>
      <c r="EF5" s="0">
        <f>IFERROR(EE5/SUMIF($C$2:$C$5,C5,$EE$2:$EE$5),0)</f>
        <v/>
      </c>
      <c r="EG5" s="0">
        <f>'Mercados_Pipeline_sim1'!J11</f>
        <v/>
      </c>
      <c r="EH5" s="0">
        <f>'Mercados_Pipeline_sim1'!I11</f>
        <v/>
      </c>
      <c r="EI5" s="0">
        <f>'Lotes_Pipeline_sim1'!AW11+'Lotes_Pipeline_sim1'!AW12+'Lotes_Pipeline_sim1'!AW13</f>
        <v/>
      </c>
      <c r="EJ5" s="0">
        <f>'Lotes_Pipeline_sim1'!AX11+'Lotes_Pipeline_sim1'!AX12+'Lotes_Pipeline_sim1'!AX13</f>
        <v/>
      </c>
      <c r="EK5" s="0">
        <f>'Lotes_Pipeline_sim1'!AY11+'Lotes_Pipeline_sim1'!AY12+'Lotes_Pipeline_sim1'!AY13</f>
        <v/>
      </c>
      <c r="EL5" s="0">
        <f>EK5*2</f>
        <v/>
      </c>
      <c r="EM5" s="0">
        <f>IF(I5&gt;CE5,0.25*DT5*IFERROR(MIN(1,(I5-CE5)/CE5),1),0)</f>
        <v/>
      </c>
      <c r="EN5" s="0">
        <f>0</f>
        <v/>
      </c>
      <c r="EO5" s="0">
        <f>(IFERROR(INDEX('Catalogo_Numerico_sim1'!$G$2:$G$69,MATCH("COM-01C",'Catalogo_Numerico_sim1'!$A$2:$A$69,0)),0)+IFERROR(INDEX('Catalogo_Numerico_sim1'!$G$2:$G$69,MATCH("INV-01B",'Catalogo_Numerico_sim1'!$A$2:$A$69,0)),0))*1</f>
        <v/>
      </c>
      <c r="EP5" s="0">
        <f>0</f>
        <v/>
      </c>
      <c r="EQ5" s="0" t="n">
        <v>0</v>
      </c>
      <c r="ER5" s="0">
        <f>DT5+DU5+DV5+DW5+L5+EL5+EM5+EN5+EO5+EP5+EQ5</f>
        <v/>
      </c>
      <c r="ES5" s="0">
        <f>EJ5-ER5</f>
        <v/>
      </c>
      <c r="ET5" s="0">
        <f>OR(AND('Lotes_Pipeline_sim1'!C11="SEG-03",'Lotes_Pipeline_sim1'!H11&gt;0,'Lotes_Pipeline_sim1'!J11&lt;4),AND('Lotes_Pipeline_sim1'!C12="SEG-03",'Lotes_Pipeline_sim1'!H12&gt;0,'Lotes_Pipeline_sim1'!J12&lt;4),AND('Lotes_Pipeline_sim1'!C13="SEG-03",'Lotes_Pipeline_sim1'!H13&gt;0,'Lotes_Pipeline_sim1'!J13&lt;4))</f>
        <v/>
      </c>
      <c r="EU5" s="0">
        <f>OR(AND('Lotes_Pipeline_sim1'!C11="SEG-03",'Lotes_Pipeline_sim1'!H11&gt;0,'Lotes_Pipeline_sim1'!J11&gt;=7),AND('Lotes_Pipeline_sim1'!C12="SEG-03",'Lotes_Pipeline_sim1'!H12&gt;0,'Lotes_Pipeline_sim1'!J12&gt;=7),AND('Lotes_Pipeline_sim1'!C13="SEG-03",'Lotes_Pipeline_sim1'!H13&gt;0,'Lotes_Pipeline_sim1'!J13&gt;=7))</f>
        <v/>
      </c>
      <c r="EV5" s="0">
        <f>AF5&lt;4</f>
        <v/>
      </c>
      <c r="EW5" s="0">
        <f>AM5&gt;=2</f>
        <v/>
      </c>
      <c r="EX5" s="0">
        <f>AH5&lt;3</f>
        <v/>
      </c>
      <c r="EY5" s="0">
        <f>I5&gt;CE5</f>
        <v/>
      </c>
      <c r="EZ5" s="0">
        <f>CZ5&gt;EI5</f>
        <v/>
      </c>
      <c r="FA5" s="0">
        <f>AND(K5=0,AF5&lt;5)</f>
        <v/>
      </c>
      <c r="FB5" t="n">
        <v>1000000</v>
      </c>
      <c r="FC5">
        <f>1*2500*(1+0.03+0.02)+1*3500*(1+0.03+0.02)+1*1200*(1+0.03+0.02)+1*300*(1+0+0.01)</f>
        <v/>
      </c>
      <c r="FD5">
        <f>1*2500+1*3500+1*1200+1*300</f>
        <v/>
      </c>
      <c r="FE5">
        <f>(CF5*25+CH5*45+CJ5*80+CL5*4+CN5*9+CP5*2+CR5*4+CT5*7)*0.92</f>
        <v/>
      </c>
      <c r="FF5">
        <f>(DC5*25+DE5*45+DG5*80+DJ5*4+DL5*9+DO5*2+DQ5*4+DS5*7)*0.92</f>
        <v/>
      </c>
      <c r="FG5">
        <f>FB5</f>
        <v/>
      </c>
      <c r="FH5">
        <f>(1+AR5/100)^(1/12)-1</f>
        <v/>
      </c>
      <c r="FI5">
        <f>0*0+AP5*FH5</f>
        <v/>
      </c>
      <c r="FJ5">
        <f>IFERROR(FI5/(0+AP5),0)</f>
        <v/>
      </c>
      <c r="FK5">
        <f>FI5*1</f>
        <v/>
      </c>
      <c r="FL5">
        <f>ER5-DW5-DU5+FE5+FK5</f>
        <v/>
      </c>
      <c r="FM5">
        <f>FG5+EJ5+AP5-FL5-FC5</f>
        <v/>
      </c>
      <c r="FN5">
        <f>0+DW5</f>
        <v/>
      </c>
      <c r="FO5">
        <f>0+FD5</f>
        <v/>
      </c>
      <c r="FP5">
        <f>FO5-FN5</f>
        <v/>
      </c>
      <c r="FQ5">
        <f>EJ5</f>
        <v/>
      </c>
      <c r="FR5">
        <f>EJ5</f>
        <v/>
      </c>
      <c r="FS5">
        <f>ER5+FK5</f>
        <v/>
      </c>
      <c r="FT5">
        <f>ES5-FK5</f>
        <v/>
      </c>
      <c r="FU5">
        <f>DW5</f>
        <v/>
      </c>
      <c r="FV5">
        <f>FK5</f>
        <v/>
      </c>
      <c r="FW5">
        <f>ER5</f>
        <v/>
      </c>
      <c r="FX5">
        <f>FG5</f>
        <v/>
      </c>
      <c r="FY5">
        <f>EJ5+AP5</f>
        <v/>
      </c>
      <c r="FZ5">
        <f>FL5+FC5</f>
        <v/>
      </c>
      <c r="GA5">
        <f>FM5</f>
        <v/>
      </c>
      <c r="GB5">
        <f>FG5</f>
        <v/>
      </c>
      <c r="GC5">
        <f>EJ5</f>
        <v/>
      </c>
      <c r="GD5">
        <f>FL5</f>
        <v/>
      </c>
      <c r="GE5">
        <f>FC5</f>
        <v/>
      </c>
      <c r="GF5">
        <f>AP5</f>
        <v/>
      </c>
      <c r="GG5">
        <f>EJ5-FL5</f>
        <v/>
      </c>
      <c r="GH5">
        <f>-FC5</f>
        <v/>
      </c>
      <c r="GI5">
        <f>FM5-FG5</f>
        <v/>
      </c>
      <c r="GJ5">
        <f>FM5</f>
        <v/>
      </c>
      <c r="GK5">
        <f>FM5</f>
        <v/>
      </c>
      <c r="GL5">
        <f>FP5</f>
        <v/>
      </c>
      <c r="GM5">
        <f>FF5</f>
        <v/>
      </c>
      <c r="GN5">
        <f>FM5+FP5+FF5</f>
        <v/>
      </c>
      <c r="GO5">
        <f>AS5</f>
        <v/>
      </c>
      <c r="GP5">
        <f>FM5+FP5+FF5-AS5</f>
        <v/>
      </c>
      <c r="GQ5">
        <f>FM5+FP5+FF5</f>
        <v/>
      </c>
      <c r="GR5">
        <f>AP5</f>
        <v/>
      </c>
      <c r="GS5">
        <f>AR5</f>
        <v/>
      </c>
      <c r="GT5">
        <f>AS5</f>
        <v/>
      </c>
      <c r="GU5">
        <f>AT5</f>
        <v/>
      </c>
      <c r="GV5">
        <f>FJ5</f>
        <v/>
      </c>
      <c r="GW5">
        <f>FK5</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Y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s>
  <sheetData>
    <row r="1">
      <c r="A1" s="0" t="inlineStr">
        <is>
          <t>ciclo</t>
        </is>
      </c>
      <c r="B1" s="0" t="inlineStr">
        <is>
          <t>empresa</t>
        </is>
      </c>
      <c r="C1" s="0" t="inlineStr">
        <is>
          <t>segmento</t>
        </is>
      </c>
      <c r="D1" s="0" t="inlineStr">
        <is>
          <t>molde</t>
        </is>
      </c>
      <c r="E1" s="0" t="inlineStr">
        <is>
          <t>cuero</t>
        </is>
      </c>
      <c r="F1" s="0" t="inlineStr">
        <is>
          <t>accesorios</t>
        </is>
      </c>
      <c r="G1" s="0" t="inlineStr">
        <is>
          <t>hilo</t>
        </is>
      </c>
      <c r="H1" s="0" t="inlineStr">
        <is>
          <t>cantidad</t>
        </is>
      </c>
      <c r="I1" s="0" t="inlineStr">
        <is>
          <t>precio</t>
        </is>
      </c>
      <c r="J1" s="0" t="inlineStr">
        <is>
          <t>calidad</t>
        </is>
      </c>
      <c r="K1" s="0" t="inlineStr">
        <is>
          <t>disponible_INS-01</t>
        </is>
      </c>
      <c r="L1" s="0" t="inlineStr">
        <is>
          <t>disponible_INS-02</t>
        </is>
      </c>
      <c r="M1" s="0" t="inlineStr">
        <is>
          <t>disponible_INS-03</t>
        </is>
      </c>
      <c r="N1" s="0" t="inlineStr">
        <is>
          <t>disponible_INS-04</t>
        </is>
      </c>
      <c r="O1" s="0" t="inlineStr">
        <is>
          <t>disponible_INS-05</t>
        </is>
      </c>
      <c r="P1" s="0" t="inlineStr">
        <is>
          <t>disponible_INS-06</t>
        </is>
      </c>
      <c r="Q1" s="0" t="inlineStr">
        <is>
          <t>disponible_INS-07</t>
        </is>
      </c>
      <c r="R1" s="0" t="inlineStr">
        <is>
          <t>disponible_INS-08</t>
        </is>
      </c>
      <c r="S1" s="0" t="inlineStr">
        <is>
          <t>capacidadAsignada</t>
        </is>
      </c>
      <c r="T1" s="0" t="inlineStr">
        <is>
          <t>producidoPre</t>
        </is>
      </c>
      <c r="U1" s="0" t="inlineStr">
        <is>
          <t>producido</t>
        </is>
      </c>
      <c r="V1" s="0" t="inlineStr">
        <is>
          <t>usadoPre_INS-01</t>
        </is>
      </c>
      <c r="W1" s="0" t="inlineStr">
        <is>
          <t>saldoPre_INS-01</t>
        </is>
      </c>
      <c r="X1" s="0" t="inlineStr">
        <is>
          <t>usado_INS-01</t>
        </is>
      </c>
      <c r="Y1" s="0" t="inlineStr">
        <is>
          <t>usadoPre_INS-02</t>
        </is>
      </c>
      <c r="Z1" s="0" t="inlineStr">
        <is>
          <t>saldoPre_INS-02</t>
        </is>
      </c>
      <c r="AA1" s="0" t="inlineStr">
        <is>
          <t>usado_INS-02</t>
        </is>
      </c>
      <c r="AB1" s="0" t="inlineStr">
        <is>
          <t>usadoPre_INS-03</t>
        </is>
      </c>
      <c r="AC1" s="0" t="inlineStr">
        <is>
          <t>saldoPre_INS-03</t>
        </is>
      </c>
      <c r="AD1" s="0" t="inlineStr">
        <is>
          <t>usado_INS-03</t>
        </is>
      </c>
      <c r="AE1" s="0" t="inlineStr">
        <is>
          <t>usadoPre_INS-04</t>
        </is>
      </c>
      <c r="AF1" s="0" t="inlineStr">
        <is>
          <t>saldoPre_INS-04</t>
        </is>
      </c>
      <c r="AG1" s="0" t="inlineStr">
        <is>
          <t>usado_INS-04</t>
        </is>
      </c>
      <c r="AH1" s="0" t="inlineStr">
        <is>
          <t>usadoPre_INS-05</t>
        </is>
      </c>
      <c r="AI1" s="0" t="inlineStr">
        <is>
          <t>saldoPre_INS-05</t>
        </is>
      </c>
      <c r="AJ1" s="0" t="inlineStr">
        <is>
          <t>usado_INS-05</t>
        </is>
      </c>
      <c r="AK1" s="0" t="inlineStr">
        <is>
          <t>usadoPre_INS-06</t>
        </is>
      </c>
      <c r="AL1" s="0" t="inlineStr">
        <is>
          <t>saldoPre_INS-06</t>
        </is>
      </c>
      <c r="AM1" s="0" t="inlineStr">
        <is>
          <t>usado_INS-06</t>
        </is>
      </c>
      <c r="AN1" s="0" t="inlineStr">
        <is>
          <t>usadoPre_INS-07</t>
        </is>
      </c>
      <c r="AO1" s="0" t="inlineStr">
        <is>
          <t>saldoPre_INS-07</t>
        </is>
      </c>
      <c r="AP1" s="0" t="inlineStr">
        <is>
          <t>usado_INS-07</t>
        </is>
      </c>
      <c r="AQ1" s="0" t="inlineStr">
        <is>
          <t>usadoPre_INS-08</t>
        </is>
      </c>
      <c r="AR1" s="0" t="inlineStr">
        <is>
          <t>saldoPre_INS-08</t>
        </is>
      </c>
      <c r="AS1" s="0" t="inlineStr">
        <is>
          <t>usado_INS-08</t>
        </is>
      </c>
      <c r="AT1" s="0" t="inlineStr">
        <is>
          <t>precioFactor</t>
        </is>
      </c>
      <c r="AU1" s="0" t="inlineStr">
        <is>
          <t>precioEfectivo</t>
        </is>
      </c>
      <c r="AV1" s="0" t="inlineStr">
        <is>
          <t>stockAntes</t>
        </is>
      </c>
      <c r="AW1" s="0" t="inlineStr">
        <is>
          <t>vendido</t>
        </is>
      </c>
      <c r="AX1" s="0" t="inlineStr">
        <is>
          <t>ingreso</t>
        </is>
      </c>
      <c r="AY1" s="0" t="inlineStr">
        <is>
          <t>inventarioFinal</t>
        </is>
      </c>
    </row>
    <row r="2">
      <c r="A2" s="0" t="n">
        <v>1</v>
      </c>
      <c r="B2" s="0" t="inlineStr">
        <is>
          <t>A</t>
        </is>
      </c>
      <c r="C2" s="0" t="inlineStr">
        <is>
          <t>SEG-01</t>
        </is>
      </c>
      <c r="D2" s="0" t="inlineStr">
        <is>
          <t>INF-08</t>
        </is>
      </c>
      <c r="E2" s="0" t="inlineStr">
        <is>
          <t>INS-01</t>
        </is>
      </c>
      <c r="F2" s="0" t="inlineStr">
        <is>
          <t>INS-04</t>
        </is>
      </c>
      <c r="G2" s="0" t="inlineStr">
        <is>
          <t>INS-06</t>
        </is>
      </c>
      <c r="H2" s="0" t="n">
        <v>250</v>
      </c>
      <c r="I2" s="0" t="n">
        <v>40</v>
      </c>
      <c r="J2" s="0">
        <f>IFERROR(INDEX('Catalogo_Numerico_sim1'!$H$2:$H$69,MATCH(E2,'Catalogo_Numerico_sim1'!$A$2:$A$69,0)),0)+IFERROR(INDEX('Catalogo_Numerico_sim1'!$H$2:$H$69,MATCH(F2,'Catalogo_Numerico_sim1'!$A$2:$A$69,0)),0)+IFERROR(INDEX('Catalogo_Numerico_sim1'!$H$2:$H$69,MATCH(G2,'Catalogo_Numerico_sim1'!$A$2:$A$69,0)),0)+IFERROR(INDEX('Catalogo_Numerico_sim1'!$H$2:$H$69,MATCH(D2,'Catalogo_Numerico_sim1'!$A$2:$A$69,0)),0)</f>
        <v/>
      </c>
      <c r="K2" s="0">
        <f>'Pipeline_sim1'!CG2</f>
        <v/>
      </c>
      <c r="L2" s="0">
        <f>'Pipeline_sim1'!CI2</f>
        <v/>
      </c>
      <c r="M2" s="0">
        <f>'Pipeline_sim1'!CK2</f>
        <v/>
      </c>
      <c r="N2" s="0">
        <f>'Pipeline_sim1'!CM2</f>
        <v/>
      </c>
      <c r="O2" s="0">
        <f>'Pipeline_sim1'!CO2</f>
        <v/>
      </c>
      <c r="P2" s="0">
        <f>'Pipeline_sim1'!CQ2</f>
        <v/>
      </c>
      <c r="Q2" s="0">
        <f>'Pipeline_sim1'!CS2</f>
        <v/>
      </c>
      <c r="R2" s="0">
        <f>'Pipeline_sim1'!CU2</f>
        <v/>
      </c>
      <c r="S2" s="0">
        <f>IFERROR(ROUNDDOWN(H2*'Pipeline_sim1'!CE2/'Pipeline_sim1'!I2,0),0)</f>
        <v/>
      </c>
      <c r="T2" s="0">
        <f>ROUNDDOWN(MIN(H2,S2,(K2)/0.3,(N2)/1,(P2)/6),0)</f>
        <v/>
      </c>
      <c r="U2" s="0">
        <f>ROUNDDOWN(T2*'Pipeline_sim1'!AU2,0)</f>
        <v/>
      </c>
      <c r="V2" s="0">
        <f>MIN(K2,MAX(0,T2*0.3))</f>
        <v/>
      </c>
      <c r="W2" s="0">
        <f>K2-V2</f>
        <v/>
      </c>
      <c r="X2" s="0">
        <f>IFERROR(V2*U2/T2,0)</f>
        <v/>
      </c>
      <c r="Y2" s="0">
        <f>0</f>
        <v/>
      </c>
      <c r="Z2" s="0">
        <f>L2-Y2</f>
        <v/>
      </c>
      <c r="AA2" s="0">
        <f>IFERROR(Y2*U2/T2,0)</f>
        <v/>
      </c>
      <c r="AB2" s="0">
        <f>0</f>
        <v/>
      </c>
      <c r="AC2" s="0">
        <f>M2-AB2</f>
        <v/>
      </c>
      <c r="AD2" s="0">
        <f>IFERROR(AB2*U2/T2,0)</f>
        <v/>
      </c>
      <c r="AE2" s="0">
        <f>MIN(N2,MAX(0,T2*1))</f>
        <v/>
      </c>
      <c r="AF2" s="0">
        <f>N2-AE2</f>
        <v/>
      </c>
      <c r="AG2" s="0">
        <f>IFERROR(AE2*U2/T2,0)</f>
        <v/>
      </c>
      <c r="AH2" s="0">
        <f>0</f>
        <v/>
      </c>
      <c r="AI2" s="0">
        <f>O2-AH2</f>
        <v/>
      </c>
      <c r="AJ2" s="0">
        <f>IFERROR(AH2*U2/T2,0)</f>
        <v/>
      </c>
      <c r="AK2" s="0">
        <f>MIN(P2,MAX(0,T2*6))</f>
        <v/>
      </c>
      <c r="AL2" s="0">
        <f>P2-AK2</f>
        <v/>
      </c>
      <c r="AM2" s="0">
        <f>IFERROR(AK2*U2/T2,0)</f>
        <v/>
      </c>
      <c r="AN2" s="0">
        <f>0</f>
        <v/>
      </c>
      <c r="AO2" s="0">
        <f>Q2-AN2</f>
        <v/>
      </c>
      <c r="AP2" s="0">
        <f>IFERROR(AN2*U2/T2,0)</f>
        <v/>
      </c>
      <c r="AQ2" s="0">
        <f>0</f>
        <v/>
      </c>
      <c r="AR2" s="0">
        <f>R2-AQ2</f>
        <v/>
      </c>
      <c r="AS2" s="0">
        <f>IFERROR(AQ2*U2/T2,0)</f>
        <v/>
      </c>
      <c r="AT2" s="0">
        <f>IF(AND(C2="SEG-03",H2&gt;0),IF(J2&lt;4,0.65,IF(J2&gt;=7,1.4,1)),1)</f>
        <v/>
      </c>
      <c r="AU2" s="0">
        <f>I2*AT2</f>
        <v/>
      </c>
      <c r="AV2" s="0">
        <f>0+U2</f>
        <v/>
      </c>
      <c r="AW2" s="0">
        <f>MIN(AV2,MAX(0,'Mercados_Pipeline_sim1'!I2))</f>
        <v/>
      </c>
      <c r="AX2" s="0">
        <f>AW2*AU2</f>
        <v/>
      </c>
      <c r="AY2" s="0">
        <f>AV2-AW2</f>
        <v/>
      </c>
    </row>
    <row r="3">
      <c r="A3" s="0" t="n">
        <v>1</v>
      </c>
      <c r="B3" s="0" t="inlineStr">
        <is>
          <t>A</t>
        </is>
      </c>
      <c r="C3" s="0" t="inlineStr">
        <is>
          <t>SEG-02</t>
        </is>
      </c>
      <c r="D3" s="0" t="inlineStr">
        <is>
          <t>INF-09</t>
        </is>
      </c>
      <c r="E3" s="0" t="inlineStr">
        <is>
          <t>INS-02</t>
        </is>
      </c>
      <c r="F3" s="0" t="inlineStr">
        <is>
          <t>INS-04</t>
        </is>
      </c>
      <c r="G3" s="0" t="inlineStr">
        <is>
          <t>INS-07</t>
        </is>
      </c>
      <c r="H3" s="0" t="n">
        <v>180</v>
      </c>
      <c r="I3" s="0" t="n">
        <v>120</v>
      </c>
      <c r="J3" s="0">
        <f>IFERROR(INDEX('Catalogo_Numerico_sim1'!$H$2:$H$69,MATCH(E3,'Catalogo_Numerico_sim1'!$A$2:$A$69,0)),0)+IFERROR(INDEX('Catalogo_Numerico_sim1'!$H$2:$H$69,MATCH(F3,'Catalogo_Numerico_sim1'!$A$2:$A$69,0)),0)+IFERROR(INDEX('Catalogo_Numerico_sim1'!$H$2:$H$69,MATCH(G3,'Catalogo_Numerico_sim1'!$A$2:$A$69,0)),0)+IFERROR(INDEX('Catalogo_Numerico_sim1'!$H$2:$H$69,MATCH(D3,'Catalogo_Numerico_sim1'!$A$2:$A$69,0)),0)</f>
        <v/>
      </c>
      <c r="K3" s="0">
        <f>'Lotes_Pipeline_sim1'!W2</f>
        <v/>
      </c>
      <c r="L3" s="0">
        <f>'Lotes_Pipeline_sim1'!Z2</f>
        <v/>
      </c>
      <c r="M3" s="0">
        <f>'Lotes_Pipeline_sim1'!AC2</f>
        <v/>
      </c>
      <c r="N3" s="0">
        <f>'Lotes_Pipeline_sim1'!AF2</f>
        <v/>
      </c>
      <c r="O3" s="0">
        <f>'Lotes_Pipeline_sim1'!AI2</f>
        <v/>
      </c>
      <c r="P3" s="0">
        <f>'Lotes_Pipeline_sim1'!AL2</f>
        <v/>
      </c>
      <c r="Q3" s="0">
        <f>'Lotes_Pipeline_sim1'!AO2</f>
        <v/>
      </c>
      <c r="R3" s="0">
        <f>'Lotes_Pipeline_sim1'!AR2</f>
        <v/>
      </c>
      <c r="S3" s="0">
        <f>IFERROR(ROUNDDOWN(H3*'Pipeline_sim1'!CE2/'Pipeline_sim1'!I2,0),0)</f>
        <v/>
      </c>
      <c r="T3" s="0">
        <f>ROUNDDOWN(MIN(H3,S3,(L3)/0.4,(N3)/1,(Q3)/7),0)</f>
        <v/>
      </c>
      <c r="U3" s="0">
        <f>ROUNDDOWN(T3*'Pipeline_sim1'!AU2,0)</f>
        <v/>
      </c>
      <c r="V3" s="0">
        <f>0</f>
        <v/>
      </c>
      <c r="W3" s="0">
        <f>K3-V3</f>
        <v/>
      </c>
      <c r="X3" s="0">
        <f>IFERROR(V3*U3/T3,0)</f>
        <v/>
      </c>
      <c r="Y3" s="0">
        <f>MIN(L3,MAX(0,T3*0.4-(V3)))</f>
        <v/>
      </c>
      <c r="Z3" s="0">
        <f>L3-Y3</f>
        <v/>
      </c>
      <c r="AA3" s="0">
        <f>IFERROR(Y3*U3/T3,0)</f>
        <v/>
      </c>
      <c r="AB3" s="0">
        <f>0</f>
        <v/>
      </c>
      <c r="AC3" s="0">
        <f>M3-AB3</f>
        <v/>
      </c>
      <c r="AD3" s="0">
        <f>IFERROR(AB3*U3/T3,0)</f>
        <v/>
      </c>
      <c r="AE3" s="0">
        <f>MIN(N3,MAX(0,T3*1))</f>
        <v/>
      </c>
      <c r="AF3" s="0">
        <f>N3-AE3</f>
        <v/>
      </c>
      <c r="AG3" s="0">
        <f>IFERROR(AE3*U3/T3,0)</f>
        <v/>
      </c>
      <c r="AH3" s="0">
        <f>0</f>
        <v/>
      </c>
      <c r="AI3" s="0">
        <f>O3-AH3</f>
        <v/>
      </c>
      <c r="AJ3" s="0">
        <f>IFERROR(AH3*U3/T3,0)</f>
        <v/>
      </c>
      <c r="AK3" s="0">
        <f>0</f>
        <v/>
      </c>
      <c r="AL3" s="0">
        <f>P3-AK3</f>
        <v/>
      </c>
      <c r="AM3" s="0">
        <f>IFERROR(AK3*U3/T3,0)</f>
        <v/>
      </c>
      <c r="AN3" s="0">
        <f>MIN(Q3,MAX(0,T3*7-(AK3)))</f>
        <v/>
      </c>
      <c r="AO3" s="0">
        <f>Q3-AN3</f>
        <v/>
      </c>
      <c r="AP3" s="0">
        <f>IFERROR(AN3*U3/T3,0)</f>
        <v/>
      </c>
      <c r="AQ3" s="0">
        <f>0</f>
        <v/>
      </c>
      <c r="AR3" s="0">
        <f>R3-AQ3</f>
        <v/>
      </c>
      <c r="AS3" s="0">
        <f>IFERROR(AQ3*U3/T3,0)</f>
        <v/>
      </c>
      <c r="AT3" s="0">
        <f>IF(AND(C3="SEG-03",H3&gt;0),IF(J3&lt;4,0.65,IF(J3&gt;=7,1.4,1)),1)</f>
        <v/>
      </c>
      <c r="AU3" s="0">
        <f>I3*AT3</f>
        <v/>
      </c>
      <c r="AV3" s="0">
        <f>0+U3</f>
        <v/>
      </c>
      <c r="AW3" s="0">
        <f>MIN(AV3,MAX(0,'Mercados_Pipeline_sim1'!I3))</f>
        <v/>
      </c>
      <c r="AX3" s="0">
        <f>AW3*AU3</f>
        <v/>
      </c>
      <c r="AY3" s="0">
        <f>AV3-AW3</f>
        <v/>
      </c>
    </row>
    <row r="4">
      <c r="A4" s="0" t="n">
        <v>1</v>
      </c>
      <c r="B4" s="0" t="inlineStr">
        <is>
          <t>A</t>
        </is>
      </c>
      <c r="C4" s="0" t="inlineStr">
        <is>
          <t>SEG-03</t>
        </is>
      </c>
      <c r="D4" s="0" t="inlineStr">
        <is>
          <t>INF-10</t>
        </is>
      </c>
      <c r="E4" s="0" t="inlineStr">
        <is>
          <t>INS-03</t>
        </is>
      </c>
      <c r="F4" s="0" t="inlineStr">
        <is>
          <t>INS-05</t>
        </is>
      </c>
      <c r="G4" s="0" t="inlineStr">
        <is>
          <t>INS-08</t>
        </is>
      </c>
      <c r="H4" s="0" t="n">
        <v>90</v>
      </c>
      <c r="I4" s="0" t="n">
        <v>250</v>
      </c>
      <c r="J4" s="0">
        <f>IFERROR(INDEX('Catalogo_Numerico_sim1'!$H$2:$H$69,MATCH(E4,'Catalogo_Numerico_sim1'!$A$2:$A$69,0)),0)+IFERROR(INDEX('Catalogo_Numerico_sim1'!$H$2:$H$69,MATCH(F4,'Catalogo_Numerico_sim1'!$A$2:$A$69,0)),0)+IFERROR(INDEX('Catalogo_Numerico_sim1'!$H$2:$H$69,MATCH(G4,'Catalogo_Numerico_sim1'!$A$2:$A$69,0)),0)+IFERROR(INDEX('Catalogo_Numerico_sim1'!$H$2:$H$69,MATCH(D4,'Catalogo_Numerico_sim1'!$A$2:$A$69,0)),0)</f>
        <v/>
      </c>
      <c r="K4" s="0">
        <f>'Lotes_Pipeline_sim1'!W3</f>
        <v/>
      </c>
      <c r="L4" s="0">
        <f>'Lotes_Pipeline_sim1'!Z3</f>
        <v/>
      </c>
      <c r="M4" s="0">
        <f>'Lotes_Pipeline_sim1'!AC3</f>
        <v/>
      </c>
      <c r="N4" s="0">
        <f>'Lotes_Pipeline_sim1'!AF3</f>
        <v/>
      </c>
      <c r="O4" s="0">
        <f>'Lotes_Pipeline_sim1'!AI3</f>
        <v/>
      </c>
      <c r="P4" s="0">
        <f>'Lotes_Pipeline_sim1'!AL3</f>
        <v/>
      </c>
      <c r="Q4" s="0">
        <f>'Lotes_Pipeline_sim1'!AO3</f>
        <v/>
      </c>
      <c r="R4" s="0">
        <f>'Lotes_Pipeline_sim1'!AR3</f>
        <v/>
      </c>
      <c r="S4" s="0">
        <f>IFERROR(ROUNDDOWN(H4*'Pipeline_sim1'!CE2/'Pipeline_sim1'!I2,0),0)</f>
        <v/>
      </c>
      <c r="T4" s="0">
        <f>ROUNDDOWN(MIN(H4,S4,(M4)/0.7,(O4)/1,(R4)/13),0)</f>
        <v/>
      </c>
      <c r="U4" s="0">
        <f>ROUNDDOWN(T4*'Pipeline_sim1'!AU2,0)</f>
        <v/>
      </c>
      <c r="V4" s="0">
        <f>0</f>
        <v/>
      </c>
      <c r="W4" s="0">
        <f>K4-V4</f>
        <v/>
      </c>
      <c r="X4" s="0">
        <f>IFERROR(V4*U4/T4,0)</f>
        <v/>
      </c>
      <c r="Y4" s="0">
        <f>0</f>
        <v/>
      </c>
      <c r="Z4" s="0">
        <f>L4-Y4</f>
        <v/>
      </c>
      <c r="AA4" s="0">
        <f>IFERROR(Y4*U4/T4,0)</f>
        <v/>
      </c>
      <c r="AB4" s="0">
        <f>MIN(M4,MAX(0,T4*0.7-(V4+Y4)))</f>
        <v/>
      </c>
      <c r="AC4" s="0">
        <f>M4-AB4</f>
        <v/>
      </c>
      <c r="AD4" s="0">
        <f>IFERROR(AB4*U4/T4,0)</f>
        <v/>
      </c>
      <c r="AE4" s="0">
        <f>0</f>
        <v/>
      </c>
      <c r="AF4" s="0">
        <f>N4-AE4</f>
        <v/>
      </c>
      <c r="AG4" s="0">
        <f>IFERROR(AE4*U4/T4,0)</f>
        <v/>
      </c>
      <c r="AH4" s="0">
        <f>MIN(O4,MAX(0,T4*1-(AE4)))</f>
        <v/>
      </c>
      <c r="AI4" s="0">
        <f>O4-AH4</f>
        <v/>
      </c>
      <c r="AJ4" s="0">
        <f>IFERROR(AH4*U4/T4,0)</f>
        <v/>
      </c>
      <c r="AK4" s="0">
        <f>0</f>
        <v/>
      </c>
      <c r="AL4" s="0">
        <f>P4-AK4</f>
        <v/>
      </c>
      <c r="AM4" s="0">
        <f>IFERROR(AK4*U4/T4,0)</f>
        <v/>
      </c>
      <c r="AN4" s="0">
        <f>0</f>
        <v/>
      </c>
      <c r="AO4" s="0">
        <f>Q4-AN4</f>
        <v/>
      </c>
      <c r="AP4" s="0">
        <f>IFERROR(AN4*U4/T4,0)</f>
        <v/>
      </c>
      <c r="AQ4" s="0">
        <f>MIN(R4,MAX(0,T4*13-(AK4+AN4)))</f>
        <v/>
      </c>
      <c r="AR4" s="0">
        <f>R4-AQ4</f>
        <v/>
      </c>
      <c r="AS4" s="0">
        <f>IFERROR(AQ4*U4/T4,0)</f>
        <v/>
      </c>
      <c r="AT4" s="0">
        <f>IF(AND(C4="SEG-03",H4&gt;0),IF(J4&lt;4,0.65,IF(J4&gt;=7,1.4,1)),1)</f>
        <v/>
      </c>
      <c r="AU4" s="0">
        <f>I4*AT4</f>
        <v/>
      </c>
      <c r="AV4" s="0">
        <f>0+U4</f>
        <v/>
      </c>
      <c r="AW4" s="0">
        <f>MIN(AV4,MAX(0,'Mercados_Pipeline_sim1'!I4))</f>
        <v/>
      </c>
      <c r="AX4" s="0">
        <f>AW4*AU4</f>
        <v/>
      </c>
      <c r="AY4" s="0">
        <f>AV4-AW4</f>
        <v/>
      </c>
    </row>
    <row r="5">
      <c r="A5" s="0" t="n">
        <v>1</v>
      </c>
      <c r="B5" s="0" t="inlineStr">
        <is>
          <t>B</t>
        </is>
      </c>
      <c r="C5" s="0" t="inlineStr">
        <is>
          <t>SEG-01</t>
        </is>
      </c>
      <c r="D5" s="0" t="inlineStr">
        <is>
          <t>INF-08</t>
        </is>
      </c>
      <c r="E5" s="0" t="inlineStr">
        <is>
          <t>INS-01</t>
        </is>
      </c>
      <c r="F5" s="0" t="inlineStr">
        <is>
          <t>INS-04</t>
        </is>
      </c>
      <c r="G5" s="0" t="inlineStr">
        <is>
          <t>INS-06</t>
        </is>
      </c>
      <c r="H5" s="0" t="n">
        <v>250</v>
      </c>
      <c r="I5" s="0" t="n">
        <v>45</v>
      </c>
      <c r="J5" s="0">
        <f>IFERROR(INDEX('Catalogo_Numerico_sim1'!$H$2:$H$69,MATCH(E5,'Catalogo_Numerico_sim1'!$A$2:$A$69,0)),0)+IFERROR(INDEX('Catalogo_Numerico_sim1'!$H$2:$H$69,MATCH(F5,'Catalogo_Numerico_sim1'!$A$2:$A$69,0)),0)+IFERROR(INDEX('Catalogo_Numerico_sim1'!$H$2:$H$69,MATCH(G5,'Catalogo_Numerico_sim1'!$A$2:$A$69,0)),0)+IFERROR(INDEX('Catalogo_Numerico_sim1'!$H$2:$H$69,MATCH(D5,'Catalogo_Numerico_sim1'!$A$2:$A$69,0)),0)</f>
        <v/>
      </c>
      <c r="K5" s="0">
        <f>'Pipeline_sim1'!CG3</f>
        <v/>
      </c>
      <c r="L5" s="0">
        <f>'Pipeline_sim1'!CI3</f>
        <v/>
      </c>
      <c r="M5" s="0">
        <f>'Pipeline_sim1'!CK3</f>
        <v/>
      </c>
      <c r="N5" s="0">
        <f>'Pipeline_sim1'!CM3</f>
        <v/>
      </c>
      <c r="O5" s="0">
        <f>'Pipeline_sim1'!CO3</f>
        <v/>
      </c>
      <c r="P5" s="0">
        <f>'Pipeline_sim1'!CQ3</f>
        <v/>
      </c>
      <c r="Q5" s="0">
        <f>'Pipeline_sim1'!CS3</f>
        <v/>
      </c>
      <c r="R5" s="0">
        <f>'Pipeline_sim1'!CU3</f>
        <v/>
      </c>
      <c r="S5" s="0">
        <f>IFERROR(ROUNDDOWN(H5*'Pipeline_sim1'!CE3/'Pipeline_sim1'!I3,0),0)</f>
        <v/>
      </c>
      <c r="T5" s="0">
        <f>ROUNDDOWN(MIN(H5,S5,(K5)/0.3,(N5)/1,(P5)/6),0)</f>
        <v/>
      </c>
      <c r="U5" s="0">
        <f>ROUNDDOWN(T5*'Pipeline_sim1'!AU3,0)</f>
        <v/>
      </c>
      <c r="V5" s="0">
        <f>MIN(K5,MAX(0,T5*0.3))</f>
        <v/>
      </c>
      <c r="W5" s="0">
        <f>K5-V5</f>
        <v/>
      </c>
      <c r="X5" s="0">
        <f>IFERROR(V5*U5/T5,0)</f>
        <v/>
      </c>
      <c r="Y5" s="0">
        <f>0</f>
        <v/>
      </c>
      <c r="Z5" s="0">
        <f>L5-Y5</f>
        <v/>
      </c>
      <c r="AA5" s="0">
        <f>IFERROR(Y5*U5/T5,0)</f>
        <v/>
      </c>
      <c r="AB5" s="0">
        <f>0</f>
        <v/>
      </c>
      <c r="AC5" s="0">
        <f>M5-AB5</f>
        <v/>
      </c>
      <c r="AD5" s="0">
        <f>IFERROR(AB5*U5/T5,0)</f>
        <v/>
      </c>
      <c r="AE5" s="0">
        <f>MIN(N5,MAX(0,T5*1))</f>
        <v/>
      </c>
      <c r="AF5" s="0">
        <f>N5-AE5</f>
        <v/>
      </c>
      <c r="AG5" s="0">
        <f>IFERROR(AE5*U5/T5,0)</f>
        <v/>
      </c>
      <c r="AH5" s="0">
        <f>0</f>
        <v/>
      </c>
      <c r="AI5" s="0">
        <f>O5-AH5</f>
        <v/>
      </c>
      <c r="AJ5" s="0">
        <f>IFERROR(AH5*U5/T5,0)</f>
        <v/>
      </c>
      <c r="AK5" s="0">
        <f>MIN(P5,MAX(0,T5*6))</f>
        <v/>
      </c>
      <c r="AL5" s="0">
        <f>P5-AK5</f>
        <v/>
      </c>
      <c r="AM5" s="0">
        <f>IFERROR(AK5*U5/T5,0)</f>
        <v/>
      </c>
      <c r="AN5" s="0">
        <f>0</f>
        <v/>
      </c>
      <c r="AO5" s="0">
        <f>Q5-AN5</f>
        <v/>
      </c>
      <c r="AP5" s="0">
        <f>IFERROR(AN5*U5/T5,0)</f>
        <v/>
      </c>
      <c r="AQ5" s="0">
        <f>0</f>
        <v/>
      </c>
      <c r="AR5" s="0">
        <f>R5-AQ5</f>
        <v/>
      </c>
      <c r="AS5" s="0">
        <f>IFERROR(AQ5*U5/T5,0)</f>
        <v/>
      </c>
      <c r="AT5" s="0">
        <f>IF(AND(C5="SEG-03",H5&gt;0),IF(J5&lt;4,0.65,IF(J5&gt;=7,1.4,1)),1)</f>
        <v/>
      </c>
      <c r="AU5" s="0">
        <f>I5*AT5</f>
        <v/>
      </c>
      <c r="AV5" s="0">
        <f>0+U5</f>
        <v/>
      </c>
      <c r="AW5" s="0">
        <f>MIN(AV5,MAX(0,'Mercados_Pipeline_sim1'!I5))</f>
        <v/>
      </c>
      <c r="AX5" s="0">
        <f>AW5*AU5</f>
        <v/>
      </c>
      <c r="AY5" s="0">
        <f>AV5-AW5</f>
        <v/>
      </c>
    </row>
    <row r="6">
      <c r="A6" s="0" t="n">
        <v>1</v>
      </c>
      <c r="B6" s="0" t="inlineStr">
        <is>
          <t>B</t>
        </is>
      </c>
      <c r="C6" s="0" t="inlineStr">
        <is>
          <t>SEG-02</t>
        </is>
      </c>
      <c r="D6" s="0" t="inlineStr">
        <is>
          <t>INF-09</t>
        </is>
      </c>
      <c r="E6" s="0" t="inlineStr">
        <is>
          <t>INS-02</t>
        </is>
      </c>
      <c r="F6" s="0" t="inlineStr">
        <is>
          <t>INS-04</t>
        </is>
      </c>
      <c r="G6" s="0" t="inlineStr">
        <is>
          <t>INS-07</t>
        </is>
      </c>
      <c r="H6" s="0" t="n">
        <v>180</v>
      </c>
      <c r="I6" s="0" t="n">
        <v>150</v>
      </c>
      <c r="J6" s="0">
        <f>IFERROR(INDEX('Catalogo_Numerico_sim1'!$H$2:$H$69,MATCH(E6,'Catalogo_Numerico_sim1'!$A$2:$A$69,0)),0)+IFERROR(INDEX('Catalogo_Numerico_sim1'!$H$2:$H$69,MATCH(F6,'Catalogo_Numerico_sim1'!$A$2:$A$69,0)),0)+IFERROR(INDEX('Catalogo_Numerico_sim1'!$H$2:$H$69,MATCH(G6,'Catalogo_Numerico_sim1'!$A$2:$A$69,0)),0)+IFERROR(INDEX('Catalogo_Numerico_sim1'!$H$2:$H$69,MATCH(D6,'Catalogo_Numerico_sim1'!$A$2:$A$69,0)),0)</f>
        <v/>
      </c>
      <c r="K6" s="0">
        <f>'Lotes_Pipeline_sim1'!W5</f>
        <v/>
      </c>
      <c r="L6" s="0">
        <f>'Lotes_Pipeline_sim1'!Z5</f>
        <v/>
      </c>
      <c r="M6" s="0">
        <f>'Lotes_Pipeline_sim1'!AC5</f>
        <v/>
      </c>
      <c r="N6" s="0">
        <f>'Lotes_Pipeline_sim1'!AF5</f>
        <v/>
      </c>
      <c r="O6" s="0">
        <f>'Lotes_Pipeline_sim1'!AI5</f>
        <v/>
      </c>
      <c r="P6" s="0">
        <f>'Lotes_Pipeline_sim1'!AL5</f>
        <v/>
      </c>
      <c r="Q6" s="0">
        <f>'Lotes_Pipeline_sim1'!AO5</f>
        <v/>
      </c>
      <c r="R6" s="0">
        <f>'Lotes_Pipeline_sim1'!AR5</f>
        <v/>
      </c>
      <c r="S6" s="0">
        <f>IFERROR(ROUNDDOWN(H6*'Pipeline_sim1'!CE3/'Pipeline_sim1'!I3,0),0)</f>
        <v/>
      </c>
      <c r="T6" s="0">
        <f>ROUNDDOWN(MIN(H6,S6,(L6)/0.4,(N6)/1,(Q6)/7),0)</f>
        <v/>
      </c>
      <c r="U6" s="0">
        <f>ROUNDDOWN(T6*'Pipeline_sim1'!AU3,0)</f>
        <v/>
      </c>
      <c r="V6" s="0">
        <f>0</f>
        <v/>
      </c>
      <c r="W6" s="0">
        <f>K6-V6</f>
        <v/>
      </c>
      <c r="X6" s="0">
        <f>IFERROR(V6*U6/T6,0)</f>
        <v/>
      </c>
      <c r="Y6" s="0">
        <f>MIN(L6,MAX(0,T6*0.4-(V6)))</f>
        <v/>
      </c>
      <c r="Z6" s="0">
        <f>L6-Y6</f>
        <v/>
      </c>
      <c r="AA6" s="0">
        <f>IFERROR(Y6*U6/T6,0)</f>
        <v/>
      </c>
      <c r="AB6" s="0">
        <f>0</f>
        <v/>
      </c>
      <c r="AC6" s="0">
        <f>M6-AB6</f>
        <v/>
      </c>
      <c r="AD6" s="0">
        <f>IFERROR(AB6*U6/T6,0)</f>
        <v/>
      </c>
      <c r="AE6" s="0">
        <f>MIN(N6,MAX(0,T6*1))</f>
        <v/>
      </c>
      <c r="AF6" s="0">
        <f>N6-AE6</f>
        <v/>
      </c>
      <c r="AG6" s="0">
        <f>IFERROR(AE6*U6/T6,0)</f>
        <v/>
      </c>
      <c r="AH6" s="0">
        <f>0</f>
        <v/>
      </c>
      <c r="AI6" s="0">
        <f>O6-AH6</f>
        <v/>
      </c>
      <c r="AJ6" s="0">
        <f>IFERROR(AH6*U6/T6,0)</f>
        <v/>
      </c>
      <c r="AK6" s="0">
        <f>0</f>
        <v/>
      </c>
      <c r="AL6" s="0">
        <f>P6-AK6</f>
        <v/>
      </c>
      <c r="AM6" s="0">
        <f>IFERROR(AK6*U6/T6,0)</f>
        <v/>
      </c>
      <c r="AN6" s="0">
        <f>MIN(Q6,MAX(0,T6*7-(AK6)))</f>
        <v/>
      </c>
      <c r="AO6" s="0">
        <f>Q6-AN6</f>
        <v/>
      </c>
      <c r="AP6" s="0">
        <f>IFERROR(AN6*U6/T6,0)</f>
        <v/>
      </c>
      <c r="AQ6" s="0">
        <f>0</f>
        <v/>
      </c>
      <c r="AR6" s="0">
        <f>R6-AQ6</f>
        <v/>
      </c>
      <c r="AS6" s="0">
        <f>IFERROR(AQ6*U6/T6,0)</f>
        <v/>
      </c>
      <c r="AT6" s="0">
        <f>IF(AND(C6="SEG-03",H6&gt;0),IF(J6&lt;4,0.65,IF(J6&gt;=7,1.4,1)),1)</f>
        <v/>
      </c>
      <c r="AU6" s="0">
        <f>I6*AT6</f>
        <v/>
      </c>
      <c r="AV6" s="0">
        <f>0+U6</f>
        <v/>
      </c>
      <c r="AW6" s="0">
        <f>MIN(AV6,MAX(0,'Mercados_Pipeline_sim1'!I6))</f>
        <v/>
      </c>
      <c r="AX6" s="0">
        <f>AW6*AU6</f>
        <v/>
      </c>
      <c r="AY6" s="0">
        <f>AV6-AW6</f>
        <v/>
      </c>
    </row>
    <row r="7">
      <c r="A7" s="0" t="n">
        <v>1</v>
      </c>
      <c r="B7" s="0" t="inlineStr">
        <is>
          <t>B</t>
        </is>
      </c>
      <c r="C7" s="0" t="inlineStr">
        <is>
          <t>SEG-03</t>
        </is>
      </c>
      <c r="D7" s="0" t="inlineStr">
        <is>
          <t>INF-10</t>
        </is>
      </c>
      <c r="E7" s="0" t="inlineStr">
        <is>
          <t>INS-03</t>
        </is>
      </c>
      <c r="F7" s="0" t="inlineStr">
        <is>
          <t>INS-05</t>
        </is>
      </c>
      <c r="G7" s="0" t="inlineStr">
        <is>
          <t>INS-08</t>
        </is>
      </c>
      <c r="H7" s="0" t="n">
        <v>90</v>
      </c>
      <c r="I7" s="0" t="n">
        <v>300</v>
      </c>
      <c r="J7" s="0">
        <f>IFERROR(INDEX('Catalogo_Numerico_sim1'!$H$2:$H$69,MATCH(E7,'Catalogo_Numerico_sim1'!$A$2:$A$69,0)),0)+IFERROR(INDEX('Catalogo_Numerico_sim1'!$H$2:$H$69,MATCH(F7,'Catalogo_Numerico_sim1'!$A$2:$A$69,0)),0)+IFERROR(INDEX('Catalogo_Numerico_sim1'!$H$2:$H$69,MATCH(G7,'Catalogo_Numerico_sim1'!$A$2:$A$69,0)),0)+IFERROR(INDEX('Catalogo_Numerico_sim1'!$H$2:$H$69,MATCH(D7,'Catalogo_Numerico_sim1'!$A$2:$A$69,0)),0)</f>
        <v/>
      </c>
      <c r="K7" s="0">
        <f>'Lotes_Pipeline_sim1'!W6</f>
        <v/>
      </c>
      <c r="L7" s="0">
        <f>'Lotes_Pipeline_sim1'!Z6</f>
        <v/>
      </c>
      <c r="M7" s="0">
        <f>'Lotes_Pipeline_sim1'!AC6</f>
        <v/>
      </c>
      <c r="N7" s="0">
        <f>'Lotes_Pipeline_sim1'!AF6</f>
        <v/>
      </c>
      <c r="O7" s="0">
        <f>'Lotes_Pipeline_sim1'!AI6</f>
        <v/>
      </c>
      <c r="P7" s="0">
        <f>'Lotes_Pipeline_sim1'!AL6</f>
        <v/>
      </c>
      <c r="Q7" s="0">
        <f>'Lotes_Pipeline_sim1'!AO6</f>
        <v/>
      </c>
      <c r="R7" s="0">
        <f>'Lotes_Pipeline_sim1'!AR6</f>
        <v/>
      </c>
      <c r="S7" s="0">
        <f>IFERROR(ROUNDDOWN(H7*'Pipeline_sim1'!CE3/'Pipeline_sim1'!I3,0),0)</f>
        <v/>
      </c>
      <c r="T7" s="0">
        <f>ROUNDDOWN(MIN(H7,S7,(M7)/0.7,(O7)/1,(R7)/13),0)</f>
        <v/>
      </c>
      <c r="U7" s="0">
        <f>ROUNDDOWN(T7*'Pipeline_sim1'!AU3,0)</f>
        <v/>
      </c>
      <c r="V7" s="0">
        <f>0</f>
        <v/>
      </c>
      <c r="W7" s="0">
        <f>K7-V7</f>
        <v/>
      </c>
      <c r="X7" s="0">
        <f>IFERROR(V7*U7/T7,0)</f>
        <v/>
      </c>
      <c r="Y7" s="0">
        <f>0</f>
        <v/>
      </c>
      <c r="Z7" s="0">
        <f>L7-Y7</f>
        <v/>
      </c>
      <c r="AA7" s="0">
        <f>IFERROR(Y7*U7/T7,0)</f>
        <v/>
      </c>
      <c r="AB7" s="0">
        <f>MIN(M7,MAX(0,T7*0.7-(V7+Y7)))</f>
        <v/>
      </c>
      <c r="AC7" s="0">
        <f>M7-AB7</f>
        <v/>
      </c>
      <c r="AD7" s="0">
        <f>IFERROR(AB7*U7/T7,0)</f>
        <v/>
      </c>
      <c r="AE7" s="0">
        <f>0</f>
        <v/>
      </c>
      <c r="AF7" s="0">
        <f>N7-AE7</f>
        <v/>
      </c>
      <c r="AG7" s="0">
        <f>IFERROR(AE7*U7/T7,0)</f>
        <v/>
      </c>
      <c r="AH7" s="0">
        <f>MIN(O7,MAX(0,T7*1-(AE7)))</f>
        <v/>
      </c>
      <c r="AI7" s="0">
        <f>O7-AH7</f>
        <v/>
      </c>
      <c r="AJ7" s="0">
        <f>IFERROR(AH7*U7/T7,0)</f>
        <v/>
      </c>
      <c r="AK7" s="0">
        <f>0</f>
        <v/>
      </c>
      <c r="AL7" s="0">
        <f>P7-AK7</f>
        <v/>
      </c>
      <c r="AM7" s="0">
        <f>IFERROR(AK7*U7/T7,0)</f>
        <v/>
      </c>
      <c r="AN7" s="0">
        <f>0</f>
        <v/>
      </c>
      <c r="AO7" s="0">
        <f>Q7-AN7</f>
        <v/>
      </c>
      <c r="AP7" s="0">
        <f>IFERROR(AN7*U7/T7,0)</f>
        <v/>
      </c>
      <c r="AQ7" s="0">
        <f>MIN(R7,MAX(0,T7*13-(AK7+AN7)))</f>
        <v/>
      </c>
      <c r="AR7" s="0">
        <f>R7-AQ7</f>
        <v/>
      </c>
      <c r="AS7" s="0">
        <f>IFERROR(AQ7*U7/T7,0)</f>
        <v/>
      </c>
      <c r="AT7" s="0">
        <f>IF(AND(C7="SEG-03",H7&gt;0),IF(J7&lt;4,0.65,IF(J7&gt;=7,1.4,1)),1)</f>
        <v/>
      </c>
      <c r="AU7" s="0">
        <f>I7*AT7</f>
        <v/>
      </c>
      <c r="AV7" s="0">
        <f>0+U7</f>
        <v/>
      </c>
      <c r="AW7" s="0">
        <f>MIN(AV7,MAX(0,'Mercados_Pipeline_sim1'!I7))</f>
        <v/>
      </c>
      <c r="AX7" s="0">
        <f>AW7*AU7</f>
        <v/>
      </c>
      <c r="AY7" s="0">
        <f>AV7-AW7</f>
        <v/>
      </c>
    </row>
    <row r="8">
      <c r="A8" s="0" t="n">
        <v>1</v>
      </c>
      <c r="B8" s="0" t="inlineStr">
        <is>
          <t>C</t>
        </is>
      </c>
      <c r="C8" s="0" t="inlineStr">
        <is>
          <t>SEG-01</t>
        </is>
      </c>
      <c r="D8" s="0" t="inlineStr">
        <is>
          <t>INF-08</t>
        </is>
      </c>
      <c r="E8" s="0" t="inlineStr">
        <is>
          <t>INS-01</t>
        </is>
      </c>
      <c r="F8" s="0" t="inlineStr">
        <is>
          <t>INS-04</t>
        </is>
      </c>
      <c r="G8" s="0" t="inlineStr">
        <is>
          <t>INS-06</t>
        </is>
      </c>
      <c r="H8" s="0" t="n">
        <v>250</v>
      </c>
      <c r="I8" s="0" t="n">
        <v>43</v>
      </c>
      <c r="J8" s="0">
        <f>IFERROR(INDEX('Catalogo_Numerico_sim1'!$H$2:$H$69,MATCH(E8,'Catalogo_Numerico_sim1'!$A$2:$A$69,0)),0)+IFERROR(INDEX('Catalogo_Numerico_sim1'!$H$2:$H$69,MATCH(F8,'Catalogo_Numerico_sim1'!$A$2:$A$69,0)),0)+IFERROR(INDEX('Catalogo_Numerico_sim1'!$H$2:$H$69,MATCH(G8,'Catalogo_Numerico_sim1'!$A$2:$A$69,0)),0)+IFERROR(INDEX('Catalogo_Numerico_sim1'!$H$2:$H$69,MATCH(D8,'Catalogo_Numerico_sim1'!$A$2:$A$69,0)),0)</f>
        <v/>
      </c>
      <c r="K8" s="0">
        <f>'Pipeline_sim1'!CG4</f>
        <v/>
      </c>
      <c r="L8" s="0">
        <f>'Pipeline_sim1'!CI4</f>
        <v/>
      </c>
      <c r="M8" s="0">
        <f>'Pipeline_sim1'!CK4</f>
        <v/>
      </c>
      <c r="N8" s="0">
        <f>'Pipeline_sim1'!CM4</f>
        <v/>
      </c>
      <c r="O8" s="0">
        <f>'Pipeline_sim1'!CO4</f>
        <v/>
      </c>
      <c r="P8" s="0">
        <f>'Pipeline_sim1'!CQ4</f>
        <v/>
      </c>
      <c r="Q8" s="0">
        <f>'Pipeline_sim1'!CS4</f>
        <v/>
      </c>
      <c r="R8" s="0">
        <f>'Pipeline_sim1'!CU4</f>
        <v/>
      </c>
      <c r="S8" s="0">
        <f>IFERROR(ROUNDDOWN(H8*'Pipeline_sim1'!CE4/'Pipeline_sim1'!I4,0),0)</f>
        <v/>
      </c>
      <c r="T8" s="0">
        <f>ROUNDDOWN(MIN(H8,S8,(K8)/0.3,(N8)/1,(P8)/6),0)</f>
        <v/>
      </c>
      <c r="U8" s="0">
        <f>ROUNDDOWN(T8*'Pipeline_sim1'!AU4,0)</f>
        <v/>
      </c>
      <c r="V8" s="0">
        <f>MIN(K8,MAX(0,T8*0.3))</f>
        <v/>
      </c>
      <c r="W8" s="0">
        <f>K8-V8</f>
        <v/>
      </c>
      <c r="X8" s="0">
        <f>IFERROR(V8*U8/T8,0)</f>
        <v/>
      </c>
      <c r="Y8" s="0">
        <f>0</f>
        <v/>
      </c>
      <c r="Z8" s="0">
        <f>L8-Y8</f>
        <v/>
      </c>
      <c r="AA8" s="0">
        <f>IFERROR(Y8*U8/T8,0)</f>
        <v/>
      </c>
      <c r="AB8" s="0">
        <f>0</f>
        <v/>
      </c>
      <c r="AC8" s="0">
        <f>M8-AB8</f>
        <v/>
      </c>
      <c r="AD8" s="0">
        <f>IFERROR(AB8*U8/T8,0)</f>
        <v/>
      </c>
      <c r="AE8" s="0">
        <f>MIN(N8,MAX(0,T8*1))</f>
        <v/>
      </c>
      <c r="AF8" s="0">
        <f>N8-AE8</f>
        <v/>
      </c>
      <c r="AG8" s="0">
        <f>IFERROR(AE8*U8/T8,0)</f>
        <v/>
      </c>
      <c r="AH8" s="0">
        <f>0</f>
        <v/>
      </c>
      <c r="AI8" s="0">
        <f>O8-AH8</f>
        <v/>
      </c>
      <c r="AJ8" s="0">
        <f>IFERROR(AH8*U8/T8,0)</f>
        <v/>
      </c>
      <c r="AK8" s="0">
        <f>MIN(P8,MAX(0,T8*6))</f>
        <v/>
      </c>
      <c r="AL8" s="0">
        <f>P8-AK8</f>
        <v/>
      </c>
      <c r="AM8" s="0">
        <f>IFERROR(AK8*U8/T8,0)</f>
        <v/>
      </c>
      <c r="AN8" s="0">
        <f>0</f>
        <v/>
      </c>
      <c r="AO8" s="0">
        <f>Q8-AN8</f>
        <v/>
      </c>
      <c r="AP8" s="0">
        <f>IFERROR(AN8*U8/T8,0)</f>
        <v/>
      </c>
      <c r="AQ8" s="0">
        <f>0</f>
        <v/>
      </c>
      <c r="AR8" s="0">
        <f>R8-AQ8</f>
        <v/>
      </c>
      <c r="AS8" s="0">
        <f>IFERROR(AQ8*U8/T8,0)</f>
        <v/>
      </c>
      <c r="AT8" s="0">
        <f>IF(AND(C8="SEG-03",H8&gt;0),IF(J8&lt;4,0.65,IF(J8&gt;=7,1.4,1)),1)</f>
        <v/>
      </c>
      <c r="AU8" s="0">
        <f>I8*AT8</f>
        <v/>
      </c>
      <c r="AV8" s="0">
        <f>0+U8</f>
        <v/>
      </c>
      <c r="AW8" s="0">
        <f>MIN(AV8,MAX(0,'Mercados_Pipeline_sim1'!I8))</f>
        <v/>
      </c>
      <c r="AX8" s="0">
        <f>AW8*AU8</f>
        <v/>
      </c>
      <c r="AY8" s="0">
        <f>AV8-AW8</f>
        <v/>
      </c>
    </row>
    <row r="9">
      <c r="A9" s="0" t="n">
        <v>1</v>
      </c>
      <c r="B9" s="0" t="inlineStr">
        <is>
          <t>C</t>
        </is>
      </c>
      <c r="C9" s="0" t="inlineStr">
        <is>
          <t>SEG-02</t>
        </is>
      </c>
      <c r="D9" s="0" t="inlineStr">
        <is>
          <t>INF-09</t>
        </is>
      </c>
      <c r="E9" s="0" t="inlineStr">
        <is>
          <t>INS-02</t>
        </is>
      </c>
      <c r="F9" s="0" t="inlineStr">
        <is>
          <t>INS-04</t>
        </is>
      </c>
      <c r="G9" s="0" t="inlineStr">
        <is>
          <t>INS-07</t>
        </is>
      </c>
      <c r="H9" s="0" t="n">
        <v>180</v>
      </c>
      <c r="I9" s="0" t="n">
        <v>190</v>
      </c>
      <c r="J9" s="0">
        <f>IFERROR(INDEX('Catalogo_Numerico_sim1'!$H$2:$H$69,MATCH(E9,'Catalogo_Numerico_sim1'!$A$2:$A$69,0)),0)+IFERROR(INDEX('Catalogo_Numerico_sim1'!$H$2:$H$69,MATCH(F9,'Catalogo_Numerico_sim1'!$A$2:$A$69,0)),0)+IFERROR(INDEX('Catalogo_Numerico_sim1'!$H$2:$H$69,MATCH(G9,'Catalogo_Numerico_sim1'!$A$2:$A$69,0)),0)+IFERROR(INDEX('Catalogo_Numerico_sim1'!$H$2:$H$69,MATCH(D9,'Catalogo_Numerico_sim1'!$A$2:$A$69,0)),0)</f>
        <v/>
      </c>
      <c r="K9" s="0">
        <f>'Lotes_Pipeline_sim1'!W8</f>
        <v/>
      </c>
      <c r="L9" s="0">
        <f>'Lotes_Pipeline_sim1'!Z8</f>
        <v/>
      </c>
      <c r="M9" s="0">
        <f>'Lotes_Pipeline_sim1'!AC8</f>
        <v/>
      </c>
      <c r="N9" s="0">
        <f>'Lotes_Pipeline_sim1'!AF8</f>
        <v/>
      </c>
      <c r="O9" s="0">
        <f>'Lotes_Pipeline_sim1'!AI8</f>
        <v/>
      </c>
      <c r="P9" s="0">
        <f>'Lotes_Pipeline_sim1'!AL8</f>
        <v/>
      </c>
      <c r="Q9" s="0">
        <f>'Lotes_Pipeline_sim1'!AO8</f>
        <v/>
      </c>
      <c r="R9" s="0">
        <f>'Lotes_Pipeline_sim1'!AR8</f>
        <v/>
      </c>
      <c r="S9" s="0">
        <f>IFERROR(ROUNDDOWN(H9*'Pipeline_sim1'!CE4/'Pipeline_sim1'!I4,0),0)</f>
        <v/>
      </c>
      <c r="T9" s="0">
        <f>ROUNDDOWN(MIN(H9,S9,(L9)/0.4,(N9)/1,(Q9)/7),0)</f>
        <v/>
      </c>
      <c r="U9" s="0">
        <f>ROUNDDOWN(T9*'Pipeline_sim1'!AU4,0)</f>
        <v/>
      </c>
      <c r="V9" s="0">
        <f>0</f>
        <v/>
      </c>
      <c r="W9" s="0">
        <f>K9-V9</f>
        <v/>
      </c>
      <c r="X9" s="0">
        <f>IFERROR(V9*U9/T9,0)</f>
        <v/>
      </c>
      <c r="Y9" s="0">
        <f>MIN(L9,MAX(0,T9*0.4-(V9)))</f>
        <v/>
      </c>
      <c r="Z9" s="0">
        <f>L9-Y9</f>
        <v/>
      </c>
      <c r="AA9" s="0">
        <f>IFERROR(Y9*U9/T9,0)</f>
        <v/>
      </c>
      <c r="AB9" s="0">
        <f>0</f>
        <v/>
      </c>
      <c r="AC9" s="0">
        <f>M9-AB9</f>
        <v/>
      </c>
      <c r="AD9" s="0">
        <f>IFERROR(AB9*U9/T9,0)</f>
        <v/>
      </c>
      <c r="AE9" s="0">
        <f>MIN(N9,MAX(0,T9*1))</f>
        <v/>
      </c>
      <c r="AF9" s="0">
        <f>N9-AE9</f>
        <v/>
      </c>
      <c r="AG9" s="0">
        <f>IFERROR(AE9*U9/T9,0)</f>
        <v/>
      </c>
      <c r="AH9" s="0">
        <f>0</f>
        <v/>
      </c>
      <c r="AI9" s="0">
        <f>O9-AH9</f>
        <v/>
      </c>
      <c r="AJ9" s="0">
        <f>IFERROR(AH9*U9/T9,0)</f>
        <v/>
      </c>
      <c r="AK9" s="0">
        <f>0</f>
        <v/>
      </c>
      <c r="AL9" s="0">
        <f>P9-AK9</f>
        <v/>
      </c>
      <c r="AM9" s="0">
        <f>IFERROR(AK9*U9/T9,0)</f>
        <v/>
      </c>
      <c r="AN9" s="0">
        <f>MIN(Q9,MAX(0,T9*7-(AK9)))</f>
        <v/>
      </c>
      <c r="AO9" s="0">
        <f>Q9-AN9</f>
        <v/>
      </c>
      <c r="AP9" s="0">
        <f>IFERROR(AN9*U9/T9,0)</f>
        <v/>
      </c>
      <c r="AQ9" s="0">
        <f>0</f>
        <v/>
      </c>
      <c r="AR9" s="0">
        <f>R9-AQ9</f>
        <v/>
      </c>
      <c r="AS9" s="0">
        <f>IFERROR(AQ9*U9/T9,0)</f>
        <v/>
      </c>
      <c r="AT9" s="0">
        <f>IF(AND(C9="SEG-03",H9&gt;0),IF(J9&lt;4,0.65,IF(J9&gt;=7,1.4,1)),1)</f>
        <v/>
      </c>
      <c r="AU9" s="0">
        <f>I9*AT9</f>
        <v/>
      </c>
      <c r="AV9" s="0">
        <f>0+U9</f>
        <v/>
      </c>
      <c r="AW9" s="0">
        <f>MIN(AV9,MAX(0,'Mercados_Pipeline_sim1'!I9))</f>
        <v/>
      </c>
      <c r="AX9" s="0">
        <f>AW9*AU9</f>
        <v/>
      </c>
      <c r="AY9" s="0">
        <f>AV9-AW9</f>
        <v/>
      </c>
    </row>
    <row r="10">
      <c r="A10" s="0" t="n">
        <v>1</v>
      </c>
      <c r="B10" s="0" t="inlineStr">
        <is>
          <t>C</t>
        </is>
      </c>
      <c r="C10" s="0" t="inlineStr">
        <is>
          <t>SEG-03</t>
        </is>
      </c>
      <c r="D10" s="0" t="inlineStr">
        <is>
          <t>INF-10</t>
        </is>
      </c>
      <c r="E10" s="0" t="inlineStr">
        <is>
          <t>INS-03</t>
        </is>
      </c>
      <c r="F10" s="0" t="inlineStr">
        <is>
          <t>INS-05</t>
        </is>
      </c>
      <c r="G10" s="0" t="inlineStr">
        <is>
          <t>INS-08</t>
        </is>
      </c>
      <c r="H10" s="0" t="n">
        <v>90</v>
      </c>
      <c r="I10" s="0" t="n">
        <v>220</v>
      </c>
      <c r="J10" s="0">
        <f>IFERROR(INDEX('Catalogo_Numerico_sim1'!$H$2:$H$69,MATCH(E10,'Catalogo_Numerico_sim1'!$A$2:$A$69,0)),0)+IFERROR(INDEX('Catalogo_Numerico_sim1'!$H$2:$H$69,MATCH(F10,'Catalogo_Numerico_sim1'!$A$2:$A$69,0)),0)+IFERROR(INDEX('Catalogo_Numerico_sim1'!$H$2:$H$69,MATCH(G10,'Catalogo_Numerico_sim1'!$A$2:$A$69,0)),0)+IFERROR(INDEX('Catalogo_Numerico_sim1'!$H$2:$H$69,MATCH(D10,'Catalogo_Numerico_sim1'!$A$2:$A$69,0)),0)</f>
        <v/>
      </c>
      <c r="K10" s="0">
        <f>'Lotes_Pipeline_sim1'!W9</f>
        <v/>
      </c>
      <c r="L10" s="0">
        <f>'Lotes_Pipeline_sim1'!Z9</f>
        <v/>
      </c>
      <c r="M10" s="0">
        <f>'Lotes_Pipeline_sim1'!AC9</f>
        <v/>
      </c>
      <c r="N10" s="0">
        <f>'Lotes_Pipeline_sim1'!AF9</f>
        <v/>
      </c>
      <c r="O10" s="0">
        <f>'Lotes_Pipeline_sim1'!AI9</f>
        <v/>
      </c>
      <c r="P10" s="0">
        <f>'Lotes_Pipeline_sim1'!AL9</f>
        <v/>
      </c>
      <c r="Q10" s="0">
        <f>'Lotes_Pipeline_sim1'!AO9</f>
        <v/>
      </c>
      <c r="R10" s="0">
        <f>'Lotes_Pipeline_sim1'!AR9</f>
        <v/>
      </c>
      <c r="S10" s="0">
        <f>IFERROR(ROUNDDOWN(H10*'Pipeline_sim1'!CE4/'Pipeline_sim1'!I4,0),0)</f>
        <v/>
      </c>
      <c r="T10" s="0">
        <f>ROUNDDOWN(MIN(H10,S10,(M10)/0.7,(O10)/1,(R10)/13),0)</f>
        <v/>
      </c>
      <c r="U10" s="0">
        <f>ROUNDDOWN(T10*'Pipeline_sim1'!AU4,0)</f>
        <v/>
      </c>
      <c r="V10" s="0">
        <f>0</f>
        <v/>
      </c>
      <c r="W10" s="0">
        <f>K10-V10</f>
        <v/>
      </c>
      <c r="X10" s="0">
        <f>IFERROR(V10*U10/T10,0)</f>
        <v/>
      </c>
      <c r="Y10" s="0">
        <f>0</f>
        <v/>
      </c>
      <c r="Z10" s="0">
        <f>L10-Y10</f>
        <v/>
      </c>
      <c r="AA10" s="0">
        <f>IFERROR(Y10*U10/T10,0)</f>
        <v/>
      </c>
      <c r="AB10" s="0">
        <f>MIN(M10,MAX(0,T10*0.7-(V10+Y10)))</f>
        <v/>
      </c>
      <c r="AC10" s="0">
        <f>M10-AB10</f>
        <v/>
      </c>
      <c r="AD10" s="0">
        <f>IFERROR(AB10*U10/T10,0)</f>
        <v/>
      </c>
      <c r="AE10" s="0">
        <f>0</f>
        <v/>
      </c>
      <c r="AF10" s="0">
        <f>N10-AE10</f>
        <v/>
      </c>
      <c r="AG10" s="0">
        <f>IFERROR(AE10*U10/T10,0)</f>
        <v/>
      </c>
      <c r="AH10" s="0">
        <f>MIN(O10,MAX(0,T10*1-(AE10)))</f>
        <v/>
      </c>
      <c r="AI10" s="0">
        <f>O10-AH10</f>
        <v/>
      </c>
      <c r="AJ10" s="0">
        <f>IFERROR(AH10*U10/T10,0)</f>
        <v/>
      </c>
      <c r="AK10" s="0">
        <f>0</f>
        <v/>
      </c>
      <c r="AL10" s="0">
        <f>P10-AK10</f>
        <v/>
      </c>
      <c r="AM10" s="0">
        <f>IFERROR(AK10*U10/T10,0)</f>
        <v/>
      </c>
      <c r="AN10" s="0">
        <f>0</f>
        <v/>
      </c>
      <c r="AO10" s="0">
        <f>Q10-AN10</f>
        <v/>
      </c>
      <c r="AP10" s="0">
        <f>IFERROR(AN10*U10/T10,0)</f>
        <v/>
      </c>
      <c r="AQ10" s="0">
        <f>MIN(R10,MAX(0,T10*13-(AK10+AN10)))</f>
        <v/>
      </c>
      <c r="AR10" s="0">
        <f>R10-AQ10</f>
        <v/>
      </c>
      <c r="AS10" s="0">
        <f>IFERROR(AQ10*U10/T10,0)</f>
        <v/>
      </c>
      <c r="AT10" s="0">
        <f>IF(AND(C10="SEG-03",H10&gt;0),IF(J10&lt;4,0.65,IF(J10&gt;=7,1.4,1)),1)</f>
        <v/>
      </c>
      <c r="AU10" s="0">
        <f>I10*AT10</f>
        <v/>
      </c>
      <c r="AV10" s="0">
        <f>0+U10</f>
        <v/>
      </c>
      <c r="AW10" s="0">
        <f>MIN(AV10,MAX(0,'Mercados_Pipeline_sim1'!I10))</f>
        <v/>
      </c>
      <c r="AX10" s="0">
        <f>AW10*AU10</f>
        <v/>
      </c>
      <c r="AY10" s="0">
        <f>AV10-AW10</f>
        <v/>
      </c>
    </row>
    <row r="11">
      <c r="A11" s="0" t="n">
        <v>1</v>
      </c>
      <c r="B11" s="0" t="inlineStr">
        <is>
          <t>D</t>
        </is>
      </c>
      <c r="C11" s="0" t="inlineStr">
        <is>
          <t>SEG-01</t>
        </is>
      </c>
      <c r="D11" s="0" t="inlineStr">
        <is>
          <t>INF-08</t>
        </is>
      </c>
      <c r="E11" s="0" t="inlineStr">
        <is>
          <t>INS-01</t>
        </is>
      </c>
      <c r="F11" s="0" t="inlineStr">
        <is>
          <t>INS-04</t>
        </is>
      </c>
      <c r="G11" s="0" t="inlineStr">
        <is>
          <t>INS-06</t>
        </is>
      </c>
      <c r="H11" s="0" t="n">
        <v>250</v>
      </c>
      <c r="I11" s="0" t="n">
        <v>41</v>
      </c>
      <c r="J11" s="0">
        <f>IFERROR(INDEX('Catalogo_Numerico_sim1'!$H$2:$H$69,MATCH(E11,'Catalogo_Numerico_sim1'!$A$2:$A$69,0)),0)+IFERROR(INDEX('Catalogo_Numerico_sim1'!$H$2:$H$69,MATCH(F11,'Catalogo_Numerico_sim1'!$A$2:$A$69,0)),0)+IFERROR(INDEX('Catalogo_Numerico_sim1'!$H$2:$H$69,MATCH(G11,'Catalogo_Numerico_sim1'!$A$2:$A$69,0)),0)+IFERROR(INDEX('Catalogo_Numerico_sim1'!$H$2:$H$69,MATCH(D11,'Catalogo_Numerico_sim1'!$A$2:$A$69,0)),0)</f>
        <v/>
      </c>
      <c r="K11" s="0">
        <f>'Pipeline_sim1'!CG5</f>
        <v/>
      </c>
      <c r="L11" s="0">
        <f>'Pipeline_sim1'!CI5</f>
        <v/>
      </c>
      <c r="M11" s="0">
        <f>'Pipeline_sim1'!CK5</f>
        <v/>
      </c>
      <c r="N11" s="0">
        <f>'Pipeline_sim1'!CM5</f>
        <v/>
      </c>
      <c r="O11" s="0">
        <f>'Pipeline_sim1'!CO5</f>
        <v/>
      </c>
      <c r="P11" s="0">
        <f>'Pipeline_sim1'!CQ5</f>
        <v/>
      </c>
      <c r="Q11" s="0">
        <f>'Pipeline_sim1'!CS5</f>
        <v/>
      </c>
      <c r="R11" s="0">
        <f>'Pipeline_sim1'!CU5</f>
        <v/>
      </c>
      <c r="S11" s="0">
        <f>IFERROR(ROUNDDOWN(H11*'Pipeline_sim1'!CE5/'Pipeline_sim1'!I5,0),0)</f>
        <v/>
      </c>
      <c r="T11" s="0">
        <f>ROUNDDOWN(MIN(H11,S11,(K11)/0.3,(N11)/1,(P11)/6),0)</f>
        <v/>
      </c>
      <c r="U11" s="0">
        <f>ROUNDDOWN(T11*'Pipeline_sim1'!AU5,0)</f>
        <v/>
      </c>
      <c r="V11" s="0">
        <f>MIN(K11,MAX(0,T11*0.3))</f>
        <v/>
      </c>
      <c r="W11" s="0">
        <f>K11-V11</f>
        <v/>
      </c>
      <c r="X11" s="0">
        <f>IFERROR(V11*U11/T11,0)</f>
        <v/>
      </c>
      <c r="Y11" s="0">
        <f>0</f>
        <v/>
      </c>
      <c r="Z11" s="0">
        <f>L11-Y11</f>
        <v/>
      </c>
      <c r="AA11" s="0">
        <f>IFERROR(Y11*U11/T11,0)</f>
        <v/>
      </c>
      <c r="AB11" s="0">
        <f>0</f>
        <v/>
      </c>
      <c r="AC11" s="0">
        <f>M11-AB11</f>
        <v/>
      </c>
      <c r="AD11" s="0">
        <f>IFERROR(AB11*U11/T11,0)</f>
        <v/>
      </c>
      <c r="AE11" s="0">
        <f>MIN(N11,MAX(0,T11*1))</f>
        <v/>
      </c>
      <c r="AF11" s="0">
        <f>N11-AE11</f>
        <v/>
      </c>
      <c r="AG11" s="0">
        <f>IFERROR(AE11*U11/T11,0)</f>
        <v/>
      </c>
      <c r="AH11" s="0">
        <f>0</f>
        <v/>
      </c>
      <c r="AI11" s="0">
        <f>O11-AH11</f>
        <v/>
      </c>
      <c r="AJ11" s="0">
        <f>IFERROR(AH11*U11/T11,0)</f>
        <v/>
      </c>
      <c r="AK11" s="0">
        <f>MIN(P11,MAX(0,T11*6))</f>
        <v/>
      </c>
      <c r="AL11" s="0">
        <f>P11-AK11</f>
        <v/>
      </c>
      <c r="AM11" s="0">
        <f>IFERROR(AK11*U11/T11,0)</f>
        <v/>
      </c>
      <c r="AN11" s="0">
        <f>0</f>
        <v/>
      </c>
      <c r="AO11" s="0">
        <f>Q11-AN11</f>
        <v/>
      </c>
      <c r="AP11" s="0">
        <f>IFERROR(AN11*U11/T11,0)</f>
        <v/>
      </c>
      <c r="AQ11" s="0">
        <f>0</f>
        <v/>
      </c>
      <c r="AR11" s="0">
        <f>R11-AQ11</f>
        <v/>
      </c>
      <c r="AS11" s="0">
        <f>IFERROR(AQ11*U11/T11,0)</f>
        <v/>
      </c>
      <c r="AT11" s="0">
        <f>IF(AND(C11="SEG-03",H11&gt;0),IF(J11&lt;4,0.65,IF(J11&gt;=7,1.4,1)),1)</f>
        <v/>
      </c>
      <c r="AU11" s="0">
        <f>I11*AT11</f>
        <v/>
      </c>
      <c r="AV11" s="0">
        <f>0+U11</f>
        <v/>
      </c>
      <c r="AW11" s="0">
        <f>MIN(AV11,MAX(0,'Mercados_Pipeline_sim1'!I11))</f>
        <v/>
      </c>
      <c r="AX11" s="0">
        <f>AW11*AU11</f>
        <v/>
      </c>
      <c r="AY11" s="0">
        <f>AV11-AW11</f>
        <v/>
      </c>
    </row>
    <row r="12">
      <c r="A12" s="0" t="n">
        <v>1</v>
      </c>
      <c r="B12" s="0" t="inlineStr">
        <is>
          <t>D</t>
        </is>
      </c>
      <c r="C12" s="0" t="inlineStr">
        <is>
          <t>SEG-02</t>
        </is>
      </c>
      <c r="D12" s="0" t="inlineStr">
        <is>
          <t>INF-09</t>
        </is>
      </c>
      <c r="E12" s="0" t="inlineStr">
        <is>
          <t>INS-02</t>
        </is>
      </c>
      <c r="F12" s="0" t="inlineStr">
        <is>
          <t>INS-04</t>
        </is>
      </c>
      <c r="G12" s="0" t="inlineStr">
        <is>
          <t>INS-07</t>
        </is>
      </c>
      <c r="H12" s="0" t="n">
        <v>180</v>
      </c>
      <c r="I12" s="0" t="n">
        <v>200</v>
      </c>
      <c r="J12" s="0">
        <f>IFERROR(INDEX('Catalogo_Numerico_sim1'!$H$2:$H$69,MATCH(E12,'Catalogo_Numerico_sim1'!$A$2:$A$69,0)),0)+IFERROR(INDEX('Catalogo_Numerico_sim1'!$H$2:$H$69,MATCH(F12,'Catalogo_Numerico_sim1'!$A$2:$A$69,0)),0)+IFERROR(INDEX('Catalogo_Numerico_sim1'!$H$2:$H$69,MATCH(G12,'Catalogo_Numerico_sim1'!$A$2:$A$69,0)),0)+IFERROR(INDEX('Catalogo_Numerico_sim1'!$H$2:$H$69,MATCH(D12,'Catalogo_Numerico_sim1'!$A$2:$A$69,0)),0)</f>
        <v/>
      </c>
      <c r="K12" s="0">
        <f>'Lotes_Pipeline_sim1'!W11</f>
        <v/>
      </c>
      <c r="L12" s="0">
        <f>'Lotes_Pipeline_sim1'!Z11</f>
        <v/>
      </c>
      <c r="M12" s="0">
        <f>'Lotes_Pipeline_sim1'!AC11</f>
        <v/>
      </c>
      <c r="N12" s="0">
        <f>'Lotes_Pipeline_sim1'!AF11</f>
        <v/>
      </c>
      <c r="O12" s="0">
        <f>'Lotes_Pipeline_sim1'!AI11</f>
        <v/>
      </c>
      <c r="P12" s="0">
        <f>'Lotes_Pipeline_sim1'!AL11</f>
        <v/>
      </c>
      <c r="Q12" s="0">
        <f>'Lotes_Pipeline_sim1'!AO11</f>
        <v/>
      </c>
      <c r="R12" s="0">
        <f>'Lotes_Pipeline_sim1'!AR11</f>
        <v/>
      </c>
      <c r="S12" s="0">
        <f>IFERROR(ROUNDDOWN(H12*'Pipeline_sim1'!CE5/'Pipeline_sim1'!I5,0),0)</f>
        <v/>
      </c>
      <c r="T12" s="0">
        <f>ROUNDDOWN(MIN(H12,S12,(L12)/0.4,(N12)/1,(Q12)/7),0)</f>
        <v/>
      </c>
      <c r="U12" s="0">
        <f>ROUNDDOWN(T12*'Pipeline_sim1'!AU5,0)</f>
        <v/>
      </c>
      <c r="V12" s="0">
        <f>0</f>
        <v/>
      </c>
      <c r="W12" s="0">
        <f>K12-V12</f>
        <v/>
      </c>
      <c r="X12" s="0">
        <f>IFERROR(V12*U12/T12,0)</f>
        <v/>
      </c>
      <c r="Y12" s="0">
        <f>MIN(L12,MAX(0,T12*0.4-(V12)))</f>
        <v/>
      </c>
      <c r="Z12" s="0">
        <f>L12-Y12</f>
        <v/>
      </c>
      <c r="AA12" s="0">
        <f>IFERROR(Y12*U12/T12,0)</f>
        <v/>
      </c>
      <c r="AB12" s="0">
        <f>0</f>
        <v/>
      </c>
      <c r="AC12" s="0">
        <f>M12-AB12</f>
        <v/>
      </c>
      <c r="AD12" s="0">
        <f>IFERROR(AB12*U12/T12,0)</f>
        <v/>
      </c>
      <c r="AE12" s="0">
        <f>MIN(N12,MAX(0,T12*1))</f>
        <v/>
      </c>
      <c r="AF12" s="0">
        <f>N12-AE12</f>
        <v/>
      </c>
      <c r="AG12" s="0">
        <f>IFERROR(AE12*U12/T12,0)</f>
        <v/>
      </c>
      <c r="AH12" s="0">
        <f>0</f>
        <v/>
      </c>
      <c r="AI12" s="0">
        <f>O12-AH12</f>
        <v/>
      </c>
      <c r="AJ12" s="0">
        <f>IFERROR(AH12*U12/T12,0)</f>
        <v/>
      </c>
      <c r="AK12" s="0">
        <f>0</f>
        <v/>
      </c>
      <c r="AL12" s="0">
        <f>P12-AK12</f>
        <v/>
      </c>
      <c r="AM12" s="0">
        <f>IFERROR(AK12*U12/T12,0)</f>
        <v/>
      </c>
      <c r="AN12" s="0">
        <f>MIN(Q12,MAX(0,T12*7-(AK12)))</f>
        <v/>
      </c>
      <c r="AO12" s="0">
        <f>Q12-AN12</f>
        <v/>
      </c>
      <c r="AP12" s="0">
        <f>IFERROR(AN12*U12/T12,0)</f>
        <v/>
      </c>
      <c r="AQ12" s="0">
        <f>0</f>
        <v/>
      </c>
      <c r="AR12" s="0">
        <f>R12-AQ12</f>
        <v/>
      </c>
      <c r="AS12" s="0">
        <f>IFERROR(AQ12*U12/T12,0)</f>
        <v/>
      </c>
      <c r="AT12" s="0">
        <f>IF(AND(C12="SEG-03",H12&gt;0),IF(J12&lt;4,0.65,IF(J12&gt;=7,1.4,1)),1)</f>
        <v/>
      </c>
      <c r="AU12" s="0">
        <f>I12*AT12</f>
        <v/>
      </c>
      <c r="AV12" s="0">
        <f>0+U12</f>
        <v/>
      </c>
      <c r="AW12" s="0">
        <f>MIN(AV12,MAX(0,'Mercados_Pipeline_sim1'!I12))</f>
        <v/>
      </c>
      <c r="AX12" s="0">
        <f>AW12*AU12</f>
        <v/>
      </c>
      <c r="AY12" s="0">
        <f>AV12-AW12</f>
        <v/>
      </c>
    </row>
    <row r="13">
      <c r="A13" s="0" t="n">
        <v>1</v>
      </c>
      <c r="B13" s="0" t="inlineStr">
        <is>
          <t>D</t>
        </is>
      </c>
      <c r="C13" s="0" t="inlineStr">
        <is>
          <t>SEG-03</t>
        </is>
      </c>
      <c r="D13" s="0" t="inlineStr">
        <is>
          <t>INF-10</t>
        </is>
      </c>
      <c r="E13" s="0" t="inlineStr">
        <is>
          <t>INS-03</t>
        </is>
      </c>
      <c r="F13" s="0" t="inlineStr">
        <is>
          <t>INS-05</t>
        </is>
      </c>
      <c r="G13" s="0" t="inlineStr">
        <is>
          <t>INS-08</t>
        </is>
      </c>
      <c r="H13" s="0" t="n">
        <v>90</v>
      </c>
      <c r="I13" s="0" t="n">
        <v>400</v>
      </c>
      <c r="J13" s="0">
        <f>IFERROR(INDEX('Catalogo_Numerico_sim1'!$H$2:$H$69,MATCH(E13,'Catalogo_Numerico_sim1'!$A$2:$A$69,0)),0)+IFERROR(INDEX('Catalogo_Numerico_sim1'!$H$2:$H$69,MATCH(F13,'Catalogo_Numerico_sim1'!$A$2:$A$69,0)),0)+IFERROR(INDEX('Catalogo_Numerico_sim1'!$H$2:$H$69,MATCH(G13,'Catalogo_Numerico_sim1'!$A$2:$A$69,0)),0)+IFERROR(INDEX('Catalogo_Numerico_sim1'!$H$2:$H$69,MATCH(D13,'Catalogo_Numerico_sim1'!$A$2:$A$69,0)),0)</f>
        <v/>
      </c>
      <c r="K13" s="0">
        <f>'Lotes_Pipeline_sim1'!W12</f>
        <v/>
      </c>
      <c r="L13" s="0">
        <f>'Lotes_Pipeline_sim1'!Z12</f>
        <v/>
      </c>
      <c r="M13" s="0">
        <f>'Lotes_Pipeline_sim1'!AC12</f>
        <v/>
      </c>
      <c r="N13" s="0">
        <f>'Lotes_Pipeline_sim1'!AF12</f>
        <v/>
      </c>
      <c r="O13" s="0">
        <f>'Lotes_Pipeline_sim1'!AI12</f>
        <v/>
      </c>
      <c r="P13" s="0">
        <f>'Lotes_Pipeline_sim1'!AL12</f>
        <v/>
      </c>
      <c r="Q13" s="0">
        <f>'Lotes_Pipeline_sim1'!AO12</f>
        <v/>
      </c>
      <c r="R13" s="0">
        <f>'Lotes_Pipeline_sim1'!AR12</f>
        <v/>
      </c>
      <c r="S13" s="0">
        <f>IFERROR(ROUNDDOWN(H13*'Pipeline_sim1'!CE5/'Pipeline_sim1'!I5,0),0)</f>
        <v/>
      </c>
      <c r="T13" s="0">
        <f>ROUNDDOWN(MIN(H13,S13,(M13)/0.7,(O13)/1,(R13)/13),0)</f>
        <v/>
      </c>
      <c r="U13" s="0">
        <f>ROUNDDOWN(T13*'Pipeline_sim1'!AU5,0)</f>
        <v/>
      </c>
      <c r="V13" s="0">
        <f>0</f>
        <v/>
      </c>
      <c r="W13" s="0">
        <f>K13-V13</f>
        <v/>
      </c>
      <c r="X13" s="0">
        <f>IFERROR(V13*U13/T13,0)</f>
        <v/>
      </c>
      <c r="Y13" s="0">
        <f>0</f>
        <v/>
      </c>
      <c r="Z13" s="0">
        <f>L13-Y13</f>
        <v/>
      </c>
      <c r="AA13" s="0">
        <f>IFERROR(Y13*U13/T13,0)</f>
        <v/>
      </c>
      <c r="AB13" s="0">
        <f>MIN(M13,MAX(0,T13*0.7-(V13+Y13)))</f>
        <v/>
      </c>
      <c r="AC13" s="0">
        <f>M13-AB13</f>
        <v/>
      </c>
      <c r="AD13" s="0">
        <f>IFERROR(AB13*U13/T13,0)</f>
        <v/>
      </c>
      <c r="AE13" s="0">
        <f>0</f>
        <v/>
      </c>
      <c r="AF13" s="0">
        <f>N13-AE13</f>
        <v/>
      </c>
      <c r="AG13" s="0">
        <f>IFERROR(AE13*U13/T13,0)</f>
        <v/>
      </c>
      <c r="AH13" s="0">
        <f>MIN(O13,MAX(0,T13*1-(AE13)))</f>
        <v/>
      </c>
      <c r="AI13" s="0">
        <f>O13-AH13</f>
        <v/>
      </c>
      <c r="AJ13" s="0">
        <f>IFERROR(AH13*U13/T13,0)</f>
        <v/>
      </c>
      <c r="AK13" s="0">
        <f>0</f>
        <v/>
      </c>
      <c r="AL13" s="0">
        <f>P13-AK13</f>
        <v/>
      </c>
      <c r="AM13" s="0">
        <f>IFERROR(AK13*U13/T13,0)</f>
        <v/>
      </c>
      <c r="AN13" s="0">
        <f>0</f>
        <v/>
      </c>
      <c r="AO13" s="0">
        <f>Q13-AN13</f>
        <v/>
      </c>
      <c r="AP13" s="0">
        <f>IFERROR(AN13*U13/T13,0)</f>
        <v/>
      </c>
      <c r="AQ13" s="0">
        <f>MIN(R13,MAX(0,T13*13-(AK13+AN13)))</f>
        <v/>
      </c>
      <c r="AR13" s="0">
        <f>R13-AQ13</f>
        <v/>
      </c>
      <c r="AS13" s="0">
        <f>IFERROR(AQ13*U13/T13,0)</f>
        <v/>
      </c>
      <c r="AT13" s="0">
        <f>IF(AND(C13="SEG-03",H13&gt;0),IF(J13&lt;4,0.65,IF(J13&gt;=7,1.4,1)),1)</f>
        <v/>
      </c>
      <c r="AU13" s="0">
        <f>I13*AT13</f>
        <v/>
      </c>
      <c r="AV13" s="0">
        <f>0+U13</f>
        <v/>
      </c>
      <c r="AW13" s="0">
        <f>MIN(AV13,MAX(0,'Mercados_Pipeline_sim1'!I13))</f>
        <v/>
      </c>
      <c r="AX13" s="0">
        <f>AW13*AU13</f>
        <v/>
      </c>
      <c r="AY13" s="0">
        <f>AV13-AW13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s>
  <sheetData>
    <row r="1">
      <c r="A1" s="0" t="inlineStr">
        <is>
          <t>ciclo</t>
        </is>
      </c>
      <c r="B1" s="0" t="inlineStr">
        <is>
          <t>empresa</t>
        </is>
      </c>
      <c r="C1" s="0" t="inlineStr">
        <is>
          <t>segmento</t>
        </is>
      </c>
      <c r="D1" s="0" t="inlineStr">
        <is>
          <t>grupo</t>
        </is>
      </c>
      <c r="E1" s="0" t="inlineStr">
        <is>
          <t>activo</t>
        </is>
      </c>
      <c r="F1" s="0" t="inlineStr">
        <is>
          <t>precio</t>
        </is>
      </c>
      <c r="G1" s="0" t="inlineStr">
        <is>
          <t>reputacion</t>
        </is>
      </c>
      <c r="H1" s="0" t="inlineStr">
        <is>
          <t>calidad</t>
        </is>
      </c>
      <c r="I1" s="0" t="inlineStr">
        <is>
          <t>demandaAjustada</t>
        </is>
      </c>
      <c r="J1" s="0" t="inlineStr">
        <is>
          <t>asignado</t>
        </is>
      </c>
      <c r="K1" s="0" t="inlineStr">
        <is>
          <t>puntajePrecio</t>
        </is>
      </c>
      <c r="L1" s="0" t="inlineStr">
        <is>
          <t>puntajeTotal</t>
        </is>
      </c>
      <c r="M1" s="0" t="inlineStr">
        <is>
          <t>reputacionEscalada</t>
        </is>
      </c>
      <c r="N1" s="0" t="inlineStr">
        <is>
          <t>porcentaje</t>
        </is>
      </c>
    </row>
    <row r="2">
      <c r="A2" s="0" t="n">
        <v>1</v>
      </c>
      <c r="B2" s="0" t="inlineStr">
        <is>
          <t>A</t>
        </is>
      </c>
      <c r="C2" s="0" t="inlineStr">
        <is>
          <t>SEG-01</t>
        </is>
      </c>
      <c r="D2" s="0" t="inlineStr">
        <is>
          <t>1|SEG-01</t>
        </is>
      </c>
      <c r="E2" s="0">
        <f>TRUE()</f>
        <v/>
      </c>
      <c r="F2" s="0">
        <f>IFERROR(('Lotes_Pipeline_sim1'!I2*'Lotes_Pipeline_sim1'!H2)/('Lotes_Pipeline_sim1'!H2),0)</f>
        <v/>
      </c>
      <c r="G2" s="0">
        <f>'Pipeline_sim1'!DY2</f>
        <v/>
      </c>
      <c r="H2" s="0">
        <f>IFERROR(ROUND(G2/SUMIFS($G$2:$G$13,$D$2:$D$13,D2,$E$2:$E$13,TRUE())*100,0),0)</f>
        <v/>
      </c>
      <c r="I2" s="0">
        <f>MAX(0,ROUNDDOWN(J2*'Pipeline_sim1'!AN2*1.12,0))</f>
        <v/>
      </c>
      <c r="J2" s="0">
        <f>IFERROR(ROUND(L2/SUMIF($D$2:$D$13,D2,$L$2:$L$13)*7000*0.5,0),0)</f>
        <v/>
      </c>
      <c r="K2" s="0">
        <f>IFERROR(100*(_xlfn.MAXIFS($F$2:$F$13,$D$2:$D$13,D2,$E$2:$E$13,TRUE())-F2)/(_xlfn.MAXIFS($F$2:$F$13,$D$2:$D$13,D2,$E$2:$E$13,TRUE())-_xlfn.MINIFS($F$2:$F$13,$D$2:$D$13,D2,$E$2:$E$13,TRUE())),100)</f>
        <v/>
      </c>
      <c r="L2" s="0">
        <f>IF(E2,0.7*K2+0.2*G2*10+0.1*H2,0)</f>
        <v/>
      </c>
      <c r="M2" s="0">
        <f>G2*10</f>
        <v/>
      </c>
      <c r="N2" s="0">
        <f>IFERROR(L2/SUMIF($D$2:$D$13,D2,$L$2:$L$13),0)</f>
        <v/>
      </c>
    </row>
    <row r="3">
      <c r="A3" s="0" t="n">
        <v>1</v>
      </c>
      <c r="B3" s="0" t="inlineStr">
        <is>
          <t>A</t>
        </is>
      </c>
      <c r="C3" s="0" t="inlineStr">
        <is>
          <t>SEG-02</t>
        </is>
      </c>
      <c r="D3" s="0" t="inlineStr">
        <is>
          <t>1|SEG-02</t>
        </is>
      </c>
      <c r="E3" s="0">
        <f>TRUE()</f>
        <v/>
      </c>
      <c r="F3" s="0">
        <f>IFERROR(('Lotes_Pipeline_sim1'!I3*'Lotes_Pipeline_sim1'!H3)/('Lotes_Pipeline_sim1'!H3),0)</f>
        <v/>
      </c>
      <c r="G3" s="0">
        <f>'Pipeline_sim1'!DY2</f>
        <v/>
      </c>
      <c r="H3" s="0">
        <f>IFERROR(ROUND(G3/SUMIFS($G$2:$G$13,$D$2:$D$13,D3,$E$2:$E$13,TRUE())*100,0),0)</f>
        <v/>
      </c>
      <c r="I3" s="0">
        <f>MAX(0,ROUNDDOWN(J3*'Pipeline_sim1'!AN2*1.12,0))</f>
        <v/>
      </c>
      <c r="J3" s="0">
        <f>IFERROR(ROUND(L3/SUMIF($D$2:$D$13,D3,$L$2:$L$13)*5000*0.7,0),0)</f>
        <v/>
      </c>
      <c r="K3" s="0">
        <f>100-ABS(F3-100)/100*100</f>
        <v/>
      </c>
      <c r="L3" s="0">
        <f>IF(E3,0.4*K3+0.35*G3*10+0.25*H3,0)</f>
        <v/>
      </c>
      <c r="M3" s="0">
        <f>G3*10</f>
        <v/>
      </c>
      <c r="N3" s="0">
        <f>IFERROR(L3/SUMIF($D$2:$D$13,D3,$L$2:$L$13),0)</f>
        <v/>
      </c>
    </row>
    <row r="4">
      <c r="A4" s="0" t="n">
        <v>1</v>
      </c>
      <c r="B4" s="0" t="inlineStr">
        <is>
          <t>A</t>
        </is>
      </c>
      <c r="C4" s="0" t="inlineStr">
        <is>
          <t>SEG-03</t>
        </is>
      </c>
      <c r="D4" s="0" t="inlineStr">
        <is>
          <t>1|SEG-03</t>
        </is>
      </c>
      <c r="E4" s="0">
        <f>TRUE()</f>
        <v/>
      </c>
      <c r="F4" s="0">
        <f>IFERROR(('Lotes_Pipeline_sim1'!I4*'Lotes_Pipeline_sim1'!H4)/('Lotes_Pipeline_sim1'!H4),0)</f>
        <v/>
      </c>
      <c r="G4" s="0">
        <f>'Pipeline_sim1'!DY2</f>
        <v/>
      </c>
      <c r="H4" s="0">
        <f>IFERROR(ROUND(G4/SUMIFS($G$2:$G$13,$D$2:$D$13,D4,$E$2:$E$13,TRUE())*100,0),0)</f>
        <v/>
      </c>
      <c r="I4" s="0">
        <f>MAX(0,ROUNDDOWN(J4*'Pipeline_sim1'!AN2*1.12,0))</f>
        <v/>
      </c>
      <c r="J4" s="0">
        <f>IFERROR(ROUND(L4/SUMIF($D$2:$D$13,D4,$L$2:$L$13)*2000*0.4,0),0)</f>
        <v/>
      </c>
      <c r="K4" s="0">
        <f>100-ABS(F4-250)/250*100</f>
        <v/>
      </c>
      <c r="L4" s="0">
        <f>IF(E4,0.1*K4+0.5*G4*10+0.4*H4,0)</f>
        <v/>
      </c>
      <c r="M4" s="0">
        <f>G4*10</f>
        <v/>
      </c>
      <c r="N4" s="0">
        <f>IFERROR(L4/SUMIF($D$2:$D$13,D4,$L$2:$L$13),0)</f>
        <v/>
      </c>
    </row>
    <row r="5">
      <c r="A5" s="0" t="n">
        <v>1</v>
      </c>
      <c r="B5" s="0" t="inlineStr">
        <is>
          <t>B</t>
        </is>
      </c>
      <c r="C5" s="0" t="inlineStr">
        <is>
          <t>SEG-01</t>
        </is>
      </c>
      <c r="D5" s="0" t="inlineStr">
        <is>
          <t>1|SEG-01</t>
        </is>
      </c>
      <c r="E5" s="0">
        <f>TRUE()</f>
        <v/>
      </c>
      <c r="F5" s="0">
        <f>IFERROR(('Lotes_Pipeline_sim1'!I5*'Lotes_Pipeline_sim1'!H5)/('Lotes_Pipeline_sim1'!H5),0)</f>
        <v/>
      </c>
      <c r="G5" s="0">
        <f>'Pipeline_sim1'!DY3</f>
        <v/>
      </c>
      <c r="H5" s="0">
        <f>IFERROR(ROUND(G5/SUMIFS($G$2:$G$13,$D$2:$D$13,D5,$E$2:$E$13,TRUE())*100,0),0)</f>
        <v/>
      </c>
      <c r="I5" s="0">
        <f>MAX(0,ROUNDDOWN(J5*'Pipeline_sim1'!AN3*1.12,0))</f>
        <v/>
      </c>
      <c r="J5" s="0">
        <f>IFERROR(ROUND(L5/SUMIF($D$2:$D$13,D5,$L$2:$L$13)*7000*0.5,0),0)</f>
        <v/>
      </c>
      <c r="K5" s="0">
        <f>IFERROR(100*(_xlfn.MAXIFS($F$2:$F$13,$D$2:$D$13,D5,$E$2:$E$13,TRUE())-F5)/(_xlfn.MAXIFS($F$2:$F$13,$D$2:$D$13,D5,$E$2:$E$13,TRUE())-_xlfn.MINIFS($F$2:$F$13,$D$2:$D$13,D5,$E$2:$E$13,TRUE())),100)</f>
        <v/>
      </c>
      <c r="L5" s="0">
        <f>IF(E5,0.7*K5+0.2*G5*10+0.1*H5,0)</f>
        <v/>
      </c>
      <c r="M5" s="0">
        <f>G5*10</f>
        <v/>
      </c>
      <c r="N5" s="0">
        <f>IFERROR(L5/SUMIF($D$2:$D$13,D5,$L$2:$L$13),0)</f>
        <v/>
      </c>
    </row>
    <row r="6">
      <c r="A6" s="0" t="n">
        <v>1</v>
      </c>
      <c r="B6" s="0" t="inlineStr">
        <is>
          <t>B</t>
        </is>
      </c>
      <c r="C6" s="0" t="inlineStr">
        <is>
          <t>SEG-02</t>
        </is>
      </c>
      <c r="D6" s="0" t="inlineStr">
        <is>
          <t>1|SEG-02</t>
        </is>
      </c>
      <c r="E6" s="0">
        <f>TRUE()</f>
        <v/>
      </c>
      <c r="F6" s="0">
        <f>IFERROR(('Lotes_Pipeline_sim1'!I6*'Lotes_Pipeline_sim1'!H6)/('Lotes_Pipeline_sim1'!H6),0)</f>
        <v/>
      </c>
      <c r="G6" s="0">
        <f>'Pipeline_sim1'!DY3</f>
        <v/>
      </c>
      <c r="H6" s="0">
        <f>IFERROR(ROUND(G6/SUMIFS($G$2:$G$13,$D$2:$D$13,D6,$E$2:$E$13,TRUE())*100,0),0)</f>
        <v/>
      </c>
      <c r="I6" s="0">
        <f>MAX(0,ROUNDDOWN(J6*'Pipeline_sim1'!AN3*1.12,0))</f>
        <v/>
      </c>
      <c r="J6" s="0">
        <f>IFERROR(ROUND(L6/SUMIF($D$2:$D$13,D6,$L$2:$L$13)*5000*0.7,0),0)</f>
        <v/>
      </c>
      <c r="K6" s="0">
        <f>100-ABS(F6-100)/100*100</f>
        <v/>
      </c>
      <c r="L6" s="0">
        <f>IF(E6,0.4*K6+0.35*G6*10+0.25*H6,0)</f>
        <v/>
      </c>
      <c r="M6" s="0">
        <f>G6*10</f>
        <v/>
      </c>
      <c r="N6" s="0">
        <f>IFERROR(L6/SUMIF($D$2:$D$13,D6,$L$2:$L$13),0)</f>
        <v/>
      </c>
    </row>
    <row r="7">
      <c r="A7" s="0" t="n">
        <v>1</v>
      </c>
      <c r="B7" s="0" t="inlineStr">
        <is>
          <t>B</t>
        </is>
      </c>
      <c r="C7" s="0" t="inlineStr">
        <is>
          <t>SEG-03</t>
        </is>
      </c>
      <c r="D7" s="0" t="inlineStr">
        <is>
          <t>1|SEG-03</t>
        </is>
      </c>
      <c r="E7" s="0">
        <f>TRUE()</f>
        <v/>
      </c>
      <c r="F7" s="0">
        <f>IFERROR(('Lotes_Pipeline_sim1'!I7*'Lotes_Pipeline_sim1'!H7)/('Lotes_Pipeline_sim1'!H7),0)</f>
        <v/>
      </c>
      <c r="G7" s="0">
        <f>'Pipeline_sim1'!DY3</f>
        <v/>
      </c>
      <c r="H7" s="0">
        <f>IFERROR(ROUND(G7/SUMIFS($G$2:$G$13,$D$2:$D$13,D7,$E$2:$E$13,TRUE())*100,0),0)</f>
        <v/>
      </c>
      <c r="I7" s="0">
        <f>MAX(0,ROUNDDOWN(J7*'Pipeline_sim1'!AN3*1.12,0))</f>
        <v/>
      </c>
      <c r="J7" s="0">
        <f>IFERROR(ROUND(L7/SUMIF($D$2:$D$13,D7,$L$2:$L$13)*2000*0.4,0),0)</f>
        <v/>
      </c>
      <c r="K7" s="0">
        <f>100-ABS(F7-250)/250*100</f>
        <v/>
      </c>
      <c r="L7" s="0">
        <f>IF(E7,0.1*K7+0.5*G7*10+0.4*H7,0)</f>
        <v/>
      </c>
      <c r="M7" s="0">
        <f>G7*10</f>
        <v/>
      </c>
      <c r="N7" s="0">
        <f>IFERROR(L7/SUMIF($D$2:$D$13,D7,$L$2:$L$13),0)</f>
        <v/>
      </c>
    </row>
    <row r="8">
      <c r="A8" s="0" t="n">
        <v>1</v>
      </c>
      <c r="B8" s="0" t="inlineStr">
        <is>
          <t>C</t>
        </is>
      </c>
      <c r="C8" s="0" t="inlineStr">
        <is>
          <t>SEG-01</t>
        </is>
      </c>
      <c r="D8" s="0" t="inlineStr">
        <is>
          <t>1|SEG-01</t>
        </is>
      </c>
      <c r="E8" s="0">
        <f>TRUE()</f>
        <v/>
      </c>
      <c r="F8" s="0">
        <f>IFERROR(('Lotes_Pipeline_sim1'!I8*'Lotes_Pipeline_sim1'!H8)/('Lotes_Pipeline_sim1'!H8),0)</f>
        <v/>
      </c>
      <c r="G8" s="0">
        <f>'Pipeline_sim1'!DY4</f>
        <v/>
      </c>
      <c r="H8" s="0">
        <f>IFERROR(ROUND(G8/SUMIFS($G$2:$G$13,$D$2:$D$13,D8,$E$2:$E$13,TRUE())*100,0),0)</f>
        <v/>
      </c>
      <c r="I8" s="0">
        <f>MAX(0,ROUNDDOWN(J8*'Pipeline_sim1'!AN4*1.12,0))</f>
        <v/>
      </c>
      <c r="J8" s="0">
        <f>IFERROR(ROUND(L8/SUMIF($D$2:$D$13,D8,$L$2:$L$13)*7000*0.5,0),0)</f>
        <v/>
      </c>
      <c r="K8" s="0">
        <f>IFERROR(100*(_xlfn.MAXIFS($F$2:$F$13,$D$2:$D$13,D8,$E$2:$E$13,TRUE())-F8)/(_xlfn.MAXIFS($F$2:$F$13,$D$2:$D$13,D8,$E$2:$E$13,TRUE())-_xlfn.MINIFS($F$2:$F$13,$D$2:$D$13,D8,$E$2:$E$13,TRUE())),100)</f>
        <v/>
      </c>
      <c r="L8" s="0">
        <f>IF(E8,0.7*K8+0.2*G8*10+0.1*H8,0)</f>
        <v/>
      </c>
      <c r="M8" s="0">
        <f>G8*10</f>
        <v/>
      </c>
      <c r="N8" s="0">
        <f>IFERROR(L8/SUMIF($D$2:$D$13,D8,$L$2:$L$13),0)</f>
        <v/>
      </c>
    </row>
    <row r="9">
      <c r="A9" s="0" t="n">
        <v>1</v>
      </c>
      <c r="B9" s="0" t="inlineStr">
        <is>
          <t>C</t>
        </is>
      </c>
      <c r="C9" s="0" t="inlineStr">
        <is>
          <t>SEG-02</t>
        </is>
      </c>
      <c r="D9" s="0" t="inlineStr">
        <is>
          <t>1|SEG-02</t>
        </is>
      </c>
      <c r="E9" s="0">
        <f>TRUE()</f>
        <v/>
      </c>
      <c r="F9" s="0">
        <f>IFERROR(('Lotes_Pipeline_sim1'!I9*'Lotes_Pipeline_sim1'!H9)/('Lotes_Pipeline_sim1'!H9),0)</f>
        <v/>
      </c>
      <c r="G9" s="0">
        <f>'Pipeline_sim1'!DY4</f>
        <v/>
      </c>
      <c r="H9" s="0">
        <f>IFERROR(ROUND(G9/SUMIFS($G$2:$G$13,$D$2:$D$13,D9,$E$2:$E$13,TRUE())*100,0),0)</f>
        <v/>
      </c>
      <c r="I9" s="0">
        <f>MAX(0,ROUNDDOWN(J9*'Pipeline_sim1'!AN4*1.12,0))</f>
        <v/>
      </c>
      <c r="J9" s="0">
        <f>IFERROR(ROUND(L9/SUMIF($D$2:$D$13,D9,$L$2:$L$13)*5000*0.7,0),0)</f>
        <v/>
      </c>
      <c r="K9" s="0">
        <f>100-ABS(F9-100)/100*100</f>
        <v/>
      </c>
      <c r="L9" s="0">
        <f>IF(E9,0.4*K9+0.35*G9*10+0.25*H9,0)</f>
        <v/>
      </c>
      <c r="M9" s="0">
        <f>G9*10</f>
        <v/>
      </c>
      <c r="N9" s="0">
        <f>IFERROR(L9/SUMIF($D$2:$D$13,D9,$L$2:$L$13),0)</f>
        <v/>
      </c>
    </row>
    <row r="10">
      <c r="A10" s="0" t="n">
        <v>1</v>
      </c>
      <c r="B10" s="0" t="inlineStr">
        <is>
          <t>C</t>
        </is>
      </c>
      <c r="C10" s="0" t="inlineStr">
        <is>
          <t>SEG-03</t>
        </is>
      </c>
      <c r="D10" s="0" t="inlineStr">
        <is>
          <t>1|SEG-03</t>
        </is>
      </c>
      <c r="E10" s="0">
        <f>TRUE()</f>
        <v/>
      </c>
      <c r="F10" s="0">
        <f>IFERROR(('Lotes_Pipeline_sim1'!I10*'Lotes_Pipeline_sim1'!H10)/('Lotes_Pipeline_sim1'!H10),0)</f>
        <v/>
      </c>
      <c r="G10" s="0">
        <f>'Pipeline_sim1'!DY4</f>
        <v/>
      </c>
      <c r="H10" s="0">
        <f>IFERROR(ROUND(G10/SUMIFS($G$2:$G$13,$D$2:$D$13,D10,$E$2:$E$13,TRUE())*100,0),0)</f>
        <v/>
      </c>
      <c r="I10" s="0">
        <f>MAX(0,ROUNDDOWN(J10*'Pipeline_sim1'!AN4*1.12,0))</f>
        <v/>
      </c>
      <c r="J10" s="0">
        <f>IFERROR(ROUND(L10/SUMIF($D$2:$D$13,D10,$L$2:$L$13)*2000*0.4,0),0)</f>
        <v/>
      </c>
      <c r="K10" s="0">
        <f>100-ABS(F10-250)/250*100</f>
        <v/>
      </c>
      <c r="L10" s="0">
        <f>IF(E10,0.1*K10+0.5*G10*10+0.4*H10,0)</f>
        <v/>
      </c>
      <c r="M10" s="0">
        <f>G10*10</f>
        <v/>
      </c>
      <c r="N10" s="0">
        <f>IFERROR(L10/SUMIF($D$2:$D$13,D10,$L$2:$L$13),0)</f>
        <v/>
      </c>
    </row>
    <row r="11">
      <c r="A11" s="0" t="n">
        <v>1</v>
      </c>
      <c r="B11" s="0" t="inlineStr">
        <is>
          <t>D</t>
        </is>
      </c>
      <c r="C11" s="0" t="inlineStr">
        <is>
          <t>SEG-01</t>
        </is>
      </c>
      <c r="D11" s="0" t="inlineStr">
        <is>
          <t>1|SEG-01</t>
        </is>
      </c>
      <c r="E11" s="0">
        <f>TRUE()</f>
        <v/>
      </c>
      <c r="F11" s="0">
        <f>IFERROR(('Lotes_Pipeline_sim1'!I11*'Lotes_Pipeline_sim1'!H11)/('Lotes_Pipeline_sim1'!H11),0)</f>
        <v/>
      </c>
      <c r="G11" s="0">
        <f>'Pipeline_sim1'!DY5</f>
        <v/>
      </c>
      <c r="H11" s="0">
        <f>IFERROR(ROUND(G11/SUMIFS($G$2:$G$13,$D$2:$D$13,D11,$E$2:$E$13,TRUE())*100,0),0)</f>
        <v/>
      </c>
      <c r="I11" s="0">
        <f>MAX(0,ROUNDDOWN(J11*'Pipeline_sim1'!AN5*1.12,0))</f>
        <v/>
      </c>
      <c r="J11" s="0">
        <f>IFERROR(ROUND(L11/SUMIF($D$2:$D$13,D11,$L$2:$L$13)*7000*0.5,0),0)</f>
        <v/>
      </c>
      <c r="K11" s="0">
        <f>IFERROR(100*(_xlfn.MAXIFS($F$2:$F$13,$D$2:$D$13,D11,$E$2:$E$13,TRUE())-F11)/(_xlfn.MAXIFS($F$2:$F$13,$D$2:$D$13,D11,$E$2:$E$13,TRUE())-_xlfn.MINIFS($F$2:$F$13,$D$2:$D$13,D11,$E$2:$E$13,TRUE())),100)</f>
        <v/>
      </c>
      <c r="L11" s="0">
        <f>IF(E11,0.7*K11+0.2*G11*10+0.1*H11,0)</f>
        <v/>
      </c>
      <c r="M11" s="0">
        <f>G11*10</f>
        <v/>
      </c>
      <c r="N11" s="0">
        <f>IFERROR(L11/SUMIF($D$2:$D$13,D11,$L$2:$L$13),0)</f>
        <v/>
      </c>
    </row>
    <row r="12">
      <c r="A12" s="0" t="n">
        <v>1</v>
      </c>
      <c r="B12" s="0" t="inlineStr">
        <is>
          <t>D</t>
        </is>
      </c>
      <c r="C12" s="0" t="inlineStr">
        <is>
          <t>SEG-02</t>
        </is>
      </c>
      <c r="D12" s="0" t="inlineStr">
        <is>
          <t>1|SEG-02</t>
        </is>
      </c>
      <c r="E12" s="0">
        <f>TRUE()</f>
        <v/>
      </c>
      <c r="F12" s="0">
        <f>IFERROR(('Lotes_Pipeline_sim1'!I12*'Lotes_Pipeline_sim1'!H12)/('Lotes_Pipeline_sim1'!H12),0)</f>
        <v/>
      </c>
      <c r="G12" s="0">
        <f>'Pipeline_sim1'!DY5</f>
        <v/>
      </c>
      <c r="H12" s="0">
        <f>IFERROR(ROUND(G12/SUMIFS($G$2:$G$13,$D$2:$D$13,D12,$E$2:$E$13,TRUE())*100,0),0)</f>
        <v/>
      </c>
      <c r="I12" s="0">
        <f>MAX(0,ROUNDDOWN(J12*'Pipeline_sim1'!AN5*1.12,0))</f>
        <v/>
      </c>
      <c r="J12" s="0">
        <f>IFERROR(ROUND(L12/SUMIF($D$2:$D$13,D12,$L$2:$L$13)*5000*0.7,0),0)</f>
        <v/>
      </c>
      <c r="K12" s="0">
        <f>100-ABS(F12-100)/100*100</f>
        <v/>
      </c>
      <c r="L12" s="0">
        <f>IF(E12,0.4*K12+0.35*G12*10+0.25*H12,0)</f>
        <v/>
      </c>
      <c r="M12" s="0">
        <f>G12*10</f>
        <v/>
      </c>
      <c r="N12" s="0">
        <f>IFERROR(L12/SUMIF($D$2:$D$13,D12,$L$2:$L$13),0)</f>
        <v/>
      </c>
    </row>
    <row r="13">
      <c r="A13" s="0" t="n">
        <v>1</v>
      </c>
      <c r="B13" s="0" t="inlineStr">
        <is>
          <t>D</t>
        </is>
      </c>
      <c r="C13" s="0" t="inlineStr">
        <is>
          <t>SEG-03</t>
        </is>
      </c>
      <c r="D13" s="0" t="inlineStr">
        <is>
          <t>1|SEG-03</t>
        </is>
      </c>
      <c r="E13" s="0">
        <f>TRUE()</f>
        <v/>
      </c>
      <c r="F13" s="0">
        <f>IFERROR(('Lotes_Pipeline_sim1'!I13*'Lotes_Pipeline_sim1'!H13)/('Lotes_Pipeline_sim1'!H13),0)</f>
        <v/>
      </c>
      <c r="G13" s="0">
        <f>'Pipeline_sim1'!DY5</f>
        <v/>
      </c>
      <c r="H13" s="0">
        <f>IFERROR(ROUND(G13/SUMIFS($G$2:$G$13,$D$2:$D$13,D13,$E$2:$E$13,TRUE())*100,0),0)</f>
        <v/>
      </c>
      <c r="I13" s="0">
        <f>MAX(0,ROUNDDOWN(J13*'Pipeline_sim1'!AN5*1.12,0))</f>
        <v/>
      </c>
      <c r="J13" s="0">
        <f>IFERROR(ROUND(L13/SUMIF($D$2:$D$13,D13,$L$2:$L$13)*2000*0.4,0),0)</f>
        <v/>
      </c>
      <c r="K13" s="0">
        <f>100-ABS(F13-250)/250*100</f>
        <v/>
      </c>
      <c r="L13" s="0">
        <f>IF(E13,0.1*K13+0.5*G13*10+0.4*H13,0)</f>
        <v/>
      </c>
      <c r="M13" s="0">
        <f>G13*10</f>
        <v/>
      </c>
      <c r="N13" s="0">
        <f>IFERROR(L13/SUMIF($D$2:$D$13,D13,$L$2:$L$13),0)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2026-10-11T20:54:08Z</dcterms:modified>
</cp:coreProperties>
</file>