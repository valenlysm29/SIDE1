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DECISIONES" sheetId="2" state="visible" r:id="rId2"/>
    <sheet xmlns:r="http://schemas.openxmlformats.org/officeDocument/2006/relationships" name="Seleccion_Ciclo0" sheetId="3" state="visible" r:id="rId3"/>
    <sheet xmlns:r="http://schemas.openxmlformats.org/officeDocument/2006/relationships" name="Catalogo_Decisiones" sheetId="4" state="visible" r:id="rId4"/>
    <sheet xmlns:r="http://schemas.openxmlformats.org/officeDocument/2006/relationships" name="FlujoWeb" sheetId="5" state="visible" r:id="rId5"/>
    <sheet xmlns:r="http://schemas.openxmlformats.org/officeDocument/2006/relationships" name="CANTIDAD DE PRODUCCIÓN" sheetId="6" state="visible" r:id="rId6"/>
    <sheet xmlns:r="http://schemas.openxmlformats.org/officeDocument/2006/relationships" name="Costos De Producción" sheetId="7" state="visible" r:id="rId7"/>
    <sheet xmlns:r="http://schemas.openxmlformats.org/officeDocument/2006/relationships" name="Lotes_Produccion" sheetId="8" state="visible" r:id="rId8"/>
    <sheet xmlns:r="http://schemas.openxmlformats.org/officeDocument/2006/relationships" name="Motor_Puntajes" sheetId="9" state="visible" r:id="rId9"/>
    <sheet xmlns:r="http://schemas.openxmlformats.org/officeDocument/2006/relationships" name="Matriz_Consecuencias" sheetId="10" state="visible" r:id="rId10"/>
    <sheet xmlns:r="http://schemas.openxmlformats.org/officeDocument/2006/relationships" name="Consecuencias_Oracle" sheetId="11" state="visible" r:id="rId11"/>
    <sheet xmlns:r="http://schemas.openxmlformats.org/officeDocument/2006/relationships" name="Mercado_Oracle" sheetId="12" state="visible" r:id="rId12"/>
    <sheet xmlns:r="http://schemas.openxmlformats.org/officeDocument/2006/relationships" name="Pipeline_sim3" sheetId="13" state="visible" r:id="rId13"/>
    <sheet xmlns:r="http://schemas.openxmlformats.org/officeDocument/2006/relationships" name="Catalogo_Numerico_sim3" sheetId="14" state="visible" r:id="rId14"/>
    <sheet xmlns:r="http://schemas.openxmlformats.org/officeDocument/2006/relationships" name="Lotes_Pipeline_sim3" sheetId="15" state="visible" r:id="rId15"/>
    <sheet xmlns:r="http://schemas.openxmlformats.org/officeDocument/2006/relationships" name="Mercados_Pipeline_sim3" sheetId="16" state="visible" r:id="rId16"/>
  </sheets>
  <definedNames/>
  <calcPr calcId="124519" fullCalcOnLoad="1"/>
</workbook>
</file>

<file path=xl/styles.xml><?xml version="1.0" encoding="utf-8"?>
<styleSheet xmlns="http://schemas.openxmlformats.org/spreadsheetml/2006/main">
  <numFmts count="3">
    <numFmt numFmtId="164" formatCode="0.0"/>
    <numFmt numFmtId="165" formatCode="[$S/.]#,##0.00"/>
    <numFmt numFmtId="166" formatCode="d.m"/>
  </numFmts>
  <fonts count="20">
    <font>
      <name val="Calibri"/>
      <color theme="1"/>
      <sz val="11"/>
      <scheme val="minor"/>
    </font>
    <font>
      <name val="Arial"/>
      <b val="1"/>
      <color rgb="FF1F3864"/>
      <sz val="14"/>
    </font>
    <font>
      <name val="Calibri"/>
      <b val="1"/>
      <color rgb="FFFFFFFF"/>
      <scheme val="minor"/>
    </font>
    <font>
      <name val="Calibri"/>
      <color theme="1"/>
      <scheme val="minor"/>
    </font>
    <font>
      <name val="Arial"/>
      <color theme="1"/>
      <sz val="10"/>
    </font>
    <font>
      <name val="Arial"/>
      <b val="1"/>
      <color theme="1"/>
      <sz val="10"/>
    </font>
    <font>
      <name val="Arial"/>
      <b val="1"/>
      <color rgb="FFFFFFFF"/>
      <sz val="11"/>
    </font>
    <font>
      <name val="Calibri"/>
      <color theme="1"/>
      <sz val="18"/>
      <scheme val="minor"/>
    </font>
    <font>
      <name val="Calibri"/>
      <b val="1"/>
      <color theme="1"/>
      <scheme val="minor"/>
    </font>
    <font>
      <name val="Calibri"/>
      <color theme="1"/>
      <sz val="19"/>
      <scheme val="minor"/>
    </font>
    <font>
      <name val="Calibri"/>
      <color rgb="FF000000"/>
      <sz val="11"/>
    </font>
    <font>
      <name val="Calibri"/>
      <color theme="1"/>
      <sz val="15"/>
      <scheme val="minor"/>
    </font>
    <font>
      <name val="Calibri"/>
      <color theme="1"/>
      <sz val="17"/>
      <scheme val="minor"/>
    </font>
    <font>
      <name val="Calibri"/>
      <color theme="1"/>
      <sz val="16"/>
      <scheme val="minor"/>
    </font>
    <font>
      <name val="Calibri"/>
      <b val="1"/>
      <i val="1"/>
      <color theme="1"/>
      <scheme val="minor"/>
    </font>
    <font>
      <name val="Calibri"/>
      <color theme="1"/>
      <sz val="11"/>
    </font>
    <font>
      <name val="Arial"/>
      <i val="1"/>
      <color rgb="FF666666"/>
      <sz val="9"/>
    </font>
    <font>
      <name val="Arial"/>
      <b val="1"/>
      <i val="1"/>
      <color rgb="FF1F3864"/>
      <sz val="10"/>
    </font>
    <font>
      <name val="Arial"/>
      <sz val="10"/>
    </font>
    <font>
      <name val="Arial"/>
      <b val="1"/>
      <color rgb="00FFFFFF"/>
      <sz val="10"/>
    </font>
  </fonts>
  <fills count="26">
    <fill>
      <patternFill/>
    </fill>
    <fill>
      <patternFill patternType="lightGray"/>
    </fill>
    <fill>
      <patternFill patternType="solid">
        <fgColor rgb="FF134F5C"/>
        <bgColor rgb="FF134F5C"/>
      </patternFill>
    </fill>
    <fill>
      <patternFill patternType="solid">
        <fgColor rgb="FF1F3864"/>
        <bgColor rgb="FF1F3864"/>
      </patternFill>
    </fill>
    <fill>
      <patternFill patternType="solid">
        <fgColor rgb="FFFFF2CC"/>
        <bgColor rgb="FFFFF2CC"/>
      </patternFill>
    </fill>
    <fill>
      <patternFill patternType="solid">
        <fgColor rgb="FF93C47D"/>
        <bgColor rgb="FF93C47D"/>
      </patternFill>
    </fill>
    <fill>
      <patternFill patternType="solid">
        <fgColor rgb="FFE2EFDA"/>
        <bgColor rgb="FFE2EFDA"/>
      </patternFill>
    </fill>
    <fill>
      <patternFill patternType="solid">
        <fgColor rgb="FFFFFF00"/>
        <bgColor rgb="FFFFFF00"/>
      </patternFill>
    </fill>
    <fill>
      <patternFill patternType="solid">
        <fgColor rgb="FF999999"/>
        <bgColor rgb="FF999999"/>
      </patternFill>
    </fill>
    <fill>
      <patternFill patternType="solid">
        <fgColor rgb="FFC9DAF8"/>
        <bgColor rgb="FFC9DAF8"/>
      </patternFill>
    </fill>
    <fill>
      <patternFill patternType="solid">
        <fgColor rgb="FFB7B7B7"/>
        <bgColor rgb="FFB7B7B7"/>
      </patternFill>
    </fill>
    <fill>
      <patternFill patternType="solid">
        <fgColor rgb="FFB6D7A8"/>
        <bgColor rgb="FFB6D7A8"/>
      </patternFill>
    </fill>
    <fill>
      <patternFill patternType="solid">
        <fgColor rgb="FFD0E0E3"/>
        <bgColor rgb="FFD0E0E3"/>
      </patternFill>
    </fill>
    <fill>
      <patternFill patternType="solid">
        <fgColor rgb="FFA2C4C9"/>
        <bgColor rgb="FFA2C4C9"/>
      </patternFill>
    </fill>
    <fill>
      <patternFill patternType="solid">
        <fgColor rgb="FF6D9EEB"/>
        <bgColor rgb="FF6D9EEB"/>
      </patternFill>
    </fill>
    <fill>
      <patternFill patternType="solid">
        <fgColor rgb="FF6AA84F"/>
        <bgColor rgb="FF6AA84F"/>
      </patternFill>
    </fill>
    <fill>
      <patternFill patternType="solid">
        <fgColor rgb="FF3D85C6"/>
        <bgColor rgb="FF3D85C6"/>
      </patternFill>
    </fill>
    <fill>
      <patternFill patternType="solid">
        <fgColor rgb="FFF1C232"/>
        <bgColor rgb="FFF1C232"/>
      </patternFill>
    </fill>
    <fill>
      <patternFill patternType="solid">
        <fgColor theme="9"/>
        <bgColor theme="9"/>
      </patternFill>
    </fill>
    <fill>
      <patternFill patternType="solid">
        <fgColor rgb="FFD5A6BD"/>
        <bgColor rgb="FFD5A6BD"/>
      </patternFill>
    </fill>
    <fill>
      <patternFill patternType="solid">
        <fgColor theme="0"/>
        <bgColor theme="0"/>
      </patternFill>
    </fill>
    <fill>
      <patternFill patternType="solid">
        <fgColor rgb="FFD9D9D9"/>
        <bgColor rgb="FFD9D9D9"/>
      </patternFill>
    </fill>
    <fill>
      <patternFill patternType="solid">
        <fgColor rgb="FFE06666"/>
        <bgColor rgb="FFE06666"/>
      </patternFill>
    </fill>
    <fill>
      <patternFill patternType="solid">
        <fgColor rgb="FFF6B26B"/>
        <bgColor rgb="FFF6B26B"/>
      </patternFill>
    </fill>
    <fill>
      <patternFill patternType="solid">
        <fgColor rgb="FFD9EAD3"/>
        <bgColor rgb="FFD9EAD3"/>
      </patternFill>
    </fill>
    <fill>
      <patternFill patternType="solid">
        <fgColor rgb="00214E65"/>
      </patternFill>
    </fill>
  </fills>
  <borders count="24">
    <border/>
    <border>
      <left style="thin">
        <color rgb="FF000000"/>
      </left>
      <right style="thin">
        <color rgb="FF000000"/>
      </right>
      <top style="thin">
        <color rgb="FF000000"/>
      </top>
      <bottom style="thin">
        <color rgb="FF000000"/>
      </bottom>
    </border>
    <border>
      <left style="thin">
        <color rgb="FF000000"/>
      </left>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top style="thin">
        <color rgb="FFBFBFBF"/>
      </top>
      <bottom style="thin">
        <color rgb="FFBFBFBF"/>
      </bottom>
    </border>
    <border>
      <left style="thick">
        <color rgb="FFFF9900"/>
      </left>
      <top style="thick">
        <color rgb="FFFF9900"/>
      </top>
    </border>
    <border>
      <top style="thick">
        <color rgb="FFFF9900"/>
      </top>
    </border>
    <border>
      <right style="thick">
        <color rgb="FFFF9900"/>
      </right>
      <top style="thick">
        <color rgb="FFFF9900"/>
      </top>
    </border>
    <border>
      <left style="thick">
        <color rgb="FFFF9900"/>
      </left>
      <top style="thin">
        <color rgb="FFBFBFBF"/>
      </top>
      <bottom style="thin">
        <color rgb="FFBFBFBF"/>
      </bottom>
    </border>
    <border>
      <right style="thick">
        <color rgb="FFFF9900"/>
      </right>
    </border>
    <border>
      <left style="thick">
        <color rgb="FFFF9900"/>
      </left>
    </border>
    <border>
      <left style="thin">
        <color rgb="FFBFBFBF"/>
      </left>
      <right style="thick">
        <color rgb="FFFF9900"/>
      </right>
      <top style="thin">
        <color rgb="FFBFBFBF"/>
      </top>
      <bottom style="thin">
        <color rgb="FFBFBFBF"/>
      </bottom>
    </border>
    <border>
      <left style="thin">
        <color rgb="FFBFBFBF"/>
      </left>
      <right style="thick">
        <color rgb="FFFF9900"/>
      </right>
      <top style="thin">
        <color rgb="FFBFBFBF"/>
      </top>
    </border>
    <border>
      <left style="thin">
        <color rgb="FF000000"/>
      </left>
      <right style="thick">
        <color rgb="FFFF9900"/>
      </right>
      <top style="thin">
        <color rgb="FF000000"/>
      </top>
      <bottom style="thin">
        <color rgb="FF000000"/>
      </bottom>
    </border>
    <border>
      <left style="thick">
        <color rgb="FFFF9900"/>
      </left>
      <bottom style="thick">
        <color rgb="FFFF9900"/>
      </bottom>
    </border>
    <border>
      <bottom style="thick">
        <color rgb="FFFF9900"/>
      </bottom>
    </border>
    <border>
      <right style="thick">
        <color rgb="FFFF9900"/>
      </right>
      <bottom style="thick">
        <color rgb="FFFF9900"/>
      </bottom>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FBFBF"/>
      </left>
      <right style="thin">
        <color rgb="FFBFBFBF"/>
      </right>
    </border>
    <border>
      <left style="thin">
        <color rgb="FFBFBFBF"/>
      </left>
      <top style="thin">
        <color rgb="FFBFBFBF"/>
      </top>
    </border>
  </borders>
  <cellStyleXfs count="1">
    <xf numFmtId="0" fontId="0" fillId="0" borderId="0"/>
  </cellStyleXfs>
  <cellXfs count="187">
    <xf numFmtId="0" fontId="0" fillId="0" borderId="0" applyAlignment="1" pivotButton="0" quotePrefix="0" xfId="0">
      <alignment vertical="bottom"/>
    </xf>
    <xf numFmtId="0" fontId="1" fillId="0" borderId="0" applyAlignment="1" pivotButton="0" quotePrefix="0" xfId="0">
      <alignment vertical="bottom"/>
    </xf>
    <xf numFmtId="0" fontId="2" fillId="2" borderId="1" pivotButton="0" quotePrefix="0" xfId="0"/>
    <xf numFmtId="0" fontId="3" fillId="0" borderId="1" pivotButton="0" quotePrefix="0" xfId="0"/>
    <xf numFmtId="0" fontId="4" fillId="0" borderId="0" applyAlignment="1" pivotButton="0" quotePrefix="0" xfId="0">
      <alignment vertical="bottom" wrapText="1"/>
    </xf>
    <xf numFmtId="0" fontId="3" fillId="0" borderId="1" pivotButton="0" quotePrefix="0" xfId="0"/>
    <xf numFmtId="0" fontId="5" fillId="0" borderId="0" applyAlignment="1" pivotButton="0" quotePrefix="0" xfId="0">
      <alignment vertical="bottom" wrapText="1"/>
    </xf>
    <xf numFmtId="0" fontId="3" fillId="0" borderId="2" pivotButton="0" quotePrefix="0" xfId="0"/>
    <xf numFmtId="0" fontId="6" fillId="3" borderId="3" applyAlignment="1" pivotButton="0" quotePrefix="0" xfId="0">
      <alignment vertical="center" wrapText="1"/>
    </xf>
    <xf numFmtId="0" fontId="5" fillId="0" borderId="3" applyAlignment="1" pivotButton="0" quotePrefix="0" xfId="0">
      <alignment vertical="bottom"/>
    </xf>
    <xf numFmtId="0" fontId="4" fillId="0" borderId="3" applyAlignment="1" pivotButton="0" quotePrefix="0" xfId="0">
      <alignment vertical="bottom"/>
    </xf>
    <xf numFmtId="0" fontId="4" fillId="4" borderId="3" applyAlignment="1" pivotButton="0" quotePrefix="0" xfId="0">
      <alignment vertical="bottom"/>
    </xf>
    <xf numFmtId="0" fontId="4" fillId="5" borderId="3" applyAlignment="1" pivotButton="0" quotePrefix="0" xfId="0">
      <alignment vertical="bottom"/>
    </xf>
    <xf numFmtId="0" fontId="4" fillId="6" borderId="3" applyAlignment="1" pivotButton="0" quotePrefix="0" xfId="0">
      <alignment horizontal="center" vertical="bottom"/>
    </xf>
    <xf numFmtId="0" fontId="4" fillId="7" borderId="3" applyAlignment="1" pivotButton="0" quotePrefix="0" xfId="0">
      <alignment vertical="bottom"/>
    </xf>
    <xf numFmtId="0" fontId="4" fillId="8" borderId="3" applyAlignment="1" pivotButton="0" quotePrefix="0" xfId="0">
      <alignment vertical="bottom"/>
    </xf>
    <xf numFmtId="0" fontId="7" fillId="0" borderId="0" pivotButton="0" quotePrefix="0" xfId="0"/>
    <xf numFmtId="0" fontId="8" fillId="0" borderId="1" applyAlignment="1" pivotButton="0" quotePrefix="0" xfId="0">
      <alignment horizontal="center"/>
    </xf>
    <xf numFmtId="0" fontId="3" fillId="9" borderId="1" applyAlignment="1" pivotButton="0" quotePrefix="0" xfId="0">
      <alignment horizontal="center" vertical="center"/>
    </xf>
    <xf numFmtId="0" fontId="4" fillId="6" borderId="3" applyAlignment="1" pivotButton="0" quotePrefix="0" xfId="0">
      <alignment vertical="bottom"/>
    </xf>
    <xf numFmtId="0" fontId="3" fillId="0" borderId="1" applyAlignment="1" pivotButton="0" quotePrefix="0" xfId="0">
      <alignment horizontal="center"/>
    </xf>
    <xf numFmtId="0" fontId="3" fillId="0" borderId="1" applyAlignment="1" pivotButton="0" quotePrefix="0" xfId="0">
      <alignment horizontal="center" vertical="center"/>
    </xf>
    <xf numFmtId="0" fontId="3" fillId="10" borderId="1" applyAlignment="1" pivotButton="0" quotePrefix="0" xfId="0">
      <alignment horizontal="center" vertical="center"/>
    </xf>
    <xf numFmtId="0" fontId="3" fillId="11" borderId="1" applyAlignment="1" pivotButton="0" quotePrefix="0" xfId="0">
      <alignment horizontal="center" vertical="center"/>
    </xf>
    <xf numFmtId="0" fontId="3" fillId="0" borderId="0" pivotButton="0" quotePrefix="0" xfId="0"/>
    <xf numFmtId="0" fontId="8" fillId="0" borderId="0" applyAlignment="1" pivotButton="0" quotePrefix="0" xfId="0">
      <alignment wrapText="1"/>
    </xf>
    <xf numFmtId="0" fontId="3" fillId="12" borderId="0" applyAlignment="1" pivotButton="0" quotePrefix="0" xfId="0">
      <alignment horizontal="center" vertical="center"/>
    </xf>
    <xf numFmtId="0" fontId="9" fillId="0" borderId="0" applyAlignment="1" pivotButton="0" quotePrefix="0" xfId="0">
      <alignment horizontal="center" vertical="center" textRotation="90" wrapText="1"/>
    </xf>
    <xf numFmtId="0" fontId="3" fillId="0" borderId="0" applyAlignment="1" pivotButton="0" quotePrefix="0" xfId="0">
      <alignment vertical="center"/>
    </xf>
    <xf numFmtId="0" fontId="3" fillId="0" borderId="0" applyAlignment="1" pivotButton="0" quotePrefix="0" xfId="0">
      <alignment vertical="center"/>
    </xf>
    <xf numFmtId="0" fontId="3" fillId="13" borderId="0" applyAlignment="1" pivotButton="0" quotePrefix="0" xfId="0">
      <alignment wrapText="1"/>
    </xf>
    <xf numFmtId="0" fontId="3" fillId="0" borderId="1" applyAlignment="1" pivotButton="0" quotePrefix="0" xfId="0">
      <alignment horizontal="center" vertical="center" wrapText="1"/>
    </xf>
    <xf numFmtId="0" fontId="3" fillId="0" borderId="0" applyAlignment="1" pivotButton="0" quotePrefix="0" xfId="0">
      <alignment wrapText="1"/>
    </xf>
    <xf numFmtId="0" fontId="3" fillId="14" borderId="0" applyAlignment="1" pivotButton="0" quotePrefix="0" xfId="0">
      <alignment horizontal="center" vertical="center"/>
    </xf>
    <xf numFmtId="0" fontId="3" fillId="5" borderId="1" applyAlignment="1" pivotButton="0" quotePrefix="0" xfId="0">
      <alignment horizontal="center" vertical="center"/>
    </xf>
    <xf numFmtId="0" fontId="3" fillId="0" borderId="1" applyAlignment="1" pivotButton="0" quotePrefix="0" xfId="0">
      <alignment horizontal="center" vertical="center"/>
    </xf>
    <xf numFmtId="0" fontId="3" fillId="0" borderId="0" applyAlignment="1" pivotButton="0" quotePrefix="0" xfId="0">
      <alignment horizontal="center" vertical="center"/>
    </xf>
    <xf numFmtId="0" fontId="3" fillId="0" borderId="1" applyAlignment="1" pivotButton="0" quotePrefix="0" xfId="0">
      <alignment horizontal="center"/>
    </xf>
    <xf numFmtId="0" fontId="3" fillId="0" borderId="0" pivotButton="0" quotePrefix="0" xfId="0"/>
    <xf numFmtId="9" fontId="3" fillId="0" borderId="0" pivotButton="0" quotePrefix="0" xfId="0"/>
    <xf numFmtId="164" fontId="3" fillId="7" borderId="0" pivotButton="0" quotePrefix="0" xfId="0"/>
    <xf numFmtId="9" fontId="3" fillId="14" borderId="0" pivotButton="0" quotePrefix="0" xfId="0"/>
    <xf numFmtId="0" fontId="8" fillId="0" borderId="0" pivotButton="0" quotePrefix="0" xfId="0"/>
    <xf numFmtId="0" fontId="3" fillId="7" borderId="0" applyAlignment="1" pivotButton="0" quotePrefix="0" xfId="0">
      <alignment vertical="center"/>
    </xf>
    <xf numFmtId="0" fontId="3" fillId="7" borderId="0" applyAlignment="1" pivotButton="0" quotePrefix="0" xfId="0">
      <alignment horizontal="center" vertical="center"/>
    </xf>
    <xf numFmtId="0" fontId="10" fillId="0" borderId="0" applyAlignment="1" pivotButton="0" quotePrefix="0" xfId="0">
      <alignment vertical="bottom"/>
    </xf>
    <xf numFmtId="0" fontId="3" fillId="0" borderId="0" applyAlignment="1" pivotButton="0" quotePrefix="0" xfId="0">
      <alignment horizontal="center" vertical="center"/>
    </xf>
    <xf numFmtId="0" fontId="3" fillId="14" borderId="1" applyAlignment="1" pivotButton="0" quotePrefix="0" xfId="0">
      <alignment horizontal="center" vertical="center"/>
    </xf>
    <xf numFmtId="0" fontId="10" fillId="0" borderId="0" applyAlignment="1" pivotButton="0" quotePrefix="0" xfId="0">
      <alignment horizontal="right" vertical="bottom"/>
    </xf>
    <xf numFmtId="10" fontId="3" fillId="0" borderId="0" pivotButton="0" quotePrefix="0" xfId="0"/>
    <xf numFmtId="0" fontId="10" fillId="0" borderId="0" applyAlignment="1" pivotButton="0" quotePrefix="0" xfId="0">
      <alignment horizontal="right" vertical="bottom"/>
    </xf>
    <xf numFmtId="0" fontId="3" fillId="5" borderId="1" applyAlignment="1" pivotButton="0" quotePrefix="0" xfId="0">
      <alignment horizontal="center" vertical="center"/>
    </xf>
    <xf numFmtId="0" fontId="3" fillId="0" borderId="2" pivotButton="0" quotePrefix="0" xfId="0"/>
    <xf numFmtId="0" fontId="3" fillId="7" borderId="0" pivotButton="0" quotePrefix="0" xfId="0"/>
    <xf numFmtId="0" fontId="3" fillId="15" borderId="0" pivotButton="0" quotePrefix="0" xfId="0"/>
    <xf numFmtId="0" fontId="3" fillId="16" borderId="0" applyAlignment="1" pivotButton="0" quotePrefix="0" xfId="0">
      <alignment wrapText="1"/>
    </xf>
    <xf numFmtId="0" fontId="11" fillId="0" borderId="0" applyAlignment="1" pivotButton="0" quotePrefix="0" xfId="0">
      <alignment horizontal="center" vertical="center"/>
    </xf>
    <xf numFmtId="0" fontId="3" fillId="16" borderId="0" pivotButton="0" quotePrefix="0" xfId="0"/>
    <xf numFmtId="0" fontId="3" fillId="7" borderId="0" pivotButton="0" quotePrefix="0" xfId="0"/>
    <xf numFmtId="0" fontId="3" fillId="5" borderId="0" pivotButton="0" quotePrefix="0" xfId="0"/>
    <xf numFmtId="0" fontId="12" fillId="0" borderId="0" pivotButton="0" quotePrefix="0" xfId="0"/>
    <xf numFmtId="0" fontId="3" fillId="0" borderId="0" applyAlignment="1" pivotButton="0" quotePrefix="0" xfId="0">
      <alignment horizontal="center" vertical="center" wrapText="1"/>
    </xf>
    <xf numFmtId="165" fontId="3" fillId="7" borderId="0" pivotButton="0" quotePrefix="0" xfId="0"/>
    <xf numFmtId="0" fontId="4" fillId="17" borderId="3" applyAlignment="1" pivotButton="0" quotePrefix="0" xfId="0">
      <alignment horizontal="center" vertical="center" wrapText="1"/>
    </xf>
    <xf numFmtId="165" fontId="3" fillId="15" borderId="0" pivotButton="0" quotePrefix="0" xfId="0"/>
    <xf numFmtId="165" fontId="3" fillId="16" borderId="0" pivotButton="0" quotePrefix="0" xfId="0"/>
    <xf numFmtId="0" fontId="4" fillId="18" borderId="3" applyAlignment="1" pivotButton="0" quotePrefix="0" xfId="0">
      <alignment horizontal="center" vertical="center" wrapText="1"/>
    </xf>
    <xf numFmtId="0" fontId="4" fillId="19" borderId="3" applyAlignment="1" pivotButton="0" quotePrefix="0" xfId="0">
      <alignment horizontal="center" vertical="center" wrapText="1"/>
    </xf>
    <xf numFmtId="165" fontId="3" fillId="7" borderId="0" pivotButton="0" quotePrefix="0" xfId="0"/>
    <xf numFmtId="0" fontId="4" fillId="0" borderId="4" applyAlignment="1" pivotButton="0" quotePrefix="0" xfId="0">
      <alignment horizontal="center" vertical="center" wrapText="1"/>
    </xf>
    <xf numFmtId="0" fontId="4" fillId="0" borderId="4" applyAlignment="1" pivotButton="0" quotePrefix="0" xfId="0">
      <alignment horizontal="center" vertical="center" wrapText="1"/>
    </xf>
    <xf numFmtId="165" fontId="3" fillId="15" borderId="0" pivotButton="0" quotePrefix="0" xfId="0"/>
    <xf numFmtId="0" fontId="3" fillId="8" borderId="1" applyAlignment="1" pivotButton="0" quotePrefix="0" xfId="0">
      <alignment horizontal="center" vertical="center" wrapText="1"/>
    </xf>
    <xf numFmtId="165" fontId="3" fillId="16" borderId="0" pivotButton="0" quotePrefix="0" xfId="0"/>
    <xf numFmtId="9" fontId="3" fillId="0" borderId="0" applyAlignment="1" pivotButton="0" quotePrefix="0" xfId="0">
      <alignment horizontal="center" vertical="center" wrapText="1"/>
    </xf>
    <xf numFmtId="164" fontId="3" fillId="0" borderId="0" applyAlignment="1" pivotButton="0" quotePrefix="0" xfId="0">
      <alignment horizontal="center" vertical="center" wrapText="1"/>
    </xf>
    <xf numFmtId="0" fontId="4" fillId="0" borderId="5" applyAlignment="1" pivotButton="0" quotePrefix="0" xfId="0">
      <alignment vertical="bottom"/>
    </xf>
    <xf numFmtId="0" fontId="3" fillId="14" borderId="1" applyAlignment="1" pivotButton="0" quotePrefix="0" xfId="0">
      <alignment horizontal="center"/>
    </xf>
    <xf numFmtId="0" fontId="3" fillId="20" borderId="1" applyAlignment="1" pivotButton="0" quotePrefix="0" xfId="0">
      <alignment horizontal="center" vertical="center" wrapText="1"/>
    </xf>
    <xf numFmtId="0" fontId="3" fillId="20" borderId="1" applyAlignment="1" pivotButton="0" quotePrefix="0" xfId="0">
      <alignment horizontal="center" vertical="center" wrapText="1"/>
    </xf>
    <xf numFmtId="164" fontId="3" fillId="21" borderId="0" pivotButton="0" quotePrefix="0" xfId="0"/>
    <xf numFmtId="0" fontId="3" fillId="0" borderId="6" pivotButton="0" quotePrefix="0" xfId="0"/>
    <xf numFmtId="0" fontId="8" fillId="0" borderId="7" pivotButton="0" quotePrefix="0" xfId="0"/>
    <xf numFmtId="0" fontId="8" fillId="21" borderId="7" pivotButton="0" quotePrefix="0" xfId="0"/>
    <xf numFmtId="0" fontId="3" fillId="0" borderId="7" pivotButton="0" quotePrefix="0" xfId="0"/>
    <xf numFmtId="0" fontId="3" fillId="0" borderId="8" pivotButton="0" quotePrefix="0" xfId="0"/>
    <xf numFmtId="0" fontId="4" fillId="0" borderId="9" applyAlignment="1" pivotButton="0" quotePrefix="0" xfId="0">
      <alignment vertical="bottom"/>
    </xf>
    <xf numFmtId="0" fontId="8" fillId="5" borderId="0" applyAlignment="1" pivotButton="0" quotePrefix="0" xfId="0">
      <alignment horizontal="center" vertical="center" wrapText="1"/>
    </xf>
    <xf numFmtId="0" fontId="3" fillId="21" borderId="0" pivotButton="0" quotePrefix="0" xfId="0"/>
    <xf numFmtId="0" fontId="3" fillId="0" borderId="10" pivotButton="0" quotePrefix="0" xfId="0"/>
    <xf numFmtId="0" fontId="3" fillId="0" borderId="11" pivotButton="0" quotePrefix="0" xfId="0"/>
    <xf numFmtId="0" fontId="4" fillId="19" borderId="12" applyAlignment="1" pivotButton="0" quotePrefix="0" xfId="0">
      <alignment horizontal="center" vertical="center" wrapText="1"/>
    </xf>
    <xf numFmtId="0" fontId="4" fillId="0" borderId="13" applyAlignment="1" pivotButton="0" quotePrefix="0" xfId="0">
      <alignment horizontal="center" vertical="center" wrapText="1"/>
    </xf>
    <xf numFmtId="0" fontId="3" fillId="0" borderId="14" applyAlignment="1" pivotButton="0" quotePrefix="0" xfId="0">
      <alignment horizontal="center" vertical="center"/>
    </xf>
    <xf numFmtId="0" fontId="3" fillId="20" borderId="0" pivotButton="0" quotePrefix="0" xfId="0"/>
    <xf numFmtId="0" fontId="3" fillId="20" borderId="15" pivotButton="0" quotePrefix="0" xfId="0"/>
    <xf numFmtId="0" fontId="4" fillId="20" borderId="16" applyAlignment="1" pivotButton="0" quotePrefix="0" xfId="0">
      <alignment horizontal="center" vertical="center" wrapText="1"/>
    </xf>
    <xf numFmtId="0" fontId="4" fillId="20" borderId="17" applyAlignment="1" pivotButton="0" quotePrefix="0" xfId="0">
      <alignment horizontal="center" vertical="center" wrapText="1"/>
    </xf>
    <xf numFmtId="0" fontId="4" fillId="20" borderId="0" applyAlignment="1" pivotButton="0" quotePrefix="0" xfId="0">
      <alignment horizontal="center" vertical="center" wrapText="1"/>
    </xf>
    <xf numFmtId="0" fontId="3" fillId="7" borderId="0" applyAlignment="1" pivotButton="0" quotePrefix="0" xfId="0">
      <alignment wrapText="1"/>
    </xf>
    <xf numFmtId="0" fontId="3" fillId="15" borderId="0" applyAlignment="1" pivotButton="0" quotePrefix="0" xfId="0">
      <alignment wrapText="1"/>
    </xf>
    <xf numFmtId="0" fontId="8"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3" fillId="0" borderId="0" applyAlignment="1" pivotButton="0" quotePrefix="0" xfId="0">
      <alignment horizontal="center"/>
    </xf>
    <xf numFmtId="0" fontId="3" fillId="0" borderId="14" applyAlignment="1" pivotButton="0" quotePrefix="0" xfId="0">
      <alignment horizontal="center" vertical="center"/>
    </xf>
    <xf numFmtId="0" fontId="8" fillId="0" borderId="0" applyAlignment="1" pivotButton="0" quotePrefix="0" xfId="0">
      <alignment horizontal="center"/>
    </xf>
    <xf numFmtId="10" fontId="3" fillId="0" borderId="0" applyAlignment="1" pivotButton="0" quotePrefix="0" xfId="0">
      <alignment horizontal="center" vertical="center"/>
    </xf>
    <xf numFmtId="2" fontId="3" fillId="0" borderId="0" pivotButton="0" quotePrefix="0" xfId="0"/>
    <xf numFmtId="0" fontId="4" fillId="4" borderId="3" applyAlignment="1" pivotButton="0" quotePrefix="0" xfId="0">
      <alignment vertical="center" wrapText="1"/>
    </xf>
    <xf numFmtId="166" fontId="3" fillId="0" borderId="0" pivotButton="0" quotePrefix="0" xfId="0"/>
    <xf numFmtId="0" fontId="4" fillId="6" borderId="3" applyAlignment="1" pivotButton="0" quotePrefix="0" xfId="0">
      <alignment vertical="center" wrapText="1"/>
    </xf>
    <xf numFmtId="0" fontId="8" fillId="0" borderId="1" applyAlignment="1" pivotButton="0" quotePrefix="0" xfId="0">
      <alignment horizontal="center" vertical="center"/>
    </xf>
    <xf numFmtId="10" fontId="8" fillId="0" borderId="0" applyAlignment="1" pivotButton="0" quotePrefix="0" xfId="0">
      <alignment horizontal="center" vertical="center"/>
    </xf>
    <xf numFmtId="0" fontId="4" fillId="0" borderId="3" applyAlignment="1" pivotButton="0" quotePrefix="0" xfId="0">
      <alignment vertical="center" wrapText="1"/>
    </xf>
    <xf numFmtId="0" fontId="4" fillId="18" borderId="3" applyAlignment="1" pivotButton="0" quotePrefix="0" xfId="0">
      <alignment horizontal="center" vertical="center" wrapText="1"/>
    </xf>
    <xf numFmtId="0" fontId="13" fillId="0" borderId="0" pivotButton="0" quotePrefix="0" xfId="0"/>
    <xf numFmtId="2" fontId="3" fillId="0" borderId="0" applyAlignment="1" pivotButton="0" quotePrefix="0" xfId="0">
      <alignment horizontal="center" vertical="center"/>
    </xf>
    <xf numFmtId="0" fontId="14" fillId="0" borderId="0" applyAlignment="1" pivotButton="0" quotePrefix="0" xfId="0">
      <alignment horizontal="right" vertical="center"/>
    </xf>
    <xf numFmtId="2" fontId="3" fillId="0" borderId="1" pivotButton="0" quotePrefix="0" xfId="0"/>
    <xf numFmtId="10" fontId="3" fillId="0" borderId="1" pivotButton="0" quotePrefix="0" xfId="0"/>
    <xf numFmtId="0" fontId="3" fillId="0" borderId="2" applyAlignment="1" pivotButton="0" quotePrefix="0" xfId="0">
      <alignment horizontal="center" vertical="center" wrapText="1"/>
    </xf>
    <xf numFmtId="166" fontId="3" fillId="0" borderId="0" applyAlignment="1" pivotButton="0" quotePrefix="0" xfId="0">
      <alignment horizontal="center" vertical="center"/>
    </xf>
    <xf numFmtId="4" fontId="3" fillId="0" borderId="1" applyAlignment="1" pivotButton="0" quotePrefix="0" xfId="0">
      <alignment horizontal="center" vertical="center"/>
    </xf>
    <xf numFmtId="2" fontId="3" fillId="0" borderId="18" pivotButton="0" quotePrefix="0" xfId="0"/>
    <xf numFmtId="0" fontId="3" fillId="0" borderId="18" pivotButton="0" quotePrefix="0" xfId="0"/>
    <xf numFmtId="9" fontId="3" fillId="0" borderId="2" pivotButton="0" quotePrefix="0" xfId="0"/>
    <xf numFmtId="0" fontId="3" fillId="0" borderId="19" pivotButton="0" quotePrefix="0" xfId="0"/>
    <xf numFmtId="0" fontId="15" fillId="0" borderId="3" applyAlignment="1" pivotButton="0" quotePrefix="0" xfId="0">
      <alignment vertical="bottom"/>
    </xf>
    <xf numFmtId="0" fontId="3" fillId="0" borderId="20" pivotButton="0" quotePrefix="0" xfId="0"/>
    <xf numFmtId="0" fontId="3" fillId="0" borderId="21" pivotButton="0" quotePrefix="0" xfId="0"/>
    <xf numFmtId="0" fontId="5" fillId="6" borderId="3" applyAlignment="1" pivotButton="0" quotePrefix="0" xfId="0">
      <alignment vertical="bottom"/>
    </xf>
    <xf numFmtId="0" fontId="16" fillId="0" borderId="0" applyAlignment="1" pivotButton="0" quotePrefix="0" xfId="0">
      <alignment vertical="bottom"/>
    </xf>
    <xf numFmtId="0" fontId="4" fillId="0" borderId="22" applyAlignment="1" pivotButton="0" quotePrefix="0" xfId="0">
      <alignment vertical="center" wrapText="1"/>
    </xf>
    <xf numFmtId="0" fontId="3" fillId="5" borderId="1" applyAlignment="1" pivotButton="0" quotePrefix="0" xfId="0">
      <alignment horizontal="center" vertical="center" wrapText="1"/>
    </xf>
    <xf numFmtId="0" fontId="4" fillId="0" borderId="23" applyAlignment="1" pivotButton="0" quotePrefix="0" xfId="0">
      <alignment vertical="center" wrapText="1"/>
    </xf>
    <xf numFmtId="0" fontId="3" fillId="14" borderId="1" applyAlignment="1" pivotButton="0" quotePrefix="0" xfId="0">
      <alignment horizontal="center" vertical="center" wrapText="1"/>
    </xf>
    <xf numFmtId="0" fontId="3" fillId="22" borderId="0" pivotButton="0" quotePrefix="0" xfId="0"/>
    <xf numFmtId="0" fontId="3" fillId="23" borderId="0" pivotButton="0" quotePrefix="0" xfId="0"/>
    <xf numFmtId="0" fontId="3" fillId="8" borderId="0" pivotButton="0" quotePrefix="0" xfId="0"/>
    <xf numFmtId="0" fontId="4" fillId="0" borderId="23" applyAlignment="1" pivotButton="0" quotePrefix="0" xfId="0">
      <alignment vertical="center" wrapText="1"/>
    </xf>
    <xf numFmtId="165" fontId="3" fillId="22" borderId="0" pivotButton="0" quotePrefix="0" xfId="0"/>
    <xf numFmtId="165" fontId="3" fillId="23" borderId="0" pivotButton="0" quotePrefix="0" xfId="0"/>
    <xf numFmtId="165" fontId="3" fillId="8" borderId="0" pivotButton="0" quotePrefix="0" xfId="0"/>
    <xf numFmtId="165" fontId="3" fillId="22" borderId="0" pivotButton="0" quotePrefix="0" xfId="0"/>
    <xf numFmtId="165" fontId="3" fillId="23" borderId="0" pivotButton="0" quotePrefix="0" xfId="0"/>
    <xf numFmtId="165" fontId="3" fillId="0" borderId="0" pivotButton="0" quotePrefix="0" xfId="0"/>
    <xf numFmtId="0" fontId="5" fillId="0" borderId="0" applyAlignment="1" pivotButton="0" quotePrefix="0" xfId="0">
      <alignment vertical="bottom"/>
    </xf>
    <xf numFmtId="0" fontId="4" fillId="0" borderId="3" applyAlignment="1" pivotButton="0" quotePrefix="0" xfId="0">
      <alignment vertical="bottom" wrapText="1"/>
    </xf>
    <xf numFmtId="0" fontId="8" fillId="7" borderId="0" applyAlignment="1" pivotButton="0" quotePrefix="0" xfId="0">
      <alignment horizontal="center" wrapText="1"/>
    </xf>
    <xf numFmtId="0" fontId="3" fillId="7" borderId="1" pivotButton="0" quotePrefix="0" xfId="0"/>
    <xf numFmtId="9" fontId="3" fillId="7" borderId="1" pivotButton="0" quotePrefix="0" xfId="0"/>
    <xf numFmtId="0" fontId="3" fillId="0" borderId="1" applyAlignment="1" pivotButton="0" quotePrefix="0" xfId="0">
      <alignment vertical="center" wrapText="1"/>
    </xf>
    <xf numFmtId="0" fontId="3" fillId="0" borderId="0" applyAlignment="1" pivotButton="0" quotePrefix="0" xfId="0">
      <alignment vertical="center" wrapText="1"/>
    </xf>
    <xf numFmtId="0" fontId="10" fillId="0" borderId="1" applyAlignment="1" pivotButton="0" quotePrefix="0" xfId="0">
      <alignment horizontal="center"/>
    </xf>
    <xf numFmtId="165" fontId="3" fillId="4" borderId="1" applyAlignment="1" pivotButton="0" quotePrefix="0" xfId="0">
      <alignment vertical="center" wrapText="1"/>
    </xf>
    <xf numFmtId="0" fontId="3" fillId="0" borderId="0" pivotButton="0" quotePrefix="0" xfId="0"/>
    <xf numFmtId="0" fontId="3" fillId="4" borderId="1" applyAlignment="1" pivotButton="0" quotePrefix="0" xfId="0">
      <alignment vertical="center" wrapText="1"/>
    </xf>
    <xf numFmtId="0" fontId="3" fillId="23" borderId="0" applyAlignment="1" pivotButton="0" quotePrefix="0" xfId="0">
      <alignment wrapText="1"/>
    </xf>
    <xf numFmtId="0" fontId="3" fillId="8" borderId="0" applyAlignment="1" pivotButton="0" quotePrefix="0" xfId="0">
      <alignment wrapText="1"/>
    </xf>
    <xf numFmtId="0" fontId="14" fillId="0" borderId="0" applyAlignment="1" pivotButton="0" quotePrefix="0" xfId="0">
      <alignment horizontal="center" vertical="center"/>
    </xf>
    <xf numFmtId="0" fontId="3" fillId="24" borderId="1" applyAlignment="1" pivotButton="0" quotePrefix="0" xfId="0">
      <alignment vertical="center" wrapText="1"/>
    </xf>
    <xf numFmtId="0" fontId="3" fillId="24" borderId="1" applyAlignment="1" pivotButton="0" quotePrefix="0" xfId="0">
      <alignment vertical="center" wrapText="1"/>
    </xf>
    <xf numFmtId="10" fontId="3" fillId="24" borderId="1" applyAlignment="1" pivotButton="0" quotePrefix="0" xfId="0">
      <alignment vertical="center" wrapText="1"/>
    </xf>
    <xf numFmtId="165" fontId="3" fillId="8" borderId="0" pivotButton="0" quotePrefix="0" xfId="0"/>
    <xf numFmtId="0" fontId="3" fillId="0" borderId="1" applyAlignment="1" pivotButton="0" quotePrefix="0" xfId="0">
      <alignment vertical="center" wrapText="1"/>
    </xf>
    <xf numFmtId="0" fontId="3" fillId="24" borderId="1" applyAlignment="1" pivotButton="0" quotePrefix="0" xfId="0">
      <alignment horizontal="right" vertical="center" wrapText="1"/>
    </xf>
    <xf numFmtId="9" fontId="3" fillId="0" borderId="1" applyAlignment="1" pivotButton="0" quotePrefix="0" xfId="0">
      <alignment vertical="center" wrapText="1"/>
    </xf>
    <xf numFmtId="0" fontId="17" fillId="0" borderId="3" applyAlignment="1" pivotButton="0" quotePrefix="0" xfId="0">
      <alignment vertical="bottom"/>
    </xf>
    <xf numFmtId="0" fontId="3" fillId="11" borderId="1" applyAlignment="1" pivotButton="0" quotePrefix="0" xfId="0">
      <alignment horizontal="right" vertical="center" wrapText="1"/>
    </xf>
    <xf numFmtId="0" fontId="3" fillId="11" borderId="1" applyAlignment="1" pivotButton="0" quotePrefix="0" xfId="0">
      <alignment vertical="center" wrapText="1"/>
    </xf>
    <xf numFmtId="0" fontId="3" fillId="5" borderId="0" applyAlignment="1" pivotButton="0" quotePrefix="0" xfId="0">
      <alignment wrapText="1"/>
    </xf>
    <xf numFmtId="165" fontId="3" fillId="5" borderId="0" pivotButton="0" quotePrefix="0" xfId="0"/>
    <xf numFmtId="0" fontId="4" fillId="0" borderId="3" applyAlignment="1" pivotButton="0" quotePrefix="0" xfId="0">
      <alignment vertical="top" wrapText="1"/>
    </xf>
    <xf numFmtId="165" fontId="3" fillId="5" borderId="0" pivotButton="0" quotePrefix="0" xfId="0"/>
    <xf numFmtId="165" fontId="3" fillId="23" borderId="0" applyAlignment="1" pivotButton="0" quotePrefix="0" xfId="0">
      <alignment wrapText="1"/>
    </xf>
    <xf numFmtId="165" fontId="3" fillId="23" borderId="0" applyAlignment="1" pivotButton="0" quotePrefix="0" xfId="0">
      <alignment wrapText="1"/>
    </xf>
    <xf numFmtId="2" fontId="14" fillId="0" borderId="0" applyAlignment="1" pivotButton="0" quotePrefix="0" xfId="0">
      <alignment horizontal="right" vertical="center"/>
    </xf>
    <xf numFmtId="0" fontId="3" fillId="8" borderId="0" applyAlignment="1" pivotButton="0" quotePrefix="0" xfId="0">
      <alignment horizontal="center" wrapText="1"/>
    </xf>
    <xf numFmtId="165" fontId="3" fillId="8" borderId="0" applyAlignment="1" pivotButton="0" quotePrefix="0" xfId="0">
      <alignment horizontal="center"/>
    </xf>
    <xf numFmtId="165" fontId="3" fillId="8" borderId="0" applyAlignment="1" pivotButton="0" quotePrefix="0" xfId="0">
      <alignment horizontal="center"/>
    </xf>
    <xf numFmtId="0" fontId="3" fillId="8" borderId="0" applyAlignment="1" pivotButton="0" quotePrefix="0" xfId="0">
      <alignment horizontal="center"/>
    </xf>
    <xf numFmtId="165" fontId="3" fillId="0" borderId="0" pivotButton="0" quotePrefix="0" xfId="0"/>
    <xf numFmtId="0" fontId="3" fillId="8" borderId="0" pivotButton="0" quotePrefix="0" xfId="0"/>
    <xf numFmtId="165" fontId="3" fillId="8" borderId="0" pivotButton="0" quotePrefix="0" xfId="0"/>
    <xf numFmtId="0" fontId="0" fillId="0" borderId="0" pivotButton="0" quotePrefix="0" xfId="0"/>
    <xf numFmtId="0" fontId="19" fillId="25" borderId="0" pivotButton="0" quotePrefix="0" xfId="0"/>
    <xf numFmtId="0" fontId="18"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ColWidth="14.43" defaultRowHeight="15" customHeight="1"/>
  <cols>
    <col width="3" customWidth="1" style="184" min="1" max="1"/>
    <col width="110" customWidth="1" style="184" min="2" max="2"/>
    <col width="8.710000000000001" customWidth="1" style="184" min="3" max="26"/>
  </cols>
  <sheetData>
    <row r="2">
      <c r="B2" s="1" t="inlineStr">
        <is>
          <t>Simulador de empresa de bolsos de cuero — Catalogo maestro de decisiones</t>
        </is>
      </c>
    </row>
    <row r="3">
      <c r="B3" s="4" t="n"/>
    </row>
    <row r="4">
      <c r="B4" s="4" t="inlineStr">
        <is>
          <t>Como esta organizado este archivo:</t>
        </is>
      </c>
    </row>
    <row r="5">
      <c r="B5" s="4" t="n"/>
    </row>
    <row r="6">
      <c r="B6" s="6" t="inlineStr">
        <is>
          <t>1) Catalogo_Decisiones: TODAS las opciones posibles del juego. Cada opcion es una fila y cada dato (costo, aporte a cada puntaje) tiene su propia celda — nada esta combinado en una sola celda.</t>
        </is>
      </c>
    </row>
    <row r="7">
      <c r="B7" s="6" t="inlineStr">
        <is>
          <t>2) Seleccion_Ciclo0: aqui el jugador elige, por cada grupo de decision (maquinas, personal, canal, etc.), el codigo de la opcion que quiere (lista desplegable en la columna B). Las demas columnas se completan solas con formulas.</t>
        </is>
      </c>
    </row>
    <row r="8">
      <c r="B8" s="6" t="inlineStr">
        <is>
          <t>2b) Lotes_Produccion: aqui se decide la calidad POR LOTE, no como promedio de toda la empresa. Cada lote (hasta 3 por ciclo) tiene su propia cantidad de unidades, su propio cuero/accesorios/hilo/molde y su propio segmento de venta. El sistema calcula el Puntaje de Calidad de CADA lote y lo compara contra el segmento elegido (si vendes 'Premium' con insumos bajos, el lote sale 'No alcanza el segmento').</t>
        </is>
      </c>
    </row>
    <row r="9">
      <c r="B9" s="6" t="inlineStr">
        <is>
          <t>3) Motor_Puntajes: el Puntaje de Calidad de la empresa es el promedio de los lotes PONDERADO por las unidades de cada uno (un lote de 500 unidades pesa mas que uno de 50). Los otros 3 puntajes (Eficiencia, Reputacion, Salud Financiera) suman los aportes de Seleccion_Ciclo0.</t>
        </is>
      </c>
    </row>
    <row r="10">
      <c r="B10" s="6" t="inlineStr">
        <is>
          <t>4) Matriz_Consecuencias: reglas de negocio — que pasa (efecto numerico) y que mensaje ve el jugador segun el valor de cada puntaje.</t>
        </is>
      </c>
    </row>
    <row r="11">
      <c r="B11" s="4" t="n"/>
    </row>
    <row r="12">
      <c r="B12" s="4" t="inlineStr">
        <is>
          <t>Celdas amarillas = donde se elige/edita (inputs). Celdas verdes = puntajes/aportes calculados. Celdas grises = fijas u obligatorias.</t>
        </is>
      </c>
    </row>
    <row r="13">
      <c r="B13" s="4" t="n"/>
    </row>
    <row r="14">
      <c r="B14" s="4" t="inlineStr">
        <is>
          <t>Para agregar una opcion nueva: agrega una fila en Catalogo_Decisiones con su Codigo unico y sus aportes, y aparecera disponible para elegir en Seleccion_Ciclo0 (agregando el codigo a la lista desplegable del grupo correspondiente).</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2.xml><?xml version="1.0" encoding="utf-8"?>
<worksheet xmlns="http://schemas.openxmlformats.org/spreadsheetml/2006/main">
  <sheetPr>
    <outlinePr summaryBelow="0" summaryRight="0"/>
    <pageSetUpPr/>
  </sheetPr>
  <dimension ref="B2:C25"/>
  <sheetViews>
    <sheetView workbookViewId="0">
      <selection activeCell="A1" sqref="A1"/>
    </sheetView>
  </sheetViews>
  <sheetFormatPr baseColWidth="8" defaultColWidth="14.43" defaultRowHeight="15" customHeight="1"/>
  <cols>
    <col width="39.29" customWidth="1" style="184" min="2" max="2"/>
  </cols>
  <sheetData>
    <row r="2">
      <c r="B2" s="2" t="inlineStr">
        <is>
          <t xml:space="preserve">DECISIONES </t>
        </is>
      </c>
      <c r="C2" s="2" t="inlineStr">
        <is>
          <t>Puntaje</t>
        </is>
      </c>
    </row>
    <row r="3">
      <c r="B3" s="5" t="inlineStr">
        <is>
          <t>Depreciación</t>
        </is>
      </c>
      <c r="C3" s="5" t="n"/>
    </row>
    <row r="4">
      <c r="B4" s="5" t="inlineStr">
        <is>
          <t>Garantía del producto</t>
        </is>
      </c>
      <c r="C4" s="5" t="n"/>
    </row>
    <row r="5">
      <c r="B5" s="52" t="inlineStr">
        <is>
          <t>Mantenimiento de maquinaria</t>
        </is>
      </c>
      <c r="C5" s="5" t="n"/>
    </row>
    <row r="6">
      <c r="B6" s="5" t="inlineStr">
        <is>
          <t>Política de inventarios</t>
        </is>
      </c>
      <c r="C6" s="5" t="n"/>
    </row>
    <row r="7">
      <c r="B7" s="5" t="n"/>
      <c r="C7" s="5" t="n"/>
    </row>
    <row r="8">
      <c r="B8" s="5" t="n"/>
      <c r="C8" s="5" t="n"/>
    </row>
    <row r="9">
      <c r="B9" s="5" t="n"/>
      <c r="C9" s="5" t="n"/>
    </row>
    <row r="10">
      <c r="B10" s="5" t="n"/>
      <c r="C10" s="5" t="n"/>
    </row>
    <row r="11">
      <c r="B11" s="5" t="n"/>
      <c r="C11" s="5" t="n"/>
    </row>
    <row r="12">
      <c r="B12" s="5" t="n"/>
      <c r="C12" s="5" t="n"/>
    </row>
    <row r="13">
      <c r="B13" s="5" t="n"/>
      <c r="C13" s="5" t="n"/>
    </row>
    <row r="14">
      <c r="B14" s="5" t="n"/>
      <c r="C14" s="5" t="n"/>
    </row>
    <row r="15">
      <c r="B15" s="5" t="n"/>
      <c r="C15" s="5" t="n"/>
    </row>
    <row r="16">
      <c r="B16" s="5" t="n"/>
      <c r="C16" s="5" t="n"/>
    </row>
    <row r="17">
      <c r="B17" s="5" t="n"/>
      <c r="C17" s="5" t="n"/>
    </row>
    <row r="18">
      <c r="B18" s="5" t="n"/>
      <c r="C18" s="5" t="n"/>
    </row>
    <row r="19">
      <c r="B19" s="5" t="n"/>
      <c r="C19" s="5" t="n"/>
    </row>
    <row r="20">
      <c r="B20" s="5" t="n"/>
      <c r="C20" s="5" t="n"/>
    </row>
    <row r="21">
      <c r="B21" s="5" t="n"/>
      <c r="C21" s="5" t="n"/>
    </row>
    <row r="22">
      <c r="B22" s="5" t="n"/>
      <c r="C22" s="5" t="n"/>
    </row>
    <row r="23">
      <c r="B23" s="5" t="n"/>
      <c r="C23" s="5" t="n"/>
    </row>
    <row r="24">
      <c r="B24" s="5" t="n"/>
      <c r="C24" s="5" t="n"/>
    </row>
    <row r="25">
      <c r="B25" s="5" t="n"/>
      <c r="C25"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showGridLines="0" workbookViewId="0">
      <pane ySplit="1" topLeftCell="A2" activePane="bottomLeft" state="frozen"/>
      <selection pane="bottomLeft" activeCell="B3" sqref="B3"/>
    </sheetView>
  </sheetViews>
  <sheetFormatPr baseColWidth="8" defaultColWidth="14.43" defaultRowHeight="15" customHeight="1"/>
  <cols>
    <col width="31.86" customWidth="1" style="184" min="1" max="1"/>
    <col width="22" customWidth="1" style="184" min="2" max="2"/>
    <col width="26" customWidth="1" style="184" min="3" max="3"/>
    <col width="40" customWidth="1" style="184" min="4" max="4"/>
    <col width="14" customWidth="1" style="184" min="5" max="5"/>
    <col width="12" customWidth="1" style="184" min="6" max="9"/>
    <col width="8.710000000000001" customWidth="1" style="184" min="10" max="26"/>
  </cols>
  <sheetData>
    <row r="1">
      <c r="A1" s="8" t="inlineStr">
        <is>
          <t>Grupo de decision</t>
        </is>
      </c>
      <c r="B1" s="8" t="inlineStr">
        <is>
          <t>Codigo elegido (elige de la lista)</t>
        </is>
      </c>
      <c r="C1" s="8" t="inlineStr">
        <is>
          <t>Opcion / Nivel (auto)</t>
        </is>
      </c>
      <c r="D1" s="8" t="inlineStr">
        <is>
          <t>Descripcion (auto)</t>
        </is>
      </c>
      <c r="E1" s="8" t="inlineStr">
        <is>
          <t>Costo referencial (auto)</t>
        </is>
      </c>
      <c r="F1" s="8" t="inlineStr">
        <is>
          <t>Aporte Calidad (auto)</t>
        </is>
      </c>
      <c r="G1" s="8" t="inlineStr">
        <is>
          <t>Aporte Eficiencia (auto)</t>
        </is>
      </c>
      <c r="H1" s="8" t="inlineStr">
        <is>
          <t>Aporte Reputacion (auto)</t>
        </is>
      </c>
      <c r="I1" s="8" t="inlineStr">
        <is>
          <t>Aporte Financiero (auto)</t>
        </is>
      </c>
    </row>
    <row r="2">
      <c r="A2" s="9" t="inlineStr">
        <is>
          <t>Maquina de ensamblado</t>
        </is>
      </c>
      <c r="B2" s="11" t="n"/>
      <c r="C2" s="10">
        <f t="array" ref="C2">IFERROR(INDEX(Catalogo_Decisiones!$D$2:$D$57,MATCH($B2,Catalogo_Decisiones!$A$2:$A$57,0)),"")</f>
        <v/>
      </c>
      <c r="D2" s="10">
        <f t="array" ref="D2">IFERROR(INDEX(Catalogo_Decisiones!$F$2:$F$57,MATCH($B2,Catalogo_Decisiones!$A$2:$A$57,0)),"")</f>
        <v/>
      </c>
      <c r="E2" s="10">
        <f t="array" ref="E2">IFERROR(INDEX(Catalogo_Decisiones!$G$2:$G$57,MATCH($B2,Catalogo_Decisiones!$A$2:$A$57,0)),0)</f>
        <v/>
      </c>
      <c r="F2" s="19">
        <f t="array" ref="F2">IFERROR(INDEX(Catalogo_Decisiones!$H$2:$H$57,MATCH($B2,Catalogo_Decisiones!$A$2:$A$57,0)),0)</f>
        <v/>
      </c>
      <c r="G2" s="19">
        <f t="array" ref="G2">IFERROR(INDEX(Catalogo_Decisiones!$I$2:$I$57,MATCH($B2,Catalogo_Decisiones!$A$2:$A$57,0)),0)</f>
        <v/>
      </c>
      <c r="H2" s="19">
        <f t="array" ref="H2">IFERROR(INDEX(Catalogo_Decisiones!$J$2:$J$57,MATCH($B2,Catalogo_Decisiones!$A$2:$A$57,0)),0)</f>
        <v/>
      </c>
      <c r="I2" s="19">
        <f t="array" ref="I2">IFERROR(INDEX(Catalogo_Decisiones!$K$2:$K$57,MATCH($B2,Catalogo_Decisiones!$A$2:$A$57,0)),0)</f>
        <v/>
      </c>
    </row>
    <row r="3">
      <c r="A3" s="9" t="inlineStr">
        <is>
          <t>Maquina de acabados</t>
        </is>
      </c>
      <c r="B3" s="11" t="n"/>
      <c r="C3" s="10">
        <f t="array" ref="C3">IFERROR(INDEX(Catalogo_Decisiones!$D$2:$D$57,MATCH($B3,Catalogo_Decisiones!$A$2:$A$57,0)),"")</f>
        <v/>
      </c>
      <c r="D3" s="10">
        <f t="array" ref="D3">IFERROR(INDEX(Catalogo_Decisiones!$F$2:$F$57,MATCH($B3,Catalogo_Decisiones!$A$2:$A$57,0)),"")</f>
        <v/>
      </c>
      <c r="E3" s="10">
        <f t="array" ref="E3">IFERROR(INDEX(Catalogo_Decisiones!$G$2:$G$57,MATCH($B3,Catalogo_Decisiones!$A$2:$A$57,0)),0)</f>
        <v/>
      </c>
      <c r="F3" s="19">
        <f t="array" ref="F3">IFERROR(INDEX(Catalogo_Decisiones!$H$2:$H$57,MATCH($B3,Catalogo_Decisiones!$A$2:$A$57,0)),0)</f>
        <v/>
      </c>
      <c r="G3" s="19">
        <f t="array" ref="G3">IFERROR(INDEX(Catalogo_Decisiones!$I$2:$I$57,MATCH($B3,Catalogo_Decisiones!$A$2:$A$57,0)),0)</f>
        <v/>
      </c>
      <c r="H3" s="19">
        <f t="array" ref="H3">IFERROR(INDEX(Catalogo_Decisiones!$J$2:$J$57,MATCH($B3,Catalogo_Decisiones!$A$2:$A$57,0)),0)</f>
        <v/>
      </c>
      <c r="I3" s="19">
        <f t="array" ref="I3">IFERROR(INDEX(Catalogo_Decisiones!$K$2:$K$57,MATCH($B3,Catalogo_Decisiones!$A$2:$A$57,0)),0)</f>
        <v/>
      </c>
    </row>
    <row r="4">
      <c r="A4" s="9" t="inlineStr">
        <is>
          <t>Molde</t>
        </is>
      </c>
      <c r="B4" s="11" t="n"/>
      <c r="C4" s="10">
        <f t="array" ref="C4">IFERROR(INDEX(Catalogo_Decisiones!$D$2:$D$57,MATCH($B4,Catalogo_Decisiones!$A$2:$A$57,0)),"")</f>
        <v/>
      </c>
      <c r="D4" s="10">
        <f t="array" ref="D4">IFERROR(INDEX(Catalogo_Decisiones!$F$2:$F$57,MATCH($B4,Catalogo_Decisiones!$A$2:$A$57,0)),"")</f>
        <v/>
      </c>
      <c r="E4" s="10">
        <f t="array" ref="E4">IFERROR(INDEX(Catalogo_Decisiones!$G$2:$G$57,MATCH($B4,Catalogo_Decisiones!$A$2:$A$57,0)),0)</f>
        <v/>
      </c>
      <c r="F4" s="19">
        <f t="array" ref="F4">IFERROR(INDEX(Catalogo_Decisiones!$H$2:$H$57,MATCH($B4,Catalogo_Decisiones!$A$2:$A$57,0)),0)</f>
        <v/>
      </c>
      <c r="G4" s="19">
        <f t="array" ref="G4">IFERROR(INDEX(Catalogo_Decisiones!$I$2:$I$57,MATCH($B4,Catalogo_Decisiones!$A$2:$A$57,0)),0)</f>
        <v/>
      </c>
      <c r="H4" s="19">
        <f t="array" ref="H4">IFERROR(INDEX(Catalogo_Decisiones!$J$2:$J$57,MATCH($B4,Catalogo_Decisiones!$A$2:$A$57,0)),0)</f>
        <v/>
      </c>
      <c r="I4" s="19">
        <f t="array" ref="I4">IFERROR(INDEX(Catalogo_Decisiones!$K$2:$K$57,MATCH($B4,Catalogo_Decisiones!$A$2:$A$57,0)),0)</f>
        <v/>
      </c>
    </row>
    <row r="5">
      <c r="A5" s="9" t="inlineStr">
        <is>
          <t>Personal de corte</t>
        </is>
      </c>
      <c r="B5" s="11" t="n"/>
      <c r="C5" s="10">
        <f t="array" ref="C5">IFERROR(INDEX(Catalogo_Decisiones!$D$2:$D$57,MATCH($B5,Catalogo_Decisiones!$A$2:$A$57,0)),"")</f>
        <v/>
      </c>
      <c r="D5" s="10">
        <f t="array" ref="D5">IFERROR(INDEX(Catalogo_Decisiones!$F$2:$F$57,MATCH($B5,Catalogo_Decisiones!$A$2:$A$57,0)),"")</f>
        <v/>
      </c>
      <c r="E5" s="10">
        <f t="array" ref="E5">IFERROR(INDEX(Catalogo_Decisiones!$G$2:$G$57,MATCH($B5,Catalogo_Decisiones!$A$2:$A$57,0)),0)</f>
        <v/>
      </c>
      <c r="F5" s="19">
        <f t="array" ref="F5">IFERROR(INDEX(Catalogo_Decisiones!$H$2:$H$57,MATCH($B5,Catalogo_Decisiones!$A$2:$A$57,0)),0)</f>
        <v/>
      </c>
      <c r="G5" s="19">
        <f t="array" ref="G5">IFERROR(INDEX(Catalogo_Decisiones!$I$2:$I$57,MATCH($B5,Catalogo_Decisiones!$A$2:$A$57,0)),0)</f>
        <v/>
      </c>
      <c r="H5" s="19">
        <f t="array" ref="H5">IFERROR(INDEX(Catalogo_Decisiones!$J$2:$J$57,MATCH($B5,Catalogo_Decisiones!$A$2:$A$57,0)),0)</f>
        <v/>
      </c>
      <c r="I5" s="19">
        <f t="array" ref="I5">IFERROR(INDEX(Catalogo_Decisiones!$K$2:$K$57,MATCH($B5,Catalogo_Decisiones!$A$2:$A$57,0)),0)</f>
        <v/>
      </c>
    </row>
    <row r="6">
      <c r="A6" s="9" t="inlineStr">
        <is>
          <t>Personal de ensamble</t>
        </is>
      </c>
      <c r="B6" s="11" t="n"/>
      <c r="C6" s="10">
        <f t="array" ref="C6">IFERROR(INDEX(Catalogo_Decisiones!$D$2:$D$57,MATCH($B6,Catalogo_Decisiones!$A$2:$A$57,0)),"")</f>
        <v/>
      </c>
      <c r="D6" s="10">
        <f t="array" ref="D6">IFERROR(INDEX(Catalogo_Decisiones!$F$2:$F$57,MATCH($B6,Catalogo_Decisiones!$A$2:$A$57,0)),"")</f>
        <v/>
      </c>
      <c r="E6" s="10">
        <f t="array" ref="E6">IFERROR(INDEX(Catalogo_Decisiones!$G$2:$G$57,MATCH($B6,Catalogo_Decisiones!$A$2:$A$57,0)),0)</f>
        <v/>
      </c>
      <c r="F6" s="19">
        <f t="array" ref="F6">IFERROR(INDEX(Catalogo_Decisiones!$H$2:$H$57,MATCH($B6,Catalogo_Decisiones!$A$2:$A$57,0)),0)</f>
        <v/>
      </c>
      <c r="G6" s="19">
        <f t="array" ref="G6">IFERROR(INDEX(Catalogo_Decisiones!$I$2:$I$57,MATCH($B6,Catalogo_Decisiones!$A$2:$A$57,0)),0)</f>
        <v/>
      </c>
      <c r="H6" s="19">
        <f t="array" ref="H6">IFERROR(INDEX(Catalogo_Decisiones!$J$2:$J$57,MATCH($B6,Catalogo_Decisiones!$A$2:$A$57,0)),0)</f>
        <v/>
      </c>
      <c r="I6" s="19">
        <f t="array" ref="I6">IFERROR(INDEX(Catalogo_Decisiones!$K$2:$K$57,MATCH($B6,Catalogo_Decisiones!$A$2:$A$57,0)),0)</f>
        <v/>
      </c>
    </row>
    <row r="7">
      <c r="A7" s="9" t="inlineStr">
        <is>
          <t>Personal de acabados</t>
        </is>
      </c>
      <c r="B7" s="11" t="n"/>
      <c r="C7" s="10">
        <f t="array" ref="C7">IFERROR(INDEX(Catalogo_Decisiones!$D$2:$D$57,MATCH($B7,Catalogo_Decisiones!$A$2:$A$57,0)),"")</f>
        <v/>
      </c>
      <c r="D7" s="10">
        <f t="array" ref="D7">IFERROR(INDEX(Catalogo_Decisiones!$F$2:$F$57,MATCH($B7,Catalogo_Decisiones!$A$2:$A$57,0)),"")</f>
        <v/>
      </c>
      <c r="E7" s="10">
        <f t="array" ref="E7">IFERROR(INDEX(Catalogo_Decisiones!$G$2:$G$57,MATCH($B7,Catalogo_Decisiones!$A$2:$A$57,0)),0)</f>
        <v/>
      </c>
      <c r="F7" s="19">
        <f t="array" ref="F7">IFERROR(INDEX(Catalogo_Decisiones!$H$2:$H$57,MATCH($B7,Catalogo_Decisiones!$A$2:$A$57,0)),0)</f>
        <v/>
      </c>
      <c r="G7" s="19">
        <f t="array" ref="G7">IFERROR(INDEX(Catalogo_Decisiones!$I$2:$I$57,MATCH($B7,Catalogo_Decisiones!$A$2:$A$57,0)),0)</f>
        <v/>
      </c>
      <c r="H7" s="19">
        <f t="array" ref="H7">IFERROR(INDEX(Catalogo_Decisiones!$J$2:$J$57,MATCH($B7,Catalogo_Decisiones!$A$2:$A$57,0)),0)</f>
        <v/>
      </c>
      <c r="I7" s="19">
        <f t="array" ref="I7">IFERROR(INDEX(Catalogo_Decisiones!$K$2:$K$57,MATCH($B7,Catalogo_Decisiones!$A$2:$A$57,0)),0)</f>
        <v/>
      </c>
    </row>
    <row r="8">
      <c r="A8" s="9" t="inlineStr">
        <is>
          <t>Jefatura</t>
        </is>
      </c>
      <c r="B8" s="11" t="n"/>
      <c r="C8" s="10">
        <f t="array" ref="C8">IFERROR(INDEX(Catalogo_Decisiones!$D$2:$D$57,MATCH($B8,Catalogo_Decisiones!$A$2:$A$57,0)),"")</f>
        <v/>
      </c>
      <c r="D8" s="10">
        <f t="array" ref="D8">IFERROR(INDEX(Catalogo_Decisiones!$F$2:$F$57,MATCH($B8,Catalogo_Decisiones!$A$2:$A$57,0)),"")</f>
        <v/>
      </c>
      <c r="E8" s="10">
        <f t="array" ref="E8">IFERROR(INDEX(Catalogo_Decisiones!$G$2:$G$57,MATCH($B8,Catalogo_Decisiones!$A$2:$A$57,0)),0)</f>
        <v/>
      </c>
      <c r="F8" s="19">
        <f t="array" ref="F8">IFERROR(INDEX(Catalogo_Decisiones!$H$2:$H$57,MATCH($B8,Catalogo_Decisiones!$A$2:$A$57,0)),0)</f>
        <v/>
      </c>
      <c r="G8" s="19">
        <f t="array" ref="G8">IFERROR(INDEX(Catalogo_Decisiones!$I$2:$I$57,MATCH($B8,Catalogo_Decisiones!$A$2:$A$57,0)),0)</f>
        <v/>
      </c>
      <c r="H8" s="19">
        <f t="array" ref="H8">IFERROR(INDEX(Catalogo_Decisiones!$J$2:$J$57,MATCH($B8,Catalogo_Decisiones!$A$2:$A$57,0)),0)</f>
        <v/>
      </c>
      <c r="I8" s="19">
        <f t="array" ref="I8">IFERROR(INDEX(Catalogo_Decisiones!$K$2:$K$57,MATCH($B8,Catalogo_Decisiones!$A$2:$A$57,0)),0)</f>
        <v/>
      </c>
    </row>
    <row r="9">
      <c r="A9" s="9" t="inlineStr">
        <is>
          <t>Canal de venta</t>
        </is>
      </c>
      <c r="B9" s="11" t="n"/>
      <c r="C9" s="10">
        <f t="array" ref="C9">IFERROR(INDEX(Catalogo_Decisiones!$D$2:$D$57,MATCH($B9,Catalogo_Decisiones!$A$2:$A$57,0)),"")</f>
        <v/>
      </c>
      <c r="D9" s="10">
        <f t="array" ref="D9">IFERROR(INDEX(Catalogo_Decisiones!$F$2:$F$57,MATCH($B9,Catalogo_Decisiones!$A$2:$A$57,0)),"")</f>
        <v/>
      </c>
      <c r="E9" s="10">
        <f t="array" ref="E9">IFERROR(INDEX(Catalogo_Decisiones!$G$2:$G$57,MATCH($B9,Catalogo_Decisiones!$A$2:$A$57,0)),0)</f>
        <v/>
      </c>
      <c r="F9" s="19">
        <f t="array" ref="F9">IFERROR(INDEX(Catalogo_Decisiones!$H$2:$H$57,MATCH($B9,Catalogo_Decisiones!$A$2:$A$57,0)),0)</f>
        <v/>
      </c>
      <c r="G9" s="19">
        <f t="array" ref="G9">IFERROR(INDEX(Catalogo_Decisiones!$I$2:$I$57,MATCH($B9,Catalogo_Decisiones!$A$2:$A$57,0)),0)</f>
        <v/>
      </c>
      <c r="H9" s="19">
        <f t="array" ref="H9">IFERROR(INDEX(Catalogo_Decisiones!$J$2:$J$57,MATCH($B9,Catalogo_Decisiones!$A$2:$A$57,0)),0)</f>
        <v/>
      </c>
      <c r="I9" s="19">
        <f t="array" ref="I9">IFERROR(INDEX(Catalogo_Decisiones!$K$2:$K$57,MATCH($B9,Catalogo_Decisiones!$A$2:$A$57,0)),0)</f>
        <v/>
      </c>
    </row>
    <row r="10">
      <c r="A10" s="9" t="inlineStr">
        <is>
          <t>Acceso a prestamo bancario</t>
        </is>
      </c>
      <c r="B10" s="11" t="n"/>
      <c r="C10" s="10">
        <f t="array" ref="C10">IFERROR(INDEX(Catalogo_Decisiones!$D$2:$D$57,MATCH($B10,Catalogo_Decisiones!$A$2:$A$57,0)),"")</f>
        <v/>
      </c>
      <c r="D10" s="10">
        <f t="array" ref="D10">IFERROR(INDEX(Catalogo_Decisiones!$F$2:$F$57,MATCH($B10,Catalogo_Decisiones!$A$2:$A$57,0)),"")</f>
        <v/>
      </c>
      <c r="E10" s="10">
        <f t="array" ref="E10">IFERROR(INDEX(Catalogo_Decisiones!$G$2:$G$57,MATCH($B10,Catalogo_Decisiones!$A$2:$A$57,0)),0)</f>
        <v/>
      </c>
      <c r="F10" s="19">
        <f t="array" ref="F10">IFERROR(INDEX(Catalogo_Decisiones!$H$2:$H$57,MATCH($B10,Catalogo_Decisiones!$A$2:$A$57,0)),0)</f>
        <v/>
      </c>
      <c r="G10" s="19">
        <f t="array" ref="G10">IFERROR(INDEX(Catalogo_Decisiones!$I$2:$I$57,MATCH($B10,Catalogo_Decisiones!$A$2:$A$57,0)),0)</f>
        <v/>
      </c>
      <c r="H10" s="19">
        <f t="array" ref="H10">IFERROR(INDEX(Catalogo_Decisiones!$J$2:$J$57,MATCH($B10,Catalogo_Decisiones!$A$2:$A$57,0)),0)</f>
        <v/>
      </c>
      <c r="I10" s="19">
        <f t="array" ref="I10">IFERROR(INDEX(Catalogo_Decisiones!$K$2:$K$57,MATCH($B10,Catalogo_Decisiones!$A$2:$A$57,0)),0)</f>
        <v/>
      </c>
    </row>
    <row r="11">
      <c r="A11" s="9" t="inlineStr">
        <is>
          <t>Numero de proveedores</t>
        </is>
      </c>
      <c r="B11" s="11" t="n"/>
      <c r="C11" s="10">
        <f t="array" ref="C11">IFERROR(INDEX(Catalogo_Decisiones!$D$2:$D$57,MATCH($B11,Catalogo_Decisiones!$A$2:$A$57,0)),"")</f>
        <v/>
      </c>
      <c r="D11" s="10">
        <f t="array" ref="D11">IFERROR(INDEX(Catalogo_Decisiones!$F$2:$F$57,MATCH($B11,Catalogo_Decisiones!$A$2:$A$57,0)),"")</f>
        <v/>
      </c>
      <c r="E11" s="10">
        <f t="array" ref="E11">IFERROR(INDEX(Catalogo_Decisiones!$G$2:$G$57,MATCH($B11,Catalogo_Decisiones!$A$2:$A$57,0)),0)</f>
        <v/>
      </c>
      <c r="F11" s="19">
        <f t="array" ref="F11">IFERROR(INDEX(Catalogo_Decisiones!$H$2:$H$57,MATCH($B11,Catalogo_Decisiones!$A$2:$A$57,0)),0)</f>
        <v/>
      </c>
      <c r="G11" s="19">
        <f t="array" ref="G11">IFERROR(INDEX(Catalogo_Decisiones!$I$2:$I$57,MATCH($B11,Catalogo_Decisiones!$A$2:$A$57,0)),0)</f>
        <v/>
      </c>
      <c r="H11" s="19">
        <f t="array" ref="H11">IFERROR(INDEX(Catalogo_Decisiones!$J$2:$J$57,MATCH($B11,Catalogo_Decisiones!$A$2:$A$57,0)),0)</f>
        <v/>
      </c>
      <c r="I11" s="19">
        <f t="array" ref="I11">IFERROR(INDEX(Catalogo_Decisiones!$K$2:$K$57,MATCH($B11,Catalogo_Decisiones!$A$2:$A$57,0)),0)</f>
        <v/>
      </c>
    </row>
    <row r="12">
      <c r="A12" s="9" t="inlineStr">
        <is>
          <t>Politica de pago a proveedores</t>
        </is>
      </c>
      <c r="B12" s="11" t="n"/>
      <c r="C12" s="10">
        <f t="array" ref="C12">IFERROR(INDEX(Catalogo_Decisiones!$D$2:$D$57,MATCH($B12,Catalogo_Decisiones!$A$2:$A$57,0)),"")</f>
        <v/>
      </c>
      <c r="D12" s="10">
        <f t="array" ref="D12">IFERROR(INDEX(Catalogo_Decisiones!$F$2:$F$57,MATCH($B12,Catalogo_Decisiones!$A$2:$A$57,0)),"")</f>
        <v/>
      </c>
      <c r="E12" s="10">
        <f t="array" ref="E12">IFERROR(INDEX(Catalogo_Decisiones!$G$2:$G$57,MATCH($B12,Catalogo_Decisiones!$A$2:$A$57,0)),0)</f>
        <v/>
      </c>
      <c r="F12" s="19">
        <f t="array" ref="F12">IFERROR(INDEX(Catalogo_Decisiones!$H$2:$H$57,MATCH($B12,Catalogo_Decisiones!$A$2:$A$57,0)),0)</f>
        <v/>
      </c>
      <c r="G12" s="19">
        <f t="array" ref="G12">IFERROR(INDEX(Catalogo_Decisiones!$I$2:$I$57,MATCH($B12,Catalogo_Decisiones!$A$2:$A$57,0)),0)</f>
        <v/>
      </c>
      <c r="H12" s="19">
        <f t="array" ref="H12">IFERROR(INDEX(Catalogo_Decisiones!$J$2:$J$57,MATCH($B12,Catalogo_Decisiones!$A$2:$A$57,0)),0)</f>
        <v/>
      </c>
      <c r="I12" s="19">
        <f t="array" ref="I12">IFERROR(INDEX(Catalogo_Decisiones!$K$2:$K$57,MATCH($B12,Catalogo_Decisiones!$A$2:$A$57,0)),0)</f>
        <v/>
      </c>
    </row>
    <row r="13">
      <c r="A13" s="9" t="inlineStr">
        <is>
          <t>Lead time</t>
        </is>
      </c>
      <c r="B13" s="11" t="n"/>
      <c r="C13" s="10">
        <f t="array" ref="C13">IFERROR(INDEX(Catalogo_Decisiones!$D$2:$D$57,MATCH($B13,Catalogo_Decisiones!$A$2:$A$57,0)),"")</f>
        <v/>
      </c>
      <c r="D13" s="10">
        <f t="array" ref="D13">IFERROR(INDEX(Catalogo_Decisiones!$F$2:$F$57,MATCH($B13,Catalogo_Decisiones!$A$2:$A$57,0)),"")</f>
        <v/>
      </c>
      <c r="E13" s="10">
        <f t="array" ref="E13">IFERROR(INDEX(Catalogo_Decisiones!$G$2:$G$57,MATCH($B13,Catalogo_Decisiones!$A$2:$A$57,0)),0)</f>
        <v/>
      </c>
      <c r="F13" s="19">
        <f t="array" ref="F13">IFERROR(INDEX(Catalogo_Decisiones!$H$2:$H$57,MATCH($B13,Catalogo_Decisiones!$A$2:$A$57,0)),0)</f>
        <v/>
      </c>
      <c r="G13" s="19">
        <f t="array" ref="G13">IFERROR(INDEX(Catalogo_Decisiones!$I$2:$I$57,MATCH($B13,Catalogo_Decisiones!$A$2:$A$57,0)),0)</f>
        <v/>
      </c>
      <c r="H13" s="19">
        <f t="array" ref="H13">IFERROR(INDEX(Catalogo_Decisiones!$J$2:$J$57,MATCH($B13,Catalogo_Decisiones!$A$2:$A$57,0)),0)</f>
        <v/>
      </c>
      <c r="I13" s="19">
        <f t="array" ref="I13">IFERROR(INDEX(Catalogo_Decisiones!$K$2:$K$57,MATCH($B13,Catalogo_Decisiones!$A$2:$A$57,0)),0)</f>
        <v/>
      </c>
    </row>
    <row r="14">
      <c r="A14" s="9" t="inlineStr">
        <is>
          <t>Inversion en RR.HH.</t>
        </is>
      </c>
      <c r="B14" s="11" t="n"/>
      <c r="C14" s="10">
        <f t="array" ref="C14">IFERROR(INDEX(Catalogo_Decisiones!$D$2:$D$57,MATCH($B14,Catalogo_Decisiones!$A$2:$A$57,0)),"")</f>
        <v/>
      </c>
      <c r="D14" s="10">
        <f t="array" ref="D14">IFERROR(INDEX(Catalogo_Decisiones!$F$2:$F$57,MATCH($B14,Catalogo_Decisiones!$A$2:$A$57,0)),"")</f>
        <v/>
      </c>
      <c r="E14" s="10">
        <f t="array" ref="E14">IFERROR(INDEX(Catalogo_Decisiones!$G$2:$G$57,MATCH($B14,Catalogo_Decisiones!$A$2:$A$57,0)),0)</f>
        <v/>
      </c>
      <c r="F14" s="19">
        <f t="array" ref="F14">IFERROR(INDEX(Catalogo_Decisiones!$H$2:$H$57,MATCH($B14,Catalogo_Decisiones!$A$2:$A$57,0)),0)</f>
        <v/>
      </c>
      <c r="G14" s="19">
        <f t="array" ref="G14">IFERROR(INDEX(Catalogo_Decisiones!$I$2:$I$57,MATCH($B14,Catalogo_Decisiones!$A$2:$A$57,0)),0)</f>
        <v/>
      </c>
      <c r="H14" s="19">
        <f t="array" ref="H14">IFERROR(INDEX(Catalogo_Decisiones!$J$2:$J$57,MATCH($B14,Catalogo_Decisiones!$A$2:$A$57,0)),0)</f>
        <v/>
      </c>
      <c r="I14" s="19">
        <f t="array" ref="I14">IFERROR(INDEX(Catalogo_Decisiones!$K$2:$K$57,MATCH($B14,Catalogo_Decisiones!$A$2:$A$57,0)),0)</f>
        <v/>
      </c>
    </row>
    <row r="15">
      <c r="A15" s="9" t="inlineStr">
        <is>
          <t>Inversion en marketing</t>
        </is>
      </c>
      <c r="B15" s="11" t="n"/>
      <c r="C15" s="10">
        <f t="array" ref="C15">IFERROR(INDEX(Catalogo_Decisiones!$D$2:$D$57,MATCH($B15,Catalogo_Decisiones!$A$2:$A$57,0)),"")</f>
        <v/>
      </c>
      <c r="D15" s="10">
        <f t="array" ref="D15">IFERROR(INDEX(Catalogo_Decisiones!$F$2:$F$57,MATCH($B15,Catalogo_Decisiones!$A$2:$A$57,0)),"")</f>
        <v/>
      </c>
      <c r="E15" s="10">
        <f t="array" ref="E15">IFERROR(INDEX(Catalogo_Decisiones!$G$2:$G$57,MATCH($B15,Catalogo_Decisiones!$A$2:$A$57,0)),0)</f>
        <v/>
      </c>
      <c r="F15" s="19">
        <f t="array" ref="F15">IFERROR(INDEX(Catalogo_Decisiones!$H$2:$H$57,MATCH($B15,Catalogo_Decisiones!$A$2:$A$57,0)),0)</f>
        <v/>
      </c>
      <c r="G15" s="19">
        <f t="array" ref="G15">IFERROR(INDEX(Catalogo_Decisiones!$I$2:$I$57,MATCH($B15,Catalogo_Decisiones!$A$2:$A$57,0)),0)</f>
        <v/>
      </c>
      <c r="H15" s="19">
        <f t="array" ref="H15">IFERROR(INDEX(Catalogo_Decisiones!$J$2:$J$57,MATCH($B15,Catalogo_Decisiones!$A$2:$A$57,0)),0)</f>
        <v/>
      </c>
      <c r="I15" s="19">
        <f t="array" ref="I15">IFERROR(INDEX(Catalogo_Decisiones!$K$2:$K$57,MATCH($B15,Catalogo_Decisiones!$A$2:$A$57,0)),0)</f>
        <v/>
      </c>
    </row>
    <row r="16">
      <c r="A16" s="146" t="inlineStr">
        <is>
          <t>--- Otras decisiones numericas ---</t>
        </is>
      </c>
    </row>
    <row r="17">
      <c r="A17" s="147" t="inlineStr">
        <is>
          <t>PRO-01 - Cantidad inicial a producir (unidades)</t>
        </is>
      </c>
      <c r="B17" s="11" t="n">
        <v>0</v>
      </c>
    </row>
    <row r="18">
      <c r="A18" s="147" t="inlineStr">
        <is>
          <t>COM-02 - N° de tiendas en zona alta (Miraflores)</t>
        </is>
      </c>
      <c r="B18" s="11" t="n">
        <v>0</v>
      </c>
    </row>
    <row r="19">
      <c r="A19" s="147" t="inlineStr">
        <is>
          <t>COM-03 - N° de tiendas en zona media (Los Olivos / San Miguel)</t>
        </is>
      </c>
      <c r="B19" s="11" t="n">
        <v>0</v>
      </c>
    </row>
    <row r="20">
      <c r="A20" s="147" t="inlineStr">
        <is>
          <t>COM-04 - N° de tiendas en zona baja (SJL / SMP)</t>
        </is>
      </c>
      <c r="B20" s="11" t="n">
        <v>0</v>
      </c>
    </row>
    <row r="21" ht="15.75" customHeight="1" s="184">
      <c r="A21" s="147" t="inlineStr">
        <is>
          <t>COM-05N - % de ventas a credito (0-100)</t>
        </is>
      </c>
      <c r="B21" s="11" t="n">
        <v>0</v>
      </c>
    </row>
    <row r="22" ht="15.75" customHeight="1" s="184">
      <c r="A22" s="147" t="inlineStr">
        <is>
          <t>FIN-01M - Monto de prestamo solicitado (S/)</t>
        </is>
      </c>
      <c r="B22" s="11" t="n">
        <v>0</v>
      </c>
    </row>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dataValidations count="14">
    <dataValidation sqref="B4" showDropDown="0" showInputMessage="0" showErrorMessage="0" allowBlank="1" type="list">
      <formula1>"INF-08,INF-09,INF-10"</formula1>
    </dataValidation>
    <dataValidation sqref="B8" showDropDown="0" showInputMessage="0" showErrorMessage="0" allowBlank="1" type="list">
      <formula1>"RH-10A,RH-10B"</formula1>
    </dataValidation>
    <dataValidation sqref="B10" showDropDown="0" showInputMessage="0" showErrorMessage="0" allowBlank="1" type="list">
      <formula1>"FIN-01A,FIN-01B"</formula1>
    </dataValidation>
    <dataValidation sqref="B9" showDropDown="0" showInputMessage="0" showErrorMessage="0" allowBlank="1" type="list">
      <formula1>"COM-01A,COM-01B,COM-01C"</formula1>
    </dataValidation>
    <dataValidation sqref="B11" showDropDown="0" showInputMessage="0" showErrorMessage="0" allowBlank="1" type="list">
      <formula1>"INS-09A,INS-09B"</formula1>
    </dataValidation>
    <dataValidation sqref="B3" showDropDown="0" showInputMessage="0" showErrorMessage="0" allowBlank="1" type="list">
      <formula1>"INF-05,INF-06,INF-07"</formula1>
    </dataValidation>
    <dataValidation sqref="B6" showDropDown="0" showInputMessage="0" showErrorMessage="0" allowBlank="1" type="list">
      <formula1>"RH-04,RH-05,RH-06"</formula1>
    </dataValidation>
    <dataValidation sqref="B15" showDropDown="0" showInputMessage="0" showErrorMessage="0" allowBlank="1" type="list">
      <formula1>"INV-02A,INV-02B,INV-02C"</formula1>
    </dataValidation>
    <dataValidation sqref="B13" showDropDown="0" showInputMessage="0" showErrorMessage="0" allowBlank="1" type="list">
      <formula1>"INS-11A,INS-11B,INS-11C"</formula1>
    </dataValidation>
    <dataValidation sqref="B5" showDropDown="0" showInputMessage="0" showErrorMessage="0" allowBlank="1" type="list">
      <formula1>"RH-01,RH-02,RH-03"</formula1>
    </dataValidation>
    <dataValidation sqref="B14" showDropDown="0" showInputMessage="0" showErrorMessage="0" allowBlank="1" type="list">
      <formula1>"INV-01A,INV-01B,INV-01C"</formula1>
    </dataValidation>
    <dataValidation sqref="B12" showDropDown="0" showInputMessage="0" showErrorMessage="0" allowBlank="1" type="list">
      <formula1>"INS-10A,INS-10B"</formula1>
    </dataValidation>
    <dataValidation sqref="B2" showDropDown="0" showInputMessage="0" showErrorMessage="0" allowBlank="1" type="list">
      <formula1>"INF-02,INF-03,INF-04"</formula1>
    </dataValidation>
    <dataValidation sqref="B7" showDropDown="0" showInputMessage="0" showErrorMessage="0" allowBlank="1" type="list">
      <formula1>"RH-07,RH-08,RH-09"</formula1>
    </dataValidation>
  </dataValidations>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L69"/>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184" min="1" max="1"/>
    <col width="16" customWidth="1" style="184" min="2" max="2"/>
    <col width="26" customWidth="1" style="184" min="3" max="3"/>
    <col width="31.86" customWidth="1" style="184" min="4" max="4"/>
    <col width="21.29" customWidth="1" style="184" min="5" max="5"/>
    <col width="79.86" customWidth="1" style="184" min="6" max="6"/>
    <col width="13.86" customWidth="1" style="184" min="7" max="7"/>
    <col width="12" customWidth="1" style="184" min="8" max="11"/>
    <col width="40.29" customWidth="1" style="184" min="12" max="12"/>
    <col width="8.710000000000001" customWidth="1" style="184" min="13" max="26"/>
  </cols>
  <sheetData>
    <row r="1">
      <c r="A1" s="8" t="inlineStr">
        <is>
          <t>Codigo</t>
        </is>
      </c>
      <c r="B1" s="8" t="inlineStr">
        <is>
          <t>Bloque</t>
        </is>
      </c>
      <c r="C1" s="8" t="inlineStr">
        <is>
          <t>Grupo de decision</t>
        </is>
      </c>
      <c r="D1" s="8" t="inlineStr">
        <is>
          <t>Opcion / Nivel</t>
        </is>
      </c>
      <c r="E1" s="8" t="inlineStr">
        <is>
          <t>Permanencia</t>
        </is>
      </c>
      <c r="F1" s="8" t="inlineStr">
        <is>
          <t>Descripcion</t>
        </is>
      </c>
      <c r="G1" s="8" t="inlineStr">
        <is>
          <t>Costo referencial (S/)</t>
        </is>
      </c>
      <c r="H1" s="8" t="inlineStr">
        <is>
          <t>Aporte Calidad</t>
        </is>
      </c>
      <c r="I1" s="8" t="inlineStr">
        <is>
          <t>Aporte Eficiencia</t>
        </is>
      </c>
      <c r="J1" s="8" t="inlineStr">
        <is>
          <t>Aporte Reputacion</t>
        </is>
      </c>
      <c r="K1" s="8" t="inlineStr">
        <is>
          <t>Aporte Financiero</t>
        </is>
      </c>
      <c r="L1" s="8" t="inlineStr">
        <is>
          <t>Notas</t>
        </is>
      </c>
    </row>
    <row r="2">
      <c r="A2" s="10" t="inlineStr">
        <is>
          <t>GEN-01</t>
        </is>
      </c>
      <c r="B2" s="10" t="inlineStr">
        <is>
          <t>A. Empresa</t>
        </is>
      </c>
      <c r="C2" s="12" t="inlineStr">
        <is>
          <t>Razon social</t>
        </is>
      </c>
      <c r="D2" s="10" t="inlineStr">
        <is>
          <t>Texto libre</t>
        </is>
      </c>
      <c r="E2" s="10" t="inlineStr">
        <is>
          <t>Fija</t>
        </is>
      </c>
      <c r="F2" s="10" t="inlineStr">
        <is>
          <t>Nombre legal de la empresa (texto)</t>
        </is>
      </c>
      <c r="G2" s="10" t="n">
        <v>0</v>
      </c>
      <c r="H2" s="13" t="n">
        <v>0</v>
      </c>
      <c r="I2" s="13" t="n">
        <v>0</v>
      </c>
      <c r="J2" s="13" t="n">
        <v>0</v>
      </c>
      <c r="K2" s="13" t="n">
        <v>0</v>
      </c>
      <c r="L2" s="10" t="inlineStr">
        <is>
          <t>Sin efecto en puntajes</t>
        </is>
      </c>
    </row>
    <row r="3">
      <c r="A3" s="10" t="inlineStr">
        <is>
          <t>GEN-02</t>
        </is>
      </c>
      <c r="B3" s="10" t="inlineStr">
        <is>
          <t>A. Empresa</t>
        </is>
      </c>
      <c r="C3" s="14" t="inlineStr">
        <is>
          <t>Nombre comercial / marca</t>
        </is>
      </c>
      <c r="D3" s="10" t="inlineStr">
        <is>
          <t>Texto libre</t>
        </is>
      </c>
      <c r="E3" s="10" t="inlineStr">
        <is>
          <t>Fija</t>
        </is>
      </c>
      <c r="F3" s="10" t="inlineStr">
        <is>
          <t>Marca comercial (texto)</t>
        </is>
      </c>
      <c r="G3" s="10" t="n">
        <v>0</v>
      </c>
      <c r="H3" s="13" t="n">
        <v>0</v>
      </c>
      <c r="I3" s="13" t="n">
        <v>0</v>
      </c>
      <c r="J3" s="13" t="n">
        <v>0</v>
      </c>
      <c r="K3" s="13" t="n">
        <v>0</v>
      </c>
      <c r="L3" s="10" t="inlineStr">
        <is>
          <t>Sin efecto en puntajes</t>
        </is>
      </c>
    </row>
    <row r="4">
      <c r="A4" s="10" t="inlineStr">
        <is>
          <t>GEN-04</t>
        </is>
      </c>
      <c r="B4" s="10" t="inlineStr">
        <is>
          <t>A. Empresa</t>
        </is>
      </c>
      <c r="C4" s="15" t="inlineStr">
        <is>
          <t>Tipos de bolsos</t>
        </is>
      </c>
      <c r="D4" s="10" t="inlineStr">
        <is>
          <t>Texto libre</t>
        </is>
      </c>
      <c r="E4" s="10" t="inlineStr">
        <is>
          <t>Fija</t>
        </is>
      </c>
      <c r="F4" s="10" t="inlineStr">
        <is>
          <t>Linea de productos que fabrica (tote, cartera, mochila, etc.)</t>
        </is>
      </c>
      <c r="G4" s="10" t="n">
        <v>0</v>
      </c>
      <c r="H4" s="13" t="n">
        <v>0</v>
      </c>
      <c r="I4" s="13" t="n">
        <v>0</v>
      </c>
      <c r="J4" s="13" t="n">
        <v>0</v>
      </c>
      <c r="K4" s="13" t="n">
        <v>0</v>
      </c>
      <c r="L4" s="10" t="inlineStr">
        <is>
          <t>Sin efecto en puntajes</t>
        </is>
      </c>
    </row>
    <row r="5">
      <c r="A5" s="10" t="inlineStr">
        <is>
          <t>SEG-01</t>
        </is>
      </c>
      <c r="B5" s="10" t="inlineStr">
        <is>
          <t>A. Empresa</t>
        </is>
      </c>
      <c r="C5" s="10" t="inlineStr">
        <is>
          <t>Segmento / linea</t>
        </is>
      </c>
      <c r="D5" s="10" t="inlineStr">
        <is>
          <t>Economico</t>
        </is>
      </c>
      <c r="E5" s="10" t="inlineStr">
        <is>
          <t>Fija</t>
        </is>
      </c>
      <c r="F5" s="10" t="inlineStr">
        <is>
          <t>Precio bajo, prioriza volumen y costo</t>
        </is>
      </c>
      <c r="G5" s="10" t="n">
        <v>0</v>
      </c>
      <c r="H5" s="13" t="n">
        <v>0</v>
      </c>
      <c r="I5" s="13" t="n">
        <v>0</v>
      </c>
      <c r="J5" s="13" t="n">
        <v>1</v>
      </c>
      <c r="K5" s="13" t="n">
        <v>0</v>
      </c>
      <c r="L5" s="10" t="inlineStr">
        <is>
          <t>Exige coherencia con Calidad real</t>
        </is>
      </c>
    </row>
    <row r="6">
      <c r="A6" s="10" t="inlineStr">
        <is>
          <t>SEG-02</t>
        </is>
      </c>
      <c r="B6" s="10" t="inlineStr">
        <is>
          <t>A. Empresa</t>
        </is>
      </c>
      <c r="C6" s="10" t="inlineStr">
        <is>
          <t>Segmento / linea</t>
        </is>
      </c>
      <c r="D6" s="10" t="inlineStr">
        <is>
          <t>Estandar</t>
        </is>
      </c>
      <c r="E6" s="10" t="inlineStr">
        <is>
          <t>Fija</t>
        </is>
      </c>
      <c r="F6" s="10" t="inlineStr">
        <is>
          <t>Equilibra costo, calidad, demanda y margen</t>
        </is>
      </c>
      <c r="G6" s="10" t="n">
        <v>0</v>
      </c>
      <c r="H6" s="13" t="n">
        <v>1</v>
      </c>
      <c r="I6" s="13" t="n">
        <v>0</v>
      </c>
      <c r="J6" s="13" t="n">
        <v>1</v>
      </c>
      <c r="K6" s="13" t="n">
        <v>0</v>
      </c>
      <c r="L6" s="10" t="n"/>
    </row>
    <row r="7">
      <c r="A7" s="10" t="inlineStr">
        <is>
          <t>SEG-03</t>
        </is>
      </c>
      <c r="B7" s="10" t="inlineStr">
        <is>
          <t>A. Empresa</t>
        </is>
      </c>
      <c r="C7" s="10" t="inlineStr">
        <is>
          <t>Segmento / linea</t>
        </is>
      </c>
      <c r="D7" s="10" t="inlineStr">
        <is>
          <t>Premium</t>
        </is>
      </c>
      <c r="E7" s="10" t="inlineStr">
        <is>
          <t>Fija</t>
        </is>
      </c>
      <c r="F7" s="10" t="inlineStr">
        <is>
          <t>Precio alto; requiere Calidad&gt;=7 para sostenerse</t>
        </is>
      </c>
      <c r="G7" s="10" t="n">
        <v>0</v>
      </c>
      <c r="H7" s="13" t="n">
        <v>2</v>
      </c>
      <c r="I7" s="13" t="n">
        <v>0</v>
      </c>
      <c r="J7" s="13" t="n">
        <v>2</v>
      </c>
      <c r="K7" s="13" t="n">
        <v>0</v>
      </c>
      <c r="L7" s="10" t="inlineStr">
        <is>
          <t>Riesgo si Calidad interna es baja (ver Matriz)</t>
        </is>
      </c>
    </row>
    <row r="8">
      <c r="A8" s="10" t="inlineStr">
        <is>
          <t>INF-01</t>
        </is>
      </c>
      <c r="B8" s="10" t="inlineStr">
        <is>
          <t>B. Infraestructura</t>
        </is>
      </c>
      <c r="C8" s="10" t="inlineStr">
        <is>
          <t>Mesa de corte</t>
        </is>
      </c>
      <c r="D8" s="10" t="inlineStr">
        <is>
          <t>Unica (obligatoria)</t>
        </is>
      </c>
      <c r="E8" s="10" t="inlineStr">
        <is>
          <t>Fija</t>
        </is>
      </c>
      <c r="F8" s="10" t="inlineStr">
        <is>
          <t>Inversion fija para todos; habilita la etapa de corte</t>
        </is>
      </c>
      <c r="G8" s="10" t="n">
        <v>2500</v>
      </c>
      <c r="H8" s="13" t="n">
        <v>0</v>
      </c>
      <c r="I8" s="13" t="n">
        <v>1</v>
      </c>
      <c r="J8" s="13" t="n">
        <v>0</v>
      </c>
      <c r="K8" s="13" t="n">
        <v>0</v>
      </c>
      <c r="L8" s="10" t="inlineStr">
        <is>
          <t>Obligatoria, no otorga niveles</t>
        </is>
      </c>
    </row>
    <row r="9">
      <c r="A9" s="10" t="inlineStr">
        <is>
          <t>INF-02</t>
        </is>
      </c>
      <c r="B9" s="10" t="inlineStr">
        <is>
          <t>B. Infraestructura</t>
        </is>
      </c>
      <c r="C9" s="10" t="inlineStr">
        <is>
          <t>Maquina de ensamblado</t>
        </is>
      </c>
      <c r="D9" s="10" t="inlineStr">
        <is>
          <t>Nivel 1: manual/basica</t>
        </is>
      </c>
      <c r="E9" s="10" t="inlineStr">
        <is>
          <t>Fija</t>
        </is>
      </c>
      <c r="F9" s="10" t="inlineStr">
        <is>
          <t>Costura Singer 4423 Heavy Duty; desbastadora a mano con cuchilla o lija</t>
        </is>
      </c>
      <c r="G9" s="10" t="n">
        <v>3500</v>
      </c>
      <c r="H9" s="13" t="n">
        <v>1</v>
      </c>
      <c r="I9" s="13" t="n">
        <v>1</v>
      </c>
      <c r="J9" s="13" t="n">
        <v>0</v>
      </c>
      <c r="K9" s="13" t="n">
        <v>0</v>
      </c>
      <c r="L9" s="10" t="n"/>
    </row>
    <row r="10">
      <c r="A10" s="10" t="inlineStr">
        <is>
          <t>INF-03</t>
        </is>
      </c>
      <c r="B10" s="10" t="inlineStr">
        <is>
          <t>B. Infraestructura</t>
        </is>
      </c>
      <c r="C10" s="10" t="inlineStr">
        <is>
          <t>Maquina de ensamblado</t>
        </is>
      </c>
      <c r="D10" s="10" t="inlineStr">
        <is>
          <t>Nivel 2: semi-industrial</t>
        </is>
      </c>
      <c r="E10" s="10" t="inlineStr">
        <is>
          <t>Fija</t>
        </is>
      </c>
      <c r="F10" s="10" t="inlineStr">
        <is>
          <t>Maquina de coser de columna/brazo (poste) Typical TB-801</t>
        </is>
      </c>
      <c r="G10" s="10" t="n">
        <v>7500</v>
      </c>
      <c r="H10" s="13" t="n">
        <v>2</v>
      </c>
      <c r="I10" s="13" t="n">
        <v>2</v>
      </c>
      <c r="J10" s="13" t="n">
        <v>0</v>
      </c>
      <c r="K10" s="13" t="n">
        <v>0</v>
      </c>
      <c r="L10" s="10" t="n"/>
    </row>
    <row r="11">
      <c r="A11" s="10" t="inlineStr">
        <is>
          <t>INF-04</t>
        </is>
      </c>
      <c r="B11" s="10" t="inlineStr">
        <is>
          <t>B. Infraestructura</t>
        </is>
      </c>
      <c r="C11" s="10" t="inlineStr">
        <is>
          <t>Maquina de ensamblado</t>
        </is>
      </c>
      <c r="D11" s="10" t="inlineStr">
        <is>
          <t>Nivel 3: industrial</t>
        </is>
      </c>
      <c r="E11" s="10" t="inlineStr">
        <is>
          <t>Fija</t>
        </is>
      </c>
      <c r="F11" s="10" t="inlineStr">
        <is>
          <t>Juki de triple accionamiento; desbastadora automatica de alta precision, servomotor</t>
        </is>
      </c>
      <c r="G11" s="10" t="n">
        <v>15000</v>
      </c>
      <c r="H11" s="13" t="n">
        <v>3</v>
      </c>
      <c r="I11" s="13" t="n">
        <v>3</v>
      </c>
      <c r="J11" s="13" t="n">
        <v>0</v>
      </c>
      <c r="K11" s="13" t="n">
        <v>0</v>
      </c>
      <c r="L11" s="10" t="n"/>
    </row>
    <row r="12">
      <c r="A12" s="10" t="inlineStr">
        <is>
          <t>INF-05</t>
        </is>
      </c>
      <c r="B12" s="10" t="inlineStr">
        <is>
          <t>B. Infraestructura</t>
        </is>
      </c>
      <c r="C12" s="10" t="inlineStr">
        <is>
          <t>Maquina de acabados</t>
        </is>
      </c>
      <c r="D12" s="10" t="inlineStr">
        <is>
          <t>Nivel 1: manual/basica</t>
        </is>
      </c>
      <c r="E12" s="10" t="inlineStr">
        <is>
          <t>Fija</t>
        </is>
      </c>
      <c r="F12" s="10" t="inlineStr">
        <is>
          <t>Acabado a mano con cera/tinte de bordes, bruñido manual. Lento, variable en calidad</t>
        </is>
      </c>
      <c r="G12" s="10" t="n">
        <v>1200</v>
      </c>
      <c r="H12" s="13" t="n">
        <v>1</v>
      </c>
      <c r="I12" s="13" t="n">
        <v>1</v>
      </c>
      <c r="J12" s="13" t="n">
        <v>0</v>
      </c>
      <c r="K12" s="13" t="n">
        <v>0</v>
      </c>
      <c r="L12" s="10" t="n"/>
    </row>
    <row r="13">
      <c r="A13" s="10" t="inlineStr">
        <is>
          <t>INF-06</t>
        </is>
      </c>
      <c r="B13" s="10" t="inlineStr">
        <is>
          <t>B. Infraestructura</t>
        </is>
      </c>
      <c r="C13" s="10" t="inlineStr">
        <is>
          <t>Maquina de acabados</t>
        </is>
      </c>
      <c r="D13" s="10" t="inlineStr">
        <is>
          <t>Nivel 2: semi-industrial</t>
        </is>
      </c>
      <c r="E13" s="10" t="inlineStr">
        <is>
          <t>Fija</t>
        </is>
      </c>
      <c r="F13" s="10" t="inlineStr">
        <is>
          <t>Maquina de pulido de bordes (edge burnisher) electrica, tinte con pincel/aerografo</t>
        </is>
      </c>
      <c r="G13" s="10" t="n">
        <v>4500</v>
      </c>
      <c r="H13" s="13" t="n">
        <v>2</v>
      </c>
      <c r="I13" s="13" t="n">
        <v>2</v>
      </c>
      <c r="J13" s="13" t="n">
        <v>0</v>
      </c>
      <c r="K13" s="13" t="n">
        <v>0</v>
      </c>
      <c r="L13" s="10" t="n"/>
    </row>
    <row r="14">
      <c r="A14" s="10" t="inlineStr">
        <is>
          <t>INF-07</t>
        </is>
      </c>
      <c r="B14" s="10" t="inlineStr">
        <is>
          <t>B. Infraestructura</t>
        </is>
      </c>
      <c r="C14" s="10" t="inlineStr">
        <is>
          <t>Maquina de acabados</t>
        </is>
      </c>
      <c r="D14" s="10" t="inlineStr">
        <is>
          <t>Nivel 3: industrial</t>
        </is>
      </c>
      <c r="E14" s="10" t="inlineStr">
        <is>
          <t>Fija</t>
        </is>
      </c>
      <c r="F14" s="10" t="inlineStr">
        <is>
          <t>Linea de acabado con teñido automatico + pulido, control de temperatura y velocidad</t>
        </is>
      </c>
      <c r="G14" s="10" t="n">
        <v>9500</v>
      </c>
      <c r="H14" s="13" t="n">
        <v>3</v>
      </c>
      <c r="I14" s="13" t="n">
        <v>3</v>
      </c>
      <c r="J14" s="13" t="n">
        <v>0</v>
      </c>
      <c r="K14" s="13" t="n">
        <v>0</v>
      </c>
      <c r="L14" s="10" t="n"/>
    </row>
    <row r="15">
      <c r="A15" s="10" t="inlineStr">
        <is>
          <t>INF-08</t>
        </is>
      </c>
      <c r="B15" s="10" t="inlineStr">
        <is>
          <t>B. Infraestructura</t>
        </is>
      </c>
      <c r="C15" s="10" t="inlineStr">
        <is>
          <t>Molde</t>
        </is>
      </c>
      <c r="D15" s="10" t="inlineStr">
        <is>
          <t>Nivel 1 - Generico basico</t>
        </is>
      </c>
      <c r="E15" s="10" t="inlineStr">
        <is>
          <t>Fija</t>
        </is>
      </c>
      <c r="F15" s="10" t="inlineStr">
        <is>
          <t>Patrones simples, tipo plantilla estandar de internet o catalogo generico</t>
        </is>
      </c>
      <c r="G15" s="10" t="n">
        <v>300</v>
      </c>
      <c r="H15" s="13" t="n">
        <v>1</v>
      </c>
      <c r="I15" s="13" t="n">
        <v>1</v>
      </c>
      <c r="J15" s="13" t="n">
        <v>0</v>
      </c>
      <c r="K15" s="13" t="n">
        <v>0</v>
      </c>
      <c r="L15" s="10" t="inlineStr">
        <is>
          <t>Bajo aprovechamiento de cuero</t>
        </is>
      </c>
    </row>
    <row r="16">
      <c r="A16" s="10" t="inlineStr">
        <is>
          <t>INF-09</t>
        </is>
      </c>
      <c r="B16" s="10" t="inlineStr">
        <is>
          <t>B. Infraestructura</t>
        </is>
      </c>
      <c r="C16" s="10" t="inlineStr">
        <is>
          <t>Molde</t>
        </is>
      </c>
      <c r="D16" s="10" t="inlineStr">
        <is>
          <t>Nivel 2 - Generico mejorado</t>
        </is>
      </c>
      <c r="E16" s="10" t="inlineStr">
        <is>
          <t>Fija</t>
        </is>
      </c>
      <c r="F16" s="10" t="inlineStr">
        <is>
          <t>Patron tecnico mas elaborado, con lineas de corte, marcado y perforaciones bien definidas</t>
        </is>
      </c>
      <c r="G16" s="10" t="n">
        <v>1200</v>
      </c>
      <c r="H16" s="13" t="n">
        <v>2</v>
      </c>
      <c r="I16" s="13" t="n">
        <v>2</v>
      </c>
      <c r="J16" s="13" t="n">
        <v>1</v>
      </c>
      <c r="K16" s="13" t="n">
        <v>0</v>
      </c>
      <c r="L16" s="10" t="inlineStr">
        <is>
          <t>Aprovechamiento medio-alto</t>
        </is>
      </c>
    </row>
    <row r="17">
      <c r="A17" s="10" t="inlineStr">
        <is>
          <t>INF-10</t>
        </is>
      </c>
      <c r="B17" s="10" t="inlineStr">
        <is>
          <t>B. Infraestructura</t>
        </is>
      </c>
      <c r="C17" s="10" t="inlineStr">
        <is>
          <t>Molde</t>
        </is>
      </c>
      <c r="D17" s="10" t="inlineStr">
        <is>
          <t>Nivel 3 - Premium</t>
        </is>
      </c>
      <c r="E17" s="10" t="inlineStr">
        <is>
          <t>Fija</t>
        </is>
      </c>
      <c r="F17" s="10" t="inlineStr">
        <is>
          <t>La empresa desarrolla su propio patron desde cero, adaptado a su propuesta de marca</t>
        </is>
      </c>
      <c r="G17" s="10" t="n">
        <v>3500</v>
      </c>
      <c r="H17" s="13" t="n">
        <v>4</v>
      </c>
      <c r="I17" s="13" t="n">
        <v>2</v>
      </c>
      <c r="J17" s="13" t="n">
        <v>2</v>
      </c>
      <c r="K17" s="13" t="n">
        <v>0</v>
      </c>
      <c r="L17" s="10" t="inlineStr">
        <is>
          <t>Maximo aprovechamiento y diferenciacion</t>
        </is>
      </c>
    </row>
    <row r="18">
      <c r="A18" s="10" t="inlineStr">
        <is>
          <t>RH-01</t>
        </is>
      </c>
      <c r="B18" s="10" t="inlineStr">
        <is>
          <t>C. RRHH</t>
        </is>
      </c>
      <c r="C18" s="10" t="inlineStr">
        <is>
          <t>Personal de corte</t>
        </is>
      </c>
      <c r="D18" s="10" t="inlineStr">
        <is>
          <t>Nivel 1 - Operario basico</t>
        </is>
      </c>
      <c r="E18" s="10" t="inlineStr">
        <is>
          <t>Revisable con costo</t>
        </is>
      </c>
      <c r="F18" s="10" t="inlineStr">
        <is>
          <t>Corta con plantilla simple, sin experiencia previa. Mas lento, mas margen de error</t>
        </is>
      </c>
      <c r="G18" s="10" t="n">
        <v>1500</v>
      </c>
      <c r="H18" s="13" t="n">
        <v>0</v>
      </c>
      <c r="I18" s="13" t="n">
        <v>1</v>
      </c>
      <c r="J18" s="13" t="n">
        <v>0</v>
      </c>
      <c r="K18" s="13" t="n">
        <v>0</v>
      </c>
      <c r="L18" s="10" t="n"/>
    </row>
    <row r="19">
      <c r="A19" s="10" t="inlineStr">
        <is>
          <t>RH-02</t>
        </is>
      </c>
      <c r="B19" s="10" t="inlineStr">
        <is>
          <t>C. RRHH</t>
        </is>
      </c>
      <c r="C19" s="10" t="inlineStr">
        <is>
          <t>Personal de corte</t>
        </is>
      </c>
      <c r="D19" s="10" t="inlineStr">
        <is>
          <t>Nivel 2 - Cortador con experiencia</t>
        </is>
      </c>
      <c r="E19" s="10" t="inlineStr">
        <is>
          <t>Revisable con costo</t>
        </is>
      </c>
      <c r="F19" s="10" t="inlineStr">
        <is>
          <t>Optimiza el aprovechamiento del cuero, reduce desperdicio, mas rapido</t>
        </is>
      </c>
      <c r="G19" s="10" t="n">
        <v>2500</v>
      </c>
      <c r="H19" s="13" t="n">
        <v>1</v>
      </c>
      <c r="I19" s="13" t="n">
        <v>2</v>
      </c>
      <c r="J19" s="13" t="n">
        <v>0</v>
      </c>
      <c r="K19" s="13" t="n">
        <v>0</v>
      </c>
      <c r="L19" s="10" t="n"/>
    </row>
    <row r="20">
      <c r="A20" s="10" t="inlineStr">
        <is>
          <t>RH-03</t>
        </is>
      </c>
      <c r="B20" s="10" t="inlineStr">
        <is>
          <t>C. RRHH</t>
        </is>
      </c>
      <c r="C20" s="10" t="inlineStr">
        <is>
          <t>Personal de corte</t>
        </is>
      </c>
      <c r="D20" s="10" t="inlineStr">
        <is>
          <t>Nivel 3 - Maestro cortador</t>
        </is>
      </c>
      <c r="E20" s="10" t="inlineStr">
        <is>
          <t>Revisable con costo</t>
        </is>
      </c>
      <c r="F20" s="10" t="inlineStr">
        <is>
          <t>Trabaja cueros irregulares/premium, maximo aprovechamiento, minimo desperdicio</t>
        </is>
      </c>
      <c r="G20" s="10" t="n">
        <v>4000</v>
      </c>
      <c r="H20" s="13" t="n">
        <v>2</v>
      </c>
      <c r="I20" s="13" t="n">
        <v>3</v>
      </c>
      <c r="J20" s="13" t="n">
        <v>0</v>
      </c>
      <c r="K20" s="13" t="n">
        <v>0</v>
      </c>
      <c r="L20" s="10" t="n"/>
    </row>
    <row r="21" ht="15.75" customHeight="1" s="184">
      <c r="A21" s="10" t="inlineStr">
        <is>
          <t>RH-04</t>
        </is>
      </c>
      <c r="B21" s="10" t="inlineStr">
        <is>
          <t>C. RRHH</t>
        </is>
      </c>
      <c r="C21" s="10" t="inlineStr">
        <is>
          <t>Personal de ensamble</t>
        </is>
      </c>
      <c r="D21" s="10" t="inlineStr">
        <is>
          <t>Nivel 1 - Costurero basico</t>
        </is>
      </c>
      <c r="E21" s="10" t="inlineStr">
        <is>
          <t>Revisable con costo</t>
        </is>
      </c>
      <c r="F21" s="10" t="inlineStr">
        <is>
          <t>Maquina domestica, puntadas rectas simples, funciona con diseños sencillos</t>
        </is>
      </c>
      <c r="G21" s="10" t="n">
        <v>1500</v>
      </c>
      <c r="H21" s="13" t="n">
        <v>0</v>
      </c>
      <c r="I21" s="13" t="n">
        <v>1</v>
      </c>
      <c r="J21" s="13" t="n">
        <v>0</v>
      </c>
      <c r="K21" s="13" t="n">
        <v>0</v>
      </c>
      <c r="L21" s="10" t="n"/>
    </row>
    <row r="22" ht="15.75" customHeight="1" s="184">
      <c r="A22" s="10" t="inlineStr">
        <is>
          <t>RH-05</t>
        </is>
      </c>
      <c r="B22" s="10" t="inlineStr">
        <is>
          <t>C. RRHH</t>
        </is>
      </c>
      <c r="C22" s="10" t="inlineStr">
        <is>
          <t>Personal de ensamble</t>
        </is>
      </c>
      <c r="D22" s="10" t="inlineStr">
        <is>
          <t>Nivel 2 - Maquinista industrial</t>
        </is>
      </c>
      <c r="E22" s="10" t="inlineStr">
        <is>
          <t>Revisable con costo</t>
        </is>
      </c>
      <c r="F22" s="10" t="inlineStr">
        <is>
          <t>Maquina semi-industrial/industrial, costuras reforzadas, mayor velocidad</t>
        </is>
      </c>
      <c r="G22" s="10" t="n">
        <v>2800</v>
      </c>
      <c r="H22" s="13" t="n">
        <v>1</v>
      </c>
      <c r="I22" s="13" t="n">
        <v>2</v>
      </c>
      <c r="J22" s="13" t="n">
        <v>0</v>
      </c>
      <c r="K22" s="13" t="n">
        <v>0</v>
      </c>
      <c r="L22" s="10" t="n"/>
    </row>
    <row r="23" ht="15.75" customHeight="1" s="184">
      <c r="A23" s="10" t="inlineStr">
        <is>
          <t>RH-06</t>
        </is>
      </c>
      <c r="B23" s="10" t="inlineStr">
        <is>
          <t>C. RRHH</t>
        </is>
      </c>
      <c r="C23" s="10" t="inlineStr">
        <is>
          <t>Personal de ensamble</t>
        </is>
      </c>
      <c r="D23" s="10" t="inlineStr">
        <is>
          <t>Nivel 3 - Marroquinero especializado</t>
        </is>
      </c>
      <c r="E23" s="10" t="inlineStr">
        <is>
          <t>Revisable con costo</t>
        </is>
      </c>
      <c r="F23" s="10" t="inlineStr">
        <is>
          <t>Costura a mano de alta gama, ejecuta moldes exclusivos complejos, ideal linea premium</t>
        </is>
      </c>
      <c r="G23" s="10" t="n">
        <v>4500</v>
      </c>
      <c r="H23" s="13" t="n">
        <v>2</v>
      </c>
      <c r="I23" s="13" t="n">
        <v>3</v>
      </c>
      <c r="J23" s="13" t="n">
        <v>1</v>
      </c>
      <c r="K23" s="13" t="n">
        <v>0</v>
      </c>
      <c r="L23" s="10" t="n"/>
    </row>
    <row r="24" ht="15.75" customHeight="1" s="184">
      <c r="A24" s="10" t="inlineStr">
        <is>
          <t>RH-07</t>
        </is>
      </c>
      <c r="B24" s="10" t="inlineStr">
        <is>
          <t>C. RRHH</t>
        </is>
      </c>
      <c r="C24" s="10" t="inlineStr">
        <is>
          <t>Personal de acabados</t>
        </is>
      </c>
      <c r="D24" s="10" t="inlineStr">
        <is>
          <t>Nivel 1 - Operario de acabado basico</t>
        </is>
      </c>
      <c r="E24" s="10" t="inlineStr">
        <is>
          <t>Revisable con costo</t>
        </is>
      </c>
      <c r="F24" s="10" t="inlineStr">
        <is>
          <t>Aplica tinte y cera de forma simple, resultado variable</t>
        </is>
      </c>
      <c r="G24" s="10" t="n">
        <v>1500</v>
      </c>
      <c r="H24" s="13" t="n">
        <v>0</v>
      </c>
      <c r="I24" s="13" t="n">
        <v>1</v>
      </c>
      <c r="J24" s="13" t="n">
        <v>0</v>
      </c>
      <c r="K24" s="13" t="n">
        <v>0</v>
      </c>
      <c r="L24" s="10" t="n"/>
    </row>
    <row r="25" ht="15.75" customHeight="1" s="184">
      <c r="A25" s="10" t="inlineStr">
        <is>
          <t>RH-08</t>
        </is>
      </c>
      <c r="B25" s="10" t="inlineStr">
        <is>
          <t>C. RRHH</t>
        </is>
      </c>
      <c r="C25" s="10" t="inlineStr">
        <is>
          <t>Personal de acabados</t>
        </is>
      </c>
      <c r="D25" s="10" t="inlineStr">
        <is>
          <t>Nivel 2 - Tecnico en acabados</t>
        </is>
      </c>
      <c r="E25" s="10" t="inlineStr">
        <is>
          <t>Revisable con costo</t>
        </is>
      </c>
      <c r="F25" s="10" t="inlineStr">
        <is>
          <t>Maneja maquina de pulido de bordes, tinte con aerografo, resultado consistente</t>
        </is>
      </c>
      <c r="G25" s="10" t="n">
        <v>2800</v>
      </c>
      <c r="H25" s="13" t="n">
        <v>1</v>
      </c>
      <c r="I25" s="13" t="n">
        <v>2</v>
      </c>
      <c r="J25" s="13" t="n">
        <v>0</v>
      </c>
      <c r="K25" s="13" t="n">
        <v>0</v>
      </c>
      <c r="L25" s="10" t="n"/>
    </row>
    <row r="26" ht="15.75" customHeight="1" s="184">
      <c r="A26" s="10" t="inlineStr">
        <is>
          <t>RH-09</t>
        </is>
      </c>
      <c r="B26" s="10" t="inlineStr">
        <is>
          <t>C. RRHH</t>
        </is>
      </c>
      <c r="C26" s="10" t="inlineStr">
        <is>
          <t>Personal de acabados</t>
        </is>
      </c>
      <c r="D26" s="10" t="inlineStr">
        <is>
          <t>Nivel 3 - Artesano acabador</t>
        </is>
      </c>
      <c r="E26" s="10" t="inlineStr">
        <is>
          <t>Revisable con costo</t>
        </is>
      </c>
      <c r="F26" s="10" t="inlineStr">
        <is>
          <t>Bruñido fino, dorado, decoracion compleja (pedreria, herrajes especiales)</t>
        </is>
      </c>
      <c r="G26" s="10" t="n">
        <v>4500</v>
      </c>
      <c r="H26" s="13" t="n">
        <v>2</v>
      </c>
      <c r="I26" s="13" t="n">
        <v>3</v>
      </c>
      <c r="J26" s="13" t="n">
        <v>1</v>
      </c>
      <c r="K26" s="13" t="n">
        <v>0</v>
      </c>
      <c r="L26" s="10" t="n"/>
    </row>
    <row r="27" ht="15.75" customHeight="1" s="184">
      <c r="A27" s="10" t="inlineStr">
        <is>
          <t>RH-10A</t>
        </is>
      </c>
      <c r="B27" s="10" t="inlineStr">
        <is>
          <t>C. RRHH</t>
        </is>
      </c>
      <c r="C27" s="10" t="inlineStr">
        <is>
          <t>Jefatura</t>
        </is>
      </c>
      <c r="D27" s="10" t="inlineStr">
        <is>
          <t>Contratar jefatura</t>
        </is>
      </c>
      <c r="E27" s="10" t="inlineStr">
        <is>
          <t>Revisable con costo</t>
        </is>
      </c>
      <c r="F27" s="10" t="inlineStr">
        <is>
          <t>Coordina el equipo, reduce riesgo de descoordinacion</t>
        </is>
      </c>
      <c r="G27" s="10" t="n">
        <v>3000</v>
      </c>
      <c r="H27" s="13" t="n">
        <v>0</v>
      </c>
      <c r="I27" s="13" t="n">
        <v>2</v>
      </c>
      <c r="J27" s="13" t="n">
        <v>1</v>
      </c>
      <c r="K27" s="13" t="n">
        <v>0</v>
      </c>
      <c r="L27" s="10" t="n"/>
    </row>
    <row r="28" ht="15.75" customHeight="1" s="184">
      <c r="A28" s="10" t="inlineStr">
        <is>
          <t>RH-10B</t>
        </is>
      </c>
      <c r="B28" s="10" t="inlineStr">
        <is>
          <t>C. RRHH</t>
        </is>
      </c>
      <c r="C28" s="10" t="inlineStr">
        <is>
          <t>Jefatura</t>
        </is>
      </c>
      <c r="D28" s="10" t="inlineStr">
        <is>
          <t>No contratar jefatura</t>
        </is>
      </c>
      <c r="E28" s="10" t="inlineStr">
        <is>
          <t>Revisable con costo</t>
        </is>
      </c>
      <c r="F28" s="10" t="inlineStr">
        <is>
          <t>Ahorra costo fijo, pero aumenta el riesgo de descoordinacion</t>
        </is>
      </c>
      <c r="G28" s="10" t="n">
        <v>0</v>
      </c>
      <c r="H28" s="13" t="n">
        <v>0</v>
      </c>
      <c r="I28" s="13" t="n">
        <v>-1</v>
      </c>
      <c r="J28" s="13" t="n">
        <v>0</v>
      </c>
      <c r="K28" s="13" t="n">
        <v>1</v>
      </c>
      <c r="L28" s="10" t="inlineStr">
        <is>
          <t>Ahorro de caja pero baja Eficiencia</t>
        </is>
      </c>
    </row>
    <row r="29" ht="15.75" customHeight="1" s="184">
      <c r="A29" s="10" t="inlineStr">
        <is>
          <t>RH-11</t>
        </is>
      </c>
      <c r="B29" s="10" t="inlineStr">
        <is>
          <t>C. RRHH</t>
        </is>
      </c>
      <c r="C29" s="10" t="inlineStr">
        <is>
          <t>Limpieza y servicios generales</t>
        </is>
      </c>
      <c r="D29" s="10" t="inlineStr">
        <is>
          <t>Unica (obligatoria)</t>
        </is>
      </c>
      <c r="E29" s="10" t="inlineStr">
        <is>
          <t>Fija</t>
        </is>
      </c>
      <c r="F29" s="10" t="inlineStr">
        <is>
          <t>Monto fijo obligatorio para mantener la operacion</t>
        </is>
      </c>
      <c r="G29" s="10" t="n">
        <v>600</v>
      </c>
      <c r="H29" s="13" t="n">
        <v>0</v>
      </c>
      <c r="I29" s="13" t="n">
        <v>0</v>
      </c>
      <c r="J29" s="13" t="n">
        <v>0</v>
      </c>
      <c r="K29" s="13" t="n">
        <v>0</v>
      </c>
      <c r="L29" s="10" t="n"/>
    </row>
    <row r="30" ht="15.75" customHeight="1" s="184">
      <c r="A30" s="10" t="inlineStr">
        <is>
          <t>RH-12</t>
        </is>
      </c>
      <c r="B30" s="10" t="inlineStr">
        <is>
          <t>C. RRHH</t>
        </is>
      </c>
      <c r="C30" s="10" t="inlineStr">
        <is>
          <t>Local de produccion</t>
        </is>
      </c>
      <c r="D30" s="10" t="inlineStr">
        <is>
          <t>Estandar (unico)</t>
        </is>
      </c>
      <c r="E30" s="10" t="inlineStr">
        <is>
          <t>Fija</t>
        </is>
      </c>
      <c r="F30" s="10" t="inlineStr">
        <is>
          <t>Local de produccion estandar; alquiler fijo igual para todos los equipos</t>
        </is>
      </c>
      <c r="G30" s="10" t="n">
        <v>2000</v>
      </c>
      <c r="H30" s="13" t="n">
        <v>0</v>
      </c>
      <c r="I30" s="13" t="n">
        <v>0</v>
      </c>
      <c r="J30" s="13" t="n">
        <v>0</v>
      </c>
      <c r="K30" s="13" t="n">
        <v>0</v>
      </c>
      <c r="L30" s="10" t="n"/>
    </row>
    <row r="31" ht="15.75" customHeight="1" s="184">
      <c r="A31" s="10" t="inlineStr">
        <is>
          <t>COM-01A</t>
        </is>
      </c>
      <c r="B31" s="10" t="inlineStr">
        <is>
          <t>D. Canales</t>
        </is>
      </c>
      <c r="C31" s="10" t="inlineStr">
        <is>
          <t>Canal de venta</t>
        </is>
      </c>
      <c r="D31" s="10" t="inlineStr">
        <is>
          <t>Solo tienda fisica</t>
        </is>
      </c>
      <c r="E31" s="10" t="inlineStr">
        <is>
          <t>Revisable cada ciclo</t>
        </is>
      </c>
      <c r="F31" s="10" t="inlineStr">
        <is>
          <t>Menor cobertura y demanda; menor complejidad y costo</t>
        </is>
      </c>
      <c r="G31" s="10" t="n">
        <v>0</v>
      </c>
      <c r="H31" s="13" t="n">
        <v>0</v>
      </c>
      <c r="I31" s="13" t="n">
        <v>0</v>
      </c>
      <c r="J31" s="13" t="n">
        <v>0</v>
      </c>
      <c r="K31" s="13" t="n">
        <v>1</v>
      </c>
      <c r="L31" s="10" t="n"/>
    </row>
    <row r="32" ht="15.75" customHeight="1" s="184">
      <c r="A32" s="10" t="inlineStr">
        <is>
          <t>COM-01B</t>
        </is>
      </c>
      <c r="B32" s="10" t="inlineStr">
        <is>
          <t>D. Canales</t>
        </is>
      </c>
      <c r="C32" s="10" t="inlineStr">
        <is>
          <t>Canal de venta</t>
        </is>
      </c>
      <c r="D32" s="10" t="inlineStr">
        <is>
          <t>Solo web</t>
        </is>
      </c>
      <c r="E32" s="10" t="inlineStr">
        <is>
          <t>Revisable cada ciclo</t>
        </is>
      </c>
      <c r="F32" s="10" t="inlineStr">
        <is>
          <t>Cobertura amplia con menor costo fijo; depende de marketing digital</t>
        </is>
      </c>
      <c r="G32" s="10" t="n">
        <v>500</v>
      </c>
      <c r="H32" s="13" t="n">
        <v>0</v>
      </c>
      <c r="I32" s="13" t="n">
        <v>0</v>
      </c>
      <c r="J32" s="13" t="n">
        <v>1</v>
      </c>
      <c r="K32" s="13" t="n">
        <v>0</v>
      </c>
      <c r="L32" s="10" t="n"/>
    </row>
    <row r="33" ht="15.75" customHeight="1" s="184">
      <c r="A33" s="10" t="inlineStr">
        <is>
          <t>COM-01C</t>
        </is>
      </c>
      <c r="B33" s="10" t="inlineStr">
        <is>
          <t>D. Canales</t>
        </is>
      </c>
      <c r="C33" s="10" t="inlineStr">
        <is>
          <t>Canal de venta</t>
        </is>
      </c>
      <c r="D33" s="10" t="inlineStr">
        <is>
          <t>Web y fisico</t>
        </is>
      </c>
      <c r="E33" s="10" t="inlineStr">
        <is>
          <t>Revisable cada ciclo</t>
        </is>
      </c>
      <c r="F33" s="10" t="inlineStr">
        <is>
          <t>Mayor cobertura y demanda; incrementa complejidad y costo</t>
        </is>
      </c>
      <c r="G33" s="10" t="n">
        <v>1500</v>
      </c>
      <c r="H33" s="13" t="n">
        <v>0</v>
      </c>
      <c r="I33" s="13" t="n">
        <v>0</v>
      </c>
      <c r="J33" s="13" t="n">
        <v>2</v>
      </c>
      <c r="K33" s="13" t="n">
        <v>-1</v>
      </c>
      <c r="L33" s="10" t="n"/>
    </row>
    <row r="34" ht="15.75" customHeight="1" s="184">
      <c r="A34" s="10" t="inlineStr">
        <is>
          <t>FIN-01A</t>
        </is>
      </c>
      <c r="B34" s="10" t="inlineStr">
        <is>
          <t>D. Canales</t>
        </is>
      </c>
      <c r="C34" s="10" t="inlineStr">
        <is>
          <t>Acceso a prestamo bancario</t>
        </is>
      </c>
      <c r="D34" s="10" t="inlineStr">
        <is>
          <t>Solicitar prestamo</t>
        </is>
      </c>
      <c r="E34" s="10" t="inlineStr">
        <is>
          <t>Fija: habilita</t>
        </is>
      </c>
      <c r="F34" s="10" t="inlineStr">
        <is>
          <t>Habilita apalancamiento; permite invertir mas rapido</t>
        </is>
      </c>
      <c r="G34" s="10" t="n">
        <v>0</v>
      </c>
      <c r="H34" s="13" t="n">
        <v>0</v>
      </c>
      <c r="I34" s="13" t="n">
        <v>0</v>
      </c>
      <c r="J34" s="13" t="n">
        <v>0</v>
      </c>
      <c r="K34" s="13" t="n">
        <v>-1</v>
      </c>
      <c r="L34" s="10" t="inlineStr">
        <is>
          <t>Aumenta apalancamiento</t>
        </is>
      </c>
    </row>
    <row r="35" ht="15.75" customHeight="1" s="184">
      <c r="A35" s="10" t="inlineStr">
        <is>
          <t>FIN-01B</t>
        </is>
      </c>
      <c r="B35" s="10" t="inlineStr">
        <is>
          <t>D. Canales</t>
        </is>
      </c>
      <c r="C35" s="10" t="inlineStr">
        <is>
          <t>Acceso a prestamo bancario</t>
        </is>
      </c>
      <c r="D35" s="10" t="inlineStr">
        <is>
          <t>No solicitar prestamo</t>
        </is>
      </c>
      <c r="E35" s="10" t="inlineStr">
        <is>
          <t>Fija: habilita</t>
        </is>
      </c>
      <c r="F35" s="10" t="inlineStr">
        <is>
          <t>Evita intereses; la expansion depende del capital propio</t>
        </is>
      </c>
      <c r="G35" s="10" t="n">
        <v>0</v>
      </c>
      <c r="H35" s="13" t="n">
        <v>0</v>
      </c>
      <c r="I35" s="13" t="n">
        <v>0</v>
      </c>
      <c r="J35" s="13" t="n">
        <v>1</v>
      </c>
      <c r="K35" s="13" t="n">
        <v>1</v>
      </c>
      <c r="L35" s="10" t="n"/>
    </row>
    <row r="36" ht="15.75" customHeight="1" s="184">
      <c r="A36" s="10" t="inlineStr">
        <is>
          <t>INS-01</t>
        </is>
      </c>
      <c r="B36" s="10" t="inlineStr">
        <is>
          <t>E. Insumos</t>
        </is>
      </c>
      <c r="C36" s="10" t="inlineStr">
        <is>
          <t>Calidad del cuero</t>
        </is>
      </c>
      <c r="D36" s="10" t="inlineStr">
        <is>
          <t>Nivel 1 - Cuero sintetico</t>
        </is>
      </c>
      <c r="E36" s="10" t="inlineStr">
        <is>
          <t>Revisable cada ciclo</t>
        </is>
      </c>
      <c r="F36" s="10" t="inlineStr">
        <is>
          <t>Bajo costo, menor durabilidad, acabado menos premium</t>
        </is>
      </c>
      <c r="G36" s="10" t="n">
        <v>25</v>
      </c>
      <c r="H36" s="13" t="n">
        <v>1</v>
      </c>
      <c r="I36" s="13" t="n">
        <v>0</v>
      </c>
      <c r="J36" s="13" t="n">
        <v>0</v>
      </c>
      <c r="K36" s="13" t="n">
        <v>1</v>
      </c>
      <c r="L36" s="10" t="inlineStr">
        <is>
          <t>por unidad, referencial</t>
        </is>
      </c>
    </row>
    <row r="37" ht="15.75" customHeight="1" s="184">
      <c r="A37" s="10" t="inlineStr">
        <is>
          <t>INS-02</t>
        </is>
      </c>
      <c r="B37" s="10" t="inlineStr">
        <is>
          <t>E. Insumos</t>
        </is>
      </c>
      <c r="C37" s="10" t="inlineStr">
        <is>
          <t>Calidad del cuero</t>
        </is>
      </c>
      <c r="D37" s="10" t="inlineStr">
        <is>
          <t>Nivel 2 - Cuero genuino estandar</t>
        </is>
      </c>
      <c r="E37" s="10" t="inlineStr">
        <is>
          <t>Revisable cada ciclo</t>
        </is>
      </c>
      <c r="F37" s="10" t="inlineStr">
        <is>
          <t>Costo medio, durabilidad media</t>
        </is>
      </c>
      <c r="G37" s="10" t="n">
        <v>45</v>
      </c>
      <c r="H37" s="13" t="n">
        <v>2</v>
      </c>
      <c r="I37" s="13" t="n">
        <v>0</v>
      </c>
      <c r="J37" s="13" t="n">
        <v>0</v>
      </c>
      <c r="K37" s="13" t="n">
        <v>0</v>
      </c>
      <c r="L37" s="10" t="inlineStr">
        <is>
          <t>por unidad, referencial</t>
        </is>
      </c>
    </row>
    <row r="38" ht="15.75" customHeight="1" s="184">
      <c r="A38" s="10" t="inlineStr">
        <is>
          <t>INS-03</t>
        </is>
      </c>
      <c r="B38" s="10" t="inlineStr">
        <is>
          <t>E. Insumos</t>
        </is>
      </c>
      <c r="C38" s="10" t="inlineStr">
        <is>
          <t>Calidad del cuero</t>
        </is>
      </c>
      <c r="D38" s="10" t="inlineStr">
        <is>
          <t>Nivel 3 - Cuero genuino premium</t>
        </is>
      </c>
      <c r="E38" s="10" t="inlineStr">
        <is>
          <t>Revisable cada ciclo</t>
        </is>
      </c>
      <c r="F38" s="10" t="inlineStr">
        <is>
          <t>Full grain / curtido vegetal: alto costo, alta durabilidad, mejor acabado</t>
        </is>
      </c>
      <c r="G38" s="10" t="n">
        <v>80</v>
      </c>
      <c r="H38" s="13" t="n">
        <v>3</v>
      </c>
      <c r="I38" s="13" t="n">
        <v>0</v>
      </c>
      <c r="J38" s="13" t="n">
        <v>1</v>
      </c>
      <c r="K38" s="13" t="n">
        <v>-1</v>
      </c>
      <c r="L38" s="10" t="inlineStr">
        <is>
          <t>por unidad, referencial</t>
        </is>
      </c>
    </row>
    <row r="39" ht="15.75" customHeight="1" s="184">
      <c r="A39" s="10" t="inlineStr">
        <is>
          <t>INS-04</t>
        </is>
      </c>
      <c r="B39" s="10" t="inlineStr">
        <is>
          <t>E. Insumos</t>
        </is>
      </c>
      <c r="C39" s="10" t="inlineStr">
        <is>
          <t>Calidad de accesorios</t>
        </is>
      </c>
      <c r="D39" s="10" t="inlineStr">
        <is>
          <t>Nivel 1 - Aleacion economica</t>
        </is>
      </c>
      <c r="E39" s="10" t="inlineStr">
        <is>
          <t>Revisable cada ciclo</t>
        </is>
      </c>
      <c r="F39" s="10" t="inlineStr">
        <is>
          <t>Bajo costo, se oxida/desgasta mas rapido</t>
        </is>
      </c>
      <c r="G39" s="10" t="n">
        <v>4</v>
      </c>
      <c r="H39" s="13" t="n">
        <v>1</v>
      </c>
      <c r="I39" s="13" t="n">
        <v>0</v>
      </c>
      <c r="J39" s="13" t="n">
        <v>0</v>
      </c>
      <c r="K39" s="13" t="n">
        <v>1</v>
      </c>
      <c r="L39" s="10" t="inlineStr">
        <is>
          <t>por unidad, referencial</t>
        </is>
      </c>
    </row>
    <row r="40" ht="15.75" customHeight="1" s="184">
      <c r="A40" s="10" t="inlineStr">
        <is>
          <t>INS-05</t>
        </is>
      </c>
      <c r="B40" s="10" t="inlineStr">
        <is>
          <t>E. Insumos</t>
        </is>
      </c>
      <c r="C40" s="10" t="inlineStr">
        <is>
          <t>Calidad de accesorios</t>
        </is>
      </c>
      <c r="D40" s="10" t="inlineStr">
        <is>
          <t>Nivel 2 - Metal premium</t>
        </is>
      </c>
      <c r="E40" s="10" t="inlineStr">
        <is>
          <t>Revisable cada ciclo</t>
        </is>
      </c>
      <c r="F40" s="10" t="inlineStr">
        <is>
          <t>Laton macizo o acero inoxidable, alto costo, mayor durabilidad y brillo</t>
        </is>
      </c>
      <c r="G40" s="10" t="n">
        <v>9</v>
      </c>
      <c r="H40" s="13" t="n">
        <v>2</v>
      </c>
      <c r="I40" s="13" t="n">
        <v>0</v>
      </c>
      <c r="J40" s="13" t="n">
        <v>1</v>
      </c>
      <c r="K40" s="13" t="n">
        <v>-1</v>
      </c>
      <c r="L40" s="10" t="inlineStr">
        <is>
          <t>por unidad, referencial</t>
        </is>
      </c>
    </row>
    <row r="41" ht="15.75" customHeight="1" s="184">
      <c r="A41" s="10" t="inlineStr">
        <is>
          <t>INS-06</t>
        </is>
      </c>
      <c r="B41" s="10" t="inlineStr">
        <is>
          <t>E. Insumos</t>
        </is>
      </c>
      <c r="C41" s="10" t="inlineStr">
        <is>
          <t>Calidad del hilo</t>
        </is>
      </c>
      <c r="D41" s="10" t="inlineStr">
        <is>
          <t>Nivel 1 - Poliester estandar</t>
        </is>
      </c>
      <c r="E41" s="10" t="inlineStr">
        <is>
          <t>Revisable cada ciclo</t>
        </is>
      </c>
      <c r="F41" s="10" t="inlineStr">
        <is>
          <t>Economico, resistencia media</t>
        </is>
      </c>
      <c r="G41" s="10" t="n">
        <v>2</v>
      </c>
      <c r="H41" s="13" t="n">
        <v>1</v>
      </c>
      <c r="I41" s="13" t="n">
        <v>0</v>
      </c>
      <c r="J41" s="13" t="n">
        <v>0</v>
      </c>
      <c r="K41" s="13" t="n">
        <v>1</v>
      </c>
      <c r="L41" s="10" t="inlineStr">
        <is>
          <t>por unidad, referencial</t>
        </is>
      </c>
    </row>
    <row r="42" ht="15.75" customHeight="1" s="184">
      <c r="A42" s="10" t="inlineStr">
        <is>
          <t>INS-07</t>
        </is>
      </c>
      <c r="B42" s="10" t="inlineStr">
        <is>
          <t>E. Insumos</t>
        </is>
      </c>
      <c r="C42" s="10" t="inlineStr">
        <is>
          <t>Calidad del hilo</t>
        </is>
      </c>
      <c r="D42" s="10" t="inlineStr">
        <is>
          <t>Nivel 2 - Encerado reforzado</t>
        </is>
      </c>
      <c r="E42" s="10" t="inlineStr">
        <is>
          <t>Revisable cada ciclo</t>
        </is>
      </c>
      <c r="F42" s="10" t="inlineStr">
        <is>
          <t>Costo medio, mayor resistencia a tension</t>
        </is>
      </c>
      <c r="G42" s="10" t="n">
        <v>4</v>
      </c>
      <c r="H42" s="13" t="n">
        <v>2</v>
      </c>
      <c r="I42" s="13" t="n">
        <v>0</v>
      </c>
      <c r="J42" s="13" t="n">
        <v>0</v>
      </c>
      <c r="K42" s="13" t="n">
        <v>0</v>
      </c>
      <c r="L42" s="10" t="inlineStr">
        <is>
          <t>por unidad, referencial</t>
        </is>
      </c>
    </row>
    <row r="43" ht="15.75" customHeight="1" s="184">
      <c r="A43" s="10" t="inlineStr">
        <is>
          <t>INS-08</t>
        </is>
      </c>
      <c r="B43" s="10" t="inlineStr">
        <is>
          <t>E. Insumos</t>
        </is>
      </c>
      <c r="C43" s="10" t="inlineStr">
        <is>
          <t>Calidad del hilo</t>
        </is>
      </c>
      <c r="D43" s="10" t="inlineStr">
        <is>
          <t>Nivel 3 - Alta tenacidad (nylon trenzado)</t>
        </is>
      </c>
      <c r="E43" s="10" t="inlineStr">
        <is>
          <t>Revisable cada ciclo</t>
        </is>
      </c>
      <c r="F43" s="10" t="inlineStr">
        <is>
          <t>Costoso, maxima durabilidad, ideal para costura visible/detalle</t>
        </is>
      </c>
      <c r="G43" s="10" t="n">
        <v>7</v>
      </c>
      <c r="H43" s="13" t="n">
        <v>3</v>
      </c>
      <c r="I43" s="13" t="n">
        <v>0</v>
      </c>
      <c r="J43" s="13" t="n">
        <v>1</v>
      </c>
      <c r="K43" s="13" t="n">
        <v>-1</v>
      </c>
      <c r="L43" s="10" t="inlineStr">
        <is>
          <t>por unidad, referencial</t>
        </is>
      </c>
    </row>
    <row r="44" ht="15.75" customHeight="1" s="184">
      <c r="A44" s="10" t="inlineStr">
        <is>
          <t>INS-09A</t>
        </is>
      </c>
      <c r="B44" s="10" t="inlineStr">
        <is>
          <t>E. Insumos</t>
        </is>
      </c>
      <c r="C44" s="10" t="inlineStr">
        <is>
          <t>Numero de proveedores</t>
        </is>
      </c>
      <c r="D44" s="10" t="inlineStr">
        <is>
          <t>Proveedor unico</t>
        </is>
      </c>
      <c r="E44" s="10" t="inlineStr">
        <is>
          <t>Revisable cada ciclo</t>
        </is>
      </c>
      <c r="F44" s="10" t="inlineStr">
        <is>
          <t>Obtiene 2% adicional de descuento, pero concentra el riesgo de abastecimiento</t>
        </is>
      </c>
      <c r="G44" s="10" t="n">
        <v>0</v>
      </c>
      <c r="H44" s="13" t="n">
        <v>0</v>
      </c>
      <c r="I44" s="13" t="n">
        <v>0</v>
      </c>
      <c r="J44" s="13" t="n">
        <v>0</v>
      </c>
      <c r="K44" s="13" t="n">
        <v>1</v>
      </c>
      <c r="L44" s="10" t="inlineStr">
        <is>
          <t>Riesgo de desabastecimiento</t>
        </is>
      </c>
    </row>
    <row r="45" ht="15.75" customHeight="1" s="184">
      <c r="A45" s="10" t="inlineStr">
        <is>
          <t>INS-09B</t>
        </is>
      </c>
      <c r="B45" s="10" t="inlineStr">
        <is>
          <t>E. Insumos</t>
        </is>
      </c>
      <c r="C45" s="10" t="inlineStr">
        <is>
          <t>Numero de proveedores</t>
        </is>
      </c>
      <c r="D45" s="10" t="inlineStr">
        <is>
          <t>Varios proveedores</t>
        </is>
      </c>
      <c r="E45" s="10" t="inlineStr">
        <is>
          <t>Revisable cada ciclo</t>
        </is>
      </c>
      <c r="F45" s="10" t="inlineStr">
        <is>
          <t>Menor descuento, pero reduce el riesgo de desabastecimiento</t>
        </is>
      </c>
      <c r="G45" s="10" t="n">
        <v>0</v>
      </c>
      <c r="H45" s="13" t="n">
        <v>0</v>
      </c>
      <c r="I45" s="13" t="n">
        <v>1</v>
      </c>
      <c r="J45" s="13" t="n">
        <v>0</v>
      </c>
      <c r="K45" s="13" t="n">
        <v>0</v>
      </c>
      <c r="L45" s="10" t="n"/>
    </row>
    <row r="46" ht="15.75" customHeight="1" s="184">
      <c r="A46" s="10" t="inlineStr">
        <is>
          <t>INS-10A</t>
        </is>
      </c>
      <c r="B46" s="10" t="inlineStr">
        <is>
          <t>E. Insumos</t>
        </is>
      </c>
      <c r="C46" s="10" t="inlineStr">
        <is>
          <t>Politica de pago a proveedores</t>
        </is>
      </c>
      <c r="D46" s="10" t="inlineStr">
        <is>
          <t>Contado</t>
        </is>
      </c>
      <c r="E46" s="10" t="inlineStr">
        <is>
          <t>Revisable cada ciclo</t>
        </is>
      </c>
      <c r="F46" s="10" t="inlineStr">
        <is>
          <t>Obtiene 3% de descuento; reduce la caja inmediatamente</t>
        </is>
      </c>
      <c r="G46" s="10" t="n">
        <v>0</v>
      </c>
      <c r="H46" s="13" t="n">
        <v>0</v>
      </c>
      <c r="I46" s="13" t="n">
        <v>0</v>
      </c>
      <c r="J46" s="13" t="n">
        <v>0</v>
      </c>
      <c r="K46" s="13" t="n">
        <v>-1</v>
      </c>
      <c r="L46" s="10" t="n"/>
    </row>
    <row r="47" ht="15.75" customHeight="1" s="184">
      <c r="A47" s="10" t="inlineStr">
        <is>
          <t>INS-10B</t>
        </is>
      </c>
      <c r="B47" s="10" t="inlineStr">
        <is>
          <t>E. Insumos</t>
        </is>
      </c>
      <c r="C47" s="10" t="inlineStr">
        <is>
          <t>Politica de pago a proveedores</t>
        </is>
      </c>
      <c r="D47" s="10" t="inlineStr">
        <is>
          <t>Credito</t>
        </is>
      </c>
      <c r="E47" s="10" t="inlineStr">
        <is>
          <t>Revisable cada ciclo</t>
        </is>
      </c>
      <c r="F47" s="10" t="inlineStr">
        <is>
          <t>Sin descuento; conserva liquidez en el ciclo</t>
        </is>
      </c>
      <c r="G47" s="10" t="n">
        <v>0</v>
      </c>
      <c r="H47" s="13" t="n">
        <v>0</v>
      </c>
      <c r="I47" s="13" t="n">
        <v>0</v>
      </c>
      <c r="J47" s="13" t="n">
        <v>0</v>
      </c>
      <c r="K47" s="13" t="n">
        <v>1</v>
      </c>
      <c r="L47" s="10" t="n"/>
    </row>
    <row r="48" ht="15.75" customHeight="1" s="184">
      <c r="A48" s="10" t="inlineStr">
        <is>
          <t>INS-11A</t>
        </is>
      </c>
      <c r="B48" s="10" t="inlineStr">
        <is>
          <t>E. Insumos</t>
        </is>
      </c>
      <c r="C48" s="10" t="inlineStr">
        <is>
          <t>Lead time</t>
        </is>
      </c>
      <c r="D48" s="10" t="inlineStr">
        <is>
          <t>Rapido (urgente, con sobrecosto)</t>
        </is>
      </c>
      <c r="E48" s="10" t="inlineStr">
        <is>
          <t>Revisable cada ciclo</t>
        </is>
      </c>
      <c r="F48" s="10" t="inlineStr">
        <is>
          <t>Entrega en menos dias, pero con sobrecosto</t>
        </is>
      </c>
      <c r="G48" s="10" t="n">
        <v>0</v>
      </c>
      <c r="H48" s="13" t="n">
        <v>0</v>
      </c>
      <c r="I48" s="13" t="n">
        <v>1</v>
      </c>
      <c r="J48" s="13" t="n">
        <v>0</v>
      </c>
      <c r="K48" s="13" t="n">
        <v>-1</v>
      </c>
      <c r="L48" s="10" t="n"/>
    </row>
    <row r="49" ht="15.75" customHeight="1" s="184">
      <c r="A49" s="10" t="inlineStr">
        <is>
          <t>INS-11B</t>
        </is>
      </c>
      <c r="B49" s="10" t="inlineStr">
        <is>
          <t>E. Insumos</t>
        </is>
      </c>
      <c r="C49" s="10" t="inlineStr">
        <is>
          <t>Lead time</t>
        </is>
      </c>
      <c r="D49" s="10" t="inlineStr">
        <is>
          <t>Normal - 7 dias</t>
        </is>
      </c>
      <c r="E49" s="10" t="inlineStr">
        <is>
          <t>Revisable cada ciclo</t>
        </is>
      </c>
      <c r="F49" s="10" t="inlineStr">
        <is>
          <t>Equilibrio entre costo y disponibilidad</t>
        </is>
      </c>
      <c r="G49" s="10" t="n">
        <v>0</v>
      </c>
      <c r="H49" s="13" t="n">
        <v>0</v>
      </c>
      <c r="I49" s="13" t="n">
        <v>0</v>
      </c>
      <c r="J49" s="13" t="n">
        <v>0</v>
      </c>
      <c r="K49" s="13" t="n">
        <v>0</v>
      </c>
      <c r="L49" s="10" t="n"/>
    </row>
    <row r="50" ht="15.75" customHeight="1" s="184">
      <c r="A50" s="10" t="inlineStr">
        <is>
          <t>INS-11C</t>
        </is>
      </c>
      <c r="B50" s="10" t="inlineStr">
        <is>
          <t>E. Insumos</t>
        </is>
      </c>
      <c r="C50" s="10" t="inlineStr">
        <is>
          <t>Lead time</t>
        </is>
      </c>
      <c r="D50" s="10" t="inlineStr">
        <is>
          <t>Lento (economico)</t>
        </is>
      </c>
      <c r="E50" s="10" t="inlineStr">
        <is>
          <t>Revisable cada ciclo</t>
        </is>
      </c>
      <c r="F50" s="10" t="inlineStr">
        <is>
          <t>Menor costo, mayor riesgo de quiebre de stock</t>
        </is>
      </c>
      <c r="G50" s="10" t="n">
        <v>0</v>
      </c>
      <c r="H50" s="13" t="n">
        <v>0</v>
      </c>
      <c r="I50" s="13" t="n">
        <v>-1</v>
      </c>
      <c r="J50" s="13" t="n">
        <v>0</v>
      </c>
      <c r="K50" s="13" t="n">
        <v>1</v>
      </c>
      <c r="L50" s="10" t="n"/>
    </row>
    <row r="51" ht="15.75" customHeight="1" s="184">
      <c r="A51" s="10" t="inlineStr">
        <is>
          <t>COM-05</t>
        </is>
      </c>
      <c r="B51" s="10" t="inlineStr">
        <is>
          <t>D. Canales</t>
        </is>
      </c>
      <c r="C51" s="10" t="inlineStr">
        <is>
          <t>% de ventas a credito</t>
        </is>
      </c>
      <c r="D51" s="10" t="inlineStr">
        <is>
          <t>20% a credito (referencia)</t>
        </is>
      </c>
      <c r="E51" s="10" t="inlineStr">
        <is>
          <t>Revisable cada ciclo</t>
        </is>
      </c>
      <c r="F51" s="10" t="inlineStr">
        <is>
          <t>Balancea liquidez y ventas; riesgo de cobranza bajo</t>
        </is>
      </c>
      <c r="G51" s="10" t="n">
        <v>0</v>
      </c>
      <c r="H51" s="13" t="n">
        <v>0</v>
      </c>
      <c r="I51" s="13" t="n">
        <v>0</v>
      </c>
      <c r="J51" s="13" t="n">
        <v>1</v>
      </c>
      <c r="K51" s="13" t="n">
        <v>-1</v>
      </c>
      <c r="L51" s="10" t="inlineStr">
        <is>
          <t>Valor ingresado por el jugador en hoja Seleccion</t>
        </is>
      </c>
    </row>
    <row r="52" ht="15.75" customHeight="1" s="184">
      <c r="A52" s="10" t="inlineStr">
        <is>
          <t>INV-01A</t>
        </is>
      </c>
      <c r="B52" s="10" t="inlineStr">
        <is>
          <t>F. Inversiones</t>
        </is>
      </c>
      <c r="C52" s="10" t="inlineStr">
        <is>
          <t>Inversion en RR.HH.</t>
        </is>
      </c>
      <c r="D52" s="10" t="inlineStr">
        <is>
          <t>Baja</t>
        </is>
      </c>
      <c r="E52" s="10" t="inlineStr">
        <is>
          <t>Revisable cada ciclo</t>
        </is>
      </c>
      <c r="F52" s="10" t="inlineStr">
        <is>
          <t>Poca capacitacion tecnica</t>
        </is>
      </c>
      <c r="G52" s="10" t="n">
        <v>1000</v>
      </c>
      <c r="H52" s="13" t="n">
        <v>0</v>
      </c>
      <c r="I52" s="13" t="n">
        <v>1</v>
      </c>
      <c r="J52" s="13" t="n">
        <v>0</v>
      </c>
      <c r="K52" s="13" t="n">
        <v>-1</v>
      </c>
      <c r="L52" s="10" t="n"/>
    </row>
    <row r="53" ht="15.75" customHeight="1" s="184">
      <c r="A53" s="10" t="inlineStr">
        <is>
          <t>INV-01B</t>
        </is>
      </c>
      <c r="B53" s="10" t="inlineStr">
        <is>
          <t>F. Inversiones</t>
        </is>
      </c>
      <c r="C53" s="10" t="inlineStr">
        <is>
          <t>Inversion en RR.HH.</t>
        </is>
      </c>
      <c r="D53" s="10" t="inlineStr">
        <is>
          <t>Media</t>
        </is>
      </c>
      <c r="E53" s="10" t="inlineStr">
        <is>
          <t>Revisable cada ciclo</t>
        </is>
      </c>
      <c r="F53" s="10" t="inlineStr">
        <is>
          <t>Capacitacion tecnica: +8% de capacidad y mejor reputacion</t>
        </is>
      </c>
      <c r="G53" s="10" t="n">
        <v>6000</v>
      </c>
      <c r="H53" s="13" t="n">
        <v>0</v>
      </c>
      <c r="I53" s="13" t="n">
        <v>2</v>
      </c>
      <c r="J53" s="13" t="n">
        <v>1</v>
      </c>
      <c r="K53" s="13" t="n">
        <v>-1</v>
      </c>
      <c r="L53" s="10" t="n"/>
    </row>
    <row r="54" ht="15.75" customHeight="1" s="184">
      <c r="A54" s="10" t="inlineStr">
        <is>
          <t>INV-01C</t>
        </is>
      </c>
      <c r="B54" s="10" t="inlineStr">
        <is>
          <t>F. Inversiones</t>
        </is>
      </c>
      <c r="C54" s="10" t="inlineStr">
        <is>
          <t>Inversion en RR.HH.</t>
        </is>
      </c>
      <c r="D54" s="10" t="inlineStr">
        <is>
          <t>Alta</t>
        </is>
      </c>
      <c r="E54" s="10" t="inlineStr">
        <is>
          <t>Revisable cada ciclo</t>
        </is>
      </c>
      <c r="F54" s="10" t="inlineStr">
        <is>
          <t>Capacitacion avanzada: mayor capacidad y reputacion, alto costo</t>
        </is>
      </c>
      <c r="G54" s="10" t="n">
        <v>12000</v>
      </c>
      <c r="H54" s="13" t="n">
        <v>0</v>
      </c>
      <c r="I54" s="13" t="n">
        <v>3</v>
      </c>
      <c r="J54" s="13" t="n">
        <v>2</v>
      </c>
      <c r="K54" s="13" t="n">
        <v>-2</v>
      </c>
      <c r="L54" s="10" t="n"/>
    </row>
    <row r="55" ht="15.75" customHeight="1" s="184">
      <c r="A55" s="10" t="inlineStr">
        <is>
          <t>INV-02A</t>
        </is>
      </c>
      <c r="B55" s="10" t="inlineStr">
        <is>
          <t>F. Inversiones</t>
        </is>
      </c>
      <c r="C55" s="10" t="inlineStr">
        <is>
          <t>Inversion en marketing</t>
        </is>
      </c>
      <c r="D55" s="10" t="inlineStr">
        <is>
          <t>Baja</t>
        </is>
      </c>
      <c r="E55" s="10" t="inlineStr">
        <is>
          <t>Revisable cada ciclo</t>
        </is>
      </c>
      <c r="F55" s="10" t="inlineStr">
        <is>
          <t>Poca visibilidad de marca</t>
        </is>
      </c>
      <c r="G55" s="10" t="n">
        <v>1500</v>
      </c>
      <c r="H55" s="13" t="n">
        <v>0</v>
      </c>
      <c r="I55" s="13" t="n">
        <v>0</v>
      </c>
      <c r="J55" s="13" t="n">
        <v>1</v>
      </c>
      <c r="K55" s="13" t="n">
        <v>-1</v>
      </c>
      <c r="L55" s="10" t="n"/>
    </row>
    <row r="56" ht="15.75" customHeight="1" s="184">
      <c r="A56" s="10" t="inlineStr">
        <is>
          <t>INV-02B</t>
        </is>
      </c>
      <c r="B56" s="10" t="inlineStr">
        <is>
          <t>F. Inversiones</t>
        </is>
      </c>
      <c r="C56" s="10" t="inlineStr">
        <is>
          <t>Inversion en marketing</t>
        </is>
      </c>
      <c r="D56" s="10" t="inlineStr">
        <is>
          <t>Media</t>
        </is>
      </c>
      <c r="E56" s="10" t="inlineStr">
        <is>
          <t>Revisable cada ciclo</t>
        </is>
      </c>
      <c r="F56" s="10" t="inlineStr">
        <is>
          <t>S/ 6,000 por ciclo; aumenta demanda estimada 12% y reputacion</t>
        </is>
      </c>
      <c r="G56" s="10" t="n">
        <v>6000</v>
      </c>
      <c r="H56" s="13" t="n">
        <v>0</v>
      </c>
      <c r="I56" s="13" t="n">
        <v>0</v>
      </c>
      <c r="J56" s="13" t="n">
        <v>2</v>
      </c>
      <c r="K56" s="13" t="n">
        <v>-1</v>
      </c>
      <c r="L56" s="10" t="n"/>
    </row>
    <row r="57" ht="15.75" customHeight="1" s="184">
      <c r="A57" s="10" t="inlineStr">
        <is>
          <t>INV-02C</t>
        </is>
      </c>
      <c r="B57" s="10" t="inlineStr">
        <is>
          <t>F. Inversiones</t>
        </is>
      </c>
      <c r="C57" s="10" t="inlineStr">
        <is>
          <t>Inversion en marketing</t>
        </is>
      </c>
      <c r="D57" s="10" t="inlineStr">
        <is>
          <t>Alta</t>
        </is>
      </c>
      <c r="E57" s="10" t="inlineStr">
        <is>
          <t>Revisable cada ciclo</t>
        </is>
      </c>
      <c r="F57" s="10" t="inlineStr">
        <is>
          <t>Alto costo; mayor aumento de demanda y reputacion</t>
        </is>
      </c>
      <c r="G57" s="10" t="n">
        <v>12000</v>
      </c>
      <c r="H57" s="13" t="n">
        <v>0</v>
      </c>
      <c r="I57" s="13" t="n">
        <v>0</v>
      </c>
      <c r="J57" s="13" t="n">
        <v>3</v>
      </c>
      <c r="K57" s="13" t="n">
        <v>-2</v>
      </c>
      <c r="L57" s="10" t="n"/>
    </row>
    <row r="58" ht="15.75" customHeight="1" s="184">
      <c r="A58" s="45" t="inlineStr">
        <is>
          <t>FIN-02A</t>
        </is>
      </c>
      <c r="B58" s="45" t="inlineStr">
        <is>
          <t>G. Finanzas</t>
        </is>
      </c>
      <c r="C58" s="45" t="inlineStr">
        <is>
          <t>Método de depreciación</t>
        </is>
      </c>
      <c r="D58" s="45" t="inlineStr">
        <is>
          <t>Línea recta</t>
        </is>
      </c>
      <c r="E58" s="45" t="inlineStr">
        <is>
          <t>Fija en Ciclo 0</t>
        </is>
      </c>
      <c r="F58" s="45" t="inlineStr">
        <is>
          <t>Distribuye el valor depreciable de la maquinaria en cuotas iguales durante su vida útil</t>
        </is>
      </c>
      <c r="G58" s="50" t="inlineStr">
        <is>
          <t>S/0</t>
        </is>
      </c>
      <c r="H58" s="50" t="n">
        <v>0</v>
      </c>
      <c r="I58" s="50" t="n">
        <v>0</v>
      </c>
      <c r="J58" s="50" t="n">
        <v>0</v>
      </c>
      <c r="K58" s="50" t="n">
        <v>0</v>
      </c>
      <c r="L58" s="45" t="inlineStr">
        <is>
          <t>Gasto contable constante; no representa una salida de efectivo</t>
        </is>
      </c>
    </row>
    <row r="59" ht="15.75" customHeight="1" s="184">
      <c r="A59" s="45" t="inlineStr">
        <is>
          <t>FIN-02B</t>
        </is>
      </c>
      <c r="B59" s="45" t="inlineStr">
        <is>
          <t>G. Finanzas</t>
        </is>
      </c>
      <c r="C59" s="45" t="inlineStr">
        <is>
          <t>Método de depreciación</t>
        </is>
      </c>
      <c r="D59" s="45" t="inlineStr">
        <is>
          <t>Unidades producidas</t>
        </is>
      </c>
      <c r="E59" s="45" t="inlineStr">
        <is>
          <t>Fija en Ciclo 0</t>
        </is>
      </c>
      <c r="F59" s="45" t="inlineStr">
        <is>
          <t>Calcula la depreciación según el uso real de la maquinaria y las unidades fabricadas</t>
        </is>
      </c>
      <c r="G59" s="50" t="inlineStr">
        <is>
          <t>S/0</t>
        </is>
      </c>
      <c r="H59" s="50" t="n">
        <v>0</v>
      </c>
      <c r="I59" s="50" t="n">
        <v>0</v>
      </c>
      <c r="J59" s="50" t="n">
        <v>0</v>
      </c>
      <c r="K59" s="50">
        <f>+1</f>
        <v/>
      </c>
      <c r="L59" s="45" t="inlineStr">
        <is>
          <t>Mejora la asignación del costo por unidad; no representa una salida de efectivo</t>
        </is>
      </c>
    </row>
    <row r="60" ht="15.75" customHeight="1" s="184">
      <c r="A60" s="45" t="inlineStr">
        <is>
          <t>FIN-02C</t>
        </is>
      </c>
      <c r="B60" s="45" t="inlineStr">
        <is>
          <t>G. Finanzas</t>
        </is>
      </c>
      <c r="C60" s="45" t="inlineStr">
        <is>
          <t>Método de depreciación</t>
        </is>
      </c>
      <c r="D60" s="45" t="inlineStr">
        <is>
          <t>Acelerada</t>
        </is>
      </c>
      <c r="E60" s="45" t="inlineStr">
        <is>
          <t>Fija en Ciclo 0</t>
        </is>
      </c>
      <c r="F60" s="45" t="inlineStr">
        <is>
          <t>Reconoce una mayor depreciación durante los primeros ciclos y una menor depreciación después</t>
        </is>
      </c>
      <c r="G60" s="50" t="inlineStr">
        <is>
          <t>S/0</t>
        </is>
      </c>
      <c r="H60" s="50" t="n">
        <v>0</v>
      </c>
      <c r="I60" s="50" t="n">
        <v>0</v>
      </c>
      <c r="J60" s="50" t="n">
        <v>0</v>
      </c>
      <c r="K60" s="50" t="n">
        <v>-1</v>
      </c>
      <c r="L60" s="45" t="inlineStr">
        <is>
          <t>Reduce la utilidad contable inicial; no representa una salida de efectivo</t>
        </is>
      </c>
    </row>
    <row r="61" ht="15.75" customHeight="1" s="184">
      <c r="A61" s="45" t="inlineStr">
        <is>
          <t>COM-06A</t>
        </is>
      </c>
      <c r="B61" s="45" t="inlineStr">
        <is>
          <t>D. Canales</t>
        </is>
      </c>
      <c r="C61" s="45" t="inlineStr">
        <is>
          <t>Garantía del producto</t>
        </is>
      </c>
      <c r="D61" s="45" t="inlineStr">
        <is>
          <t>Sin garantía</t>
        </is>
      </c>
      <c r="E61" s="45" t="inlineStr">
        <is>
          <t>Revisable cada ciclo</t>
        </is>
      </c>
      <c r="F61" s="45" t="inlineStr">
        <is>
          <t>No cubre fallas posteriores a la venta; reduce el costo inmediato, pero genera desconfianza</t>
        </is>
      </c>
      <c r="G61" s="50" t="inlineStr">
        <is>
          <t>S/0</t>
        </is>
      </c>
      <c r="H61" s="50" t="n">
        <v>0</v>
      </c>
      <c r="I61" s="50" t="n">
        <v>0</v>
      </c>
      <c r="J61" s="50" t="n">
        <v>-1</v>
      </c>
      <c r="K61" s="50">
        <f>+1</f>
        <v/>
      </c>
      <c r="L61" s="45" t="inlineStr">
        <is>
          <t>Mayor riesgo de reclamos y pérdida de clientes</t>
        </is>
      </c>
    </row>
    <row r="62" ht="15.75" customHeight="1" s="184">
      <c r="A62" s="45" t="inlineStr">
        <is>
          <t>COM-06B</t>
        </is>
      </c>
      <c r="B62" s="45" t="inlineStr">
        <is>
          <t>D. Canales</t>
        </is>
      </c>
      <c r="C62" s="45" t="inlineStr">
        <is>
          <t>Garantía del producto</t>
        </is>
      </c>
      <c r="D62" s="45" t="inlineStr">
        <is>
          <t>Garantía de 30 días</t>
        </is>
      </c>
      <c r="E62" s="45" t="inlineStr">
        <is>
          <t>Revisable cada ciclo</t>
        </is>
      </c>
      <c r="F62" s="45" t="inlineStr">
        <is>
          <t>Cubre defectos de fabricación durante 30 días y brinda seguridad básica al cliente</t>
        </is>
      </c>
      <c r="G62" s="50" t="inlineStr">
        <is>
          <t>S/5</t>
        </is>
      </c>
      <c r="H62" s="50" t="n">
        <v>0</v>
      </c>
      <c r="I62" s="50" t="n">
        <v>0</v>
      </c>
      <c r="J62" s="50">
        <f>+1</f>
        <v/>
      </c>
      <c r="K62" s="50" t="n">
        <v>0</v>
      </c>
      <c r="L62" s="45" t="inlineStr">
        <is>
          <t>Costo referencial por unidad vendida para atender cambios o reparaciones</t>
        </is>
      </c>
    </row>
    <row r="63" ht="15.75" customHeight="1" s="184">
      <c r="A63" s="45" t="inlineStr">
        <is>
          <t>COM-06C</t>
        </is>
      </c>
      <c r="B63" s="45" t="inlineStr">
        <is>
          <t>D. Canales</t>
        </is>
      </c>
      <c r="C63" s="45" t="inlineStr">
        <is>
          <t>Garantía del producto</t>
        </is>
      </c>
      <c r="D63" s="45" t="inlineStr">
        <is>
          <t>Garantía de 90 días</t>
        </is>
      </c>
      <c r="E63" s="45" t="inlineStr">
        <is>
          <t>Revisable cada ciclo</t>
        </is>
      </c>
      <c r="F63" s="45" t="inlineStr">
        <is>
          <t>Cubre defectos durante 90 días; aumenta la confianza, pero exige una mayor provisión</t>
        </is>
      </c>
      <c r="G63" s="50" t="inlineStr">
        <is>
          <t>S/10</t>
        </is>
      </c>
      <c r="H63" s="50" t="n">
        <v>0</v>
      </c>
      <c r="I63" s="50" t="n">
        <v>0</v>
      </c>
      <c r="J63" s="50">
        <f>+2</f>
        <v/>
      </c>
      <c r="K63" s="50" t="n">
        <v>-1</v>
      </c>
      <c r="L63" s="45" t="inlineStr">
        <is>
          <t>Costo referencial por unidad vendida; mayor exposición a devoluciones</t>
        </is>
      </c>
    </row>
    <row r="64" ht="15.75" customHeight="1" s="184">
      <c r="A64" s="45" t="inlineStr">
        <is>
          <t>INF-11A</t>
        </is>
      </c>
      <c r="B64" s="45" t="inlineStr">
        <is>
          <t>B. Infraestructura</t>
        </is>
      </c>
      <c r="C64" s="45" t="inlineStr">
        <is>
          <t>Mantenimiento de maquinaria</t>
        </is>
      </c>
      <c r="D64" s="45" t="inlineStr">
        <is>
          <t>Solo correctivo</t>
        </is>
      </c>
      <c r="E64" s="45" t="inlineStr">
        <is>
          <t>Revisable cada ciclo</t>
        </is>
      </c>
      <c r="F64" s="45" t="inlineStr">
        <is>
          <t>La empresa repara las máquinas únicamente cuando presentan una falla</t>
        </is>
      </c>
      <c r="G64" s="50" t="inlineStr">
        <is>
          <t>S/0</t>
        </is>
      </c>
      <c r="H64" s="50" t="n">
        <v>0</v>
      </c>
      <c r="I64" s="50" t="n">
        <v>-1</v>
      </c>
      <c r="J64" s="50" t="n">
        <v>0</v>
      </c>
      <c r="K64" s="50">
        <f>+1</f>
        <v/>
      </c>
      <c r="L64" s="45" t="inlineStr">
        <is>
          <t>Ahorra al inicio, pero aumenta el riesgo de paradas y retrasos</t>
        </is>
      </c>
    </row>
    <row r="65" ht="15.75" customHeight="1" s="184">
      <c r="A65" s="45" t="inlineStr">
        <is>
          <t>INF-11B</t>
        </is>
      </c>
      <c r="B65" s="45" t="inlineStr">
        <is>
          <t>B. Infraestructura</t>
        </is>
      </c>
      <c r="C65" s="45" t="inlineStr">
        <is>
          <t>Mantenimiento de maquinaria</t>
        </is>
      </c>
      <c r="D65" s="45" t="inlineStr">
        <is>
          <t>Preventivo básico</t>
        </is>
      </c>
      <c r="E65" s="45" t="inlineStr">
        <is>
          <t>Revisable cada ciclo</t>
        </is>
      </c>
      <c r="F65" s="45" t="inlineStr">
        <is>
          <t>Incluye revisión, limpieza, lubricación y ajustes básicos para prevenir fallas</t>
        </is>
      </c>
      <c r="G65" s="50" t="inlineStr">
        <is>
          <t>S/1,500</t>
        </is>
      </c>
      <c r="H65" s="50" t="n">
        <v>0</v>
      </c>
      <c r="I65" s="50">
        <f>+1</f>
        <v/>
      </c>
      <c r="J65" s="50" t="n">
        <v>0</v>
      </c>
      <c r="K65" s="50" t="n">
        <v>0</v>
      </c>
      <c r="L65" s="45" t="inlineStr">
        <is>
          <t>Costo referencial por ciclo; reduce parcialmente las averías</t>
        </is>
      </c>
    </row>
    <row r="66" ht="15.75" customHeight="1" s="184">
      <c r="A66" s="45" t="inlineStr">
        <is>
          <t>INF-11C</t>
        </is>
      </c>
      <c r="B66" s="45" t="inlineStr">
        <is>
          <t>B. Infraestructura</t>
        </is>
      </c>
      <c r="C66" s="45" t="inlineStr">
        <is>
          <t>Mantenimiento de maquinaria</t>
        </is>
      </c>
      <c r="D66" s="45" t="inlineStr">
        <is>
          <t>Preventivo integral</t>
        </is>
      </c>
      <c r="E66" s="45" t="inlineStr">
        <is>
          <t>Revisable cada ciclo</t>
        </is>
      </c>
      <c r="F66" s="45" t="inlineStr">
        <is>
          <t>Incluye mantenimiento programado, cambio de piezas críticas y calibración de equipos</t>
        </is>
      </c>
      <c r="G66" s="50" t="inlineStr">
        <is>
          <t>S/3,000</t>
        </is>
      </c>
      <c r="H66" s="50">
        <f>+1</f>
        <v/>
      </c>
      <c r="I66" s="50">
        <f>+2</f>
        <v/>
      </c>
      <c r="J66" s="50" t="n">
        <v>0</v>
      </c>
      <c r="K66" s="50" t="n">
        <v>-1</v>
      </c>
      <c r="L66" s="45" t="inlineStr">
        <is>
          <t>Costo referencial por ciclo; minimiza paradas y defectos de fabricación</t>
        </is>
      </c>
    </row>
    <row r="67" ht="15.75" customHeight="1" s="184">
      <c r="A67" s="45" t="inlineStr">
        <is>
          <t>INS-12A</t>
        </is>
      </c>
      <c r="B67" s="45" t="inlineStr">
        <is>
          <t>E. Insumos</t>
        </is>
      </c>
      <c r="C67" s="45" t="inlineStr">
        <is>
          <t>Política de inventarios</t>
        </is>
      </c>
      <c r="D67" s="45" t="inlineStr">
        <is>
          <t>Justo a tiempo</t>
        </is>
      </c>
      <c r="E67" s="45" t="inlineStr">
        <is>
          <t>Revisable cada ciclo</t>
        </is>
      </c>
      <c r="F67" s="45" t="inlineStr">
        <is>
          <t>Mantiene inventario mínimo y compra cerca de la fecha de producción</t>
        </is>
      </c>
      <c r="G67" s="50" t="inlineStr">
        <is>
          <t>S/0</t>
        </is>
      </c>
      <c r="H67" s="50" t="n">
        <v>0</v>
      </c>
      <c r="I67" s="50" t="n">
        <v>-1</v>
      </c>
      <c r="J67" s="50" t="n">
        <v>0</v>
      </c>
      <c r="K67" s="50">
        <f>+1</f>
        <v/>
      </c>
      <c r="L67" s="45" t="inlineStr">
        <is>
          <t>Menor dinero inmovilizado, pero mayor riesgo de quedarse sin insumos</t>
        </is>
      </c>
    </row>
    <row r="68" ht="15.75" customHeight="1" s="184">
      <c r="A68" s="45" t="inlineStr">
        <is>
          <t>INS-12B</t>
        </is>
      </c>
      <c r="B68" s="45" t="inlineStr">
        <is>
          <t>E. Insumos</t>
        </is>
      </c>
      <c r="C68" s="45" t="inlineStr">
        <is>
          <t>Política de inventarios</t>
        </is>
      </c>
      <c r="D68" s="45" t="inlineStr">
        <is>
          <t>Stock de seguridad medio</t>
        </is>
      </c>
      <c r="E68" s="45" t="inlineStr">
        <is>
          <t>Revisable cada ciclo</t>
        </is>
      </c>
      <c r="F68" s="45" t="inlineStr">
        <is>
          <t>Mantiene una reserva moderada para cubrir retrasos del proveedor o cambios de demanda</t>
        </is>
      </c>
      <c r="G68" s="50" t="inlineStr">
        <is>
          <t>S/1,000</t>
        </is>
      </c>
      <c r="H68" s="50" t="n">
        <v>0</v>
      </c>
      <c r="I68" s="50">
        <f>+1</f>
        <v/>
      </c>
      <c r="J68" s="50" t="n">
        <v>0</v>
      </c>
      <c r="K68" s="50" t="n">
        <v>0</v>
      </c>
      <c r="L68" s="45" t="inlineStr">
        <is>
          <t>Costo referencial de almacenamiento por ciclo; alternativa equilibrada</t>
        </is>
      </c>
    </row>
    <row r="69" ht="15.75" customHeight="1" s="184">
      <c r="A69" s="45" t="inlineStr">
        <is>
          <t>INS-12C</t>
        </is>
      </c>
      <c r="B69" s="45" t="inlineStr">
        <is>
          <t>E. Insumos</t>
        </is>
      </c>
      <c r="C69" s="45" t="inlineStr">
        <is>
          <t>Política de inventarios</t>
        </is>
      </c>
      <c r="D69" s="45" t="inlineStr">
        <is>
          <t>Stock de seguridad alto</t>
        </is>
      </c>
      <c r="E69" s="45" t="inlineStr">
        <is>
          <t>Revisable cada ciclo</t>
        </is>
      </c>
      <c r="F69" s="45" t="inlineStr">
        <is>
          <t>Mantiene una reserva amplia de materiales para evitar interrupciones de producción</t>
        </is>
      </c>
      <c r="G69" s="50" t="inlineStr">
        <is>
          <t>S/2,500</t>
        </is>
      </c>
      <c r="H69" s="50" t="n">
        <v>0</v>
      </c>
      <c r="I69" s="50">
        <f>+2</f>
        <v/>
      </c>
      <c r="J69" s="50" t="n">
        <v>0</v>
      </c>
      <c r="K69" s="50" t="n">
        <v>-1</v>
      </c>
      <c r="L69" s="45" t="inlineStr">
        <is>
          <t>Reduce quiebres de stock, pero inmoviliza más efectivo y aumenta el almacenaje</t>
        </is>
      </c>
    </row>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5.xml><?xml version="1.0" encoding="utf-8"?>
<worksheet xmlns="http://schemas.openxmlformats.org/spreadsheetml/2006/main">
  <sheetPr>
    <outlinePr summaryBelow="0" summaryRight="0"/>
    <pageSetUpPr/>
  </sheetPr>
  <dimension ref="A3:H39"/>
  <sheetViews>
    <sheetView workbookViewId="0">
      <selection activeCell="A1" sqref="A1"/>
    </sheetView>
  </sheetViews>
  <sheetFormatPr baseColWidth="8" defaultColWidth="14.43" defaultRowHeight="15" customHeight="1"/>
  <cols>
    <col width="46" customWidth="1" style="184" min="3" max="3"/>
    <col width="36.71" customWidth="1" style="184" min="4" max="4"/>
    <col width="17.57" customWidth="1" style="184" min="8" max="8"/>
  </cols>
  <sheetData>
    <row r="3">
      <c r="B3" s="16" t="inlineStr">
        <is>
          <t>Flujo</t>
        </is>
      </c>
    </row>
    <row r="4">
      <c r="B4" s="17" t="inlineStr">
        <is>
          <t>Steps</t>
        </is>
      </c>
      <c r="C4" s="17" t="inlineStr">
        <is>
          <t>Docente</t>
        </is>
      </c>
      <c r="D4" s="17" t="inlineStr">
        <is>
          <t>Jugadores</t>
        </is>
      </c>
      <c r="H4" s="18" t="inlineStr">
        <is>
          <t>Valeria y Gonzalo</t>
        </is>
      </c>
    </row>
    <row r="5">
      <c r="B5" s="37" t="n">
        <v>1</v>
      </c>
      <c r="C5" s="35" t="inlineStr">
        <is>
          <t>Launcher</t>
        </is>
      </c>
      <c r="D5" s="22" t="n"/>
      <c r="H5" s="23" t="inlineStr">
        <is>
          <t>Erick y Miguel</t>
        </is>
      </c>
    </row>
    <row r="6">
      <c r="B6" s="37" t="n">
        <v>2</v>
      </c>
      <c r="C6" s="18" t="inlineStr">
        <is>
          <t>Login</t>
        </is>
      </c>
      <c r="D6" s="22" t="n"/>
      <c r="E6" s="155" t="inlineStr">
        <is>
          <t>Se valida el codigo de sala y el nombre empresa(usuario)</t>
        </is>
      </c>
    </row>
    <row r="7">
      <c r="B7" s="37" t="n">
        <v>3</v>
      </c>
      <c r="C7" s="18" t="inlineStr">
        <is>
          <t>Configuracion del juego (incluye Creacion de Sala)</t>
        </is>
      </c>
      <c r="D7" s="22" t="n"/>
    </row>
    <row r="8">
      <c r="B8" s="37" t="n">
        <v>4</v>
      </c>
      <c r="C8" s="22" t="n"/>
      <c r="D8" s="35" t="inlineStr">
        <is>
          <t>Launcher</t>
        </is>
      </c>
    </row>
    <row r="9">
      <c r="B9" s="37" t="n">
        <v>5</v>
      </c>
      <c r="C9" s="22" t="n"/>
      <c r="D9" s="35" t="inlineStr">
        <is>
          <t>Login</t>
        </is>
      </c>
    </row>
    <row r="10">
      <c r="B10" s="37" t="n">
        <v>6</v>
      </c>
      <c r="C10" s="22" t="n"/>
      <c r="D10" s="18" t="inlineStr">
        <is>
          <t>Tutorial</t>
        </is>
      </c>
      <c r="E10" s="155" t="inlineStr">
        <is>
          <t>Indicaciones en un carrusel.</t>
        </is>
      </c>
    </row>
    <row r="11">
      <c r="A11" s="27" t="inlineStr">
        <is>
          <t>Ciclo 1</t>
        </is>
      </c>
      <c r="B11" s="37" t="n">
        <v>7</v>
      </c>
      <c r="C11" s="22" t="n"/>
      <c r="D11" s="23" t="inlineStr">
        <is>
          <t>Decisiones</t>
        </is>
      </c>
    </row>
    <row r="12">
      <c r="B12" s="37" t="n">
        <v>8</v>
      </c>
      <c r="C12" s="22" t="n"/>
      <c r="D12" s="35" t="inlineStr">
        <is>
          <t>Espera (Fin de ciclo)</t>
        </is>
      </c>
      <c r="E12" s="155" t="inlineStr">
        <is>
          <t>El docente define si se hace automatico o manual</t>
        </is>
      </c>
    </row>
    <row r="13" ht="29.25" customHeight="1" s="184">
      <c r="B13" s="37" t="n">
        <v>9</v>
      </c>
      <c r="C13" s="31" t="inlineStr">
        <is>
          <t>Información en vivo de las decisiones de los jugadores (Manual: Cierra el ciclo)</t>
        </is>
      </c>
      <c r="D13" s="22" t="n"/>
    </row>
    <row r="14" ht="29.25" customHeight="1" s="184">
      <c r="B14" s="37" t="n">
        <v>10</v>
      </c>
      <c r="C14" s="35" t="inlineStr">
        <is>
          <t>Estados financieros Generales</t>
        </is>
      </c>
      <c r="D14" s="31" t="inlineStr">
        <is>
          <t>Estados financieros Individuales e Informacion del mercado</t>
        </is>
      </c>
      <c r="E14" s="155" t="inlineStr">
        <is>
          <t>Descargables en pdf</t>
        </is>
      </c>
    </row>
    <row r="15">
      <c r="A15" s="27" t="inlineStr">
        <is>
          <t>Ciclo 2</t>
        </is>
      </c>
      <c r="B15" s="37" t="n">
        <v>11</v>
      </c>
      <c r="C15" s="22" t="n"/>
      <c r="D15" s="35" t="inlineStr">
        <is>
          <t>Decisiones</t>
        </is>
      </c>
      <c r="G15" s="155" t="inlineStr">
        <is>
          <t xml:space="preserve">  </t>
        </is>
      </c>
    </row>
    <row r="16">
      <c r="B16" s="37" t="n">
        <v>12</v>
      </c>
      <c r="C16" s="22" t="n"/>
      <c r="D16" s="35" t="inlineStr">
        <is>
          <t>Espera (Fin de ciclo)</t>
        </is>
      </c>
    </row>
    <row r="17">
      <c r="B17" s="37" t="n">
        <v>13</v>
      </c>
      <c r="C17" s="31" t="inlineStr">
        <is>
          <t>Información en vivo de las decisiones de los jugadores (Manual: Cierra el ciclo)</t>
        </is>
      </c>
      <c r="D17" s="22" t="n"/>
    </row>
    <row r="18">
      <c r="B18" s="37" t="n">
        <v>14</v>
      </c>
      <c r="C18" s="35" t="inlineStr">
        <is>
          <t>Estados financieros Generales</t>
        </is>
      </c>
      <c r="D18" s="31" t="inlineStr">
        <is>
          <t>Estados financieros Individuales e Informacion del mercado</t>
        </is>
      </c>
      <c r="E18" s="155" t="inlineStr">
        <is>
          <t>Descargables en pdf</t>
        </is>
      </c>
    </row>
    <row r="19">
      <c r="A19" s="27" t="inlineStr">
        <is>
          <t>Ciclo 3</t>
        </is>
      </c>
      <c r="B19" s="37" t="n">
        <v>15</v>
      </c>
      <c r="C19" s="22" t="n"/>
      <c r="D19" s="35" t="inlineStr">
        <is>
          <t>Decisiones</t>
        </is>
      </c>
    </row>
    <row r="20">
      <c r="B20" s="37" t="n">
        <v>16</v>
      </c>
      <c r="C20" s="22" t="n"/>
      <c r="D20" s="35" t="inlineStr">
        <is>
          <t>Espera (Fin de ciclo)</t>
        </is>
      </c>
    </row>
    <row r="21">
      <c r="B21" s="37" t="n">
        <v>17</v>
      </c>
      <c r="C21" s="31" t="inlineStr">
        <is>
          <t>Información en vivo de las decisiones de los jugadores (Manual: Cierra el ciclo)</t>
        </is>
      </c>
      <c r="D21" s="22" t="n"/>
    </row>
    <row r="22">
      <c r="B22" s="37" t="n">
        <v>18</v>
      </c>
      <c r="C22" s="35" t="inlineStr">
        <is>
          <t>Estados financieros Generales</t>
        </is>
      </c>
      <c r="D22" s="31" t="inlineStr">
        <is>
          <t>Estados financieros Individuales e Informacion del mercado</t>
        </is>
      </c>
      <c r="E22" s="155" t="inlineStr">
        <is>
          <t>Descargables en pdf</t>
        </is>
      </c>
    </row>
    <row r="23">
      <c r="A23" s="27" t="inlineStr">
        <is>
          <t>Ciclo N</t>
        </is>
      </c>
      <c r="B23" s="37" t="n">
        <v>15</v>
      </c>
      <c r="C23" s="22" t="n"/>
      <c r="D23" s="35" t="inlineStr">
        <is>
          <t>Decisiones</t>
        </is>
      </c>
    </row>
    <row r="24">
      <c r="B24" s="37" t="n">
        <v>16</v>
      </c>
      <c r="C24" s="22" t="n"/>
      <c r="D24" s="35" t="inlineStr">
        <is>
          <t>Espera (Fin de ciclo)</t>
        </is>
      </c>
    </row>
    <row r="25">
      <c r="B25" s="37" t="n">
        <v>17</v>
      </c>
      <c r="C25" s="31" t="inlineStr">
        <is>
          <t>Información en vivo de las decisiones de los jugadores (Manual: Cierra el ciclo)</t>
        </is>
      </c>
      <c r="D25" s="22" t="n"/>
    </row>
    <row r="26">
      <c r="B26" s="37" t="n">
        <v>18</v>
      </c>
      <c r="C26" s="35" t="inlineStr">
        <is>
          <t>Estados financieros Generales</t>
        </is>
      </c>
      <c r="D26" s="31" t="inlineStr">
        <is>
          <t>Estados financieros Individuales e Informacion del mercado</t>
        </is>
      </c>
    </row>
    <row r="27" ht="27" customHeight="1" s="184">
      <c r="B27" s="37" t="n">
        <v>23</v>
      </c>
      <c r="C27" s="35" t="inlineStr">
        <is>
          <t>Resumen General - Indicar podio</t>
        </is>
      </c>
      <c r="D27" s="31" t="inlineStr">
        <is>
          <t>Estados financieros Individuales y Consolidado Final</t>
        </is>
      </c>
      <c r="E27" s="155" t="inlineStr">
        <is>
          <t>Descargables en pdf</t>
        </is>
      </c>
    </row>
    <row r="28">
      <c r="B28" s="37" t="n">
        <v>24</v>
      </c>
      <c r="C28" s="35" t="n"/>
      <c r="D28" s="35" t="inlineStr">
        <is>
          <t>Mostrar Podio</t>
        </is>
      </c>
      <c r="E28" s="155" t="inlineStr">
        <is>
          <t>Agregar disclaimer indicando que los datos se guardaran un maximo de 24 horas</t>
        </is>
      </c>
    </row>
    <row r="29">
      <c r="B29" s="37" t="n"/>
      <c r="C29" s="37" t="n"/>
      <c r="D29" s="37" t="n"/>
    </row>
    <row r="30">
      <c r="B30" s="37" t="n"/>
      <c r="C30" s="37" t="n"/>
      <c r="D30" s="37" t="n"/>
    </row>
    <row r="31">
      <c r="B31" s="37" t="n"/>
      <c r="C31" s="37" t="n"/>
      <c r="D31" s="37" t="n"/>
    </row>
    <row r="32">
      <c r="B32" s="37" t="n"/>
      <c r="C32" s="37" t="n"/>
      <c r="D32" s="37" t="n"/>
    </row>
    <row r="33">
      <c r="B33" s="37" t="n"/>
      <c r="C33" s="37" t="n"/>
      <c r="D33" s="37" t="n"/>
    </row>
    <row r="34">
      <c r="B34" s="37" t="n"/>
      <c r="C34" s="37" t="n"/>
      <c r="D34" s="37" t="n"/>
    </row>
    <row r="37">
      <c r="B37" s="155" t="inlineStr">
        <is>
          <t>Si el jugador no tomo decision dentro del tiempo establecido y es la primera decisión se le elimina del juego</t>
        </is>
      </c>
    </row>
    <row r="38">
      <c r="B38" s="155" t="inlineStr">
        <is>
          <t>El Docente tiene la opcion de eliminar jugadores en cualquier momento. Sin importar si es manual o automatico</t>
        </is>
      </c>
    </row>
    <row r="39">
      <c r="B39" s="155" t="inlineStr">
        <is>
          <t>Si el jugador no tomo decisiones dentro del tiempo establecido y no es la primera decisión el sistema replica las decisiones del ciclo anterior.</t>
        </is>
      </c>
    </row>
  </sheetData>
  <mergeCells count="4">
    <mergeCell ref="A19:A22"/>
    <mergeCell ref="A11:A14"/>
    <mergeCell ref="A15:A18"/>
    <mergeCell ref="A23:A26"/>
  </mergeCell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B162"/>
  <sheetViews>
    <sheetView showGridLines="0" workbookViewId="0">
      <selection activeCell="A1" sqref="A1"/>
    </sheetView>
  </sheetViews>
  <sheetFormatPr baseColWidth="8" defaultColWidth="14.43" defaultRowHeight="15" customHeight="1"/>
  <cols>
    <col width="17.57" customWidth="1" style="184" min="1" max="1"/>
    <col width="20.71" customWidth="1" style="184" min="2" max="2"/>
    <col width="40.14" customWidth="1" style="184" min="3" max="3"/>
    <col width="18.43" customWidth="1" style="184" min="4" max="4"/>
    <col width="16.57" customWidth="1" style="184" min="5" max="5"/>
    <col width="18.86" customWidth="1" style="184" min="6" max="6"/>
    <col width="17.71" customWidth="1" style="184" min="7" max="7"/>
    <col width="16.86" customWidth="1" style="184" min="8" max="8"/>
    <col width="10.71" customWidth="1" style="184" min="10" max="10"/>
    <col width="20.14" customWidth="1" style="184" min="11" max="11"/>
    <col width="17.43" customWidth="1" style="184" min="15" max="15"/>
  </cols>
  <sheetData>
    <row r="1">
      <c r="A1" s="16" t="inlineStr">
        <is>
          <t>Calculo de MO</t>
        </is>
      </c>
    </row>
    <row r="2">
      <c r="A2" s="25" t="n"/>
      <c r="B2" s="25" t="n"/>
    </row>
    <row r="3">
      <c r="A3" s="25" t="inlineStr">
        <is>
          <t xml:space="preserve">AREA DE CORTE </t>
        </is>
      </c>
    </row>
    <row r="4">
      <c r="E4" s="26" t="inlineStr">
        <is>
          <t xml:space="preserve">Bolsas por día </t>
        </is>
      </c>
      <c r="F4" s="29" t="inlineStr">
        <is>
          <t>Mesa de corte</t>
        </is>
      </c>
      <c r="G4" s="29" t="n"/>
      <c r="H4" s="29" t="n"/>
      <c r="K4" s="30" t="inlineStr">
        <is>
          <t xml:space="preserve">Producción por día </t>
        </is>
      </c>
      <c r="L4" s="155" t="inlineStr">
        <is>
          <t>AL MES</t>
        </is>
      </c>
      <c r="M4" s="155" t="inlineStr">
        <is>
          <t>Eficiencia</t>
        </is>
      </c>
      <c r="N4" s="155" t="inlineStr">
        <is>
          <t>Produccion Real</t>
        </is>
      </c>
      <c r="O4" s="32" t="n"/>
    </row>
    <row r="5">
      <c r="C5" s="32" t="inlineStr">
        <is>
          <t xml:space="preserve">Nivel 1 - Operario basico </t>
        </is>
      </c>
      <c r="E5" s="33" t="n">
        <v>5</v>
      </c>
      <c r="F5" s="51" t="n">
        <v>1</v>
      </c>
      <c r="G5" s="29" t="n"/>
      <c r="H5" s="29" t="n"/>
      <c r="I5" s="46">
        <f>E5*F5</f>
        <v/>
      </c>
      <c r="K5" s="155">
        <f>MIN(I8,I14,I20)</f>
        <v/>
      </c>
      <c r="L5" s="155">
        <f>K5*24</f>
        <v/>
      </c>
      <c r="M5" s="39">
        <f>K7+(F7+F13+F19)/100+4%*F21</f>
        <v/>
      </c>
      <c r="N5" s="40">
        <f>ROUND(L5*M5,0)</f>
        <v/>
      </c>
      <c r="O5" s="155" t="inlineStr">
        <is>
          <t>Esta produccion no puede ser superior a lo que permite el material</t>
        </is>
      </c>
    </row>
    <row r="6">
      <c r="C6" s="32" t="inlineStr">
        <is>
          <t xml:space="preserve">Nivel 2 - Cortador con experiencia </t>
        </is>
      </c>
      <c r="E6" s="33" t="n">
        <v>7</v>
      </c>
      <c r="F6" s="51" t="n">
        <v>1</v>
      </c>
      <c r="G6" s="29" t="n"/>
      <c r="H6" s="29" t="n"/>
      <c r="I6" s="46">
        <f>E6*F6</f>
        <v/>
      </c>
      <c r="K6" s="155" t="inlineStr">
        <is>
          <t>Eficiencia BASE</t>
        </is>
      </c>
    </row>
    <row r="7">
      <c r="C7" s="32" t="inlineStr">
        <is>
          <t xml:space="preserve">Nivel 3 - Maestro cortador </t>
        </is>
      </c>
      <c r="E7" s="33" t="n">
        <v>9</v>
      </c>
      <c r="F7" s="51" t="n">
        <v>1</v>
      </c>
      <c r="G7" s="29" t="n"/>
      <c r="H7" s="29" t="n"/>
      <c r="I7" s="46">
        <f>E7*F7</f>
        <v/>
      </c>
      <c r="K7" s="41" t="n">
        <v>0.9</v>
      </c>
    </row>
    <row r="8">
      <c r="A8" s="42" t="inlineStr">
        <is>
          <t>AREA DE ENSAMBLADO</t>
        </is>
      </c>
      <c r="E8" s="46" t="n"/>
      <c r="F8" s="29" t="n"/>
      <c r="G8" s="43" t="n"/>
      <c r="H8" s="43" t="n"/>
      <c r="I8" s="44">
        <f>SUM(I5:I7)</f>
        <v/>
      </c>
    </row>
    <row r="9">
      <c r="C9" s="155" t="inlineStr">
        <is>
          <t>Operarios</t>
        </is>
      </c>
      <c r="E9" s="46" t="n"/>
      <c r="F9" s="31" t="inlineStr">
        <is>
          <t>MAQUINARIA MANUAL</t>
        </is>
      </c>
      <c r="G9" s="31" t="inlineStr">
        <is>
          <t xml:space="preserve">MAQUINARIA SEMIINDUSTRIAL </t>
        </is>
      </c>
      <c r="H9" s="31" t="inlineStr">
        <is>
          <t xml:space="preserve">MAQUINARIA INDUSTRIAL </t>
        </is>
      </c>
      <c r="I9" s="46" t="n"/>
      <c r="K9" s="155" t="inlineStr">
        <is>
          <t>Total de trabajadores</t>
        </is>
      </c>
      <c r="L9" s="155">
        <f>SUM(F5:F7,F11:H13,F17:H19)</f>
        <v/>
      </c>
    </row>
    <row r="10">
      <c r="A10" s="32" t="n"/>
      <c r="B10" s="155" t="n"/>
      <c r="C10" s="155" t="n"/>
      <c r="E10" s="46" t="n"/>
      <c r="F10" s="47" t="n">
        <v>1</v>
      </c>
      <c r="G10" s="47" t="n">
        <v>1.2</v>
      </c>
      <c r="H10" s="47" t="n">
        <v>1.5</v>
      </c>
      <c r="I10" s="46" t="n"/>
      <c r="K10" s="155" t="inlineStr">
        <is>
          <t>total de trabajadores N3</t>
        </is>
      </c>
      <c r="L10" s="155">
        <f>SUM(F7,F13:H13,F19:H19)</f>
        <v/>
      </c>
      <c r="M10" s="49">
        <f>L10/L9</f>
        <v/>
      </c>
    </row>
    <row r="11">
      <c r="A11" s="32" t="n"/>
      <c r="C11" s="155" t="inlineStr">
        <is>
          <t>Nivel 1</t>
        </is>
      </c>
      <c r="E11" s="33" t="n">
        <v>6</v>
      </c>
      <c r="F11" s="51" t="n"/>
      <c r="G11" s="51" t="n"/>
      <c r="H11" s="51" t="n">
        <v>1</v>
      </c>
      <c r="I11" s="46">
        <f>SUM(F11*E11*$F$10,G11*E11*$G$10,H11*E11*$H$10)</f>
        <v/>
      </c>
    </row>
    <row r="12">
      <c r="A12" s="32" t="n"/>
      <c r="C12" s="155" t="inlineStr">
        <is>
          <t>Nivel 2</t>
        </is>
      </c>
      <c r="E12" s="33" t="n">
        <v>8</v>
      </c>
      <c r="F12" s="51" t="n">
        <v>1</v>
      </c>
      <c r="G12" s="51" t="n">
        <v>0</v>
      </c>
      <c r="H12" s="51" t="n"/>
      <c r="I12" s="46">
        <f>SUM(F12*E12*$F$10,G12*E12*$G$10,H12*E12*$H$10)</f>
        <v/>
      </c>
    </row>
    <row r="13">
      <c r="A13" s="32" t="n"/>
      <c r="C13" s="155" t="inlineStr">
        <is>
          <t>Nivel 3</t>
        </is>
      </c>
      <c r="E13" s="33" t="n">
        <v>12</v>
      </c>
      <c r="F13" s="51" t="n"/>
      <c r="G13" s="51" t="n">
        <v>1</v>
      </c>
      <c r="H13" s="51" t="n"/>
      <c r="I13" s="46">
        <f>SUM(F13*E13*$F$10,G13*E13*$G$10,H13*E13*$H$10)</f>
        <v/>
      </c>
    </row>
    <row r="14">
      <c r="A14" s="42" t="inlineStr">
        <is>
          <t xml:space="preserve">AREA DE ACABADO </t>
        </is>
      </c>
      <c r="E14" s="46" t="n"/>
      <c r="F14" s="29" t="n"/>
      <c r="G14" s="43" t="n"/>
      <c r="H14" s="43" t="n"/>
      <c r="I14" s="44">
        <f>SUM(I11:I13)</f>
        <v/>
      </c>
    </row>
    <row r="15">
      <c r="C15" s="155" t="inlineStr">
        <is>
          <t>Operarios</t>
        </is>
      </c>
      <c r="E15" s="56" t="n"/>
      <c r="F15" s="31" t="inlineStr">
        <is>
          <t>MAQUINARIA MANUAL</t>
        </is>
      </c>
      <c r="G15" s="31" t="inlineStr">
        <is>
          <t xml:space="preserve">MAQUINARIA SEMIINDUSTRIAL </t>
        </is>
      </c>
      <c r="H15" s="31" t="inlineStr">
        <is>
          <t xml:space="preserve">MAQUINARIA INDUSTRIAL </t>
        </is>
      </c>
      <c r="I15" s="46" t="n"/>
    </row>
    <row r="16">
      <c r="A16" s="32" t="n"/>
      <c r="C16" s="155" t="n"/>
      <c r="E16" s="46" t="n"/>
      <c r="F16" s="47" t="n">
        <v>1</v>
      </c>
      <c r="G16" s="47" t="n">
        <v>1.2</v>
      </c>
      <c r="H16" s="47" t="n">
        <v>1.5</v>
      </c>
      <c r="I16" s="46" t="n"/>
    </row>
    <row r="17">
      <c r="A17" s="32" t="n"/>
      <c r="C17" s="155" t="inlineStr">
        <is>
          <t>Nivel 1</t>
        </is>
      </c>
      <c r="E17" s="33" t="n">
        <v>6</v>
      </c>
      <c r="F17" s="51" t="n"/>
      <c r="G17" s="51" t="n">
        <v>1</v>
      </c>
      <c r="H17" s="51" t="n"/>
      <c r="I17" s="46">
        <f>SUM(F17*E17*$F$16,G17*E17*$G$16,H17*E17*$H$16)</f>
        <v/>
      </c>
    </row>
    <row r="18">
      <c r="A18" s="32" t="n"/>
      <c r="C18" s="155" t="inlineStr">
        <is>
          <t>Nivel 2</t>
        </is>
      </c>
      <c r="E18" s="33" t="n">
        <v>7</v>
      </c>
      <c r="F18" s="51" t="n"/>
      <c r="G18" s="51" t="n">
        <v>0</v>
      </c>
      <c r="H18" s="51" t="n">
        <v>0</v>
      </c>
      <c r="I18" s="46">
        <f>SUM(F18*E18*$F$16,G18*E18*$G$16,H18*E18*$H$16)</f>
        <v/>
      </c>
    </row>
    <row r="19">
      <c r="A19" s="32" t="n"/>
      <c r="C19" s="155" t="inlineStr">
        <is>
          <t>Nivel 3</t>
        </is>
      </c>
      <c r="E19" s="33" t="n">
        <v>10</v>
      </c>
      <c r="F19" s="51" t="n">
        <v>1</v>
      </c>
      <c r="G19" s="51" t="n"/>
      <c r="H19" s="51" t="n"/>
      <c r="I19" s="46">
        <f>SUM(F19*E19*$F$16,G19*E19*$G$16,H19*E19*$H$16)</f>
        <v/>
      </c>
    </row>
    <row r="20">
      <c r="G20" s="58" t="n"/>
      <c r="H20" s="58" t="n"/>
      <c r="I20" s="44">
        <f>SUM(I17:I19)</f>
        <v/>
      </c>
    </row>
    <row r="21">
      <c r="A21" s="155" t="inlineStr">
        <is>
          <t>Jefe de Produccion</t>
        </is>
      </c>
      <c r="F21" s="59" t="n">
        <v>1</v>
      </c>
    </row>
    <row r="23">
      <c r="B23" s="155" t="inlineStr">
        <is>
          <t xml:space="preserve">NOTA: EL PROCETANJE DE TRABAJADORES DE NIVEL 3 AFECTA POSITIVAMENTE A LA EFICIENCIA </t>
        </is>
      </c>
    </row>
    <row r="25">
      <c r="A25" s="60" t="inlineStr">
        <is>
          <t>Calculo de MP</t>
        </is>
      </c>
    </row>
    <row r="27" ht="51.75" customHeight="1" s="184">
      <c r="A27" s="102" t="n"/>
      <c r="B27" s="102" t="n"/>
      <c r="C27" s="102" t="n"/>
      <c r="D27" s="63" t="inlineStr">
        <is>
          <t>Calidad del cuero</t>
        </is>
      </c>
      <c r="E27" s="63" t="inlineStr">
        <is>
          <t>Calidad del cuero</t>
        </is>
      </c>
      <c r="F27" s="63" t="inlineStr">
        <is>
          <t>Calidad del cuero</t>
        </is>
      </c>
      <c r="G27" s="114" t="inlineStr">
        <is>
          <t>Calidad de accesorios</t>
        </is>
      </c>
      <c r="H27" s="114" t="inlineStr">
        <is>
          <t>Calidad de accesorios</t>
        </is>
      </c>
      <c r="I27" s="114" t="inlineStr">
        <is>
          <t>Calidad de accesorios</t>
        </is>
      </c>
      <c r="J27" s="67" t="inlineStr">
        <is>
          <t>Calidad del hilo</t>
        </is>
      </c>
      <c r="K27" s="67" t="inlineStr">
        <is>
          <t>Calidad del hilo</t>
        </is>
      </c>
      <c r="L27" s="67" t="inlineStr">
        <is>
          <t>Calidad del hilo</t>
        </is>
      </c>
      <c r="M27" s="102" t="n"/>
      <c r="N27" s="102" t="n"/>
      <c r="O27" s="102" t="n"/>
      <c r="P27" s="102" t="n"/>
      <c r="Q27" s="102" t="n"/>
      <c r="R27" s="102" t="n"/>
      <c r="S27" s="102" t="n"/>
      <c r="T27" s="102" t="n"/>
      <c r="U27" s="102" t="n"/>
      <c r="V27" s="102" t="n"/>
      <c r="W27" s="102" t="n"/>
      <c r="X27" s="102" t="n"/>
      <c r="Y27" s="102" t="n"/>
      <c r="Z27" s="102" t="n"/>
      <c r="AA27" s="102" t="n"/>
      <c r="AB27" s="102" t="n"/>
    </row>
    <row r="28" ht="51.75" customHeight="1" s="184">
      <c r="A28" s="102" t="n"/>
      <c r="B28" s="102" t="n"/>
      <c r="C28" s="102" t="n"/>
      <c r="D28" s="70" t="inlineStr">
        <is>
          <t>Nivel 1 - Cuero sintetico</t>
        </is>
      </c>
      <c r="E28" s="70" t="inlineStr">
        <is>
          <t>Nivel 2 - Cuero genuino estandar</t>
        </is>
      </c>
      <c r="F28" s="70" t="inlineStr">
        <is>
          <t>Nivel 3 - Cuero genuino premium</t>
        </is>
      </c>
      <c r="G28" s="70" t="inlineStr">
        <is>
          <t>Nivel 1 - Aleacion economica</t>
        </is>
      </c>
      <c r="H28" s="70" t="inlineStr">
        <is>
          <t>Nivel 2 - Metal premium</t>
        </is>
      </c>
      <c r="I28" s="70" t="inlineStr">
        <is>
          <t>Nivel 3 - Metal Deluxe</t>
        </is>
      </c>
      <c r="J28" s="70" t="inlineStr">
        <is>
          <t>Nivel 1 - Poliester estandar</t>
        </is>
      </c>
      <c r="K28" s="70" t="inlineStr">
        <is>
          <t>Nivel 2 - Encerado reforzado</t>
        </is>
      </c>
      <c r="L28" s="70" t="inlineStr">
        <is>
          <t>Nivel 3 - Alta tenacidad (nylon trenzado)</t>
        </is>
      </c>
      <c r="M28" s="102" t="n"/>
      <c r="N28" s="102" t="n"/>
      <c r="O28" s="102" t="n"/>
      <c r="P28" s="102" t="n"/>
      <c r="Q28" s="102" t="n"/>
      <c r="R28" s="102" t="n"/>
      <c r="S28" s="102" t="n"/>
      <c r="T28" s="102" t="n"/>
      <c r="U28" s="102" t="n"/>
      <c r="V28" s="102" t="n"/>
      <c r="W28" s="102" t="n"/>
      <c r="X28" s="102" t="n"/>
      <c r="Y28" s="102" t="n"/>
      <c r="Z28" s="102" t="n"/>
      <c r="AA28" s="102" t="n"/>
      <c r="AB28" s="102" t="n"/>
    </row>
    <row r="29" ht="51.75" customHeight="1" s="184">
      <c r="A29" s="102" t="n"/>
      <c r="B29" s="102" t="n"/>
      <c r="C29" s="72" t="inlineStr">
        <is>
          <t>UM Compra</t>
        </is>
      </c>
      <c r="D29" s="72" t="inlineStr">
        <is>
          <t>rollo</t>
        </is>
      </c>
      <c r="E29" s="72" t="inlineStr">
        <is>
          <t>Piel completa</t>
        </is>
      </c>
      <c r="F29" s="72" t="inlineStr">
        <is>
          <t>Piel completa</t>
        </is>
      </c>
      <c r="G29" s="72" t="inlineStr">
        <is>
          <t>Juego</t>
        </is>
      </c>
      <c r="H29" s="72" t="inlineStr">
        <is>
          <t>Juego</t>
        </is>
      </c>
      <c r="I29" s="72" t="inlineStr">
        <is>
          <t>Juego</t>
        </is>
      </c>
      <c r="J29" s="72" t="inlineStr">
        <is>
          <t>Carrete</t>
        </is>
      </c>
      <c r="K29" s="72" t="inlineStr">
        <is>
          <t>Carrete</t>
        </is>
      </c>
      <c r="L29" s="72" t="inlineStr">
        <is>
          <t>Carrete</t>
        </is>
      </c>
      <c r="M29" s="74" t="n"/>
      <c r="N29" s="75" t="n"/>
      <c r="O29" s="102" t="n"/>
      <c r="P29" s="102" t="n"/>
      <c r="Q29" s="102" t="n"/>
      <c r="R29" s="102" t="n"/>
      <c r="S29" s="102" t="n"/>
      <c r="T29" s="102" t="n"/>
      <c r="U29" s="102" t="n"/>
      <c r="V29" s="102" t="n"/>
      <c r="W29" s="102" t="n"/>
      <c r="X29" s="102" t="n"/>
      <c r="Y29" s="102" t="n"/>
      <c r="Z29" s="102" t="n"/>
      <c r="AA29" s="102" t="n"/>
      <c r="AB29" s="102" t="n"/>
    </row>
    <row r="30" ht="40.5" customHeight="1" s="184">
      <c r="C30" s="31" t="inlineStr">
        <is>
          <t>UM Produccion</t>
        </is>
      </c>
      <c r="D30" s="35" t="inlineStr">
        <is>
          <t>m2</t>
        </is>
      </c>
      <c r="E30" s="35" t="inlineStr">
        <is>
          <t>m2</t>
        </is>
      </c>
      <c r="F30" s="35" t="inlineStr">
        <is>
          <t>m2</t>
        </is>
      </c>
      <c r="G30" s="35" t="inlineStr">
        <is>
          <t>unidad</t>
        </is>
      </c>
      <c r="H30" s="35" t="inlineStr">
        <is>
          <t>unidad</t>
        </is>
      </c>
      <c r="I30" s="35" t="inlineStr">
        <is>
          <t>unidad</t>
        </is>
      </c>
      <c r="J30" s="35" t="inlineStr">
        <is>
          <t>metro</t>
        </is>
      </c>
      <c r="K30" s="35" t="inlineStr">
        <is>
          <t>metro</t>
        </is>
      </c>
      <c r="L30" s="35" t="inlineStr">
        <is>
          <t>metro</t>
        </is>
      </c>
    </row>
    <row r="31">
      <c r="C31" s="76" t="inlineStr">
        <is>
          <t>Nivel 1 - Generico basico</t>
        </is>
      </c>
      <c r="D31" s="77" t="n">
        <v>0.3</v>
      </c>
      <c r="E31" s="77" t="n"/>
      <c r="F31" s="77" t="n"/>
      <c r="G31" s="79" t="n">
        <v>1</v>
      </c>
      <c r="H31" s="79" t="n"/>
      <c r="I31" s="79" t="n"/>
      <c r="J31" s="79" t="n">
        <v>6</v>
      </c>
      <c r="K31" s="79" t="n"/>
      <c r="L31" s="79" t="n"/>
    </row>
    <row r="32">
      <c r="C32" s="76" t="inlineStr">
        <is>
          <t>Nivel 2 - Generico mejorado</t>
        </is>
      </c>
      <c r="D32" s="79" t="n"/>
      <c r="E32" s="79" t="n">
        <v>0.4</v>
      </c>
      <c r="F32" s="79" t="n"/>
      <c r="G32" s="77" t="n"/>
      <c r="H32" s="77" t="n">
        <v>1</v>
      </c>
      <c r="I32" s="77" t="n"/>
      <c r="J32" s="79" t="n"/>
      <c r="K32" s="79" t="n">
        <v>7</v>
      </c>
      <c r="L32" s="79" t="n"/>
    </row>
    <row r="33">
      <c r="C33" s="76" t="inlineStr">
        <is>
          <t>Nivel 3 - Premium</t>
        </is>
      </c>
      <c r="D33" s="79" t="n"/>
      <c r="E33" s="79" t="n"/>
      <c r="F33" s="79" t="n">
        <v>0.7</v>
      </c>
      <c r="G33" s="79" t="n"/>
      <c r="H33" s="79" t="n"/>
      <c r="I33" s="79" t="n">
        <v>1</v>
      </c>
      <c r="J33" s="77" t="n"/>
      <c r="K33" s="77" t="n"/>
      <c r="L33" s="77" t="n">
        <v>13</v>
      </c>
    </row>
    <row r="35">
      <c r="E35" s="80">
        <f>N5</f>
        <v/>
      </c>
    </row>
    <row r="36">
      <c r="C36" s="81" t="inlineStr">
        <is>
          <t>Cantidad que desea producir</t>
        </is>
      </c>
      <c r="D36" s="82">
        <f>SUM(D37:D39)</f>
        <v/>
      </c>
      <c r="E36" s="83">
        <f>SUM(E37:E39)</f>
        <v/>
      </c>
      <c r="F36" s="84" t="n"/>
      <c r="G36" s="84" t="n"/>
      <c r="H36" s="84" t="n"/>
      <c r="I36" s="84" t="n"/>
      <c r="J36" s="84" t="n"/>
      <c r="K36" s="84" t="n"/>
      <c r="L36" s="85" t="n"/>
    </row>
    <row r="37">
      <c r="C37" s="86" t="inlineStr">
        <is>
          <t>Nivel 1 - Generico basico</t>
        </is>
      </c>
      <c r="D37" s="87" t="n">
        <v>250</v>
      </c>
      <c r="E37" s="88">
        <f>ROUNDDOWN(D37*E35/D36,0)</f>
        <v/>
      </c>
      <c r="L37" s="89" t="n"/>
    </row>
    <row r="38">
      <c r="C38" s="86" t="inlineStr">
        <is>
          <t>Nivel 2 - Generico mejorado</t>
        </is>
      </c>
      <c r="D38" s="87" t="n">
        <v>180</v>
      </c>
      <c r="E38" s="88">
        <f>ROUNDDOWN(D38*E35/D36,0)</f>
        <v/>
      </c>
      <c r="L38" s="89" t="n"/>
    </row>
    <row r="39">
      <c r="C39" s="86" t="inlineStr">
        <is>
          <t>Nivel 3 - Premium</t>
        </is>
      </c>
      <c r="D39" s="87" t="n">
        <v>90</v>
      </c>
      <c r="E39" s="88">
        <f>ROUNDDOWN(D39*E35/D36,0)</f>
        <v/>
      </c>
      <c r="L39" s="89" t="n"/>
    </row>
    <row r="40">
      <c r="C40" s="90" t="n"/>
      <c r="D40" s="63" t="inlineStr">
        <is>
          <t>Calidad del cuero</t>
        </is>
      </c>
      <c r="E40" s="63" t="inlineStr">
        <is>
          <t>Calidad del cuero</t>
        </is>
      </c>
      <c r="F40" s="63" t="inlineStr">
        <is>
          <t>Calidad del cuero</t>
        </is>
      </c>
      <c r="G40" s="114" t="inlineStr">
        <is>
          <t>Calidad de accesorios</t>
        </is>
      </c>
      <c r="H40" s="114" t="inlineStr">
        <is>
          <t>Calidad de accesorios</t>
        </is>
      </c>
      <c r="I40" s="114" t="inlineStr">
        <is>
          <t>Calidad de accesorios</t>
        </is>
      </c>
      <c r="J40" s="67" t="inlineStr">
        <is>
          <t>Calidad del hilo</t>
        </is>
      </c>
      <c r="K40" s="67" t="inlineStr">
        <is>
          <t>Calidad del hilo</t>
        </is>
      </c>
      <c r="L40" s="91" t="inlineStr">
        <is>
          <t>Calidad del hilo</t>
        </is>
      </c>
    </row>
    <row r="41">
      <c r="C41" s="90" t="n"/>
      <c r="D41" s="70" t="inlineStr">
        <is>
          <t>Nivel 1 - Cuero sintetico</t>
        </is>
      </c>
      <c r="E41" s="70" t="inlineStr">
        <is>
          <t>Nivel 2 - Cuero genuino estandar</t>
        </is>
      </c>
      <c r="F41" s="70" t="inlineStr">
        <is>
          <t>Nivel 3 - Cuero genuino premium</t>
        </is>
      </c>
      <c r="G41" s="70" t="inlineStr">
        <is>
          <t>Nivel 1 - Aleacion economica</t>
        </is>
      </c>
      <c r="H41" s="70" t="inlineStr">
        <is>
          <t>Nivel 2 - Metal premium</t>
        </is>
      </c>
      <c r="I41" s="70" t="inlineStr">
        <is>
          <t>Nivel 3 - Metal Deluxe</t>
        </is>
      </c>
      <c r="J41" s="70" t="inlineStr">
        <is>
          <t>Nivel 1 - Poliester estandar</t>
        </is>
      </c>
      <c r="K41" s="70" t="inlineStr">
        <is>
          <t>Nivel 2 - Encerado reforzado</t>
        </is>
      </c>
      <c r="L41" s="92" t="inlineStr">
        <is>
          <t>Nivel 3 - Alta tenacidad (nylon trenzado)</t>
        </is>
      </c>
    </row>
    <row r="42">
      <c r="C42" s="86" t="inlineStr">
        <is>
          <t>Nivel 1 - Generico basico</t>
        </is>
      </c>
      <c r="D42" s="35">
        <f>$D37*D31</f>
        <v/>
      </c>
      <c r="E42" s="35">
        <f>$D37*E31</f>
        <v/>
      </c>
      <c r="F42" s="35">
        <f>$D37*F31</f>
        <v/>
      </c>
      <c r="G42" s="35">
        <f>$D37*G31</f>
        <v/>
      </c>
      <c r="H42" s="35">
        <f>$D37*H31</f>
        <v/>
      </c>
      <c r="I42" s="35">
        <f>$D37*I31</f>
        <v/>
      </c>
      <c r="J42" s="35">
        <f>$D37*J31</f>
        <v/>
      </c>
      <c r="K42" s="35">
        <f>$D37*K31</f>
        <v/>
      </c>
      <c r="L42" s="104">
        <f>$D37*L31</f>
        <v/>
      </c>
    </row>
    <row r="43">
      <c r="C43" s="86" t="inlineStr">
        <is>
          <t>Nivel 2 - Generico mejorado</t>
        </is>
      </c>
      <c r="D43" s="35">
        <f>$D38*D32</f>
        <v/>
      </c>
      <c r="E43" s="35">
        <f>$D38*E32</f>
        <v/>
      </c>
      <c r="F43" s="35">
        <f>$D38*F32</f>
        <v/>
      </c>
      <c r="G43" s="35">
        <f>$D38*G32</f>
        <v/>
      </c>
      <c r="H43" s="35">
        <f>$D38*H32</f>
        <v/>
      </c>
      <c r="I43" s="35">
        <f>$D38*I32</f>
        <v/>
      </c>
      <c r="J43" s="35">
        <f>$D38*J32</f>
        <v/>
      </c>
      <c r="K43" s="35">
        <f>$D38*K32</f>
        <v/>
      </c>
      <c r="L43" s="104">
        <f>$D38*L32</f>
        <v/>
      </c>
    </row>
    <row r="44">
      <c r="C44" s="86" t="inlineStr">
        <is>
          <t>Nivel 3 - Premium</t>
        </is>
      </c>
      <c r="D44" s="35">
        <f>$D39*D33</f>
        <v/>
      </c>
      <c r="E44" s="35">
        <f>$D39*E33</f>
        <v/>
      </c>
      <c r="F44" s="35">
        <f>$D39*F33</f>
        <v/>
      </c>
      <c r="G44" s="35">
        <f>$D39*G33</f>
        <v/>
      </c>
      <c r="H44" s="35">
        <f>$D39*H33</f>
        <v/>
      </c>
      <c r="I44" s="35">
        <f>$D39*I33</f>
        <v/>
      </c>
      <c r="J44" s="35">
        <f>$D39*J33</f>
        <v/>
      </c>
      <c r="K44" s="35">
        <f>$D39*K33</f>
        <v/>
      </c>
      <c r="L44" s="104">
        <f>$D39*L33</f>
        <v/>
      </c>
    </row>
    <row r="45">
      <c r="A45" s="94" t="n"/>
      <c r="B45" s="94" t="n"/>
      <c r="C45" s="95" t="n"/>
      <c r="D45" s="96" t="n"/>
      <c r="E45" s="96" t="n"/>
      <c r="F45" s="96" t="n"/>
      <c r="G45" s="96" t="n"/>
      <c r="H45" s="96" t="n"/>
      <c r="I45" s="96" t="n"/>
      <c r="J45" s="96" t="n"/>
      <c r="K45" s="96" t="n"/>
      <c r="L45" s="97" t="n"/>
      <c r="M45" s="94" t="n"/>
      <c r="N45" s="94" t="n"/>
      <c r="O45" s="94" t="n"/>
      <c r="P45" s="94" t="n"/>
      <c r="Q45" s="94" t="n"/>
      <c r="R45" s="94" t="n"/>
      <c r="S45" s="94" t="n"/>
      <c r="T45" s="94" t="n"/>
      <c r="U45" s="94" t="n"/>
      <c r="V45" s="94" t="n"/>
      <c r="W45" s="94" t="n"/>
      <c r="X45" s="94" t="n"/>
      <c r="Y45" s="94" t="n"/>
      <c r="Z45" s="94" t="n"/>
      <c r="AA45" s="94" t="n"/>
      <c r="AB45" s="94" t="n"/>
    </row>
    <row r="46">
      <c r="A46" s="94" t="n"/>
      <c r="B46" s="94" t="n"/>
      <c r="C46" s="94" t="n"/>
      <c r="D46" s="98" t="n"/>
      <c r="E46" s="98" t="n"/>
      <c r="F46" s="98" t="n"/>
      <c r="G46" s="98" t="n"/>
      <c r="H46" s="98" t="n"/>
      <c r="I46" s="98" t="n"/>
      <c r="J46" s="98" t="n"/>
      <c r="K46" s="98" t="n"/>
      <c r="L46" s="98" t="n"/>
      <c r="M46" s="94" t="n"/>
      <c r="N46" s="94" t="n"/>
      <c r="O46" s="94" t="n"/>
      <c r="P46" s="94" t="n"/>
      <c r="Q46" s="94" t="n"/>
      <c r="R46" s="94" t="n"/>
      <c r="S46" s="94" t="n"/>
      <c r="T46" s="94" t="n"/>
      <c r="U46" s="94" t="n"/>
      <c r="V46" s="94" t="n"/>
      <c r="W46" s="94" t="n"/>
      <c r="X46" s="94" t="n"/>
      <c r="Y46" s="94" t="n"/>
      <c r="Z46" s="94" t="n"/>
      <c r="AA46" s="94" t="n"/>
      <c r="AB46" s="94" t="n"/>
    </row>
    <row r="47">
      <c r="D47" s="63" t="inlineStr">
        <is>
          <t>Calidad del cuero</t>
        </is>
      </c>
      <c r="E47" s="63" t="inlineStr">
        <is>
          <t>Calidad del cuero</t>
        </is>
      </c>
      <c r="F47" s="63" t="inlineStr">
        <is>
          <t>Calidad del cuero</t>
        </is>
      </c>
      <c r="G47" s="114" t="inlineStr">
        <is>
          <t>Calidad de accesorios</t>
        </is>
      </c>
      <c r="H47" s="114" t="inlineStr">
        <is>
          <t>Calidad de accesorios</t>
        </is>
      </c>
      <c r="I47" s="114" t="inlineStr">
        <is>
          <t>Calidad de accesorios</t>
        </is>
      </c>
      <c r="J47" s="67" t="inlineStr">
        <is>
          <t>Calidad del hilo</t>
        </is>
      </c>
      <c r="K47" s="67" t="inlineStr">
        <is>
          <t>Calidad del hilo</t>
        </is>
      </c>
      <c r="L47" s="67" t="inlineStr">
        <is>
          <t>Calidad del hilo</t>
        </is>
      </c>
    </row>
    <row r="48" ht="40.5" customHeight="1" s="184">
      <c r="C48" s="101" t="inlineStr">
        <is>
          <t>Ejecucion de produccion</t>
        </is>
      </c>
      <c r="D48" s="70" t="inlineStr">
        <is>
          <t>Nivel 1 - Cuero sintetico</t>
        </is>
      </c>
      <c r="E48" s="70" t="inlineStr">
        <is>
          <t>Nivel 2 - Cuero genuino estandar</t>
        </is>
      </c>
      <c r="F48" s="70" t="inlineStr">
        <is>
          <t>Nivel 3 - Cuero genuino premium</t>
        </is>
      </c>
      <c r="G48" s="70" t="inlineStr">
        <is>
          <t>Nivel 1 - Aleacion economica</t>
        </is>
      </c>
      <c r="H48" s="70" t="inlineStr">
        <is>
          <t>Nivel 2 - Metal premium</t>
        </is>
      </c>
      <c r="I48" s="70" t="inlineStr">
        <is>
          <t>Nivel 3 - Metal Deluxe</t>
        </is>
      </c>
      <c r="J48" s="70" t="inlineStr">
        <is>
          <t>Nivel 1 - Poliester estandar</t>
        </is>
      </c>
      <c r="K48" s="70" t="inlineStr">
        <is>
          <t>Nivel 2 - Encerado reforzado</t>
        </is>
      </c>
      <c r="L48" s="70" t="inlineStr">
        <is>
          <t>Nivel 3 - Alta tenacidad (nylon trenzado)</t>
        </is>
      </c>
      <c r="M48" s="102" t="n"/>
      <c r="N48" s="102" t="n"/>
    </row>
    <row r="49">
      <c r="C49" s="76" t="inlineStr">
        <is>
          <t>Nivel 1 - Generico basico</t>
        </is>
      </c>
      <c r="D49" s="79" t="n">
        <v>60</v>
      </c>
      <c r="E49" s="79" t="n">
        <v>10</v>
      </c>
      <c r="F49" s="79" t="n"/>
      <c r="G49" s="79" t="n"/>
      <c r="H49" s="79" t="n">
        <v>200</v>
      </c>
      <c r="I49" s="79" t="n"/>
      <c r="J49" s="79" t="n">
        <v>1600</v>
      </c>
      <c r="K49" s="79" t="n"/>
      <c r="L49" s="79" t="n"/>
      <c r="M49" s="103" t="n"/>
      <c r="N49" s="103" t="n"/>
    </row>
    <row r="50">
      <c r="C50" s="76" t="inlineStr">
        <is>
          <t>Nivel 2 - Generico mejorado</t>
        </is>
      </c>
      <c r="D50" s="35" t="n"/>
      <c r="E50" s="35" t="n">
        <v>50</v>
      </c>
      <c r="F50" s="35" t="n"/>
      <c r="G50" s="35" t="n"/>
      <c r="H50" s="35" t="n">
        <v>150</v>
      </c>
      <c r="I50" s="35" t="n"/>
      <c r="J50" s="35" t="n"/>
      <c r="K50" s="35" t="n"/>
      <c r="L50" s="104" t="n">
        <v>1200</v>
      </c>
      <c r="M50" s="103" t="n"/>
      <c r="N50" s="103" t="n"/>
    </row>
    <row r="51">
      <c r="C51" s="76" t="inlineStr">
        <is>
          <t>Nivel 3 - Premium</t>
        </is>
      </c>
      <c r="D51" s="79" t="n"/>
      <c r="E51" s="79" t="n"/>
      <c r="F51" s="79" t="n">
        <v>70</v>
      </c>
      <c r="G51" s="79" t="n"/>
      <c r="H51" s="79" t="n">
        <v>50</v>
      </c>
      <c r="I51" s="79" t="n"/>
      <c r="J51" s="79" t="n"/>
      <c r="K51" s="79" t="n"/>
      <c r="L51" s="79" t="n">
        <v>1100</v>
      </c>
      <c r="M51" s="103" t="n"/>
      <c r="N51" s="103" t="n"/>
    </row>
    <row r="52">
      <c r="D52" s="105" t="n"/>
      <c r="E52" s="105" t="n"/>
      <c r="F52" s="106" t="n"/>
      <c r="H52" s="105" t="n"/>
      <c r="I52" s="105" t="n"/>
      <c r="J52" s="105" t="n"/>
      <c r="L52" s="105" t="n"/>
      <c r="M52" s="105" t="n"/>
      <c r="N52" s="105" t="n"/>
    </row>
    <row r="53">
      <c r="D53" s="107">
        <f>D49/D31</f>
        <v/>
      </c>
      <c r="G53" s="155">
        <f>G49/G31</f>
        <v/>
      </c>
      <c r="J53" s="107">
        <f>J49/J31</f>
        <v/>
      </c>
    </row>
    <row r="55">
      <c r="C55" s="155" t="inlineStr">
        <is>
          <t>TOTAL PRODUCIDO REAL</t>
        </is>
      </c>
      <c r="G55" s="155" t="inlineStr">
        <is>
          <t>Cuero empleado</t>
        </is>
      </c>
      <c r="H55" s="155" t="inlineStr">
        <is>
          <t>Accesorios empleados</t>
        </is>
      </c>
      <c r="I55" s="155" t="inlineStr">
        <is>
          <t>Hilo empleado</t>
        </is>
      </c>
      <c r="K55" s="155" t="inlineStr">
        <is>
          <t>Calidad por Materiales</t>
        </is>
      </c>
    </row>
    <row r="56">
      <c r="C56" s="76" t="inlineStr">
        <is>
          <t>Nivel 1 - Generico basico</t>
        </is>
      </c>
      <c r="D56" s="155">
        <f>MIN(SUM(D49:F49)/D31,SUM(G49:I49)/G31,SUM(J49:L49)/J31,E37,D37)</f>
        <v/>
      </c>
      <c r="E56" s="155">
        <f>ROUNDDOWN(D56,0)</f>
        <v/>
      </c>
      <c r="G56" s="155">
        <f>E56*D31</f>
        <v/>
      </c>
      <c r="H56" s="155">
        <f>E56*G31</f>
        <v/>
      </c>
      <c r="I56" s="155">
        <f>E56*J31</f>
        <v/>
      </c>
      <c r="K56" s="109" t="n">
        <v>46143</v>
      </c>
    </row>
    <row r="57">
      <c r="C57" s="76" t="inlineStr">
        <is>
          <t>Nivel 2 - Generico mejorado</t>
        </is>
      </c>
      <c r="D57" s="155">
        <f>MIN(SUM(D50:F50)/E32,SUM(G50:I50)/H32,SUM(J50:L50)/K32,E38,D38)</f>
        <v/>
      </c>
      <c r="E57" s="155">
        <f>ROUNDDOWN(D57,0)</f>
        <v/>
      </c>
      <c r="G57" s="155">
        <f>E57*E32</f>
        <v/>
      </c>
      <c r="H57" s="155">
        <f>E57*H32</f>
        <v/>
      </c>
      <c r="I57" s="155">
        <f>E57*K32</f>
        <v/>
      </c>
      <c r="K57" s="109" t="n">
        <v>46082</v>
      </c>
    </row>
    <row r="58">
      <c r="C58" s="76" t="inlineStr">
        <is>
          <t>Nivel 3 - Premium</t>
        </is>
      </c>
      <c r="D58" s="155">
        <f>MIN(SUM(D51:F51)/F33,SUM(G51:I51)/I33,SUM(J51:L51)/L33,E39,D39)</f>
        <v/>
      </c>
      <c r="E58" s="155">
        <f>ROUNDDOWN(D58,0)</f>
        <v/>
      </c>
      <c r="G58" s="155">
        <f>E58*F33</f>
        <v/>
      </c>
      <c r="H58" s="155">
        <f>E58*I33</f>
        <v/>
      </c>
      <c r="I58" s="155">
        <f>E58*L33</f>
        <v/>
      </c>
      <c r="K58" s="109" t="n">
        <v>46054</v>
      </c>
    </row>
    <row r="62">
      <c r="C62" s="5" t="n"/>
      <c r="D62" s="5" t="inlineStr">
        <is>
          <t>Inventario Inicial</t>
        </is>
      </c>
      <c r="E62" s="5" t="inlineStr">
        <is>
          <t>Compras</t>
        </is>
      </c>
      <c r="F62" s="5" t="inlineStr">
        <is>
          <t>Produccion</t>
        </is>
      </c>
      <c r="G62" s="5" t="inlineStr">
        <is>
          <t>Inventario Final</t>
        </is>
      </c>
      <c r="H62" s="155" t="inlineStr">
        <is>
          <t>InventarioFinal = InventarioInicial + compras - produccido</t>
        </is>
      </c>
    </row>
    <row r="63" ht="42" customHeight="1" s="184">
      <c r="C63" s="63" t="inlineStr">
        <is>
          <t>Nivel 1 - Cuero sintetico</t>
        </is>
      </c>
      <c r="D63" s="35" t="n">
        <v>15</v>
      </c>
      <c r="E63" s="35" t="n">
        <v>60</v>
      </c>
      <c r="F63" s="35" t="n">
        <v>75</v>
      </c>
      <c r="G63" s="111">
        <f>D63+E63-F63</f>
        <v/>
      </c>
    </row>
    <row r="64" ht="42" customHeight="1" s="184">
      <c r="C64" s="63" t="inlineStr">
        <is>
          <t>Nivel 2 - Cuero genuino estandar</t>
        </is>
      </c>
      <c r="D64" s="35" t="n">
        <v>17</v>
      </c>
      <c r="E64" s="35" t="n">
        <v>55</v>
      </c>
      <c r="F64" s="35" t="n">
        <v>72</v>
      </c>
      <c r="G64" s="111">
        <f>D64+E64-F64</f>
        <v/>
      </c>
      <c r="H64" s="112" t="n"/>
    </row>
    <row r="65" ht="42" customHeight="1" s="184">
      <c r="C65" s="63" t="inlineStr">
        <is>
          <t>Nivel 3 - Cuero genuino premium</t>
        </is>
      </c>
      <c r="D65" s="35" t="n">
        <v>48</v>
      </c>
      <c r="E65" s="35" t="n">
        <v>15</v>
      </c>
      <c r="F65" s="35" t="n">
        <v>63</v>
      </c>
      <c r="G65" s="111">
        <f>D65+E65-F65</f>
        <v/>
      </c>
      <c r="H65" s="112" t="n"/>
    </row>
    <row r="66" ht="42" customHeight="1" s="184">
      <c r="C66" s="114" t="inlineStr">
        <is>
          <t>Nivel 1 - Aleacion economica</t>
        </is>
      </c>
      <c r="D66" s="35" t="n">
        <v>50</v>
      </c>
      <c r="E66" s="35" t="n">
        <v>200</v>
      </c>
      <c r="F66" s="35" t="n">
        <v>250</v>
      </c>
      <c r="G66" s="111">
        <f>D66+E66-F66</f>
        <v/>
      </c>
      <c r="H66" s="112" t="n"/>
    </row>
    <row r="67" ht="42" customHeight="1" s="184">
      <c r="C67" s="114" t="inlineStr">
        <is>
          <t>Nivel 2 - Metal premium</t>
        </is>
      </c>
      <c r="D67" s="35" t="n">
        <v>0</v>
      </c>
      <c r="E67" s="35" t="n">
        <v>190</v>
      </c>
      <c r="F67" s="35" t="n">
        <v>180</v>
      </c>
      <c r="G67" s="111">
        <f>D67+E67-F67</f>
        <v/>
      </c>
      <c r="H67" s="112" t="n"/>
    </row>
    <row r="68" ht="42" customHeight="1" s="184">
      <c r="C68" s="114" t="inlineStr">
        <is>
          <t>Nivel 3 - Metal Deluxe</t>
        </is>
      </c>
      <c r="D68" s="35" t="n">
        <v>90</v>
      </c>
      <c r="E68" s="35" t="n">
        <v>0</v>
      </c>
      <c r="F68" s="35" t="n">
        <v>90</v>
      </c>
      <c r="G68" s="111">
        <f>D68+E68-F68</f>
        <v/>
      </c>
      <c r="H68" s="112" t="n"/>
    </row>
    <row r="69" ht="42" customHeight="1" s="184">
      <c r="C69" s="67" t="inlineStr">
        <is>
          <t>Nivel 1 - Poliester estandar</t>
        </is>
      </c>
      <c r="D69" s="35" t="n">
        <v>1494</v>
      </c>
      <c r="E69" s="35" t="n">
        <v>6</v>
      </c>
      <c r="F69" s="35" t="n">
        <v>1500</v>
      </c>
      <c r="G69" s="111">
        <f>D69+E69-F69</f>
        <v/>
      </c>
      <c r="H69" s="112" t="n"/>
    </row>
    <row r="70" ht="42" customHeight="1" s="184">
      <c r="C70" s="67" t="inlineStr">
        <is>
          <t>Nivel 2 - Encerado reforzado</t>
        </is>
      </c>
      <c r="D70" s="35" t="n">
        <v>1253</v>
      </c>
      <c r="E70" s="35" t="n">
        <v>7</v>
      </c>
      <c r="F70" s="35" t="n">
        <v>1260</v>
      </c>
      <c r="G70" s="111">
        <f>D70+E70-F70</f>
        <v/>
      </c>
      <c r="H70" s="112" t="n"/>
    </row>
    <row r="71" ht="42" customHeight="1" s="184">
      <c r="C71" s="67" t="inlineStr">
        <is>
          <t>Nivel 3 - Alta tenacidad (nylon trenzado)</t>
        </is>
      </c>
      <c r="D71" s="35" t="n">
        <v>1170</v>
      </c>
      <c r="E71" s="35" t="n">
        <v>0</v>
      </c>
      <c r="F71" s="35" t="n">
        <v>1170</v>
      </c>
      <c r="G71" s="111">
        <f>D71+E71-F71</f>
        <v/>
      </c>
      <c r="H71" s="112" t="n"/>
    </row>
    <row r="72">
      <c r="B72" s="155" t="inlineStr">
        <is>
          <t>0 - 10,000(rango en soles)</t>
        </is>
      </c>
    </row>
    <row r="73" ht="67.5" customHeight="1" s="184">
      <c r="A73" s="102" t="inlineStr">
        <is>
          <t>Gastos del ciclo en publicidad</t>
        </is>
      </c>
      <c r="B73" s="46" t="n">
        <v>3000</v>
      </c>
    </row>
    <row r="74">
      <c r="A74" s="115" t="n"/>
    </row>
    <row r="75">
      <c r="A75" s="115" t="inlineStr">
        <is>
          <t>Calculo de Reputacion</t>
        </is>
      </c>
      <c r="C75" s="116">
        <f>F51*10</f>
        <v/>
      </c>
      <c r="D75" s="116">
        <f>M10*10</f>
        <v/>
      </c>
      <c r="E75" s="116">
        <f>AVERAGE(H65,H68,H71)*10</f>
        <v/>
      </c>
      <c r="F75" s="46">
        <f>B73/10000*10</f>
        <v/>
      </c>
      <c r="G75" s="117">
        <f>SUM(C75:F75)</f>
        <v/>
      </c>
      <c r="H75" s="29" t="inlineStr">
        <is>
          <t>ptos de reputación</t>
        </is>
      </c>
    </row>
    <row r="76" ht="35.25" customHeight="1" s="184">
      <c r="C76" s="102" t="inlineStr">
        <is>
          <t>Factor de producción</t>
        </is>
      </c>
      <c r="D76" s="102" t="inlineStr">
        <is>
          <t>Factor de MO</t>
        </is>
      </c>
      <c r="E76" s="102" t="inlineStr">
        <is>
          <t>Factor de MP (utilizacion)</t>
        </is>
      </c>
      <c r="F76" s="102" t="inlineStr">
        <is>
          <t>Factor de Publicidad</t>
        </is>
      </c>
    </row>
    <row r="82" ht="46.5" customHeight="1" s="184">
      <c r="B82" s="31" t="inlineStr">
        <is>
          <t>EJEMPLO de distribución de Ventas (Bolsos Economicos)</t>
        </is>
      </c>
      <c r="C82" s="35" t="inlineStr">
        <is>
          <t>Reputacion</t>
        </is>
      </c>
      <c r="D82" s="35" t="inlineStr">
        <is>
          <t>Precio</t>
        </is>
      </c>
      <c r="E82" s="35" t="inlineStr">
        <is>
          <t>Puntaje del precio</t>
        </is>
      </c>
      <c r="F82" s="35" t="inlineStr">
        <is>
          <t>Puntaje total</t>
        </is>
      </c>
      <c r="G82" s="35" t="inlineStr">
        <is>
          <t>Porcentaje parcial</t>
        </is>
      </c>
      <c r="H82" s="35" t="inlineStr">
        <is>
          <t>Unidades Vendidas</t>
        </is>
      </c>
      <c r="K82" s="102" t="n"/>
      <c r="L82" s="46" t="n"/>
      <c r="M82" s="46" t="n"/>
      <c r="N82" s="46" t="n"/>
    </row>
    <row r="83">
      <c r="B83" s="35" t="inlineStr">
        <is>
          <t>Empresa A</t>
        </is>
      </c>
      <c r="C83" s="35" t="n">
        <v>7</v>
      </c>
      <c r="D83" s="35" t="n">
        <v>40</v>
      </c>
      <c r="E83" s="35">
        <f>(MAX($D$83:$D$86)*2-D83)/10</f>
        <v/>
      </c>
      <c r="F83" s="118">
        <f>SUM(C83,E83)</f>
        <v/>
      </c>
      <c r="G83" s="119">
        <f>F83/$F$87</f>
        <v/>
      </c>
      <c r="H83" s="5">
        <f>ROUND(G83*$B$91,0)</f>
        <v/>
      </c>
      <c r="K83" s="46" t="n"/>
      <c r="L83" s="46" t="n"/>
      <c r="M83" s="46" t="n"/>
      <c r="N83" s="46" t="n"/>
      <c r="O83" s="107" t="n"/>
    </row>
    <row r="84">
      <c r="B84" s="35" t="inlineStr">
        <is>
          <t>Empresa B</t>
        </is>
      </c>
      <c r="C84" s="35" t="n">
        <v>8.300000000000001</v>
      </c>
      <c r="D84" s="35" t="n">
        <v>45</v>
      </c>
      <c r="E84" s="35">
        <f>(MAX($D$83:$D$86)*2-D84)/10</f>
        <v/>
      </c>
      <c r="F84" s="118">
        <f>SUM(C84,E84)</f>
        <v/>
      </c>
      <c r="G84" s="119">
        <f>F84/$F$87</f>
        <v/>
      </c>
      <c r="H84" s="5">
        <f>ROUND(G84*$B$91,0)</f>
        <v/>
      </c>
      <c r="K84" s="46" t="n"/>
      <c r="L84" s="121" t="n"/>
      <c r="M84" s="46" t="n"/>
      <c r="N84" s="46" t="n"/>
      <c r="O84" s="107" t="n"/>
    </row>
    <row r="85">
      <c r="B85" s="35" t="inlineStr">
        <is>
          <t>Empresa C</t>
        </is>
      </c>
      <c r="C85" s="122" t="n">
        <v>10.2</v>
      </c>
      <c r="D85" s="35" t="n">
        <v>43</v>
      </c>
      <c r="E85" s="35">
        <f>(MAX($D$83:$D$86)*2-D85)/10</f>
        <v/>
      </c>
      <c r="F85" s="118">
        <f>SUM(C85,E85)</f>
        <v/>
      </c>
      <c r="G85" s="119">
        <f>F85/$F$87</f>
        <v/>
      </c>
      <c r="H85" s="5">
        <f>ROUND(G85*$B$91,0)</f>
        <v/>
      </c>
      <c r="K85" s="46" t="n"/>
      <c r="L85" s="121" t="n"/>
      <c r="M85" s="46" t="n"/>
      <c r="N85" s="46" t="n"/>
      <c r="O85" s="107" t="n"/>
    </row>
    <row r="86">
      <c r="B86" s="35" t="inlineStr">
        <is>
          <t>Empresa D</t>
        </is>
      </c>
      <c r="C86" s="35" t="n">
        <v>9</v>
      </c>
      <c r="D86" s="35" t="n">
        <v>41</v>
      </c>
      <c r="E86" s="35">
        <f>(MAX($D$83:$D$86)*2-D86)/10</f>
        <v/>
      </c>
      <c r="F86" s="118">
        <f>SUM(C86,E86)</f>
        <v/>
      </c>
      <c r="G86" s="119">
        <f>F86/$F$87</f>
        <v/>
      </c>
      <c r="H86" s="5">
        <f>ROUND(G86*$B$91,0)</f>
        <v/>
      </c>
      <c r="K86" s="46" t="n"/>
      <c r="L86" s="46" t="n"/>
      <c r="M86" s="46" t="n"/>
      <c r="N86" s="46" t="n"/>
      <c r="O86" s="107" t="n"/>
    </row>
    <row r="87">
      <c r="B87" s="52" t="n"/>
      <c r="E87" s="155" t="inlineStr">
        <is>
          <t>Total</t>
        </is>
      </c>
      <c r="F87" s="123">
        <f>SUM(F83:F86)</f>
        <v/>
      </c>
      <c r="H87" s="155">
        <f>SUM(H83:H86)</f>
        <v/>
      </c>
    </row>
    <row r="88">
      <c r="B88" s="52" t="n"/>
      <c r="F88" s="124" t="n"/>
    </row>
    <row r="89">
      <c r="B89" s="52" t="n">
        <v>7000</v>
      </c>
      <c r="C89" s="155" t="inlineStr">
        <is>
          <t>unidades mercado</t>
        </is>
      </c>
      <c r="F89" s="124" t="n"/>
      <c r="K89" s="155" t="n"/>
    </row>
    <row r="90">
      <c r="B90" s="125" t="n">
        <v>0.5</v>
      </c>
      <c r="F90" s="124" t="n"/>
      <c r="K90" s="39" t="n"/>
    </row>
    <row r="91">
      <c r="B91" s="52">
        <f>B89*B90</f>
        <v/>
      </c>
      <c r="C91" s="155" t="inlineStr">
        <is>
          <t>unidades mercado real</t>
        </is>
      </c>
      <c r="F91" s="124" t="n"/>
    </row>
    <row r="92">
      <c r="B92" s="126" t="n"/>
      <c r="C92" s="128" t="n"/>
      <c r="D92" s="128" t="n"/>
      <c r="E92" s="128" t="n"/>
      <c r="F92" s="129" t="n"/>
    </row>
    <row r="96">
      <c r="B96" s="31" t="inlineStr">
        <is>
          <t>EJEMPLO de distribución de Ventas (Bolsos promedio)</t>
        </is>
      </c>
      <c r="C96" s="35" t="inlineStr">
        <is>
          <t>Reputacion</t>
        </is>
      </c>
      <c r="D96" s="35" t="inlineStr">
        <is>
          <t>Precio</t>
        </is>
      </c>
      <c r="E96" s="35" t="inlineStr">
        <is>
          <t>Puntaje del precio</t>
        </is>
      </c>
      <c r="F96" s="35" t="inlineStr">
        <is>
          <t>Puntaje total</t>
        </is>
      </c>
      <c r="G96" s="35" t="inlineStr">
        <is>
          <t>Porcentaje parcial</t>
        </is>
      </c>
      <c r="H96" s="35" t="inlineStr">
        <is>
          <t>Unidades Vendidas</t>
        </is>
      </c>
    </row>
    <row r="97">
      <c r="B97" s="35" t="inlineStr">
        <is>
          <t>Empresa A</t>
        </is>
      </c>
      <c r="C97" s="35" t="n">
        <v>7</v>
      </c>
      <c r="D97" s="35" t="n">
        <v>120</v>
      </c>
      <c r="E97" s="35">
        <f>(MAX($D$97:$D$100)*2-D97)/10</f>
        <v/>
      </c>
      <c r="F97" s="118">
        <f>SUM(C97,E97)</f>
        <v/>
      </c>
      <c r="G97" s="119">
        <f>F97/$F$101</f>
        <v/>
      </c>
      <c r="H97" s="5">
        <f>ROUND(G97*$B$91,0)</f>
        <v/>
      </c>
    </row>
    <row r="98">
      <c r="B98" s="35" t="inlineStr">
        <is>
          <t>Empresa B</t>
        </is>
      </c>
      <c r="C98" s="35" t="n">
        <v>8.300000000000001</v>
      </c>
      <c r="D98" s="35" t="n">
        <v>150</v>
      </c>
      <c r="E98" s="35">
        <f>(MAX($D$97:$D$100)*2-D98)/10</f>
        <v/>
      </c>
      <c r="F98" s="118">
        <f>SUM(C98,E98)</f>
        <v/>
      </c>
      <c r="G98" s="119">
        <f>F98/$F$101</f>
        <v/>
      </c>
      <c r="H98" s="5">
        <f>ROUND(G98*$B$91,0)</f>
        <v/>
      </c>
    </row>
    <row r="99">
      <c r="B99" s="35" t="inlineStr">
        <is>
          <t>Empresa C</t>
        </is>
      </c>
      <c r="C99" s="35" t="n">
        <v>10.2</v>
      </c>
      <c r="D99" s="35" t="n">
        <v>190</v>
      </c>
      <c r="E99" s="35">
        <f>(MAX($D$97:$D$100)*2-D99)/10</f>
        <v/>
      </c>
      <c r="F99" s="118">
        <f>SUM(C99,E99)</f>
        <v/>
      </c>
      <c r="G99" s="119">
        <f>F99/$F$101</f>
        <v/>
      </c>
      <c r="H99" s="5">
        <f>ROUND(G99*$B$91,0)</f>
        <v/>
      </c>
    </row>
    <row r="100">
      <c r="B100" s="35" t="inlineStr">
        <is>
          <t>Empresa D</t>
        </is>
      </c>
      <c r="C100" s="35" t="n">
        <v>9</v>
      </c>
      <c r="D100" s="35" t="n">
        <v>200</v>
      </c>
      <c r="E100" s="35">
        <f>(MAX($D$97:$D$100)*2-D100)/10</f>
        <v/>
      </c>
      <c r="F100" s="118">
        <f>SUM(C100,E100)</f>
        <v/>
      </c>
      <c r="G100" s="119">
        <f>F100/$F$101</f>
        <v/>
      </c>
      <c r="H100" s="5">
        <f>ROUND(G100*$B$91,0)</f>
        <v/>
      </c>
    </row>
    <row r="101">
      <c r="B101" s="52" t="n"/>
      <c r="E101" s="155" t="inlineStr">
        <is>
          <t>Total</t>
        </is>
      </c>
      <c r="F101" s="123">
        <f>SUM(F97:F100)</f>
        <v/>
      </c>
    </row>
    <row r="102">
      <c r="B102" s="52" t="n"/>
      <c r="F102" s="124" t="n"/>
    </row>
    <row r="103">
      <c r="B103" s="52" t="n">
        <v>5000</v>
      </c>
      <c r="C103" s="155" t="inlineStr">
        <is>
          <t>unidades mercado</t>
        </is>
      </c>
      <c r="F103" s="124" t="n"/>
    </row>
    <row r="104">
      <c r="B104" s="125" t="n">
        <v>0.7</v>
      </c>
      <c r="F104" s="124" t="n"/>
    </row>
    <row r="105">
      <c r="B105" s="52">
        <f>B103*B104</f>
        <v/>
      </c>
      <c r="C105" s="155" t="inlineStr">
        <is>
          <t>unidades mercado real</t>
        </is>
      </c>
      <c r="F105" s="124" t="n"/>
    </row>
    <row r="106">
      <c r="B106" s="126" t="n"/>
      <c r="C106" s="128" t="n"/>
      <c r="D106" s="128" t="n"/>
      <c r="E106" s="128" t="n"/>
      <c r="F106" s="129" t="n"/>
    </row>
    <row r="110">
      <c r="B110" s="31" t="inlineStr">
        <is>
          <t>EJEMPLO de distribución de Ventas (Bolsos Premium)</t>
        </is>
      </c>
      <c r="C110" s="35" t="inlineStr">
        <is>
          <t>Reputacion</t>
        </is>
      </c>
      <c r="D110" s="35" t="inlineStr">
        <is>
          <t>Precio</t>
        </is>
      </c>
      <c r="E110" s="35" t="inlineStr">
        <is>
          <t>Puntaje del precio</t>
        </is>
      </c>
      <c r="F110" s="35" t="inlineStr">
        <is>
          <t>Puntaje total</t>
        </is>
      </c>
      <c r="G110" s="35" t="inlineStr">
        <is>
          <t>Porcentaje parcial</t>
        </is>
      </c>
      <c r="H110" s="35" t="inlineStr">
        <is>
          <t>Unidades Vendidas</t>
        </is>
      </c>
    </row>
    <row r="111">
      <c r="B111" s="35" t="inlineStr">
        <is>
          <t>Empresa A</t>
        </is>
      </c>
      <c r="C111" s="35" t="n">
        <v>7</v>
      </c>
      <c r="D111" s="35" t="n">
        <v>250</v>
      </c>
      <c r="E111" s="35">
        <f>(MAX($D$111:$D$114)*2-D111)/10</f>
        <v/>
      </c>
      <c r="F111" s="118">
        <f>SUM(C111,E111)</f>
        <v/>
      </c>
      <c r="G111" s="119">
        <f>F111/$F$115</f>
        <v/>
      </c>
      <c r="H111" s="5">
        <f>ROUND(G111*$B$119,0)</f>
        <v/>
      </c>
    </row>
    <row r="112">
      <c r="B112" s="35" t="inlineStr">
        <is>
          <t>Empresa B</t>
        </is>
      </c>
      <c r="C112" s="35" t="n">
        <v>8.300000000000001</v>
      </c>
      <c r="D112" s="35" t="n">
        <v>300</v>
      </c>
      <c r="E112" s="35">
        <f>(MAX($D$111:$D$114)*2-D112)/10</f>
        <v/>
      </c>
      <c r="F112" s="118">
        <f>SUM(C112,E112)</f>
        <v/>
      </c>
      <c r="G112" s="119">
        <f>F112/$F$115</f>
        <v/>
      </c>
      <c r="H112" s="5">
        <f>ROUND(G112*$B$119,0)</f>
        <v/>
      </c>
    </row>
    <row r="113">
      <c r="B113" s="35" t="inlineStr">
        <is>
          <t>Empresa C</t>
        </is>
      </c>
      <c r="C113" s="35" t="n">
        <v>10.2</v>
      </c>
      <c r="D113" s="35" t="n">
        <v>220</v>
      </c>
      <c r="E113" s="35">
        <f>(MAX($D$111:$D$114)*2-D113)/10</f>
        <v/>
      </c>
      <c r="F113" s="118">
        <f>SUM(C113,E113)</f>
        <v/>
      </c>
      <c r="G113" s="119">
        <f>F113/$F$115</f>
        <v/>
      </c>
      <c r="H113" s="5">
        <f>ROUND(G113*$B$119,0)</f>
        <v/>
      </c>
    </row>
    <row r="114">
      <c r="B114" s="35" t="inlineStr">
        <is>
          <t>Empresa D</t>
        </is>
      </c>
      <c r="C114" s="35" t="n">
        <v>9</v>
      </c>
      <c r="D114" s="35" t="n">
        <v>400</v>
      </c>
      <c r="E114" s="35">
        <f>(MAX($D$111:$D$114)*2-D114)/10</f>
        <v/>
      </c>
      <c r="F114" s="118">
        <f>SUM(C114,E114)</f>
        <v/>
      </c>
      <c r="G114" s="119">
        <f>F114/$F$115</f>
        <v/>
      </c>
      <c r="H114" s="5">
        <f>ROUND(G114*$B$119,0)</f>
        <v/>
      </c>
    </row>
    <row r="115">
      <c r="B115" s="52" t="n"/>
      <c r="E115" s="155" t="inlineStr">
        <is>
          <t>Total</t>
        </is>
      </c>
      <c r="F115" s="123">
        <f>SUM(F111:F114)</f>
        <v/>
      </c>
    </row>
    <row r="116">
      <c r="B116" s="52" t="n"/>
      <c r="F116" s="124" t="n"/>
    </row>
    <row r="117">
      <c r="B117" s="52" t="n">
        <v>2000</v>
      </c>
      <c r="C117" s="155" t="inlineStr">
        <is>
          <t>unidades mercado</t>
        </is>
      </c>
      <c r="F117" s="124" t="n"/>
    </row>
    <row r="118">
      <c r="B118" s="125" t="n">
        <v>0.4</v>
      </c>
      <c r="F118" s="124" t="n"/>
    </row>
    <row r="119">
      <c r="B119" s="52">
        <f>B117*B118</f>
        <v/>
      </c>
      <c r="C119" s="155" t="inlineStr">
        <is>
          <t>unidades mercado real</t>
        </is>
      </c>
      <c r="F119" s="124" t="n"/>
    </row>
    <row r="120">
      <c r="B120" s="126" t="n"/>
      <c r="C120" s="128" t="n"/>
      <c r="D120" s="128" t="n"/>
      <c r="E120" s="128" t="n"/>
      <c r="F120" s="129" t="n"/>
    </row>
    <row r="123">
      <c r="A123" s="115" t="inlineStr">
        <is>
          <t>Calculo de Reputacion</t>
        </is>
      </c>
      <c r="C123" s="116">
        <f>F51*10</f>
        <v/>
      </c>
      <c r="D123" s="116">
        <f>M10*10</f>
        <v/>
      </c>
      <c r="E123" s="116">
        <f>AVERAGE(H65,H68,H71)*10</f>
        <v/>
      </c>
      <c r="F123" s="46">
        <f>B73/10000*10</f>
        <v/>
      </c>
      <c r="G123" s="117">
        <f>SUM(C123:F123)</f>
        <v/>
      </c>
      <c r="H123" s="29" t="inlineStr">
        <is>
          <t>ptos de reputación</t>
        </is>
      </c>
    </row>
    <row r="124">
      <c r="C124" s="102" t="inlineStr">
        <is>
          <t>Factor de producción</t>
        </is>
      </c>
      <c r="D124" s="102" t="inlineStr">
        <is>
          <t>Factor de MO</t>
        </is>
      </c>
      <c r="E124" s="102" t="inlineStr">
        <is>
          <t>Factor de MP (utilizacion)</t>
        </is>
      </c>
      <c r="F124" s="102" t="inlineStr">
        <is>
          <t>Factor de Publicidad</t>
        </is>
      </c>
      <c r="L124" s="149" t="inlineStr">
        <is>
          <t>Peso precio</t>
        </is>
      </c>
      <c r="M124" s="150" t="n">
        <v>0.7</v>
      </c>
    </row>
    <row r="125">
      <c r="L125" s="149" t="inlineStr">
        <is>
          <t>peso reputación</t>
        </is>
      </c>
      <c r="M125" s="150" t="n">
        <v>0.2</v>
      </c>
    </row>
    <row r="126">
      <c r="L126" s="149" t="inlineStr">
        <is>
          <t>Peso calidad</t>
        </is>
      </c>
      <c r="M126" s="150" t="n">
        <v>0.1</v>
      </c>
    </row>
    <row r="127">
      <c r="B127" s="164" t="inlineStr">
        <is>
          <t>EJEMPLO de distribución de Ventas (Bolsos Economicos)</t>
        </is>
      </c>
      <c r="C127" s="164" t="inlineStr">
        <is>
          <t>Precio</t>
        </is>
      </c>
      <c r="D127" s="164" t="inlineStr">
        <is>
          <t>Reputación (0-10)</t>
        </is>
      </c>
      <c r="E127" s="164" t="inlineStr">
        <is>
          <t>Calidad (0-100)</t>
        </is>
      </c>
      <c r="F127" s="164" t="inlineStr">
        <is>
          <t>Precio Económico (0-100)</t>
        </is>
      </c>
      <c r="G127" s="164" t="inlineStr">
        <is>
          <t>Reputación (0-100)</t>
        </is>
      </c>
      <c r="H127" s="164" t="inlineStr">
        <is>
          <t>Puntaje total</t>
        </is>
      </c>
      <c r="I127" s="164" t="inlineStr">
        <is>
          <t>Porcentaje parcial</t>
        </is>
      </c>
      <c r="J127" s="164" t="inlineStr">
        <is>
          <t>Unidades Vendidas</t>
        </is>
      </c>
      <c r="K127" s="152" t="n"/>
    </row>
    <row r="128">
      <c r="B128" s="153" t="inlineStr">
        <is>
          <t>Empresa A</t>
        </is>
      </c>
      <c r="C128" s="154" t="n">
        <v>40</v>
      </c>
      <c r="D128" s="156" t="n">
        <v>7</v>
      </c>
      <c r="E128" s="156">
        <f>ROUND((D128/$D$132)*100,0)</f>
        <v/>
      </c>
      <c r="F128" s="161">
        <f>100*(MAX($C$128:$C$131)-C128)/(MAX($C$128:$C$131)-MIN($C$128:$C$131))</f>
        <v/>
      </c>
      <c r="G128" s="161">
        <f>D128*10</f>
        <v/>
      </c>
      <c r="H128" s="161">
        <f>$M$124*F128+$M$125*G128+$M$126*E128</f>
        <v/>
      </c>
      <c r="I128" s="162">
        <f>H128/$H$132</f>
        <v/>
      </c>
      <c r="J128" s="161">
        <f>ROUND(I128*$B$136,0)</f>
        <v/>
      </c>
      <c r="K128" s="152" t="n"/>
    </row>
    <row r="129">
      <c r="B129" s="153" t="inlineStr">
        <is>
          <t>Empresa B</t>
        </is>
      </c>
      <c r="C129" s="154" t="n">
        <v>45</v>
      </c>
      <c r="D129" s="156" t="n">
        <v>8.300000000000001</v>
      </c>
      <c r="E129" s="156">
        <f>ROUND((D129/$D$132)*100,0)</f>
        <v/>
      </c>
      <c r="F129" s="161">
        <f>100*(MAX($C$128:$C$131)-C129)/(MAX($C$128:$C$131)-MIN($C$128:$C$131))</f>
        <v/>
      </c>
      <c r="G129" s="161">
        <f>D129*10</f>
        <v/>
      </c>
      <c r="H129" s="161">
        <f>$M$124*F129+$M$125*G129+$M$126*E129</f>
        <v/>
      </c>
      <c r="I129" s="162">
        <f>H129/$H$132</f>
        <v/>
      </c>
      <c r="J129" s="161">
        <f>ROUND(I129*$B$136,0)</f>
        <v/>
      </c>
      <c r="K129" s="152" t="n"/>
    </row>
    <row r="130">
      <c r="B130" s="153" t="inlineStr">
        <is>
          <t>Empresa C</t>
        </is>
      </c>
      <c r="C130" s="154" t="n">
        <v>43</v>
      </c>
      <c r="D130" s="156" t="n">
        <v>10.2</v>
      </c>
      <c r="E130" s="156">
        <f>ROUND((D130/$D$132)*100,0)</f>
        <v/>
      </c>
      <c r="F130" s="161">
        <f>100*(MAX($C$128:$C$131)-C130)/(MAX($C$128:$C$131)-MIN($C$128:$C$131))</f>
        <v/>
      </c>
      <c r="G130" s="161">
        <f>D130*10</f>
        <v/>
      </c>
      <c r="H130" s="161">
        <f>$M$124*F130+$M$125*G130+$M$126*E130</f>
        <v/>
      </c>
      <c r="I130" s="162">
        <f>H130/$H$132</f>
        <v/>
      </c>
      <c r="J130" s="161">
        <f>ROUND(I130*$B$136,0)</f>
        <v/>
      </c>
      <c r="K130" s="152" t="n"/>
    </row>
    <row r="131">
      <c r="B131" s="153" t="inlineStr">
        <is>
          <t>Empresa D</t>
        </is>
      </c>
      <c r="C131" s="154" t="n">
        <v>41</v>
      </c>
      <c r="D131" s="156" t="n">
        <v>9</v>
      </c>
      <c r="E131" s="156">
        <f>ROUND((D131/$D$132)*100,0)</f>
        <v/>
      </c>
      <c r="F131" s="161">
        <f>100*(MAX($C$128:$C$131)-C131)/(MAX($C$128:$C$131)-MIN($C$128:$C$131))</f>
        <v/>
      </c>
      <c r="G131" s="161">
        <f>D131*10</f>
        <v/>
      </c>
      <c r="H131" s="161">
        <f>$M$124*F131+$M$125*G131+$M$126*E131</f>
        <v/>
      </c>
      <c r="I131" s="162">
        <f>H131/$H$132</f>
        <v/>
      </c>
      <c r="J131" s="161">
        <f>ROUND(I131*$B$136,0)</f>
        <v/>
      </c>
      <c r="K131" s="152" t="n"/>
    </row>
    <row r="132">
      <c r="B132" s="164" t="n"/>
      <c r="C132" s="164" t="inlineStr">
        <is>
          <t>SUMA</t>
        </is>
      </c>
      <c r="D132" s="164">
        <f>SUM(D128:D131)</f>
        <v/>
      </c>
      <c r="E132" s="164" t="n"/>
      <c r="F132" s="164" t="n"/>
      <c r="G132" s="165" t="inlineStr">
        <is>
          <t>TOTAL</t>
        </is>
      </c>
      <c r="H132" s="161">
        <f>SUM(H128:H131)</f>
        <v/>
      </c>
      <c r="I132" s="164" t="n"/>
      <c r="J132" s="164">
        <f>SUM(J128:J131)</f>
        <v/>
      </c>
      <c r="K132" s="152" t="n"/>
    </row>
    <row r="133">
      <c r="B133" s="152" t="n"/>
      <c r="C133" s="152" t="n"/>
      <c r="D133" s="152" t="n"/>
      <c r="E133" s="152" t="n"/>
      <c r="F133" s="152" t="n"/>
      <c r="G133" s="152" t="n"/>
      <c r="H133" s="152" t="n"/>
      <c r="I133" s="152" t="n"/>
      <c r="J133" s="152" t="n"/>
      <c r="K133" s="152" t="n"/>
    </row>
    <row r="134">
      <c r="B134" s="164" t="n">
        <v>7000</v>
      </c>
      <c r="C134" s="164" t="inlineStr">
        <is>
          <t xml:space="preserve">Unidades mercado </t>
        </is>
      </c>
      <c r="D134" s="152" t="n"/>
      <c r="E134" s="152" t="n"/>
      <c r="F134" s="152" t="n"/>
      <c r="G134" s="152" t="n"/>
      <c r="H134" s="152" t="n"/>
      <c r="I134" s="152" t="n"/>
      <c r="J134" s="152" t="n"/>
      <c r="K134" s="152" t="n"/>
    </row>
    <row r="135">
      <c r="B135" s="166" t="n">
        <v>0.5</v>
      </c>
      <c r="C135" s="164" t="n"/>
      <c r="D135" s="152" t="n"/>
      <c r="E135" s="152" t="n"/>
      <c r="F135" s="152" t="n"/>
      <c r="G135" s="152" t="n"/>
      <c r="H135" s="152" t="n"/>
      <c r="I135" s="152" t="n"/>
      <c r="J135" s="152" t="n"/>
      <c r="K135" s="152" t="n"/>
    </row>
    <row r="136">
      <c r="B136" s="164" t="n">
        <v>3500</v>
      </c>
      <c r="C136" s="164" t="inlineStr">
        <is>
          <t xml:space="preserve">Unidades mercado real </t>
        </is>
      </c>
      <c r="D136" s="152" t="n"/>
      <c r="E136" s="152" t="n"/>
      <c r="F136" s="152" t="n"/>
      <c r="G136" s="152" t="n"/>
      <c r="H136" s="152" t="n"/>
      <c r="I136" s="152" t="n"/>
      <c r="J136" s="152" t="n"/>
      <c r="K136" s="152" t="n"/>
    </row>
    <row r="137">
      <c r="B137" s="152" t="n"/>
      <c r="C137" s="152" t="n"/>
      <c r="D137" s="152" t="n"/>
      <c r="E137" s="152" t="n"/>
      <c r="F137" s="152" t="n"/>
      <c r="G137" s="152" t="n"/>
      <c r="H137" s="152" t="n"/>
      <c r="I137" s="152" t="n"/>
      <c r="J137" s="152" t="n"/>
      <c r="K137" s="152" t="n"/>
      <c r="L137" s="149" t="inlineStr">
        <is>
          <t>Peso precio</t>
        </is>
      </c>
      <c r="M137" s="150" t="n">
        <v>0.4</v>
      </c>
    </row>
    <row r="138">
      <c r="B138" s="152" t="n"/>
      <c r="C138" s="152" t="n"/>
      <c r="D138" s="152" t="n"/>
      <c r="E138" s="152" t="n"/>
      <c r="F138" s="152" t="n"/>
      <c r="G138" s="152" t="n"/>
      <c r="H138" s="152" t="n"/>
      <c r="I138" s="152" t="n"/>
      <c r="J138" s="152" t="n"/>
      <c r="K138" s="152" t="n"/>
      <c r="L138" s="149" t="inlineStr">
        <is>
          <t>peso reputación</t>
        </is>
      </c>
      <c r="M138" s="150" t="n">
        <v>0.35</v>
      </c>
    </row>
    <row r="139">
      <c r="B139" s="152" t="n"/>
      <c r="C139" s="152" t="n"/>
      <c r="D139" s="152" t="n"/>
      <c r="E139" s="152" t="n"/>
      <c r="F139" s="152" t="n"/>
      <c r="G139" s="152" t="n"/>
      <c r="H139" s="152" t="n"/>
      <c r="I139" s="152" t="n"/>
      <c r="J139" s="152" t="n"/>
      <c r="K139" s="152" t="n"/>
      <c r="L139" s="149" t="inlineStr">
        <is>
          <t>Peso calidad</t>
        </is>
      </c>
      <c r="M139" s="150" t="n">
        <v>0.25</v>
      </c>
    </row>
    <row r="140">
      <c r="B140" s="164" t="inlineStr">
        <is>
          <t>EJEMPLO de distribución de Ventas (Bolsos Medio)</t>
        </is>
      </c>
      <c r="C140" s="164" t="inlineStr">
        <is>
          <t>Precio</t>
        </is>
      </c>
      <c r="D140" s="164" t="inlineStr">
        <is>
          <t>Reputación (0-10)</t>
        </is>
      </c>
      <c r="E140" s="164" t="inlineStr">
        <is>
          <t>Calidad (0-100)</t>
        </is>
      </c>
      <c r="F140" s="164" t="inlineStr">
        <is>
          <t>Precio Económico (0-100)</t>
        </is>
      </c>
      <c r="G140" s="164" t="inlineStr">
        <is>
          <t>Reputación (0-100)</t>
        </is>
      </c>
      <c r="H140" s="164" t="inlineStr">
        <is>
          <t>Puntaje total</t>
        </is>
      </c>
      <c r="I140" s="164" t="inlineStr">
        <is>
          <t>Porcentaje parcial</t>
        </is>
      </c>
      <c r="J140" s="164" t="inlineStr">
        <is>
          <t>Unidades Vendidas</t>
        </is>
      </c>
      <c r="K140" s="152" t="n"/>
      <c r="L140" s="149" t="inlineStr">
        <is>
          <t>Precio ideal</t>
        </is>
      </c>
      <c r="M140" s="149" t="n">
        <v>100</v>
      </c>
    </row>
    <row r="141">
      <c r="B141" s="153" t="inlineStr">
        <is>
          <t>Empresa A</t>
        </is>
      </c>
      <c r="C141" s="154" t="n">
        <v>120</v>
      </c>
      <c r="D141" s="156" t="n">
        <v>7</v>
      </c>
      <c r="E141" s="156">
        <f>ROUND((D141/$D$132)*100,0)</f>
        <v/>
      </c>
      <c r="F141" s="161">
        <f>100-(ABS(C141-$M$140)/$M$140*100)</f>
        <v/>
      </c>
      <c r="G141" s="161">
        <f>D141*10</f>
        <v/>
      </c>
      <c r="H141" s="161">
        <f>$M$137*F141+$M$138*G141+$M$139*E141</f>
        <v/>
      </c>
      <c r="I141" s="162">
        <f>H141/$H$145</f>
        <v/>
      </c>
      <c r="J141" s="161">
        <f>ROUND(I141*$B$149,0)</f>
        <v/>
      </c>
      <c r="K141" s="152" t="n"/>
    </row>
    <row r="142">
      <c r="B142" s="153" t="inlineStr">
        <is>
          <t>Empresa B</t>
        </is>
      </c>
      <c r="C142" s="154" t="n">
        <v>150</v>
      </c>
      <c r="D142" s="156" t="n">
        <v>8.300000000000001</v>
      </c>
      <c r="E142" s="156">
        <f>ROUND((D142/$D$132)*100,0)</f>
        <v/>
      </c>
      <c r="F142" s="161">
        <f>100-(ABS(C142-$M$140)/$M$140*100)</f>
        <v/>
      </c>
      <c r="G142" s="161">
        <f>D142*10</f>
        <v/>
      </c>
      <c r="H142" s="161">
        <f>$M$137*F142+$M$138*G142+$M$139*E142</f>
        <v/>
      </c>
      <c r="I142" s="162">
        <f>H142/$H$145</f>
        <v/>
      </c>
      <c r="J142" s="161">
        <f>ROUND(I142*$B$149,0)</f>
        <v/>
      </c>
      <c r="K142" s="152" t="n"/>
    </row>
    <row r="143">
      <c r="B143" s="153" t="inlineStr">
        <is>
          <t>Empresa C</t>
        </is>
      </c>
      <c r="C143" s="154" t="n">
        <v>190</v>
      </c>
      <c r="D143" s="156" t="n">
        <v>10.2</v>
      </c>
      <c r="E143" s="156">
        <f>ROUND((D143/$D$132)*100,0)</f>
        <v/>
      </c>
      <c r="F143" s="161">
        <f>100-(ABS(C143-$M$140)/$M$140*100)</f>
        <v/>
      </c>
      <c r="G143" s="161">
        <f>D143*10</f>
        <v/>
      </c>
      <c r="H143" s="161">
        <f>$M$137*F143+$M$138*G143+$M$139*E143</f>
        <v/>
      </c>
      <c r="I143" s="162">
        <f>H143/$H$145</f>
        <v/>
      </c>
      <c r="J143" s="161">
        <f>ROUND(I143*$B$149,0)</f>
        <v/>
      </c>
      <c r="K143" s="152" t="n"/>
    </row>
    <row r="144">
      <c r="B144" s="153" t="inlineStr">
        <is>
          <t>Empresa D</t>
        </is>
      </c>
      <c r="C144" s="154" t="n">
        <v>200</v>
      </c>
      <c r="D144" s="156" t="n">
        <v>9</v>
      </c>
      <c r="E144" s="156">
        <f>ROUND((D144/$D$132)*100,0)</f>
        <v/>
      </c>
      <c r="F144" s="161">
        <f>100-(ABS(C144-$M$140)/$M$140*100)</f>
        <v/>
      </c>
      <c r="G144" s="161">
        <f>D144*10</f>
        <v/>
      </c>
      <c r="H144" s="161">
        <f>$M$137*F144+$M$138*G144+$M$139*E144</f>
        <v/>
      </c>
      <c r="I144" s="162">
        <f>H144/$H$145</f>
        <v/>
      </c>
      <c r="J144" s="161">
        <f>ROUND(I144*$B$149,0)</f>
        <v/>
      </c>
      <c r="K144" s="152" t="n"/>
    </row>
    <row r="145">
      <c r="B145" s="164" t="n"/>
      <c r="C145" s="164" t="inlineStr">
        <is>
          <t>SUMA</t>
        </is>
      </c>
      <c r="D145" s="164">
        <f>SUM(D141:D144)</f>
        <v/>
      </c>
      <c r="E145" s="164" t="n"/>
      <c r="F145" s="164" t="n"/>
      <c r="G145" s="168" t="inlineStr">
        <is>
          <t>TOTAL</t>
        </is>
      </c>
      <c r="H145" s="169">
        <f>SUM(H141:H144)</f>
        <v/>
      </c>
      <c r="I145" s="164" t="n"/>
      <c r="J145" s="164">
        <f>SUM(J141:J144)</f>
        <v/>
      </c>
      <c r="K145" s="152" t="n"/>
    </row>
    <row r="146">
      <c r="B146" s="152" t="n"/>
      <c r="C146" s="152" t="n"/>
      <c r="D146" s="152" t="n"/>
      <c r="E146" s="152" t="n"/>
      <c r="F146" s="152" t="n"/>
      <c r="G146" s="152" t="n"/>
      <c r="H146" s="152" t="n"/>
      <c r="I146" s="152" t="n"/>
      <c r="J146" s="152" t="n"/>
      <c r="K146" s="152" t="n"/>
    </row>
    <row r="147">
      <c r="B147" s="164" t="n">
        <v>5000</v>
      </c>
      <c r="C147" s="164" t="inlineStr">
        <is>
          <t xml:space="preserve">Unidades mercado </t>
        </is>
      </c>
      <c r="D147" s="152" t="n"/>
      <c r="E147" s="152" t="n"/>
      <c r="F147" s="152" t="n"/>
      <c r="G147" s="152" t="n"/>
      <c r="H147" s="152" t="n"/>
      <c r="I147" s="152" t="n"/>
      <c r="J147" s="152" t="n"/>
      <c r="K147" s="152" t="n"/>
    </row>
    <row r="148">
      <c r="B148" s="166" t="n">
        <v>0.7</v>
      </c>
      <c r="C148" s="164" t="n"/>
      <c r="D148" s="152" t="n"/>
      <c r="E148" s="152" t="n"/>
      <c r="F148" s="152" t="n"/>
      <c r="G148" s="152" t="n"/>
      <c r="H148" s="152" t="n"/>
      <c r="I148" s="152" t="n"/>
      <c r="J148" s="152" t="n"/>
    </row>
    <row r="149">
      <c r="B149" s="164" t="n">
        <v>3500</v>
      </c>
      <c r="C149" s="164" t="inlineStr">
        <is>
          <t xml:space="preserve">Unidades mercado real </t>
        </is>
      </c>
      <c r="D149" s="152" t="n"/>
      <c r="E149" s="152" t="n"/>
      <c r="F149" s="152" t="n"/>
      <c r="G149" s="152" t="n"/>
      <c r="H149" s="152" t="n"/>
      <c r="I149" s="152" t="n"/>
      <c r="J149" s="152" t="n"/>
    </row>
    <row r="150">
      <c r="L150" s="149" t="inlineStr">
        <is>
          <t>Peso precio</t>
        </is>
      </c>
      <c r="M150" s="150" t="n">
        <v>0.1</v>
      </c>
    </row>
    <row r="151">
      <c r="L151" s="149" t="inlineStr">
        <is>
          <t>peso reputación</t>
        </is>
      </c>
      <c r="M151" s="150" t="n">
        <v>0.5</v>
      </c>
    </row>
    <row r="152">
      <c r="L152" s="149" t="inlineStr">
        <is>
          <t>Peso calidad</t>
        </is>
      </c>
      <c r="M152" s="150" t="n">
        <v>0.4</v>
      </c>
    </row>
    <row r="153">
      <c r="B153" s="164" t="inlineStr">
        <is>
          <t>EJEMPLO de distribución de Ventas (Bolsos Caros)</t>
        </is>
      </c>
      <c r="C153" s="164" t="inlineStr">
        <is>
          <t>Precio</t>
        </is>
      </c>
      <c r="D153" s="164" t="inlineStr">
        <is>
          <t>Reputación (0-10)</t>
        </is>
      </c>
      <c r="E153" s="164" t="inlineStr">
        <is>
          <t>Calidad (0-100)</t>
        </is>
      </c>
      <c r="F153" s="164" t="inlineStr">
        <is>
          <t>Precio Económico (0-100)</t>
        </is>
      </c>
      <c r="G153" s="164" t="inlineStr">
        <is>
          <t>Reputación (0-100)</t>
        </is>
      </c>
      <c r="H153" s="164" t="inlineStr">
        <is>
          <t>Puntaje total</t>
        </is>
      </c>
      <c r="I153" s="164" t="inlineStr">
        <is>
          <t>Porcentaje parcial</t>
        </is>
      </c>
      <c r="J153" s="164" t="inlineStr">
        <is>
          <t>Unidades Vendidas</t>
        </is>
      </c>
      <c r="L153" s="149" t="inlineStr">
        <is>
          <t>Precio ideal</t>
        </is>
      </c>
      <c r="M153" s="149" t="n">
        <v>250</v>
      </c>
    </row>
    <row r="154">
      <c r="B154" s="153" t="inlineStr">
        <is>
          <t>Empresa A</t>
        </is>
      </c>
      <c r="C154" s="154" t="n">
        <v>250</v>
      </c>
      <c r="D154" s="156" t="n">
        <v>7</v>
      </c>
      <c r="E154" s="156">
        <f>ROUND((D154/$D$132)*100,0)</f>
        <v/>
      </c>
      <c r="F154" s="161">
        <f>100-(ABS(C154-$M$153)/$M$153*100)</f>
        <v/>
      </c>
      <c r="G154" s="161">
        <f>D154*10</f>
        <v/>
      </c>
      <c r="H154" s="161">
        <f>$M$150*F154+$M$151*G154+$M$152*E154</f>
        <v/>
      </c>
      <c r="I154" s="162">
        <f>H154/$H$158</f>
        <v/>
      </c>
      <c r="J154" s="161">
        <f>ROUND(I154*$B$162,0)</f>
        <v/>
      </c>
    </row>
    <row r="155">
      <c r="B155" s="153" t="inlineStr">
        <is>
          <t>Empresa B</t>
        </is>
      </c>
      <c r="C155" s="154" t="n">
        <v>300</v>
      </c>
      <c r="D155" s="156" t="n">
        <v>8.300000000000001</v>
      </c>
      <c r="E155" s="156">
        <f>ROUND((D155/$D$132)*100,0)</f>
        <v/>
      </c>
      <c r="F155" s="161">
        <f>100-(ABS(C155-$M$153)/$M$153*100)</f>
        <v/>
      </c>
      <c r="G155" s="161">
        <f>D155*10</f>
        <v/>
      </c>
      <c r="H155" s="161">
        <f>$M$150*F155+$M$151*G155+$M$152*E155</f>
        <v/>
      </c>
      <c r="I155" s="162">
        <f>H155/$H$158</f>
        <v/>
      </c>
      <c r="J155" s="161">
        <f>ROUND(I155*$B$162,0)</f>
        <v/>
      </c>
    </row>
    <row r="156">
      <c r="B156" s="153" t="inlineStr">
        <is>
          <t>Empresa C</t>
        </is>
      </c>
      <c r="C156" s="154" t="n">
        <v>220</v>
      </c>
      <c r="D156" s="156" t="n">
        <v>10.2</v>
      </c>
      <c r="E156" s="156">
        <f>ROUND((D156/$D$132)*100,0)</f>
        <v/>
      </c>
      <c r="F156" s="161">
        <f>100-(ABS(C156-$M$153)/$M$153*100)</f>
        <v/>
      </c>
      <c r="G156" s="161">
        <f>D156*10</f>
        <v/>
      </c>
      <c r="H156" s="161">
        <f>$M$150*F156+$M$151*G156+$M$152*E156</f>
        <v/>
      </c>
      <c r="I156" s="162">
        <f>H156/$H$158</f>
        <v/>
      </c>
      <c r="J156" s="161">
        <f>ROUND(I156*$B$162,0)</f>
        <v/>
      </c>
    </row>
    <row r="157">
      <c r="B157" s="153" t="inlineStr">
        <is>
          <t>Empresa D</t>
        </is>
      </c>
      <c r="C157" s="154" t="n">
        <v>400</v>
      </c>
      <c r="D157" s="156" t="n">
        <v>9</v>
      </c>
      <c r="E157" s="156">
        <f>ROUND((D157/$D$132)*100,0)</f>
        <v/>
      </c>
      <c r="F157" s="161">
        <f>100-(ABS(C157-$M$153)/$M$153*100)</f>
        <v/>
      </c>
      <c r="G157" s="161">
        <f>D157*10</f>
        <v/>
      </c>
      <c r="H157" s="161">
        <f>$M$150*F157+$M$151*G157+$M$152*E157</f>
        <v/>
      </c>
      <c r="I157" s="162">
        <f>H157/$H$158</f>
        <v/>
      </c>
      <c r="J157" s="161">
        <f>ROUND(I157*$B$162,0)</f>
        <v/>
      </c>
    </row>
    <row r="158">
      <c r="B158" s="164" t="n"/>
      <c r="C158" s="164" t="inlineStr">
        <is>
          <t>SUMA</t>
        </is>
      </c>
      <c r="D158" s="164">
        <f>SUM(D154:D157)</f>
        <v/>
      </c>
      <c r="E158" s="164" t="n"/>
      <c r="F158" s="164" t="n"/>
      <c r="G158" s="168" t="inlineStr">
        <is>
          <t>TOTAL</t>
        </is>
      </c>
      <c r="H158" s="169">
        <f>SUM(H154:H157)</f>
        <v/>
      </c>
      <c r="I158" s="164" t="n"/>
      <c r="J158" s="164">
        <f>SUM(J154:J157)</f>
        <v/>
      </c>
    </row>
    <row r="159">
      <c r="B159" s="152" t="n"/>
      <c r="C159" s="152" t="n"/>
      <c r="D159" s="152" t="n"/>
      <c r="E159" s="152" t="n"/>
      <c r="F159" s="152" t="n"/>
      <c r="G159" s="152" t="n"/>
      <c r="H159" s="152" t="n"/>
      <c r="I159" s="152" t="n"/>
      <c r="J159" s="152" t="n"/>
    </row>
    <row r="160">
      <c r="B160" s="164" t="n">
        <v>2000</v>
      </c>
      <c r="C160" s="164" t="inlineStr">
        <is>
          <t xml:space="preserve">Unidades mercado </t>
        </is>
      </c>
      <c r="D160" s="152" t="n"/>
      <c r="E160" s="152" t="n"/>
      <c r="F160" s="152" t="n"/>
      <c r="G160" s="152" t="n"/>
      <c r="H160" s="152" t="n"/>
      <c r="I160" s="152" t="n"/>
      <c r="J160" s="152" t="n"/>
    </row>
    <row r="161">
      <c r="B161" s="166" t="n">
        <v>0.4</v>
      </c>
      <c r="C161" s="164" t="n"/>
      <c r="D161" s="152" t="n"/>
      <c r="E161" s="152" t="n"/>
      <c r="F161" s="152" t="n"/>
      <c r="G161" s="152" t="n"/>
      <c r="H161" s="152" t="n"/>
      <c r="I161" s="152" t="n"/>
      <c r="J161" s="152" t="n"/>
    </row>
    <row r="162">
      <c r="B162" s="164" t="n">
        <v>800</v>
      </c>
      <c r="C162" s="164" t="inlineStr">
        <is>
          <t xml:space="preserve">Unidades mercado real </t>
        </is>
      </c>
      <c r="D162" s="152" t="n"/>
      <c r="E162" s="152" t="n"/>
      <c r="F162" s="152" t="n"/>
      <c r="G162" s="152" t="n"/>
      <c r="H162" s="152" t="n"/>
      <c r="I162" s="152" t="n"/>
      <c r="J162" s="152" t="n"/>
    </row>
  </sheetData>
  <mergeCells count="1">
    <mergeCell ref="A3:B3"/>
  </mergeCell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D200"/>
  <sheetViews>
    <sheetView showGridLines="0" workbookViewId="0">
      <selection activeCell="A1" sqref="A1"/>
    </sheetView>
  </sheetViews>
  <sheetFormatPr baseColWidth="8" defaultColWidth="14.43" defaultRowHeight="15" customHeight="1"/>
  <cols>
    <col width="17.57" customWidth="1" style="184" min="1" max="1"/>
    <col width="20.71" customWidth="1" style="184" min="2" max="2"/>
    <col width="26" customWidth="1" style="184" min="3" max="3"/>
    <col width="18.43" customWidth="1" style="184" min="4" max="4"/>
    <col width="16.57" customWidth="1" style="184" min="5" max="5"/>
    <col width="18.86" customWidth="1" style="184" min="6" max="6"/>
    <col width="17.71" customWidth="1" style="184" min="7" max="7"/>
    <col width="16.86" customWidth="1" style="184" min="8" max="8"/>
    <col width="10.71" customWidth="1" style="184" min="10" max="10"/>
    <col width="20.14" customWidth="1" style="184" min="11" max="11"/>
    <col width="17.43" customWidth="1" style="184" min="15" max="15"/>
    <col width="18.86" customWidth="1" style="184" min="20" max="20"/>
    <col width="16.86" customWidth="1" style="184" min="24" max="24"/>
    <col width="17.57" customWidth="1" style="184" min="28" max="28"/>
  </cols>
  <sheetData>
    <row r="1">
      <c r="A1" s="16" t="inlineStr">
        <is>
          <t>Calculo de MO</t>
        </is>
      </c>
      <c r="S1" s="52" t="n"/>
    </row>
    <row r="2">
      <c r="A2" s="25" t="n"/>
      <c r="B2" s="25" t="n"/>
      <c r="S2" s="52" t="n"/>
      <c r="T2" s="42" t="inlineStr">
        <is>
          <t>Costos: MO</t>
        </is>
      </c>
    </row>
    <row r="3">
      <c r="A3" s="25" t="inlineStr">
        <is>
          <t xml:space="preserve">AREA DE CORTE </t>
        </is>
      </c>
      <c r="S3" s="52" t="n"/>
    </row>
    <row r="4">
      <c r="E4" s="26" t="inlineStr">
        <is>
          <t xml:space="preserve">Bolsas por día </t>
        </is>
      </c>
      <c r="F4" s="29" t="inlineStr">
        <is>
          <t>Mesa de corte</t>
        </is>
      </c>
      <c r="G4" s="29" t="n"/>
      <c r="H4" s="29" t="n"/>
      <c r="K4" s="30" t="inlineStr">
        <is>
          <t xml:space="preserve">Producción por día </t>
        </is>
      </c>
      <c r="L4" s="155" t="inlineStr">
        <is>
          <t>AL MES</t>
        </is>
      </c>
      <c r="M4" s="155" t="inlineStr">
        <is>
          <t>Eficiencia</t>
        </is>
      </c>
      <c r="N4" s="155" t="inlineStr">
        <is>
          <t>Produccion Real</t>
        </is>
      </c>
      <c r="O4" s="32" t="n"/>
      <c r="S4" s="52" t="n"/>
      <c r="T4" s="58" t="inlineStr">
        <is>
          <t>O.Basico</t>
        </is>
      </c>
      <c r="U4" s="58" t="inlineStr">
        <is>
          <t>MYPE</t>
        </is>
      </c>
      <c r="V4" s="58" t="inlineStr">
        <is>
          <t>NoMype</t>
        </is>
      </c>
      <c r="X4" s="54" t="inlineStr">
        <is>
          <t>Costurero básico</t>
        </is>
      </c>
      <c r="Y4" s="54" t="inlineStr">
        <is>
          <t>MYPE</t>
        </is>
      </c>
      <c r="Z4" s="54" t="inlineStr">
        <is>
          <t>NoMype</t>
        </is>
      </c>
      <c r="AB4" s="55" t="inlineStr">
        <is>
          <t>Operario de acabado clásico</t>
        </is>
      </c>
      <c r="AC4" s="57" t="inlineStr">
        <is>
          <t>MYPE</t>
        </is>
      </c>
      <c r="AD4" s="57" t="inlineStr">
        <is>
          <t>NoMype</t>
        </is>
      </c>
    </row>
    <row r="5">
      <c r="C5" s="32" t="inlineStr">
        <is>
          <t xml:space="preserve">Nivel 1 - Operario basico </t>
        </is>
      </c>
      <c r="E5" s="33" t="n">
        <v>6</v>
      </c>
      <c r="F5" s="51" t="n">
        <v>1</v>
      </c>
      <c r="G5" s="29" t="n"/>
      <c r="H5" s="29" t="n"/>
      <c r="I5" s="46">
        <f>E5*F5</f>
        <v/>
      </c>
      <c r="K5" s="155">
        <f>MIN(I8,I14,I20)</f>
        <v/>
      </c>
      <c r="L5" s="155">
        <f>K5*30</f>
        <v/>
      </c>
      <c r="M5" s="39">
        <f>K7+(F7+F13+F19)/100+4%*F21</f>
        <v/>
      </c>
      <c r="N5" s="40">
        <f>ROUND(L5*M5,0)</f>
        <v/>
      </c>
      <c r="O5" s="155" t="inlineStr">
        <is>
          <t>Esta produccion no puede ser superior a lo que permite el material</t>
        </is>
      </c>
      <c r="S5" s="52" t="n"/>
      <c r="T5" s="58" t="inlineStr">
        <is>
          <t>Sueldo base</t>
        </is>
      </c>
      <c r="U5" s="68" t="n">
        <v>1500</v>
      </c>
      <c r="V5" s="68" t="n">
        <v>1500</v>
      </c>
      <c r="X5" s="54" t="inlineStr">
        <is>
          <t>Sueldo base</t>
        </is>
      </c>
      <c r="Y5" s="71" t="n">
        <v>1500</v>
      </c>
      <c r="Z5" s="71" t="n">
        <v>1500</v>
      </c>
      <c r="AB5" s="57" t="inlineStr">
        <is>
          <t>Sueldo base</t>
        </is>
      </c>
      <c r="AC5" s="73" t="n">
        <v>1500</v>
      </c>
      <c r="AD5" s="73" t="n">
        <v>1500</v>
      </c>
    </row>
    <row r="6" ht="20.25" customHeight="1" s="184">
      <c r="C6" s="32" t="inlineStr">
        <is>
          <t xml:space="preserve">Nivel 2 - Cortador con experiencia </t>
        </is>
      </c>
      <c r="E6" s="33" t="n">
        <v>8</v>
      </c>
      <c r="F6" s="51" t="n">
        <v>1</v>
      </c>
      <c r="G6" s="29" t="n"/>
      <c r="H6" s="29" t="n"/>
      <c r="I6" s="46">
        <f>E6*F6</f>
        <v/>
      </c>
      <c r="K6" s="155" t="inlineStr">
        <is>
          <t>Eficiencia BASE</t>
        </is>
      </c>
      <c r="S6" s="52" t="n"/>
      <c r="T6" s="58" t="inlineStr">
        <is>
          <t>Essalud</t>
        </is>
      </c>
      <c r="U6" s="68">
        <f>U5*0.09</f>
        <v/>
      </c>
      <c r="V6" s="68">
        <f>V5*0.09</f>
        <v/>
      </c>
      <c r="X6" s="54" t="inlineStr">
        <is>
          <t>Essalud</t>
        </is>
      </c>
      <c r="Y6" s="71">
        <f>Y5*0.09</f>
        <v/>
      </c>
      <c r="Z6" s="71">
        <f>Z5*0.09</f>
        <v/>
      </c>
      <c r="AB6" s="57" t="inlineStr">
        <is>
          <t>Essalud</t>
        </is>
      </c>
      <c r="AC6" s="73">
        <f>AC5*0.09</f>
        <v/>
      </c>
      <c r="AD6" s="73">
        <f>AD5*0.09</f>
        <v/>
      </c>
    </row>
    <row r="7">
      <c r="C7" s="32" t="inlineStr">
        <is>
          <t xml:space="preserve">Nivel 3 - Maestro cortador </t>
        </is>
      </c>
      <c r="E7" s="33" t="n">
        <v>12</v>
      </c>
      <c r="F7" s="51" t="n">
        <v>0</v>
      </c>
      <c r="G7" s="29" t="n"/>
      <c r="H7" s="29" t="n"/>
      <c r="I7" s="46">
        <f>E7*F7</f>
        <v/>
      </c>
      <c r="K7" s="41" t="n">
        <v>0.9</v>
      </c>
      <c r="S7" s="52" t="n"/>
      <c r="T7" s="58" t="inlineStr">
        <is>
          <t>Grati</t>
        </is>
      </c>
      <c r="U7" s="68">
        <f>U5</f>
        <v/>
      </c>
      <c r="V7" s="68">
        <f>V5*2</f>
        <v/>
      </c>
      <c r="X7" s="54" t="inlineStr">
        <is>
          <t>Grati</t>
        </is>
      </c>
      <c r="Y7" s="71">
        <f>Y5</f>
        <v/>
      </c>
      <c r="Z7" s="71">
        <f>Z5*2</f>
        <v/>
      </c>
      <c r="AB7" s="57" t="inlineStr">
        <is>
          <t>Grati</t>
        </is>
      </c>
      <c r="AC7" s="73">
        <f>AC5</f>
        <v/>
      </c>
      <c r="AD7" s="73">
        <f>AD5*2</f>
        <v/>
      </c>
    </row>
    <row r="8">
      <c r="A8" s="42" t="inlineStr">
        <is>
          <t>AREA DE ENSAMBLADO</t>
        </is>
      </c>
      <c r="E8" s="46" t="n"/>
      <c r="F8" s="29" t="n"/>
      <c r="G8" s="43" t="n"/>
      <c r="H8" s="43" t="n"/>
      <c r="I8" s="44">
        <f>SUM(I5:I7)</f>
        <v/>
      </c>
      <c r="S8" s="52" t="n"/>
      <c r="T8" s="58" t="inlineStr">
        <is>
          <t>CTS</t>
        </is>
      </c>
      <c r="U8" s="68" t="n">
        <v>750</v>
      </c>
      <c r="V8" s="68" t="n">
        <v>1500</v>
      </c>
      <c r="X8" s="54" t="inlineStr">
        <is>
          <t>CTS</t>
        </is>
      </c>
      <c r="Y8" s="71" t="n">
        <v>750</v>
      </c>
      <c r="Z8" s="71" t="n">
        <v>1500</v>
      </c>
      <c r="AB8" s="57" t="inlineStr">
        <is>
          <t>CTS</t>
        </is>
      </c>
      <c r="AC8" s="73" t="n">
        <v>750</v>
      </c>
      <c r="AD8" s="73" t="n">
        <v>1500</v>
      </c>
    </row>
    <row r="9">
      <c r="C9" s="155" t="inlineStr">
        <is>
          <t>Operarios</t>
        </is>
      </c>
      <c r="E9" s="46" t="n"/>
      <c r="F9" s="31" t="inlineStr">
        <is>
          <t>MAQUINARIA MANUAL</t>
        </is>
      </c>
      <c r="G9" s="31" t="inlineStr">
        <is>
          <t xml:space="preserve">MAQUINARIA SEMIINDUSTRIAL </t>
        </is>
      </c>
      <c r="H9" s="31" t="inlineStr">
        <is>
          <t xml:space="preserve">MAQUINARIA INDUSTRIAL </t>
        </is>
      </c>
      <c r="I9" s="46" t="n"/>
      <c r="K9" s="155" t="inlineStr">
        <is>
          <t>Total de trabajadores</t>
        </is>
      </c>
      <c r="L9" s="155">
        <f>SUM(F5:F7,F11:H13,F17:H19)</f>
        <v/>
      </c>
      <c r="S9" s="52" t="n"/>
      <c r="T9" s="58" t="inlineStr">
        <is>
          <t>vacaciones</t>
        </is>
      </c>
      <c r="U9" s="68">
        <f>U5/2</f>
        <v/>
      </c>
      <c r="V9" s="68">
        <f>V5</f>
        <v/>
      </c>
      <c r="X9" s="54" t="inlineStr">
        <is>
          <t>vacaciones</t>
        </is>
      </c>
      <c r="Y9" s="71">
        <f>Y5/2</f>
        <v/>
      </c>
      <c r="Z9" s="71">
        <f>Z5</f>
        <v/>
      </c>
      <c r="AB9" s="57" t="inlineStr">
        <is>
          <t>vacaciones</t>
        </is>
      </c>
      <c r="AC9" s="73">
        <f>AC5/2</f>
        <v/>
      </c>
      <c r="AD9" s="73">
        <f>AD5</f>
        <v/>
      </c>
    </row>
    <row r="10">
      <c r="A10" s="32" t="n"/>
      <c r="B10" s="155" t="n"/>
      <c r="C10" s="155" t="n"/>
      <c r="E10" s="46" t="n"/>
      <c r="F10" s="47" t="n">
        <v>1</v>
      </c>
      <c r="G10" s="47" t="n">
        <v>1.2</v>
      </c>
      <c r="H10" s="47" t="n">
        <v>1.5</v>
      </c>
      <c r="I10" s="46" t="n"/>
      <c r="K10" s="155" t="inlineStr">
        <is>
          <t>total de trabajadores N3</t>
        </is>
      </c>
      <c r="L10" s="155">
        <f>SUM(F7,F13:H13,F19:H19)</f>
        <v/>
      </c>
      <c r="M10" s="49">
        <f>L10/L9</f>
        <v/>
      </c>
      <c r="S10" s="52" t="n"/>
      <c r="T10" s="58" t="inlineStr">
        <is>
          <t>Suma anual</t>
        </is>
      </c>
      <c r="U10" s="68">
        <f>SUM(U6:U9)+U5*12</f>
        <v/>
      </c>
      <c r="V10" s="68">
        <f>SUM(V6:V9)+V5*12</f>
        <v/>
      </c>
      <c r="X10" s="54" t="inlineStr">
        <is>
          <t>Suma anual</t>
        </is>
      </c>
      <c r="Y10" s="71">
        <f>SUM(Y6:Y9)+Y5*12</f>
        <v/>
      </c>
      <c r="Z10" s="71">
        <f>SUM(Z6:Z9)+Z5*12</f>
        <v/>
      </c>
      <c r="AB10" s="57" t="inlineStr">
        <is>
          <t>Suma anual</t>
        </is>
      </c>
      <c r="AC10" s="73">
        <f>SUM(AC6:AC9)+AC5*12</f>
        <v/>
      </c>
      <c r="AD10" s="73">
        <f>SUM(AD6:AD9)+AD5*12</f>
        <v/>
      </c>
    </row>
    <row r="11">
      <c r="A11" s="32" t="n"/>
      <c r="C11" s="155" t="inlineStr">
        <is>
          <t>Nivel 1</t>
        </is>
      </c>
      <c r="E11" s="33" t="n">
        <v>6</v>
      </c>
      <c r="F11" s="51" t="n"/>
      <c r="G11" s="51" t="n"/>
      <c r="H11" s="51" t="n">
        <v>1</v>
      </c>
      <c r="I11" s="46">
        <f>SUM(F11*E11*$F$10,G11*E11*$G$10,H11*E11*$H$10)</f>
        <v/>
      </c>
      <c r="S11" s="52" t="n"/>
      <c r="T11" s="58" t="inlineStr">
        <is>
          <t>Pago mensual</t>
        </is>
      </c>
      <c r="U11" s="68">
        <f>U10/12.5</f>
        <v/>
      </c>
      <c r="V11" s="68">
        <f>V10/13</f>
        <v/>
      </c>
      <c r="X11" s="54" t="inlineStr">
        <is>
          <t>Pago mensual</t>
        </is>
      </c>
      <c r="Y11" s="71">
        <f>Y10/12.5</f>
        <v/>
      </c>
      <c r="Z11" s="71">
        <f>Z10/13</f>
        <v/>
      </c>
      <c r="AB11" s="57" t="inlineStr">
        <is>
          <t>Pago mensual</t>
        </is>
      </c>
      <c r="AC11" s="73">
        <f>AC10/12.5</f>
        <v/>
      </c>
      <c r="AD11" s="73">
        <f>AD10/13</f>
        <v/>
      </c>
    </row>
    <row r="12">
      <c r="A12" s="32" t="n"/>
      <c r="C12" s="155" t="inlineStr">
        <is>
          <t>Nivel 2</t>
        </is>
      </c>
      <c r="E12" s="33" t="n">
        <v>8</v>
      </c>
      <c r="F12" s="51" t="n">
        <v>1</v>
      </c>
      <c r="G12" s="51" t="n"/>
      <c r="H12" s="51" t="n"/>
      <c r="I12" s="46">
        <f>SUM(F12*E12*$F$10,G12*E12*$G$10,H12*E12*$H$10)</f>
        <v/>
      </c>
      <c r="S12" s="52" t="n"/>
    </row>
    <row r="13">
      <c r="A13" s="32" t="n"/>
      <c r="C13" s="155" t="inlineStr">
        <is>
          <t>Nivel 3</t>
        </is>
      </c>
      <c r="E13" s="33" t="n">
        <v>12</v>
      </c>
      <c r="F13" s="51" t="n"/>
      <c r="G13" s="51" t="n">
        <v>1</v>
      </c>
      <c r="H13" s="51" t="n"/>
      <c r="I13" s="46">
        <f>SUM(F13*E13*$F$10,G13*E13*$G$10,H13*E13*$H$10)</f>
        <v/>
      </c>
      <c r="S13" s="52" t="n"/>
      <c r="T13" s="99" t="inlineStr">
        <is>
          <t>Cortador con experiencia</t>
        </is>
      </c>
      <c r="U13" s="58" t="inlineStr">
        <is>
          <t>MYPE</t>
        </is>
      </c>
      <c r="V13" s="58" t="inlineStr">
        <is>
          <t>NoMype</t>
        </is>
      </c>
      <c r="X13" s="100" t="inlineStr">
        <is>
          <t>Maquinista industrial</t>
        </is>
      </c>
      <c r="Y13" s="54" t="inlineStr">
        <is>
          <t>MYPE</t>
        </is>
      </c>
      <c r="Z13" s="54" t="inlineStr">
        <is>
          <t>NoMype</t>
        </is>
      </c>
      <c r="AB13" s="55" t="inlineStr">
        <is>
          <t>Técnico de acabado</t>
        </is>
      </c>
      <c r="AC13" s="57" t="inlineStr">
        <is>
          <t>MYPE</t>
        </is>
      </c>
      <c r="AD13" s="57" t="inlineStr">
        <is>
          <t>NoMype</t>
        </is>
      </c>
    </row>
    <row r="14">
      <c r="A14" s="42" t="inlineStr">
        <is>
          <t xml:space="preserve">AREA DE ACABADO </t>
        </is>
      </c>
      <c r="E14" s="46" t="n"/>
      <c r="F14" s="29" t="n"/>
      <c r="G14" s="43" t="n"/>
      <c r="H14" s="43" t="n"/>
      <c r="I14" s="44">
        <f>SUM(I11:I13)</f>
        <v/>
      </c>
      <c r="S14" s="52" t="n"/>
      <c r="T14" s="58" t="inlineStr">
        <is>
          <t>Sueldo base</t>
        </is>
      </c>
      <c r="U14" s="68" t="n">
        <v>2000</v>
      </c>
      <c r="V14" s="68" t="n">
        <v>2000</v>
      </c>
      <c r="X14" s="54" t="inlineStr">
        <is>
          <t>Sueldo base</t>
        </is>
      </c>
      <c r="Y14" s="71" t="n">
        <v>2800</v>
      </c>
      <c r="Z14" s="71" t="n">
        <v>2800</v>
      </c>
      <c r="AB14" s="57" t="inlineStr">
        <is>
          <t>Sueldo base</t>
        </is>
      </c>
      <c r="AC14" s="73" t="n">
        <v>2800</v>
      </c>
      <c r="AD14" s="73" t="n">
        <v>2800</v>
      </c>
    </row>
    <row r="15" ht="18" customHeight="1" s="184">
      <c r="C15" s="155" t="inlineStr">
        <is>
          <t>Operarios</t>
        </is>
      </c>
      <c r="E15" s="56" t="n"/>
      <c r="F15" s="31" t="inlineStr">
        <is>
          <t>MAQUINARIA MANUAL</t>
        </is>
      </c>
      <c r="G15" s="31" t="inlineStr">
        <is>
          <t xml:space="preserve">MAQUINARIA SEMIINDUSTRIAL </t>
        </is>
      </c>
      <c r="H15" s="31" t="inlineStr">
        <is>
          <t xml:space="preserve">MAQUINARIA INDUSTRIAL </t>
        </is>
      </c>
      <c r="I15" s="46" t="n"/>
      <c r="S15" s="52" t="n"/>
      <c r="T15" s="58" t="inlineStr">
        <is>
          <t>Essalud</t>
        </is>
      </c>
      <c r="U15" s="68">
        <f>U14*0.09</f>
        <v/>
      </c>
      <c r="V15" s="68">
        <f>V14*0.09</f>
        <v/>
      </c>
      <c r="X15" s="54" t="inlineStr">
        <is>
          <t>Essalud</t>
        </is>
      </c>
      <c r="Y15" s="71">
        <f>Y14*0.09</f>
        <v/>
      </c>
      <c r="Z15" s="71">
        <f>Z14*0.09</f>
        <v/>
      </c>
      <c r="AB15" s="57" t="inlineStr">
        <is>
          <t>Essalud</t>
        </is>
      </c>
      <c r="AC15" s="73">
        <f>AC14*0.09</f>
        <v/>
      </c>
      <c r="AD15" s="73">
        <f>AD14*0.09</f>
        <v/>
      </c>
    </row>
    <row r="16">
      <c r="A16" s="32" t="n"/>
      <c r="C16" s="155" t="n"/>
      <c r="E16" s="46" t="n"/>
      <c r="F16" s="47" t="n">
        <v>1</v>
      </c>
      <c r="G16" s="47" t="n">
        <v>1.2</v>
      </c>
      <c r="H16" s="47" t="n">
        <v>1.5</v>
      </c>
      <c r="I16" s="46" t="n"/>
      <c r="S16" s="52" t="n"/>
      <c r="T16" s="58" t="inlineStr">
        <is>
          <t>Grati</t>
        </is>
      </c>
      <c r="U16" s="68">
        <f>U14</f>
        <v/>
      </c>
      <c r="V16" s="68">
        <f>V14*2</f>
        <v/>
      </c>
      <c r="X16" s="54" t="inlineStr">
        <is>
          <t>Grati</t>
        </is>
      </c>
      <c r="Y16" s="71">
        <f>Y14</f>
        <v/>
      </c>
      <c r="Z16" s="71">
        <f>Z14*2</f>
        <v/>
      </c>
      <c r="AB16" s="57" t="inlineStr">
        <is>
          <t>Grati</t>
        </is>
      </c>
      <c r="AC16" s="73">
        <f>AC14</f>
        <v/>
      </c>
      <c r="AD16" s="73">
        <f>AD14*2</f>
        <v/>
      </c>
    </row>
    <row r="17">
      <c r="A17" s="32" t="n"/>
      <c r="C17" s="155" t="inlineStr">
        <is>
          <t>Nivel 1</t>
        </is>
      </c>
      <c r="E17" s="33" t="n">
        <v>6</v>
      </c>
      <c r="F17" s="51" t="n"/>
      <c r="G17" s="51" t="n"/>
      <c r="H17" s="51" t="n"/>
      <c r="I17" s="46">
        <f>SUM(F17*E17*$F$16,G17*E17*$G$16,H17*E17*$H$16)</f>
        <v/>
      </c>
      <c r="S17" s="52" t="n"/>
      <c r="T17" s="58" t="inlineStr">
        <is>
          <t>CTS</t>
        </is>
      </c>
      <c r="U17" s="68">
        <f>U14/2</f>
        <v/>
      </c>
      <c r="V17" s="68">
        <f>V14</f>
        <v/>
      </c>
      <c r="X17" s="54" t="inlineStr">
        <is>
          <t>CTS</t>
        </is>
      </c>
      <c r="Y17" s="71" t="n">
        <v>750</v>
      </c>
      <c r="Z17" s="71" t="n">
        <v>1500</v>
      </c>
      <c r="AB17" s="57" t="inlineStr">
        <is>
          <t>CTS</t>
        </is>
      </c>
      <c r="AC17" s="73" t="n">
        <v>750</v>
      </c>
      <c r="AD17" s="73" t="n">
        <v>1500</v>
      </c>
    </row>
    <row r="18">
      <c r="A18" s="32" t="n"/>
      <c r="C18" s="155" t="inlineStr">
        <is>
          <t>Nivel 2</t>
        </is>
      </c>
      <c r="E18" s="33" t="n">
        <v>8</v>
      </c>
      <c r="F18" s="51" t="n"/>
      <c r="G18" s="51" t="n"/>
      <c r="H18" s="51" t="n">
        <v>1</v>
      </c>
      <c r="I18" s="46">
        <f>SUM(F18*E18*$F$16,G18*E18*$G$16,H18*E18*$H$16)</f>
        <v/>
      </c>
      <c r="S18" s="52" t="n"/>
      <c r="T18" s="58" t="inlineStr">
        <is>
          <t>vacaciones</t>
        </is>
      </c>
      <c r="U18" s="68">
        <f>U14/2</f>
        <v/>
      </c>
      <c r="V18" s="68">
        <f>V14</f>
        <v/>
      </c>
      <c r="X18" s="54" t="inlineStr">
        <is>
          <t>vacaciones</t>
        </is>
      </c>
      <c r="Y18" s="71">
        <f>Y14/2</f>
        <v/>
      </c>
      <c r="Z18" s="71">
        <f>Z14</f>
        <v/>
      </c>
      <c r="AB18" s="57" t="inlineStr">
        <is>
          <t>vacaciones</t>
        </is>
      </c>
      <c r="AC18" s="73">
        <f>AC14/2</f>
        <v/>
      </c>
      <c r="AD18" s="73">
        <f>AD14</f>
        <v/>
      </c>
    </row>
    <row r="19">
      <c r="A19" s="32" t="n"/>
      <c r="C19" s="155" t="inlineStr">
        <is>
          <t>Nivel 3</t>
        </is>
      </c>
      <c r="E19" s="33" t="n">
        <v>12</v>
      </c>
      <c r="F19" s="51" t="n">
        <v>1</v>
      </c>
      <c r="G19" s="51" t="n"/>
      <c r="H19" s="51" t="n"/>
      <c r="I19" s="46">
        <f>SUM(F19*E19*$F$16,G19*E19*$G$16,H19*E19*$H$16)</f>
        <v/>
      </c>
      <c r="S19" s="52" t="n"/>
      <c r="T19" s="58" t="inlineStr">
        <is>
          <t>Suma anual</t>
        </is>
      </c>
      <c r="U19" s="68">
        <f>SUM(U15:U18)+U14*12</f>
        <v/>
      </c>
      <c r="V19" s="68">
        <f>SUM(V15:V18)+V14*12</f>
        <v/>
      </c>
      <c r="X19" s="54" t="inlineStr">
        <is>
          <t>Suma anual</t>
        </is>
      </c>
      <c r="Y19" s="71">
        <f>SUM(Y15:Y18)+Y14*12</f>
        <v/>
      </c>
      <c r="Z19" s="71">
        <f>SUM(Z15:Z18)+Z14*12</f>
        <v/>
      </c>
      <c r="AB19" s="57" t="inlineStr">
        <is>
          <t>Suma anual</t>
        </is>
      </c>
      <c r="AC19" s="73">
        <f>SUM(AC15:AC18)+AC14*12</f>
        <v/>
      </c>
      <c r="AD19" s="73">
        <f>SUM(AD15:AD18)+AD14*12</f>
        <v/>
      </c>
    </row>
    <row r="20">
      <c r="G20" s="58" t="n"/>
      <c r="H20" s="58" t="n"/>
      <c r="I20" s="44">
        <f>SUM(I17:I19)</f>
        <v/>
      </c>
      <c r="S20" s="52" t="n"/>
      <c r="T20" s="58" t="inlineStr">
        <is>
          <t>Pago mensual</t>
        </is>
      </c>
      <c r="U20" s="68">
        <f>U19/12.5</f>
        <v/>
      </c>
      <c r="V20" s="68">
        <f>V19/13</f>
        <v/>
      </c>
      <c r="X20" s="54" t="inlineStr">
        <is>
          <t>Pago mensual</t>
        </is>
      </c>
      <c r="Y20" s="71">
        <f>Y19/12.5</f>
        <v/>
      </c>
      <c r="Z20" s="71">
        <f>Z19/13</f>
        <v/>
      </c>
      <c r="AB20" s="57" t="inlineStr">
        <is>
          <t>Pago mensual</t>
        </is>
      </c>
      <c r="AC20" s="73">
        <f>AC19/12.5</f>
        <v/>
      </c>
      <c r="AD20" s="73">
        <f>AD19/13</f>
        <v/>
      </c>
    </row>
    <row r="21">
      <c r="A21" s="155" t="inlineStr">
        <is>
          <t>Jefe de Produccion</t>
        </is>
      </c>
      <c r="F21" s="59" t="n">
        <v>0</v>
      </c>
      <c r="S21" s="52" t="n"/>
    </row>
    <row r="22">
      <c r="S22" s="52" t="n"/>
      <c r="T22" s="58" t="inlineStr">
        <is>
          <t>Maestro cortador</t>
        </is>
      </c>
      <c r="U22" s="58" t="inlineStr">
        <is>
          <t>MYPE</t>
        </is>
      </c>
      <c r="V22" s="58" t="inlineStr">
        <is>
          <t>NoMype</t>
        </is>
      </c>
      <c r="X22" s="100" t="inlineStr">
        <is>
          <t>Marroquinero especializado</t>
        </is>
      </c>
      <c r="Y22" s="54" t="inlineStr">
        <is>
          <t>MYPE</t>
        </is>
      </c>
      <c r="Z22" s="54" t="inlineStr">
        <is>
          <t>NoMype</t>
        </is>
      </c>
      <c r="AB22" s="55" t="inlineStr">
        <is>
          <t>Artesano acabador</t>
        </is>
      </c>
      <c r="AC22" s="57" t="inlineStr">
        <is>
          <t>MYPE</t>
        </is>
      </c>
      <c r="AD22" s="57" t="inlineStr">
        <is>
          <t>NoMype</t>
        </is>
      </c>
    </row>
    <row r="23">
      <c r="B23" s="155" t="inlineStr">
        <is>
          <t xml:space="preserve">NOTA: EL PROCETANJE DE TRABAJADORES DE NIVEL 3 AFECTA POSITIVAMENTE A LA EFICIENCIA </t>
        </is>
      </c>
      <c r="S23" s="52" t="n"/>
      <c r="T23" s="58" t="inlineStr">
        <is>
          <t>Sueldo base</t>
        </is>
      </c>
      <c r="U23" s="68" t="n">
        <v>3800</v>
      </c>
      <c r="V23" s="68" t="n">
        <v>3800</v>
      </c>
      <c r="X23" s="54" t="inlineStr">
        <is>
          <t>Sueldo base</t>
        </is>
      </c>
      <c r="Y23" s="71" t="n">
        <v>4500</v>
      </c>
      <c r="Z23" s="71" t="n">
        <v>4500</v>
      </c>
      <c r="AB23" s="57" t="inlineStr">
        <is>
          <t>Sueldo base</t>
        </is>
      </c>
      <c r="AC23" s="73" t="n">
        <v>4500</v>
      </c>
      <c r="AD23" s="73" t="n">
        <v>4500</v>
      </c>
    </row>
    <row r="24">
      <c r="S24" s="52" t="n"/>
      <c r="T24" s="58" t="inlineStr">
        <is>
          <t>Essalud</t>
        </is>
      </c>
      <c r="U24" s="68">
        <f>U23*0.09</f>
        <v/>
      </c>
      <c r="V24" s="68">
        <f>V23*0.09</f>
        <v/>
      </c>
      <c r="X24" s="54" t="inlineStr">
        <is>
          <t>Essalud</t>
        </is>
      </c>
      <c r="Y24" s="71">
        <f>Y23*0.09</f>
        <v/>
      </c>
      <c r="Z24" s="71">
        <f>Z23*0.09</f>
        <v/>
      </c>
      <c r="AB24" s="57" t="inlineStr">
        <is>
          <t>Essalud</t>
        </is>
      </c>
      <c r="AC24" s="73">
        <f>AC23*0.09</f>
        <v/>
      </c>
      <c r="AD24" s="73">
        <f>AD23*0.09</f>
        <v/>
      </c>
    </row>
    <row r="25">
      <c r="A25" s="60" t="inlineStr">
        <is>
          <t>Calculo de MP</t>
        </is>
      </c>
      <c r="S25" s="52" t="n"/>
      <c r="T25" s="58" t="inlineStr">
        <is>
          <t>Grati</t>
        </is>
      </c>
      <c r="U25" s="68">
        <f>U23</f>
        <v/>
      </c>
      <c r="V25" s="68">
        <f>V23*2</f>
        <v/>
      </c>
      <c r="X25" s="54" t="inlineStr">
        <is>
          <t>Grati</t>
        </is>
      </c>
      <c r="Y25" s="71">
        <f>Y23</f>
        <v/>
      </c>
      <c r="Z25" s="71">
        <f>Z23*2</f>
        <v/>
      </c>
      <c r="AB25" s="57" t="inlineStr">
        <is>
          <t>Grati</t>
        </is>
      </c>
      <c r="AC25" s="73">
        <f>AC23</f>
        <v/>
      </c>
      <c r="AD25" s="73">
        <f>AD23*2</f>
        <v/>
      </c>
    </row>
    <row r="26">
      <c r="S26" s="52" t="n"/>
      <c r="T26" s="58" t="inlineStr">
        <is>
          <t>CTS</t>
        </is>
      </c>
      <c r="U26" s="68" t="n">
        <v>750</v>
      </c>
      <c r="V26" s="68" t="n">
        <v>1500</v>
      </c>
      <c r="X26" s="54" t="inlineStr">
        <is>
          <t>CTS</t>
        </is>
      </c>
      <c r="Y26" s="71" t="n">
        <v>750</v>
      </c>
      <c r="Z26" s="71" t="n">
        <v>1500</v>
      </c>
      <c r="AB26" s="57" t="inlineStr">
        <is>
          <t>CTS</t>
        </is>
      </c>
      <c r="AC26" s="73" t="n">
        <v>750</v>
      </c>
      <c r="AD26" s="73" t="n">
        <v>1500</v>
      </c>
    </row>
    <row r="27" ht="24" customHeight="1" s="184">
      <c r="A27" s="102" t="n"/>
      <c r="B27" s="102" t="n"/>
      <c r="C27" s="102" t="n"/>
      <c r="D27" s="63" t="inlineStr">
        <is>
          <t>Calidad del cuero</t>
        </is>
      </c>
      <c r="E27" s="63" t="inlineStr">
        <is>
          <t>Calidad del cuero</t>
        </is>
      </c>
      <c r="F27" s="63" t="inlineStr">
        <is>
          <t>Calidad del cuero</t>
        </is>
      </c>
      <c r="G27" s="114" t="inlineStr">
        <is>
          <t>Calidad de accesorios</t>
        </is>
      </c>
      <c r="H27" s="114" t="inlineStr">
        <is>
          <t>Calidad de accesorios</t>
        </is>
      </c>
      <c r="I27" s="67" t="inlineStr">
        <is>
          <t>Calidad del hilo</t>
        </is>
      </c>
      <c r="J27" s="67" t="inlineStr">
        <is>
          <t>Calidad del hilo</t>
        </is>
      </c>
      <c r="K27" s="67" t="inlineStr">
        <is>
          <t>Calidad del hilo</t>
        </is>
      </c>
      <c r="L27" s="102" t="n"/>
      <c r="M27" s="102" t="n"/>
      <c r="N27" s="102" t="n"/>
      <c r="O27" s="102" t="n"/>
      <c r="P27" s="102" t="n"/>
      <c r="Q27" s="102" t="n"/>
      <c r="R27" s="102" t="n"/>
      <c r="S27" s="120" t="n"/>
      <c r="T27" s="58" t="inlineStr">
        <is>
          <t>vacaciones</t>
        </is>
      </c>
      <c r="U27" s="68">
        <f>U23/2</f>
        <v/>
      </c>
      <c r="V27" s="68">
        <f>V23</f>
        <v/>
      </c>
      <c r="W27" s="102" t="n"/>
      <c r="X27" s="54" t="inlineStr">
        <is>
          <t>vacaciones</t>
        </is>
      </c>
      <c r="Y27" s="71">
        <f>Y23/2</f>
        <v/>
      </c>
      <c r="Z27" s="71">
        <f>Z23</f>
        <v/>
      </c>
      <c r="AA27" s="102" t="n"/>
      <c r="AB27" s="57" t="inlineStr">
        <is>
          <t>vacaciones</t>
        </is>
      </c>
      <c r="AC27" s="73">
        <f>AC23/2</f>
        <v/>
      </c>
      <c r="AD27" s="73">
        <f>AD23</f>
        <v/>
      </c>
    </row>
    <row r="28" ht="12.75" customHeight="1" s="184">
      <c r="A28" s="102" t="n"/>
      <c r="B28" s="102" t="n"/>
      <c r="C28" s="102" t="n"/>
      <c r="D28" s="70" t="inlineStr">
        <is>
          <t>Nivel 1 - Cuero sintetico</t>
        </is>
      </c>
      <c r="E28" s="70" t="inlineStr">
        <is>
          <t>Nivel 2 - Cuero genuino estandar</t>
        </is>
      </c>
      <c r="F28" s="70" t="inlineStr">
        <is>
          <t>Nivel 3 - Cuero genuino premium</t>
        </is>
      </c>
      <c r="G28" s="70" t="inlineStr">
        <is>
          <t>Nivel 1 - Aleacion economica</t>
        </is>
      </c>
      <c r="H28" s="70" t="inlineStr">
        <is>
          <t>Nivel 2 - Metal premium</t>
        </is>
      </c>
      <c r="I28" s="70" t="inlineStr">
        <is>
          <t>Nivel 1 - Poliester estandar</t>
        </is>
      </c>
      <c r="J28" s="70" t="inlineStr">
        <is>
          <t>Nivel 2 - Encerado reforzado</t>
        </is>
      </c>
      <c r="K28" s="70" t="inlineStr">
        <is>
          <t>Nivel 3 - Alta tenacidad (nylon trenzado)</t>
        </is>
      </c>
      <c r="L28" s="102" t="n"/>
      <c r="M28" s="102" t="n"/>
      <c r="N28" s="102" t="n"/>
      <c r="O28" s="102" t="n"/>
      <c r="P28" s="102" t="n"/>
      <c r="Q28" s="102" t="n"/>
      <c r="R28" s="102" t="n"/>
      <c r="S28" s="120" t="n"/>
      <c r="T28" s="58" t="inlineStr">
        <is>
          <t>Suma anual</t>
        </is>
      </c>
      <c r="U28" s="68">
        <f>SUM(U24:U27)+U23*12</f>
        <v/>
      </c>
      <c r="V28" s="68">
        <f>SUM(V24:V27)+V23*12</f>
        <v/>
      </c>
      <c r="W28" s="102" t="n"/>
      <c r="X28" s="54" t="inlineStr">
        <is>
          <t>Suma anual</t>
        </is>
      </c>
      <c r="Y28" s="71">
        <f>SUM(Y24:Y27)+Y23*12</f>
        <v/>
      </c>
      <c r="Z28" s="71">
        <f>SUM(Z24:Z27)+Z23*12</f>
        <v/>
      </c>
      <c r="AA28" s="102" t="n"/>
      <c r="AB28" s="57" t="inlineStr">
        <is>
          <t>Suma anual</t>
        </is>
      </c>
      <c r="AC28" s="73">
        <f>SUM(AC24:AC27)+AC23*12</f>
        <v/>
      </c>
      <c r="AD28" s="73">
        <f>SUM(AD24:AD27)+AD23*12</f>
        <v/>
      </c>
    </row>
    <row r="29" ht="19.5" customHeight="1" s="184">
      <c r="A29" s="102" t="n"/>
      <c r="B29" s="102" t="n"/>
      <c r="C29" s="31" t="inlineStr">
        <is>
          <t>UM Compra</t>
        </is>
      </c>
      <c r="D29" s="31" t="inlineStr">
        <is>
          <t>rollo</t>
        </is>
      </c>
      <c r="E29" s="31" t="inlineStr">
        <is>
          <t>Piel completa</t>
        </is>
      </c>
      <c r="F29" s="31" t="inlineStr">
        <is>
          <t>Piel completa</t>
        </is>
      </c>
      <c r="G29" s="31" t="inlineStr">
        <is>
          <t>Juego</t>
        </is>
      </c>
      <c r="H29" s="31" t="inlineStr">
        <is>
          <t>Juego</t>
        </is>
      </c>
      <c r="I29" s="31" t="inlineStr">
        <is>
          <t>Carrete</t>
        </is>
      </c>
      <c r="J29" s="31" t="inlineStr">
        <is>
          <t>Carrete</t>
        </is>
      </c>
      <c r="K29" s="31" t="inlineStr">
        <is>
          <t>Carrete</t>
        </is>
      </c>
      <c r="L29" s="102" t="n"/>
      <c r="M29" s="74" t="n"/>
      <c r="N29" s="75" t="n"/>
      <c r="O29" s="102" t="n"/>
      <c r="P29" s="102" t="n"/>
      <c r="Q29" s="102" t="n"/>
      <c r="R29" s="102" t="n"/>
      <c r="S29" s="120" t="n"/>
      <c r="T29" s="58" t="inlineStr">
        <is>
          <t>Pago mensual</t>
        </is>
      </c>
      <c r="U29" s="68">
        <f>U28/12.5</f>
        <v/>
      </c>
      <c r="V29" s="68">
        <f>V28/13</f>
        <v/>
      </c>
      <c r="W29" s="102" t="n"/>
      <c r="X29" s="54" t="inlineStr">
        <is>
          <t>Pago mensual</t>
        </is>
      </c>
      <c r="Y29" s="71">
        <f>Y28/12.5</f>
        <v/>
      </c>
      <c r="Z29" s="71">
        <f>Z28/13</f>
        <v/>
      </c>
      <c r="AA29" s="102" t="n"/>
      <c r="AB29" s="57" t="inlineStr">
        <is>
          <t>Pago mensual</t>
        </is>
      </c>
      <c r="AC29" s="73">
        <f>AC28/12.5</f>
        <v/>
      </c>
      <c r="AD29" s="73">
        <f>AD28/13</f>
        <v/>
      </c>
    </row>
    <row r="30" ht="40.5" customHeight="1" s="184">
      <c r="C30" s="31" t="inlineStr">
        <is>
          <t>UM Produccion</t>
        </is>
      </c>
      <c r="D30" s="35" t="inlineStr">
        <is>
          <t>m2</t>
        </is>
      </c>
      <c r="E30" s="35" t="inlineStr">
        <is>
          <t>m2</t>
        </is>
      </c>
      <c r="F30" s="35" t="inlineStr">
        <is>
          <t>m2</t>
        </is>
      </c>
      <c r="G30" s="35" t="inlineStr">
        <is>
          <t>unidad</t>
        </is>
      </c>
      <c r="H30" s="35" t="inlineStr">
        <is>
          <t>unidad</t>
        </is>
      </c>
      <c r="I30" s="35" t="inlineStr">
        <is>
          <t>metro</t>
        </is>
      </c>
      <c r="J30" s="35" t="inlineStr">
        <is>
          <t>metro</t>
        </is>
      </c>
      <c r="K30" s="35" t="inlineStr">
        <is>
          <t>metro</t>
        </is>
      </c>
      <c r="S30" s="52" t="n"/>
    </row>
    <row r="31">
      <c r="B31" s="155" t="inlineStr">
        <is>
          <t>Cantidad necesaria</t>
        </is>
      </c>
      <c r="C31" s="132" t="inlineStr">
        <is>
          <t>Compra Jugador</t>
        </is>
      </c>
      <c r="D31" s="133" t="n">
        <v>60</v>
      </c>
      <c r="E31" s="133" t="n">
        <v>55</v>
      </c>
      <c r="F31" s="133" t="n">
        <v>15</v>
      </c>
      <c r="G31" s="133" t="n">
        <v>200</v>
      </c>
      <c r="H31" s="133" t="n">
        <v>190</v>
      </c>
      <c r="I31" s="133" t="n">
        <v>0</v>
      </c>
      <c r="J31" s="133" t="n">
        <v>6</v>
      </c>
      <c r="K31" s="133" t="n">
        <v>7</v>
      </c>
      <c r="S31" s="52" t="n"/>
    </row>
    <row r="32">
      <c r="C32" s="139" t="inlineStr">
        <is>
          <t>Cantidad Produccion</t>
        </is>
      </c>
      <c r="D32" s="135" t="n">
        <v>1</v>
      </c>
      <c r="E32" s="135" t="n">
        <v>2</v>
      </c>
      <c r="F32" s="135" t="n">
        <v>2</v>
      </c>
      <c r="G32" s="135" t="n">
        <v>1</v>
      </c>
      <c r="H32" s="135" t="n">
        <v>1</v>
      </c>
      <c r="I32" s="135" t="n">
        <v>270</v>
      </c>
      <c r="J32" s="135" t="n">
        <v>250</v>
      </c>
      <c r="K32" s="135" t="n">
        <v>200</v>
      </c>
      <c r="S32" s="52" t="n"/>
      <c r="T32" s="136" t="inlineStr">
        <is>
          <t>Jefatura</t>
        </is>
      </c>
      <c r="U32" s="136" t="inlineStr">
        <is>
          <t>MYPE</t>
        </is>
      </c>
      <c r="V32" s="136" t="inlineStr">
        <is>
          <t>NoMype</t>
        </is>
      </c>
      <c r="X32" s="137" t="inlineStr">
        <is>
          <t>Limpieza</t>
        </is>
      </c>
      <c r="Y32" s="137" t="inlineStr">
        <is>
          <t>MYPE</t>
        </is>
      </c>
      <c r="Z32" s="137" t="inlineStr">
        <is>
          <t>NoMype</t>
        </is>
      </c>
      <c r="AB32" s="182" t="inlineStr">
        <is>
          <t>Local de producción</t>
        </is>
      </c>
      <c r="AC32" s="182" t="inlineStr">
        <is>
          <t>MYPE</t>
        </is>
      </c>
      <c r="AD32" s="182" t="inlineStr">
        <is>
          <t>NoMype</t>
        </is>
      </c>
    </row>
    <row r="33">
      <c r="C33" s="139" t="n"/>
      <c r="D33" s="79">
        <f>D31*D32</f>
        <v/>
      </c>
      <c r="E33" s="79">
        <f>E31*E32</f>
        <v/>
      </c>
      <c r="F33" s="79">
        <f>F31*F32</f>
        <v/>
      </c>
      <c r="G33" s="79">
        <f>G31*G32</f>
        <v/>
      </c>
      <c r="H33" s="79">
        <f>H31*H32</f>
        <v/>
      </c>
      <c r="I33" s="79">
        <f>I31*I32</f>
        <v/>
      </c>
      <c r="J33" s="79">
        <f>J31*J32</f>
        <v/>
      </c>
      <c r="K33" s="79">
        <f>K31*K32</f>
        <v/>
      </c>
      <c r="S33" s="52" t="n"/>
      <c r="T33" s="136" t="inlineStr">
        <is>
          <t>Sueldo base</t>
        </is>
      </c>
      <c r="U33" s="143" t="n">
        <v>3000</v>
      </c>
      <c r="V33" s="143" t="n">
        <v>3000</v>
      </c>
      <c r="X33" s="137" t="inlineStr">
        <is>
          <t>Sueldo base</t>
        </is>
      </c>
      <c r="Y33" s="144" t="n">
        <v>600</v>
      </c>
      <c r="Z33" s="144" t="n">
        <v>600</v>
      </c>
      <c r="AB33" s="182" t="inlineStr">
        <is>
          <t>Costo fijo</t>
        </is>
      </c>
      <c r="AC33" s="183" t="n">
        <v>2000</v>
      </c>
      <c r="AD33" s="183" t="n">
        <v>2000</v>
      </c>
    </row>
    <row r="34">
      <c r="S34" s="52" t="n"/>
      <c r="T34" s="136" t="inlineStr">
        <is>
          <t>Essalud</t>
        </is>
      </c>
      <c r="U34" s="143">
        <f>U33*0.09</f>
        <v/>
      </c>
      <c r="V34" s="143">
        <f>V33*0.09</f>
        <v/>
      </c>
      <c r="X34" s="137" t="inlineStr">
        <is>
          <t>Essalud</t>
        </is>
      </c>
      <c r="Y34" s="144">
        <f>Y33*0.09</f>
        <v/>
      </c>
      <c r="Z34" s="144">
        <f>Z33*0.09</f>
        <v/>
      </c>
      <c r="AC34" s="181" t="n"/>
      <c r="AD34" s="181" t="n"/>
    </row>
    <row r="35">
      <c r="H35" s="155" t="inlineStr">
        <is>
          <t>InventarioFinal = InventarioInicial + compras - produccido</t>
        </is>
      </c>
      <c r="S35" s="52" t="n"/>
      <c r="T35" s="136" t="inlineStr">
        <is>
          <t>Grati</t>
        </is>
      </c>
      <c r="U35" s="143">
        <f>U33</f>
        <v/>
      </c>
      <c r="V35" s="143">
        <f>V33*2</f>
        <v/>
      </c>
      <c r="X35" s="137" t="inlineStr">
        <is>
          <t>Grati</t>
        </is>
      </c>
      <c r="Y35" s="144">
        <f>Y33</f>
        <v/>
      </c>
      <c r="Z35" s="144">
        <f>Z33*2</f>
        <v/>
      </c>
      <c r="AC35" s="181" t="n"/>
      <c r="AD35" s="181" t="n"/>
    </row>
    <row r="36">
      <c r="D36" s="35" t="inlineStr">
        <is>
          <t>m2</t>
        </is>
      </c>
      <c r="E36" s="35" t="inlineStr">
        <is>
          <t>unidad</t>
        </is>
      </c>
      <c r="F36" s="35" t="inlineStr">
        <is>
          <t>metro</t>
        </is>
      </c>
      <c r="H36" s="155" t="inlineStr">
        <is>
          <t>Almacen</t>
        </is>
      </c>
      <c r="S36" s="52" t="n"/>
      <c r="T36" s="136" t="inlineStr">
        <is>
          <t>CTS</t>
        </is>
      </c>
      <c r="U36" s="143" t="n">
        <v>750</v>
      </c>
      <c r="V36" s="143" t="n">
        <v>1500</v>
      </c>
      <c r="X36" s="137" t="inlineStr">
        <is>
          <t>CTS</t>
        </is>
      </c>
      <c r="Y36" s="144" t="n">
        <v>750</v>
      </c>
      <c r="Z36" s="144" t="n">
        <v>1500</v>
      </c>
      <c r="AC36" s="181" t="n"/>
      <c r="AD36" s="181" t="n"/>
    </row>
    <row r="37">
      <c r="C37" s="155" t="inlineStr">
        <is>
          <t>Moldes (siempre debe comprar al menos uno)</t>
        </is>
      </c>
      <c r="D37" s="37" t="inlineStr">
        <is>
          <t>Cuero</t>
        </is>
      </c>
      <c r="E37" s="37" t="inlineStr">
        <is>
          <t>Accesorios</t>
        </is>
      </c>
      <c r="F37" s="37" t="inlineStr">
        <is>
          <t>Hilos</t>
        </is>
      </c>
      <c r="H37" s="37" t="inlineStr">
        <is>
          <t>Cuero</t>
        </is>
      </c>
      <c r="I37" s="37" t="inlineStr">
        <is>
          <t>Accesorios</t>
        </is>
      </c>
      <c r="J37" s="37" t="inlineStr">
        <is>
          <t>Hilos</t>
        </is>
      </c>
      <c r="S37" s="52" t="n"/>
      <c r="T37" s="136" t="inlineStr">
        <is>
          <t>vacaciones</t>
        </is>
      </c>
      <c r="U37" s="143">
        <f>U33/2</f>
        <v/>
      </c>
      <c r="V37" s="143">
        <f>V33</f>
        <v/>
      </c>
      <c r="X37" s="137" t="inlineStr">
        <is>
          <t>vacaciones</t>
        </is>
      </c>
      <c r="Y37" s="144">
        <f>Y33/2</f>
        <v/>
      </c>
      <c r="Z37" s="144">
        <f>Z33</f>
        <v/>
      </c>
      <c r="AC37" s="181" t="n"/>
      <c r="AD37" s="181" t="n"/>
    </row>
    <row r="38">
      <c r="C38" s="76" t="inlineStr">
        <is>
          <t>Nivel 1 - Generico basico</t>
        </is>
      </c>
      <c r="D38" s="77" t="n">
        <v>0.3</v>
      </c>
      <c r="E38" s="77" t="n">
        <v>1</v>
      </c>
      <c r="F38" s="77" t="n">
        <v>6</v>
      </c>
      <c r="H38" s="148">
        <f>SUM(D33:F33)</f>
        <v/>
      </c>
      <c r="I38" s="148">
        <f>SUM(G33:H33)</f>
        <v/>
      </c>
      <c r="J38" s="148">
        <f>SUM(I33:K33)</f>
        <v/>
      </c>
      <c r="S38" s="52" t="n"/>
      <c r="T38" s="136" t="inlineStr">
        <is>
          <t>Suma anual</t>
        </is>
      </c>
      <c r="U38" s="143">
        <f>SUM(U34:U37)+U33*12</f>
        <v/>
      </c>
      <c r="V38" s="143">
        <f>SUM(V34:V37)+V33*12</f>
        <v/>
      </c>
      <c r="X38" s="137" t="inlineStr">
        <is>
          <t>Suma anual</t>
        </is>
      </c>
      <c r="Y38" s="144">
        <f>SUM(Y34:Y37)+Y33*12</f>
        <v/>
      </c>
      <c r="Z38" s="144">
        <f>SUM(Z34:Z37)+Z33*12</f>
        <v/>
      </c>
      <c r="AC38" s="181" t="n"/>
      <c r="AD38" s="181" t="n"/>
    </row>
    <row r="39">
      <c r="C39" s="76" t="inlineStr">
        <is>
          <t>Nivel 2 - Generico mejorado</t>
        </is>
      </c>
      <c r="D39" s="77" t="n">
        <v>0.4</v>
      </c>
      <c r="E39" s="77" t="n">
        <v>1</v>
      </c>
      <c r="F39" s="77" t="n">
        <v>7</v>
      </c>
      <c r="S39" s="52" t="n"/>
      <c r="T39" s="136" t="inlineStr">
        <is>
          <t>Pago mensual</t>
        </is>
      </c>
      <c r="U39" s="143">
        <f>U38/12.5</f>
        <v/>
      </c>
      <c r="V39" s="143">
        <f>V38/13</f>
        <v/>
      </c>
      <c r="X39" s="137" t="inlineStr">
        <is>
          <t>Pago mensual</t>
        </is>
      </c>
      <c r="Y39" s="144">
        <f>Y38/12.5</f>
        <v/>
      </c>
      <c r="Z39" s="144">
        <f>Z38/13</f>
        <v/>
      </c>
      <c r="AC39" s="181" t="n"/>
      <c r="AD39" s="181" t="n"/>
    </row>
    <row r="40">
      <c r="C40" s="76" t="inlineStr">
        <is>
          <t>Nivel 3 - Premium</t>
        </is>
      </c>
      <c r="D40" s="77" t="n">
        <v>0.7</v>
      </c>
      <c r="E40" s="77" t="n">
        <v>1</v>
      </c>
      <c r="F40" s="77" t="n">
        <v>13</v>
      </c>
      <c r="S40" s="52" t="n"/>
    </row>
    <row r="41">
      <c r="C41" s="155" t="n"/>
      <c r="S41" s="52" t="n"/>
    </row>
    <row r="42">
      <c r="C42" s="155" t="n"/>
      <c r="S42" s="52" t="n"/>
      <c r="T42" s="42" t="inlineStr">
        <is>
          <t>Costos: Maquinaria</t>
        </is>
      </c>
    </row>
    <row r="43">
      <c r="C43" s="155" t="n"/>
      <c r="S43" s="52" t="n"/>
    </row>
    <row r="44">
      <c r="S44" s="52" t="n"/>
      <c r="T44" s="58" t="inlineStr">
        <is>
          <t>Mesa de corte</t>
        </is>
      </c>
      <c r="U44" s="58" t="inlineStr">
        <is>
          <t>MYPE</t>
        </is>
      </c>
      <c r="V44" s="58" t="inlineStr">
        <is>
          <t>NoMype</t>
        </is>
      </c>
      <c r="X44" s="157" t="inlineStr">
        <is>
          <t>Maquina de Ensamblado N1</t>
        </is>
      </c>
      <c r="Y44" s="137" t="inlineStr">
        <is>
          <t>MYPE</t>
        </is>
      </c>
      <c r="Z44" s="137" t="inlineStr">
        <is>
          <t>NoMype</t>
        </is>
      </c>
      <c r="AB44" s="158" t="inlineStr">
        <is>
          <t>Maquina de acabado N1</t>
        </is>
      </c>
      <c r="AC44" s="182" t="inlineStr">
        <is>
          <t>MYPE</t>
        </is>
      </c>
      <c r="AD44" s="182" t="inlineStr">
        <is>
          <t>NoMype</t>
        </is>
      </c>
    </row>
    <row r="45" ht="43.5" customHeight="1" s="184">
      <c r="C45" s="155" t="inlineStr">
        <is>
          <t>Cuantos Bolso deseas producir ?</t>
        </is>
      </c>
      <c r="E45" s="32" t="inlineStr">
        <is>
          <t>Producido luego del termino del ciclo</t>
        </is>
      </c>
      <c r="H45" s="102" t="inlineStr">
        <is>
          <t>Total Cuero Necesario</t>
        </is>
      </c>
      <c r="I45" s="102" t="inlineStr">
        <is>
          <t>Total Accesorios Necesario</t>
        </is>
      </c>
      <c r="J45" s="102" t="inlineStr">
        <is>
          <t>Total Hilo Necesario</t>
        </is>
      </c>
      <c r="L45" s="102" t="inlineStr">
        <is>
          <t>Total Cuero Utilizado</t>
        </is>
      </c>
      <c r="M45" s="102" t="inlineStr">
        <is>
          <t>Total Accesorios Utilizado</t>
        </is>
      </c>
      <c r="N45" s="102" t="inlineStr">
        <is>
          <t>Total Hilo Utilizado</t>
        </is>
      </c>
      <c r="S45" s="52" t="n"/>
      <c r="T45" s="99" t="inlineStr">
        <is>
          <t>Costo de adquisición</t>
        </is>
      </c>
      <c r="U45" s="68" t="n">
        <v>2500</v>
      </c>
      <c r="V45" s="68" t="n">
        <v>2500</v>
      </c>
      <c r="X45" s="157" t="inlineStr">
        <is>
          <t>Costo de adquisición</t>
        </is>
      </c>
      <c r="Y45" s="144" t="n">
        <v>3500</v>
      </c>
      <c r="Z45" s="144" t="n">
        <v>3500</v>
      </c>
      <c r="AB45" s="158" t="inlineStr">
        <is>
          <t>Costo de adquisición</t>
        </is>
      </c>
      <c r="AC45" s="183" t="n">
        <v>1200</v>
      </c>
      <c r="AD45" s="183" t="n">
        <v>1200</v>
      </c>
    </row>
    <row r="46">
      <c r="C46" s="76" t="inlineStr">
        <is>
          <t>Nivel 1 - Generico basico</t>
        </is>
      </c>
      <c r="D46" s="51" t="n">
        <v>150</v>
      </c>
      <c r="E46" s="159" t="n">
        <v>150</v>
      </c>
      <c r="F46" s="106">
        <f>E46/E49</f>
        <v/>
      </c>
      <c r="H46" s="103">
        <f>D38*D46</f>
        <v/>
      </c>
      <c r="I46" s="103">
        <f>D46*E38</f>
        <v/>
      </c>
      <c r="J46" s="103">
        <f>F38*D46</f>
        <v/>
      </c>
      <c r="L46" s="103">
        <f>E46*D38</f>
        <v/>
      </c>
      <c r="M46" s="103">
        <f>E46*E38</f>
        <v/>
      </c>
      <c r="N46" s="103">
        <f>F38*E46</f>
        <v/>
      </c>
      <c r="S46" s="52" t="n"/>
      <c r="T46" s="58" t="inlineStr">
        <is>
          <t xml:space="preserve">Instalación </t>
        </is>
      </c>
      <c r="U46" s="68">
        <f>U45*3%</f>
        <v/>
      </c>
      <c r="V46" s="68">
        <f>V45*5%</f>
        <v/>
      </c>
      <c r="X46" s="137" t="inlineStr">
        <is>
          <t xml:space="preserve">Instalación </t>
        </is>
      </c>
      <c r="Y46" s="144">
        <f>Y45*3%</f>
        <v/>
      </c>
      <c r="Z46" s="144">
        <f>Z45*5%</f>
        <v/>
      </c>
      <c r="AB46" s="182" t="inlineStr">
        <is>
          <t xml:space="preserve">Instalación </t>
        </is>
      </c>
      <c r="AC46" s="183">
        <f>AC45*3%</f>
        <v/>
      </c>
      <c r="AD46" s="183">
        <f>AD45*5%</f>
        <v/>
      </c>
    </row>
    <row r="47">
      <c r="C47" s="76" t="inlineStr">
        <is>
          <t>Nivel 2 - Generico mejorado</t>
        </is>
      </c>
      <c r="D47" s="51" t="n">
        <v>140</v>
      </c>
      <c r="E47" s="159" t="n">
        <v>140</v>
      </c>
      <c r="F47" s="106">
        <f>E47/E49</f>
        <v/>
      </c>
      <c r="H47" s="103">
        <f>D39*D47</f>
        <v/>
      </c>
      <c r="I47" s="103">
        <f>D47*E39</f>
        <v/>
      </c>
      <c r="J47" s="103">
        <f>F39*D47</f>
        <v/>
      </c>
      <c r="L47" s="103">
        <f>E47*D39</f>
        <v/>
      </c>
      <c r="M47" s="103">
        <f>E47*E39</f>
        <v/>
      </c>
      <c r="N47" s="103">
        <f>F39*E47</f>
        <v/>
      </c>
      <c r="S47" s="52" t="n"/>
      <c r="T47" s="58" t="inlineStr">
        <is>
          <t>Capacitación</t>
        </is>
      </c>
      <c r="U47" s="68">
        <f>U45*2%</f>
        <v/>
      </c>
      <c r="V47" s="68">
        <f>V45*3%</f>
        <v/>
      </c>
      <c r="X47" s="137" t="inlineStr">
        <is>
          <t>Capacitación</t>
        </is>
      </c>
      <c r="Y47" s="144">
        <f>Y45*2%</f>
        <v/>
      </c>
      <c r="Z47" s="144">
        <f>Z45*3%</f>
        <v/>
      </c>
      <c r="AB47" s="182" t="inlineStr">
        <is>
          <t>Capacitación</t>
        </is>
      </c>
      <c r="AC47" s="183">
        <f>AC45*2%</f>
        <v/>
      </c>
      <c r="AD47" s="183">
        <f>AD45*3%</f>
        <v/>
      </c>
    </row>
    <row r="48" ht="33" customHeight="1" s="184">
      <c r="C48" s="76" t="inlineStr">
        <is>
          <t>Nivel 3 - Premium</t>
        </is>
      </c>
      <c r="D48" s="51" t="n">
        <v>95</v>
      </c>
      <c r="E48" s="159" t="n">
        <v>78</v>
      </c>
      <c r="F48" s="106">
        <f>E48/E49</f>
        <v/>
      </c>
      <c r="H48" s="103">
        <f>D40*D48</f>
        <v/>
      </c>
      <c r="I48" s="103">
        <f>D48*E40</f>
        <v/>
      </c>
      <c r="J48" s="103">
        <f>F40*D48</f>
        <v/>
      </c>
      <c r="L48" s="103">
        <f>D40*E48</f>
        <v/>
      </c>
      <c r="M48" s="103">
        <f>E48*E40</f>
        <v/>
      </c>
      <c r="N48" s="103">
        <f>F40*E48</f>
        <v/>
      </c>
      <c r="S48" s="52" t="n"/>
      <c r="T48" s="99" t="inlineStr">
        <is>
          <t>Mantenimiento anual</t>
        </is>
      </c>
      <c r="U48" s="68">
        <f>U45*5%</f>
        <v/>
      </c>
      <c r="V48" s="68">
        <f>V45*8%</f>
        <v/>
      </c>
      <c r="X48" s="157" t="inlineStr">
        <is>
          <t>Mantenimiento anual</t>
        </is>
      </c>
      <c r="Y48" s="144">
        <f>Y45*5%</f>
        <v/>
      </c>
      <c r="Z48" s="144">
        <f>Z45*8%</f>
        <v/>
      </c>
      <c r="AB48" s="158" t="inlineStr">
        <is>
          <t>Mantenimiento anual</t>
        </is>
      </c>
      <c r="AC48" s="183">
        <f>AC45*5%</f>
        <v/>
      </c>
      <c r="AD48" s="183">
        <f>AD45*8%</f>
        <v/>
      </c>
    </row>
    <row r="49">
      <c r="D49" s="105">
        <f>SUM(D46:D48)</f>
        <v/>
      </c>
      <c r="E49" s="105">
        <f>SUM(E46:E48)</f>
        <v/>
      </c>
      <c r="F49" s="106">
        <f>SUM(F46:F48)</f>
        <v/>
      </c>
      <c r="H49" s="105">
        <f>SUM(H46:H48)</f>
        <v/>
      </c>
      <c r="I49" s="105">
        <f>SUM(I46:I48)</f>
        <v/>
      </c>
      <c r="J49" s="105">
        <f>SUM(J46:J48)</f>
        <v/>
      </c>
      <c r="L49" s="105">
        <f>SUM(L46:L48)</f>
        <v/>
      </c>
      <c r="M49" s="105">
        <f>SUM(M46:M48)</f>
        <v/>
      </c>
      <c r="N49" s="105">
        <f>SUM(N46:N48)</f>
        <v/>
      </c>
      <c r="S49" s="52" t="n"/>
      <c r="T49" s="58" t="inlineStr">
        <is>
          <t>Depreciación anual</t>
        </is>
      </c>
      <c r="U49" s="68">
        <f>-((U45-U45*5%)/10)</f>
        <v/>
      </c>
      <c r="V49" s="68">
        <f>-((V45-V45*10%)/10)</f>
        <v/>
      </c>
      <c r="X49" s="137" t="inlineStr">
        <is>
          <t>Depreciación anual</t>
        </is>
      </c>
      <c r="Y49" s="144">
        <f>-(Y45-Y45*5%)/10</f>
        <v/>
      </c>
      <c r="Z49" s="144">
        <f>-(Z45-Z45*10%)/10</f>
        <v/>
      </c>
      <c r="AB49" s="182" t="inlineStr">
        <is>
          <t>Depreciación anual</t>
        </is>
      </c>
      <c r="AC49" s="183">
        <f>-(AC45-AC45*5%)/8</f>
        <v/>
      </c>
      <c r="AD49" s="183">
        <f>-(AD45-AD45*10%)/8</f>
        <v/>
      </c>
    </row>
    <row r="50">
      <c r="S50" s="52" t="n"/>
      <c r="T50" s="58" t="inlineStr">
        <is>
          <t>Suma anual</t>
        </is>
      </c>
      <c r="U50" s="68">
        <f>SUM(U46:U49)+U45</f>
        <v/>
      </c>
      <c r="V50" s="68">
        <f>SUM(V46:V49)+V45</f>
        <v/>
      </c>
      <c r="X50" s="137" t="inlineStr">
        <is>
          <t>Suma anual</t>
        </is>
      </c>
      <c r="Y50" s="144">
        <f>SUM(Y46:Y49)+Y45</f>
        <v/>
      </c>
      <c r="Z50" s="144">
        <f>SUM(Z46:Z49)+Z45</f>
        <v/>
      </c>
      <c r="AB50" s="182" t="inlineStr">
        <is>
          <t>Suma anual</t>
        </is>
      </c>
      <c r="AC50" s="183">
        <f>SUM(AC46:AC49)+AC45</f>
        <v/>
      </c>
      <c r="AD50" s="183">
        <f>SUM(AD46:AD49)+AD45</f>
        <v/>
      </c>
    </row>
    <row r="51">
      <c r="S51" s="52" t="n"/>
    </row>
    <row r="52">
      <c r="C52" s="155" t="inlineStr">
        <is>
          <t>ALMACEN</t>
        </is>
      </c>
      <c r="S52" s="52" t="n"/>
      <c r="T52" s="59" t="inlineStr">
        <is>
          <t>Molde 1</t>
        </is>
      </c>
      <c r="U52" s="59" t="inlineStr">
        <is>
          <t>MYPE</t>
        </is>
      </c>
      <c r="V52" s="59" t="inlineStr">
        <is>
          <t>NoMype</t>
        </is>
      </c>
      <c r="X52" s="157" t="inlineStr">
        <is>
          <t>Maquina de Ensamblado N2</t>
        </is>
      </c>
      <c r="Y52" s="137" t="inlineStr">
        <is>
          <t>MYPE</t>
        </is>
      </c>
      <c r="Z52" s="137" t="inlineStr">
        <is>
          <t>NoMype</t>
        </is>
      </c>
      <c r="AB52" s="158" t="inlineStr">
        <is>
          <t>Maquina de acabado N2</t>
        </is>
      </c>
      <c r="AC52" s="182" t="inlineStr">
        <is>
          <t>MYPE</t>
        </is>
      </c>
      <c r="AD52" s="182" t="inlineStr">
        <is>
          <t>NoMype</t>
        </is>
      </c>
    </row>
    <row r="53">
      <c r="C53" s="5" t="n"/>
      <c r="D53" s="5" t="inlineStr">
        <is>
          <t>Inventario Inicial</t>
        </is>
      </c>
      <c r="E53" s="5" t="inlineStr">
        <is>
          <t>Compras</t>
        </is>
      </c>
      <c r="F53" s="5" t="inlineStr">
        <is>
          <t>Produccion</t>
        </is>
      </c>
      <c r="G53" s="5" t="inlineStr">
        <is>
          <t>Inventario Final</t>
        </is>
      </c>
      <c r="S53" s="52" t="n"/>
      <c r="T53" s="170" t="inlineStr">
        <is>
          <t>Costo de adquisición</t>
        </is>
      </c>
      <c r="U53" s="173" t="n">
        <v>300</v>
      </c>
      <c r="V53" s="173" t="n">
        <v>300</v>
      </c>
      <c r="X53" s="157" t="inlineStr">
        <is>
          <t>Costo de adquisición</t>
        </is>
      </c>
      <c r="Y53" s="144" t="n">
        <v>7500</v>
      </c>
      <c r="Z53" s="144" t="n">
        <v>7500</v>
      </c>
      <c r="AB53" s="158" t="inlineStr">
        <is>
          <t>Costo de adquisición</t>
        </is>
      </c>
      <c r="AC53" s="183" t="n">
        <v>4500</v>
      </c>
      <c r="AD53" s="183" t="n">
        <v>4500</v>
      </c>
    </row>
    <row r="54" ht="42" customHeight="1" s="184">
      <c r="C54" s="63" t="inlineStr">
        <is>
          <t>Nivel 1 - Cuero sintetico</t>
        </is>
      </c>
      <c r="D54" s="35" t="n">
        <v>0</v>
      </c>
      <c r="E54" s="35">
        <f>D33</f>
        <v/>
      </c>
      <c r="F54" s="35">
        <f>MIN(E54,H49)</f>
        <v/>
      </c>
      <c r="G54" s="111">
        <f>D54+E54-F54</f>
        <v/>
      </c>
      <c r="S54" s="52" t="n"/>
      <c r="T54" s="59" t="inlineStr">
        <is>
          <t>Capacitación</t>
        </is>
      </c>
      <c r="U54" s="173">
        <f>U53*1%</f>
        <v/>
      </c>
      <c r="V54" s="173">
        <f>V53*2%</f>
        <v/>
      </c>
      <c r="X54" s="137" t="inlineStr">
        <is>
          <t xml:space="preserve">Instalación </t>
        </is>
      </c>
      <c r="Y54" s="144">
        <f>Y53*3%</f>
        <v/>
      </c>
      <c r="Z54" s="144">
        <f>Z53*5%</f>
        <v/>
      </c>
      <c r="AB54" s="182" t="inlineStr">
        <is>
          <t xml:space="preserve">Instalación </t>
        </is>
      </c>
      <c r="AC54" s="183">
        <f>AC53*3%</f>
        <v/>
      </c>
      <c r="AD54" s="183">
        <f>AD53*5%</f>
        <v/>
      </c>
    </row>
    <row r="55" ht="42" customHeight="1" s="184">
      <c r="C55" s="63" t="inlineStr">
        <is>
          <t>Nivel 2 - Cuero genuino estandar</t>
        </is>
      </c>
      <c r="D55" s="35" t="n">
        <v>0</v>
      </c>
      <c r="E55" s="35">
        <f>E33</f>
        <v/>
      </c>
      <c r="F55" s="35">
        <f>min(E55,H49-F54)</f>
        <v/>
      </c>
      <c r="G55" s="111">
        <f>D55+E55-F55</f>
        <v/>
      </c>
      <c r="H55" s="112" t="n"/>
      <c r="S55" s="52" t="n"/>
      <c r="T55" s="170" t="inlineStr">
        <is>
          <t>Mantenimiento anual</t>
        </is>
      </c>
      <c r="U55" s="173">
        <f>U53*5%</f>
        <v/>
      </c>
      <c r="V55" s="173">
        <f>V53*8%</f>
        <v/>
      </c>
      <c r="X55" s="137" t="inlineStr">
        <is>
          <t>Capacitación</t>
        </is>
      </c>
      <c r="Y55" s="144">
        <f>Y53*2%</f>
        <v/>
      </c>
      <c r="Z55" s="144">
        <f>Z53*3%</f>
        <v/>
      </c>
      <c r="AB55" s="182" t="inlineStr">
        <is>
          <t>Capacitación</t>
        </is>
      </c>
      <c r="AC55" s="183">
        <f>AC53*2%</f>
        <v/>
      </c>
      <c r="AD55" s="183">
        <f>AD53*3%</f>
        <v/>
      </c>
    </row>
    <row r="56" ht="42" customHeight="1" s="184">
      <c r="C56" s="63" t="inlineStr">
        <is>
          <t>Nivel 3 - Cuero genuino premium</t>
        </is>
      </c>
      <c r="D56" s="35" t="n">
        <v>0</v>
      </c>
      <c r="E56" s="35">
        <f>F33</f>
        <v/>
      </c>
      <c r="F56" s="35">
        <f>MIN(E56,H49-F54-F55)</f>
        <v/>
      </c>
      <c r="G56" s="111">
        <f>D56+E56-F56</f>
        <v/>
      </c>
      <c r="H56" s="112">
        <f>F56/SUM(F54:F56)</f>
        <v/>
      </c>
      <c r="S56" s="52" t="n"/>
      <c r="T56" s="59" t="inlineStr">
        <is>
          <t>Depreciación anual</t>
        </is>
      </c>
      <c r="U56" s="173">
        <f>-((U53-U53*5%)/5)</f>
        <v/>
      </c>
      <c r="V56" s="173">
        <f>-((V53-V53*10%)/5)</f>
        <v/>
      </c>
      <c r="X56" s="157" t="inlineStr">
        <is>
          <t>Mantenimiento anual</t>
        </is>
      </c>
      <c r="Y56" s="144">
        <f>Y53*5%</f>
        <v/>
      </c>
      <c r="Z56" s="144">
        <f>Z53*8%</f>
        <v/>
      </c>
      <c r="AB56" s="158" t="inlineStr">
        <is>
          <t>Mantenimiento anual</t>
        </is>
      </c>
      <c r="AC56" s="183">
        <f>AC53*5%</f>
        <v/>
      </c>
      <c r="AD56" s="183">
        <f>AD53*8%</f>
        <v/>
      </c>
    </row>
    <row r="57" ht="42" customHeight="1" s="184">
      <c r="C57" s="114" t="inlineStr">
        <is>
          <t>Nivel 1 - Aleacion economica</t>
        </is>
      </c>
      <c r="D57" s="35" t="n">
        <v>0</v>
      </c>
      <c r="E57" s="35">
        <f>G33</f>
        <v/>
      </c>
      <c r="F57" s="35">
        <f>MIN(E57,I49)</f>
        <v/>
      </c>
      <c r="G57" s="111">
        <f>D57+E57-F57</f>
        <v/>
      </c>
      <c r="H57" s="112" t="n"/>
      <c r="S57" s="52" t="n"/>
      <c r="T57" s="59" t="inlineStr">
        <is>
          <t>Suma anual</t>
        </is>
      </c>
      <c r="U57" s="173">
        <f>SUM(U54:U56)+U53</f>
        <v/>
      </c>
      <c r="V57" s="173">
        <f>SUM(V54:V56)+V53</f>
        <v/>
      </c>
      <c r="X57" s="137" t="inlineStr">
        <is>
          <t>Depreciación anual</t>
        </is>
      </c>
      <c r="Y57" s="144">
        <f>-(Y53-Y53*5%)/10</f>
        <v/>
      </c>
      <c r="Z57" s="144">
        <f>-(Z53-Z53*10%)/10</f>
        <v/>
      </c>
      <c r="AB57" s="182" t="inlineStr">
        <is>
          <t>Depreciación anual</t>
        </is>
      </c>
      <c r="AC57" s="183">
        <f>-(AC53-AC53*5%)/8</f>
        <v/>
      </c>
      <c r="AD57" s="183">
        <f>-(AD53-AD53*10%)/8</f>
        <v/>
      </c>
    </row>
    <row r="58" ht="42" customHeight="1" s="184">
      <c r="C58" s="114" t="inlineStr">
        <is>
          <t>Nivel 2 - Metal premium</t>
        </is>
      </c>
      <c r="D58" s="35" t="n">
        <v>0</v>
      </c>
      <c r="E58" s="35">
        <f>H33</f>
        <v/>
      </c>
      <c r="F58" s="35">
        <f>MIN(E58,I49-F57)</f>
        <v/>
      </c>
      <c r="G58" s="111">
        <f>D58+E58-F58</f>
        <v/>
      </c>
      <c r="H58" s="112">
        <f>F58/SUM(F57:F58)</f>
        <v/>
      </c>
      <c r="S58" s="52" t="n"/>
      <c r="X58" s="137" t="inlineStr">
        <is>
          <t>Suma anual</t>
        </is>
      </c>
      <c r="Y58" s="144">
        <f>SUM(Y54:Y57)+Y53</f>
        <v/>
      </c>
      <c r="Z58" s="144">
        <f>SUM(Z54:Z57)+Z53</f>
        <v/>
      </c>
      <c r="AB58" s="182" t="inlineStr">
        <is>
          <t>Suma anual</t>
        </is>
      </c>
      <c r="AC58" s="183">
        <f>SUM(AC54:AC57)+AC53</f>
        <v/>
      </c>
      <c r="AD58" s="183">
        <f>SUM(AD54:AD57)+AD53</f>
        <v/>
      </c>
    </row>
    <row r="59" ht="39.75" customHeight="1" s="184">
      <c r="C59" s="67" t="inlineStr">
        <is>
          <t>Nivel 1 - Poliester estandar</t>
        </is>
      </c>
      <c r="D59" s="35" t="n">
        <v>0</v>
      </c>
      <c r="E59" s="35">
        <f>I33</f>
        <v/>
      </c>
      <c r="F59" s="35">
        <f>MIN(E59,J49)</f>
        <v/>
      </c>
      <c r="G59" s="111">
        <f>D59+E59-F59</f>
        <v/>
      </c>
      <c r="H59" s="112" t="n"/>
      <c r="S59" s="52" t="n"/>
      <c r="T59" s="59" t="inlineStr">
        <is>
          <t>Molde 2</t>
        </is>
      </c>
      <c r="U59" s="59" t="inlineStr">
        <is>
          <t>MYPE</t>
        </is>
      </c>
      <c r="V59" s="59" t="inlineStr">
        <is>
          <t>NoMype</t>
        </is>
      </c>
    </row>
    <row r="60" ht="27.75" customHeight="1" s="184">
      <c r="C60" s="67" t="inlineStr">
        <is>
          <t>Nivel 2 - Encerado reforzado</t>
        </is>
      </c>
      <c r="D60" s="35" t="n">
        <v>0</v>
      </c>
      <c r="E60" s="35">
        <f>J33</f>
        <v/>
      </c>
      <c r="F60" s="35">
        <f>MIN(E60,J49-F59)</f>
        <v/>
      </c>
      <c r="G60" s="111">
        <f>D60+E60-F60</f>
        <v/>
      </c>
      <c r="H60" s="112" t="n"/>
      <c r="S60" s="52" t="n"/>
      <c r="T60" s="170" t="inlineStr">
        <is>
          <t>Costo de adquisición</t>
        </is>
      </c>
      <c r="U60" s="173" t="n">
        <v>1200</v>
      </c>
      <c r="V60" s="173" t="n">
        <v>1200</v>
      </c>
      <c r="X60" s="157" t="inlineStr">
        <is>
          <t>Maquina de Ensamblado N3</t>
        </is>
      </c>
      <c r="Y60" s="137" t="inlineStr">
        <is>
          <t>MYPE</t>
        </is>
      </c>
      <c r="Z60" s="137" t="inlineStr">
        <is>
          <t>NoMype</t>
        </is>
      </c>
      <c r="AB60" s="158" t="inlineStr">
        <is>
          <t>Maquina de acabado N3</t>
        </is>
      </c>
      <c r="AC60" s="182" t="inlineStr">
        <is>
          <t>MYPE</t>
        </is>
      </c>
      <c r="AD60" s="182" t="inlineStr">
        <is>
          <t>NoMype</t>
        </is>
      </c>
    </row>
    <row r="61" ht="42" customHeight="1" s="184">
      <c r="C61" s="67" t="inlineStr">
        <is>
          <t>Nivel 3 - Alta tenacidad (nylon trenzado)</t>
        </is>
      </c>
      <c r="D61" s="35" t="n">
        <v>0</v>
      </c>
      <c r="E61" s="35">
        <f>K33</f>
        <v/>
      </c>
      <c r="F61" s="35">
        <f>MIN(E61,J49-F59-F60)</f>
        <v/>
      </c>
      <c r="G61" s="111">
        <f>D61+E61-F61</f>
        <v/>
      </c>
      <c r="H61" s="112">
        <f>F61/(SUM(F60:F61))</f>
        <v/>
      </c>
      <c r="S61" s="52" t="n"/>
      <c r="T61" s="59" t="inlineStr">
        <is>
          <t>Capacitación</t>
        </is>
      </c>
      <c r="U61" s="173">
        <f>U60*1%</f>
        <v/>
      </c>
      <c r="V61" s="173">
        <f>V60*2%</f>
        <v/>
      </c>
      <c r="X61" s="157" t="inlineStr">
        <is>
          <t>Costo de adquisición</t>
        </is>
      </c>
      <c r="Y61" s="144" t="n">
        <v>15000</v>
      </c>
      <c r="Z61" s="144" t="n">
        <v>15000</v>
      </c>
      <c r="AB61" s="158" t="inlineStr">
        <is>
          <t>Costo de adquisición</t>
        </is>
      </c>
      <c r="AC61" s="183" t="n">
        <v>9500</v>
      </c>
      <c r="AD61" s="183" t="n">
        <v>9500</v>
      </c>
    </row>
    <row r="62">
      <c r="B62" s="155" t="inlineStr">
        <is>
          <t>0 - 10,000(rango en soles)</t>
        </is>
      </c>
      <c r="S62" s="52" t="n"/>
      <c r="T62" s="170" t="inlineStr">
        <is>
          <t>Mantenimiento anual</t>
        </is>
      </c>
      <c r="U62" s="173">
        <f>U60*5%</f>
        <v/>
      </c>
      <c r="V62" s="173">
        <f>V60*8%</f>
        <v/>
      </c>
      <c r="X62" s="137" t="inlineStr">
        <is>
          <t xml:space="preserve">Instalación </t>
        </is>
      </c>
      <c r="Y62" s="144">
        <f>Y61*3%</f>
        <v/>
      </c>
      <c r="Z62" s="144">
        <f>Z61*5%</f>
        <v/>
      </c>
      <c r="AB62" s="182" t="inlineStr">
        <is>
          <t xml:space="preserve">Instalación </t>
        </is>
      </c>
      <c r="AC62" s="183">
        <f>AC61*3%</f>
        <v/>
      </c>
      <c r="AD62" s="183">
        <f>AD61*5%</f>
        <v/>
      </c>
    </row>
    <row r="63" ht="30" customHeight="1" s="184">
      <c r="A63" s="102" t="inlineStr">
        <is>
          <t>Gastos del ciclo en publicidad</t>
        </is>
      </c>
      <c r="B63" s="46" t="n">
        <v>3000</v>
      </c>
      <c r="S63" s="52" t="n"/>
      <c r="T63" s="59" t="inlineStr">
        <is>
          <t>Depreciación anual</t>
        </is>
      </c>
      <c r="U63" s="173">
        <f>-((U60-U60*5%)/5)</f>
        <v/>
      </c>
      <c r="V63" s="173">
        <f>-((V60-V60*10%)/5)</f>
        <v/>
      </c>
      <c r="X63" s="157" t="inlineStr">
        <is>
          <t>Capacitación</t>
        </is>
      </c>
      <c r="Y63" s="175">
        <f>Y61*2%</f>
        <v/>
      </c>
      <c r="Z63" s="175">
        <f>Z61*3%</f>
        <v/>
      </c>
      <c r="AB63" s="182" t="inlineStr">
        <is>
          <t>Capacitación</t>
        </is>
      </c>
      <c r="AC63" s="183">
        <f>AC61*2%</f>
        <v/>
      </c>
      <c r="AD63" s="183">
        <f>AD61*3%</f>
        <v/>
      </c>
    </row>
    <row r="64">
      <c r="A64" s="115" t="n"/>
      <c r="S64" s="52" t="n"/>
      <c r="T64" s="59" t="inlineStr">
        <is>
          <t>Suma anual</t>
        </is>
      </c>
      <c r="U64" s="173">
        <f>SUM(U61:U63)+U60</f>
        <v/>
      </c>
      <c r="V64" s="173">
        <f>SUM(V61:V63)+V60</f>
        <v/>
      </c>
      <c r="X64" s="157" t="inlineStr">
        <is>
          <t>Mantenimiento anual</t>
        </is>
      </c>
      <c r="Y64" s="144">
        <f>Y61*5%</f>
        <v/>
      </c>
      <c r="Z64" s="144">
        <f>Z61*8%</f>
        <v/>
      </c>
      <c r="AB64" s="158" t="inlineStr">
        <is>
          <t>Mantenimiento anual</t>
        </is>
      </c>
      <c r="AC64" s="183">
        <f>AC61*5%</f>
        <v/>
      </c>
      <c r="AD64" s="183">
        <f>AD61*8%</f>
        <v/>
      </c>
    </row>
    <row r="65">
      <c r="A65" s="115" t="inlineStr">
        <is>
          <t>Calculo de Reputacion</t>
        </is>
      </c>
      <c r="C65" s="116">
        <f>F48*10</f>
        <v/>
      </c>
      <c r="D65" s="116">
        <f>M10*10</f>
        <v/>
      </c>
      <c r="E65" s="116">
        <f>AVERAGE(H56,H58,H61)*10</f>
        <v/>
      </c>
      <c r="F65" s="46">
        <f>B63/10000*10</f>
        <v/>
      </c>
      <c r="G65" s="176">
        <f>SUM(C65:F65)</f>
        <v/>
      </c>
      <c r="H65" s="29" t="inlineStr">
        <is>
          <t>ptos de reputación</t>
        </is>
      </c>
      <c r="S65" s="52" t="n"/>
      <c r="X65" s="137" t="inlineStr">
        <is>
          <t>Depreciación anual</t>
        </is>
      </c>
      <c r="Y65" s="144">
        <f>-(Y61-Y61*5%)/10</f>
        <v/>
      </c>
      <c r="Z65" s="144">
        <f>-(Z61-Z61*10%)/10</f>
        <v/>
      </c>
      <c r="AB65" s="182" t="inlineStr">
        <is>
          <t>Depreciación anual</t>
        </is>
      </c>
      <c r="AC65" s="183">
        <f>-(AC61-AC61*5%)/8</f>
        <v/>
      </c>
      <c r="AD65" s="183">
        <f>-(AD61-AD61*10%)/8</f>
        <v/>
      </c>
    </row>
    <row r="66" ht="35.25" customHeight="1" s="184">
      <c r="C66" s="102" t="inlineStr">
        <is>
          <t>Factor de producción</t>
        </is>
      </c>
      <c r="D66" s="102" t="inlineStr">
        <is>
          <t>Factor de MO</t>
        </is>
      </c>
      <c r="E66" s="102" t="inlineStr">
        <is>
          <t>Factor de MP (utilizacion)</t>
        </is>
      </c>
      <c r="F66" s="102" t="inlineStr">
        <is>
          <t>Factor de Publicidad</t>
        </is>
      </c>
      <c r="S66" s="52" t="n"/>
      <c r="T66" s="59" t="inlineStr">
        <is>
          <t>Moldes 3</t>
        </is>
      </c>
      <c r="U66" s="59" t="inlineStr">
        <is>
          <t>MYPE</t>
        </is>
      </c>
      <c r="V66" s="59" t="inlineStr">
        <is>
          <t>NoMype</t>
        </is>
      </c>
      <c r="X66" s="137" t="inlineStr">
        <is>
          <t>Suma anual</t>
        </is>
      </c>
      <c r="Y66" s="144">
        <f>SUM(Y62:Y65)+Y61</f>
        <v/>
      </c>
      <c r="Z66" s="144">
        <f>SUM(Z62:Z65)+Z61</f>
        <v/>
      </c>
      <c r="AB66" s="182" t="inlineStr">
        <is>
          <t>Suma anual</t>
        </is>
      </c>
      <c r="AC66" s="183">
        <f>SUM(AC62:AC65)+AC61</f>
        <v/>
      </c>
      <c r="AD66" s="183">
        <f>SUM(AD62:AD65)+AD61</f>
        <v/>
      </c>
    </row>
    <row r="67">
      <c r="S67" s="52" t="n"/>
      <c r="T67" s="170" t="inlineStr">
        <is>
          <t>Costo de adquisición</t>
        </is>
      </c>
      <c r="U67" s="173" t="n">
        <v>3500</v>
      </c>
      <c r="V67" s="173" t="n">
        <v>3500</v>
      </c>
    </row>
    <row r="68">
      <c r="S68" s="52" t="n"/>
      <c r="T68" s="59" t="inlineStr">
        <is>
          <t>Capacitación</t>
        </is>
      </c>
      <c r="U68" s="173">
        <f>U67*1%</f>
        <v/>
      </c>
      <c r="V68" s="173">
        <f>V67*2%</f>
        <v/>
      </c>
    </row>
    <row r="69">
      <c r="S69" s="52" t="n"/>
      <c r="T69" s="170" t="inlineStr">
        <is>
          <t>Mantenimiento anual</t>
        </is>
      </c>
      <c r="U69" s="173">
        <f>U67*5%</f>
        <v/>
      </c>
      <c r="V69" s="173">
        <f>V67*8%</f>
        <v/>
      </c>
    </row>
    <row r="70">
      <c r="S70" s="52" t="n"/>
      <c r="T70" s="59" t="inlineStr">
        <is>
          <t>Depreciación anual</t>
        </is>
      </c>
      <c r="U70" s="173">
        <f>-((U67-U67*5%)/5)</f>
        <v/>
      </c>
      <c r="V70" s="173">
        <f>-((V67-V67*10%)/5)</f>
        <v/>
      </c>
    </row>
    <row r="71">
      <c r="S71" s="52" t="n"/>
      <c r="T71" s="59" t="inlineStr">
        <is>
          <t>Suma anual</t>
        </is>
      </c>
      <c r="U71" s="173">
        <f>SUM(U68:U70)+U67</f>
        <v/>
      </c>
      <c r="V71" s="173">
        <f>SUM(V68:V70)+V67</f>
        <v/>
      </c>
    </row>
    <row r="72" ht="46.5" customHeight="1" s="184">
      <c r="B72" s="31" t="inlineStr">
        <is>
          <t>EJEMPLO de distribución de Ventas (Bolsos Economicos)</t>
        </is>
      </c>
      <c r="C72" s="35" t="inlineStr">
        <is>
          <t>Reputacion</t>
        </is>
      </c>
      <c r="D72" s="35" t="inlineStr">
        <is>
          <t>Precio</t>
        </is>
      </c>
      <c r="E72" s="35" t="inlineStr">
        <is>
          <t>Puntaje del precio</t>
        </is>
      </c>
      <c r="F72" s="35" t="inlineStr">
        <is>
          <t>Puntaje total</t>
        </is>
      </c>
      <c r="G72" s="35" t="inlineStr">
        <is>
          <t>Porcentaje parcial</t>
        </is>
      </c>
      <c r="H72" s="35" t="inlineStr">
        <is>
          <t>Unidades Vendidas</t>
        </is>
      </c>
      <c r="K72" s="102" t="n"/>
      <c r="L72" s="46" t="n"/>
      <c r="M72" s="46" t="n"/>
      <c r="N72" s="46" t="n"/>
      <c r="S72" s="52" t="n"/>
    </row>
    <row r="73">
      <c r="B73" s="35" t="inlineStr">
        <is>
          <t>Empresa A</t>
        </is>
      </c>
      <c r="C73" s="35" t="n">
        <v>7</v>
      </c>
      <c r="D73" s="35" t="n">
        <v>40</v>
      </c>
      <c r="E73" s="35">
        <f>(MAX($D$73:$D$76)*2-D73)/10</f>
        <v/>
      </c>
      <c r="F73" s="118">
        <f>SUM(C73,E73)</f>
        <v/>
      </c>
      <c r="G73" s="119">
        <f>F73/$F$77</f>
        <v/>
      </c>
      <c r="H73" s="5">
        <f>ROUND(G73*$B$81,0)</f>
        <v/>
      </c>
      <c r="K73" s="46" t="n"/>
      <c r="L73" s="46" t="n"/>
      <c r="M73" s="46" t="n"/>
      <c r="N73" s="46" t="n"/>
      <c r="O73" s="107" t="n"/>
      <c r="S73" s="52" t="n"/>
      <c r="T73" s="42" t="inlineStr">
        <is>
          <t>Costos: MP</t>
        </is>
      </c>
    </row>
    <row r="74">
      <c r="B74" s="35" t="inlineStr">
        <is>
          <t>Empresa B</t>
        </is>
      </c>
      <c r="C74" s="35" t="n">
        <v>8.300000000000001</v>
      </c>
      <c r="D74" s="35" t="n">
        <v>45</v>
      </c>
      <c r="E74" s="35">
        <f>(MAX($D$73:$D$76)*2-D74)/10</f>
        <v/>
      </c>
      <c r="F74" s="118">
        <f>SUM(C74,E74)</f>
        <v/>
      </c>
      <c r="G74" s="119">
        <f>F74/$F$77</f>
        <v/>
      </c>
      <c r="H74" s="5">
        <f>ROUND(G74*$B$81,0)</f>
        <v/>
      </c>
      <c r="K74" s="46" t="n"/>
      <c r="L74" s="121" t="n"/>
      <c r="M74" s="46" t="n"/>
      <c r="N74" s="46" t="n"/>
      <c r="O74" s="107" t="n"/>
      <c r="S74" s="52" t="n"/>
      <c r="T74" s="155" t="inlineStr">
        <is>
          <t>Tabla de materia base.</t>
        </is>
      </c>
      <c r="Z74" s="155" t="inlineStr">
        <is>
          <t>Lo que sea comprado por un equipo:</t>
        </is>
      </c>
    </row>
    <row r="75">
      <c r="B75" s="35" t="inlineStr">
        <is>
          <t>Empresa C</t>
        </is>
      </c>
      <c r="C75" s="122" t="n">
        <v>10.2</v>
      </c>
      <c r="D75" s="35" t="n">
        <v>43</v>
      </c>
      <c r="E75" s="35">
        <f>(MAX($D$73:$D$76)*2-D75)/10</f>
        <v/>
      </c>
      <c r="F75" s="118">
        <f>SUM(C75,E75)</f>
        <v/>
      </c>
      <c r="G75" s="119">
        <f>F75/$F$77</f>
        <v/>
      </c>
      <c r="H75" s="5">
        <f>ROUND(G75*$B$81,0)</f>
        <v/>
      </c>
      <c r="K75" s="46" t="n"/>
      <c r="L75" s="121" t="n"/>
      <c r="M75" s="46" t="n"/>
      <c r="N75" s="46" t="n"/>
      <c r="O75" s="107" t="n"/>
      <c r="S75" s="52" t="n"/>
      <c r="T75" s="182" t="inlineStr">
        <is>
          <t>Grupo de decisión</t>
        </is>
      </c>
      <c r="U75" s="182" t="inlineStr">
        <is>
          <t>Opción/Nivel</t>
        </is>
      </c>
      <c r="V75" s="182" t="inlineStr">
        <is>
          <t>Precio de lista</t>
        </is>
      </c>
      <c r="W75" s="158" t="inlineStr">
        <is>
          <t>Descontado por cantidad</t>
        </is>
      </c>
      <c r="X75" s="182" t="inlineStr">
        <is>
          <t>Unidad</t>
        </is>
      </c>
      <c r="Z75" s="182" t="inlineStr">
        <is>
          <t>Grupo de decisión</t>
        </is>
      </c>
      <c r="AA75" s="182" t="inlineStr">
        <is>
          <t>Opción/Nivel</t>
        </is>
      </c>
      <c r="AB75" s="182" t="inlineStr">
        <is>
          <t>Precio de lista</t>
        </is>
      </c>
      <c r="AC75" s="158" t="inlineStr">
        <is>
          <t>Descontado por cantidad</t>
        </is>
      </c>
      <c r="AD75" s="182" t="inlineStr">
        <is>
          <t>Unidad</t>
        </is>
      </c>
    </row>
    <row r="76">
      <c r="B76" s="35" t="inlineStr">
        <is>
          <t>Empresa D</t>
        </is>
      </c>
      <c r="C76" s="35" t="n">
        <v>9</v>
      </c>
      <c r="D76" s="35" t="n">
        <v>41</v>
      </c>
      <c r="E76" s="35">
        <f>(MAX($D$73:$D$76)*2-D76)/10</f>
        <v/>
      </c>
      <c r="F76" s="118">
        <f>SUM(C76,E76)</f>
        <v/>
      </c>
      <c r="G76" s="119">
        <f>F76/$F$77</f>
        <v/>
      </c>
      <c r="H76" s="5">
        <f>ROUND(G76*$B$81,0)</f>
        <v/>
      </c>
      <c r="K76" s="46" t="n"/>
      <c r="L76" s="46" t="n"/>
      <c r="M76" s="46" t="n"/>
      <c r="N76" s="46" t="n"/>
      <c r="O76" s="107" t="n"/>
      <c r="S76" s="52" t="n"/>
      <c r="T76" s="182" t="inlineStr">
        <is>
          <t>Calidad del cuero</t>
        </is>
      </c>
      <c r="U76" s="177" t="inlineStr">
        <is>
          <t>1- Cuero sintético</t>
        </is>
      </c>
      <c r="V76" s="179" t="n">
        <v>25</v>
      </c>
      <c r="W76" s="179">
        <f>V76-V76*8%</f>
        <v/>
      </c>
      <c r="X76" s="180" t="inlineStr">
        <is>
          <t>m²</t>
        </is>
      </c>
      <c r="Z76" s="182" t="inlineStr">
        <is>
          <t>Calidad del cuero</t>
        </is>
      </c>
      <c r="AA76" s="177" t="inlineStr">
        <is>
          <t>1- Cuero sintético</t>
        </is>
      </c>
      <c r="AB76" s="179">
        <f>25*60</f>
        <v/>
      </c>
      <c r="AC76" s="179">
        <f>AB76-AB76*8%</f>
        <v/>
      </c>
      <c r="AD76" s="180" t="inlineStr">
        <is>
          <t>60m²</t>
        </is>
      </c>
    </row>
    <row r="77">
      <c r="B77" s="52" t="n"/>
      <c r="E77" s="155" t="inlineStr">
        <is>
          <t>Total</t>
        </is>
      </c>
      <c r="F77" s="123">
        <f>SUM(F73:F76)</f>
        <v/>
      </c>
      <c r="H77" s="155">
        <f>SUM(H73:H76)</f>
        <v/>
      </c>
      <c r="S77" s="52" t="n"/>
      <c r="T77" s="182" t="inlineStr">
        <is>
          <t>Calidad del cuero</t>
        </is>
      </c>
      <c r="U77" s="177" t="inlineStr">
        <is>
          <t>2- Cuero genuino estándar</t>
        </is>
      </c>
      <c r="V77" s="179" t="n">
        <v>45</v>
      </c>
      <c r="W77" s="179">
        <f>V77-V77*8%</f>
        <v/>
      </c>
      <c r="X77" s="180" t="inlineStr">
        <is>
          <t>m²</t>
        </is>
      </c>
      <c r="Z77" s="182" t="inlineStr">
        <is>
          <t>Calidad del cuero</t>
        </is>
      </c>
      <c r="AA77" s="177" t="inlineStr">
        <is>
          <t>2- Cuero genuino estándar</t>
        </is>
      </c>
      <c r="AB77" s="179">
        <f>45*55</f>
        <v/>
      </c>
      <c r="AC77" s="179">
        <f>AB77-AB77*8%</f>
        <v/>
      </c>
      <c r="AD77" s="180" t="inlineStr">
        <is>
          <t>55m²</t>
        </is>
      </c>
    </row>
    <row r="78">
      <c r="B78" s="52" t="n"/>
      <c r="F78" s="124" t="n"/>
      <c r="S78" s="52" t="n"/>
      <c r="T78" s="182" t="inlineStr">
        <is>
          <t>Calidad del cuero</t>
        </is>
      </c>
      <c r="U78" s="177" t="inlineStr">
        <is>
          <t>3-Cuero genuino premium</t>
        </is>
      </c>
      <c r="V78" s="179" t="n">
        <v>80</v>
      </c>
      <c r="W78" s="179">
        <f>V78-V78*8%</f>
        <v/>
      </c>
      <c r="X78" s="180" t="inlineStr">
        <is>
          <t>m²</t>
        </is>
      </c>
      <c r="Z78" s="182" t="inlineStr">
        <is>
          <t>Calidad del cuero</t>
        </is>
      </c>
      <c r="AA78" s="177" t="inlineStr">
        <is>
          <t>3-Cuero genuino premium</t>
        </is>
      </c>
      <c r="AB78" s="179">
        <f>80*15</f>
        <v/>
      </c>
      <c r="AC78" s="179">
        <f>AB78-AB78*8%</f>
        <v/>
      </c>
      <c r="AD78" s="180" t="inlineStr">
        <is>
          <t>15m²</t>
        </is>
      </c>
    </row>
    <row r="79">
      <c r="B79" s="52" t="n">
        <v>7000</v>
      </c>
      <c r="C79" s="155" t="inlineStr">
        <is>
          <t>unidades mercado</t>
        </is>
      </c>
      <c r="F79" s="124" t="n"/>
      <c r="K79" s="155" t="n"/>
      <c r="S79" s="52" t="n"/>
      <c r="T79" s="182" t="inlineStr">
        <is>
          <t>Calidad de accesorios</t>
        </is>
      </c>
      <c r="U79" s="177" t="inlineStr">
        <is>
          <t>1- Aleación económica</t>
        </is>
      </c>
      <c r="V79" s="179" t="n">
        <v>4</v>
      </c>
      <c r="W79" s="179">
        <f>V79-V79*8%</f>
        <v/>
      </c>
      <c r="X79" s="180" t="inlineStr">
        <is>
          <t>unidad</t>
        </is>
      </c>
      <c r="Z79" s="182" t="inlineStr">
        <is>
          <t>Calidad de accesorios</t>
        </is>
      </c>
      <c r="AA79" s="177" t="inlineStr">
        <is>
          <t>1- Aleación económica</t>
        </is>
      </c>
      <c r="AB79" s="179">
        <f>4*200</f>
        <v/>
      </c>
      <c r="AC79" s="179">
        <f>AB79-AB79*8%</f>
        <v/>
      </c>
      <c r="AD79" s="180" t="inlineStr">
        <is>
          <t>200 unidad</t>
        </is>
      </c>
    </row>
    <row r="80">
      <c r="B80" s="125" t="n">
        <v>0.5</v>
      </c>
      <c r="F80" s="124" t="n"/>
      <c r="K80" s="39" t="n"/>
      <c r="S80" s="52" t="n"/>
      <c r="T80" s="182" t="inlineStr">
        <is>
          <t>Calidad de accesorios</t>
        </is>
      </c>
      <c r="U80" s="180" t="inlineStr">
        <is>
          <t>2- Metal premium</t>
        </is>
      </c>
      <c r="V80" s="179" t="n">
        <v>9</v>
      </c>
      <c r="W80" s="179">
        <f>V80-V80*8%</f>
        <v/>
      </c>
      <c r="X80" s="180" t="inlineStr">
        <is>
          <t>unidad</t>
        </is>
      </c>
      <c r="Z80" s="182" t="inlineStr">
        <is>
          <t>Calidad de accesorios</t>
        </is>
      </c>
      <c r="AA80" s="180" t="inlineStr">
        <is>
          <t>2- Metal premium</t>
        </is>
      </c>
      <c r="AB80" s="179">
        <f>9*190</f>
        <v/>
      </c>
      <c r="AC80" s="179">
        <f>AB80-AB80*8%</f>
        <v/>
      </c>
      <c r="AD80" s="180" t="inlineStr">
        <is>
          <t>190 unidad</t>
        </is>
      </c>
    </row>
    <row r="81">
      <c r="B81" s="52">
        <f>B79*B80</f>
        <v/>
      </c>
      <c r="C81" s="155" t="inlineStr">
        <is>
          <t>unidades mercado real</t>
        </is>
      </c>
      <c r="F81" s="124" t="n"/>
      <c r="S81" s="52" t="n"/>
      <c r="T81" s="182" t="inlineStr">
        <is>
          <t>Calidad del hilo</t>
        </is>
      </c>
      <c r="U81" s="177" t="inlineStr">
        <is>
          <t>1- Poliéster estándar</t>
        </is>
      </c>
      <c r="V81" s="179" t="n">
        <v>2</v>
      </c>
      <c r="W81" s="179">
        <f>V81-V81*8%</f>
        <v/>
      </c>
      <c r="X81" s="180" t="inlineStr">
        <is>
          <t>m</t>
        </is>
      </c>
      <c r="Z81" s="182" t="inlineStr">
        <is>
          <t>Calidad del hilo</t>
        </is>
      </c>
      <c r="AA81" s="177" t="inlineStr">
        <is>
          <t>1- Poliéster estándar</t>
        </is>
      </c>
      <c r="AB81" s="179">
        <f>2*0</f>
        <v/>
      </c>
      <c r="AC81" s="179">
        <f>AB81-AB81*8%</f>
        <v/>
      </c>
      <c r="AD81" s="180" t="inlineStr">
        <is>
          <t>0 m</t>
        </is>
      </c>
    </row>
    <row r="82">
      <c r="B82" s="126" t="n"/>
      <c r="C82" s="128" t="n"/>
      <c r="D82" s="128" t="n"/>
      <c r="E82" s="128" t="n"/>
      <c r="F82" s="129" t="n"/>
      <c r="S82" s="52" t="n"/>
      <c r="T82" s="182" t="inlineStr">
        <is>
          <t>Calidad del hilo</t>
        </is>
      </c>
      <c r="U82" s="177" t="inlineStr">
        <is>
          <t>2- Encerado reforzado</t>
        </is>
      </c>
      <c r="V82" s="179" t="n">
        <v>4</v>
      </c>
      <c r="W82" s="179">
        <f>V82-V82*8%</f>
        <v/>
      </c>
      <c r="X82" s="180" t="inlineStr">
        <is>
          <t>m</t>
        </is>
      </c>
      <c r="Z82" s="182" t="inlineStr">
        <is>
          <t>Calidad del hilo</t>
        </is>
      </c>
      <c r="AA82" s="177" t="inlineStr">
        <is>
          <t>2- Encerado reforzado</t>
        </is>
      </c>
      <c r="AB82" s="179">
        <f>4*6</f>
        <v/>
      </c>
      <c r="AC82" s="179">
        <f>AB82-AB82*8%</f>
        <v/>
      </c>
      <c r="AD82" s="180" t="inlineStr">
        <is>
          <t>6 m</t>
        </is>
      </c>
    </row>
    <row r="83">
      <c r="S83" s="52" t="n"/>
      <c r="T83" s="182" t="inlineStr">
        <is>
          <t>Calidad del hilo</t>
        </is>
      </c>
      <c r="U83" s="177" t="inlineStr">
        <is>
          <t>3- Alta tenacidad</t>
        </is>
      </c>
      <c r="V83" s="179" t="n">
        <v>7</v>
      </c>
      <c r="W83" s="179">
        <f>V83-V83*8%</f>
        <v/>
      </c>
      <c r="X83" s="180" t="inlineStr">
        <is>
          <t>m</t>
        </is>
      </c>
      <c r="Z83" s="182" t="inlineStr">
        <is>
          <t>Calidad del hilo</t>
        </is>
      </c>
      <c r="AA83" s="177" t="inlineStr">
        <is>
          <t>3- Alta tenacidad</t>
        </is>
      </c>
      <c r="AB83" s="179">
        <f>7*7</f>
        <v/>
      </c>
      <c r="AC83" s="179">
        <f>AB83-AB83*8%</f>
        <v/>
      </c>
      <c r="AD83" s="180" t="inlineStr">
        <is>
          <t>7 m</t>
        </is>
      </c>
    </row>
    <row r="84">
      <c r="S84" s="52" t="n"/>
      <c r="V84" s="181" t="n"/>
      <c r="W84" s="181" t="n"/>
      <c r="Z84" s="182" t="inlineStr">
        <is>
          <t>Total</t>
        </is>
      </c>
      <c r="AA84" s="182" t="n"/>
      <c r="AB84" s="183">
        <f>SUM(AB76:AB83)</f>
        <v/>
      </c>
      <c r="AC84" s="183">
        <f>SUM(AC76:AC83)</f>
        <v/>
      </c>
      <c r="AD84" s="182" t="n"/>
    </row>
    <row r="85">
      <c r="S85" s="52" t="n"/>
      <c r="T85" s="155" t="inlineStr">
        <is>
          <t>Inventario Inicial:</t>
        </is>
      </c>
    </row>
    <row r="86">
      <c r="B86" s="31" t="inlineStr">
        <is>
          <t>EJEMPLO de distribución de Ventas (Bolsos promedio)</t>
        </is>
      </c>
      <c r="C86" s="35" t="inlineStr">
        <is>
          <t>Reputacion</t>
        </is>
      </c>
      <c r="D86" s="35" t="inlineStr">
        <is>
          <t>Precio</t>
        </is>
      </c>
      <c r="E86" s="35" t="inlineStr">
        <is>
          <t>Puntaje del precio</t>
        </is>
      </c>
      <c r="F86" s="35" t="inlineStr">
        <is>
          <t>Puntaje total</t>
        </is>
      </c>
      <c r="G86" s="35" t="inlineStr">
        <is>
          <t>Porcentaje parcial</t>
        </is>
      </c>
      <c r="H86" s="35" t="inlineStr">
        <is>
          <t>Unidades Vendidas</t>
        </is>
      </c>
      <c r="S86" s="52" t="n"/>
      <c r="T86" s="182" t="inlineStr">
        <is>
          <t>Grupo de decisión</t>
        </is>
      </c>
      <c r="U86" s="182" t="inlineStr">
        <is>
          <t>Opción/Nivel</t>
        </is>
      </c>
      <c r="V86" s="182" t="inlineStr">
        <is>
          <t>Precio de lista</t>
        </is>
      </c>
      <c r="W86" s="158" t="inlineStr">
        <is>
          <t>Descontado por cantidad</t>
        </is>
      </c>
      <c r="X86" s="158" t="inlineStr">
        <is>
          <t>Unidad*cant. producida</t>
        </is>
      </c>
      <c r="Z86" s="155" t="inlineStr">
        <is>
          <t>Producción:</t>
        </is>
      </c>
    </row>
    <row r="87">
      <c r="B87" s="35" t="inlineStr">
        <is>
          <t>Empresa A</t>
        </is>
      </c>
      <c r="C87" s="35" t="n">
        <v>7</v>
      </c>
      <c r="D87" s="35" t="n">
        <v>120</v>
      </c>
      <c r="E87" s="35">
        <f>(MAX($D$87:$D$90)*2-D87)/10</f>
        <v/>
      </c>
      <c r="F87" s="118">
        <f>SUM(C87,E87)</f>
        <v/>
      </c>
      <c r="G87" s="119">
        <f>F87/$F$91</f>
        <v/>
      </c>
      <c r="H87" s="5">
        <f>ROUND(G87*$B$81,0)</f>
        <v/>
      </c>
      <c r="S87" s="52" t="n"/>
      <c r="T87" s="182" t="inlineStr">
        <is>
          <t>Calidad del cuero</t>
        </is>
      </c>
      <c r="U87" s="177" t="inlineStr">
        <is>
          <t>1- Cuero sintético</t>
        </is>
      </c>
      <c r="V87" s="179">
        <f>25*60</f>
        <v/>
      </c>
      <c r="W87" s="179">
        <f>V87-V87*8%</f>
        <v/>
      </c>
      <c r="X87" s="180" t="inlineStr">
        <is>
          <t>60m²</t>
        </is>
      </c>
      <c r="Z87" s="182" t="inlineStr">
        <is>
          <t>Grupo de decisión</t>
        </is>
      </c>
      <c r="AA87" s="182" t="inlineStr">
        <is>
          <t>Opción/Nivel</t>
        </is>
      </c>
      <c r="AB87" s="182" t="inlineStr">
        <is>
          <t>Precio de lista</t>
        </is>
      </c>
      <c r="AC87" s="158" t="inlineStr">
        <is>
          <t>Descontado por cantidad</t>
        </is>
      </c>
      <c r="AD87" s="158" t="inlineStr">
        <is>
          <t>Unidad*cant. producida</t>
        </is>
      </c>
    </row>
    <row r="88">
      <c r="B88" s="35" t="inlineStr">
        <is>
          <t>Empresa B</t>
        </is>
      </c>
      <c r="C88" s="35" t="n">
        <v>8.300000000000001</v>
      </c>
      <c r="D88" s="35" t="n">
        <v>150</v>
      </c>
      <c r="E88" s="35">
        <f>(MAX($D$87:$D$90)*2-D88)/10</f>
        <v/>
      </c>
      <c r="F88" s="118">
        <f>SUM(C88,E88)</f>
        <v/>
      </c>
      <c r="G88" s="119">
        <f>F88/$F$91</f>
        <v/>
      </c>
      <c r="H88" s="5">
        <f>ROUND(G88*$B$81,0)</f>
        <v/>
      </c>
      <c r="S88" s="52" t="n"/>
      <c r="T88" s="182" t="inlineStr">
        <is>
          <t>Calidad del cuero</t>
        </is>
      </c>
      <c r="U88" s="177" t="inlineStr">
        <is>
          <t>2- Cuero genuino estándar</t>
        </is>
      </c>
      <c r="V88" s="179">
        <f>45*110</f>
        <v/>
      </c>
      <c r="W88" s="179">
        <f>V88-V88*8%</f>
        <v/>
      </c>
      <c r="X88" s="180" t="inlineStr">
        <is>
          <t>110m²</t>
        </is>
      </c>
      <c r="Z88" s="182" t="inlineStr">
        <is>
          <t>Calidad del cuero</t>
        </is>
      </c>
      <c r="AA88" s="177" t="inlineStr">
        <is>
          <t>1- Cuero sintético</t>
        </is>
      </c>
      <c r="AB88" s="179">
        <f>25*60</f>
        <v/>
      </c>
      <c r="AC88" s="179">
        <f>AB88-AB88*8%</f>
        <v/>
      </c>
      <c r="AD88" s="180" t="inlineStr">
        <is>
          <t>60m²</t>
        </is>
      </c>
    </row>
    <row r="89">
      <c r="B89" s="35" t="inlineStr">
        <is>
          <t>Empresa C</t>
        </is>
      </c>
      <c r="C89" s="35" t="n">
        <v>10.2</v>
      </c>
      <c r="D89" s="35" t="n">
        <v>190</v>
      </c>
      <c r="E89" s="35">
        <f>(MAX($D$87:$D$90)*2-D89)/10</f>
        <v/>
      </c>
      <c r="F89" s="118">
        <f>SUM(C89,E89)</f>
        <v/>
      </c>
      <c r="G89" s="119">
        <f>F89/$F$91</f>
        <v/>
      </c>
      <c r="H89" s="5">
        <f>ROUND(G89*$B$81,0)</f>
        <v/>
      </c>
      <c r="S89" s="52" t="n"/>
      <c r="T89" s="182" t="inlineStr">
        <is>
          <t>Calidad del cuero</t>
        </is>
      </c>
      <c r="U89" s="177" t="inlineStr">
        <is>
          <t>3-Cuero genuino premium</t>
        </is>
      </c>
      <c r="V89" s="179">
        <f>80*30</f>
        <v/>
      </c>
      <c r="W89" s="179">
        <f>V89-V89*8%</f>
        <v/>
      </c>
      <c r="X89" s="180" t="inlineStr">
        <is>
          <t>30m²</t>
        </is>
      </c>
      <c r="Z89" s="182" t="inlineStr">
        <is>
          <t>Calidad del cuero</t>
        </is>
      </c>
      <c r="AA89" s="177" t="inlineStr">
        <is>
          <t>2- Cuero genuino estándar</t>
        </is>
      </c>
      <c r="AB89" s="179">
        <f>45*107</f>
        <v/>
      </c>
      <c r="AC89" s="179">
        <f>AB89-AB89*8%</f>
        <v/>
      </c>
      <c r="AD89" s="180" t="inlineStr">
        <is>
          <t>107m²</t>
        </is>
      </c>
    </row>
    <row r="90">
      <c r="B90" s="35" t="inlineStr">
        <is>
          <t>Empresa D</t>
        </is>
      </c>
      <c r="C90" s="35" t="n">
        <v>9</v>
      </c>
      <c r="D90" s="35" t="n">
        <v>200</v>
      </c>
      <c r="E90" s="35">
        <f>(MAX($D$87:$D$90)*2-D90)/10</f>
        <v/>
      </c>
      <c r="F90" s="118">
        <f>SUM(C90,E90)</f>
        <v/>
      </c>
      <c r="G90" s="119">
        <f>F90/$F$91</f>
        <v/>
      </c>
      <c r="H90" s="5">
        <f>ROUND(G90*$B$81,0)</f>
        <v/>
      </c>
      <c r="S90" s="52" t="n"/>
      <c r="T90" s="182" t="inlineStr">
        <is>
          <t>Calidad de accesorios</t>
        </is>
      </c>
      <c r="U90" s="177" t="inlineStr">
        <is>
          <t>1- Aleación económica</t>
        </is>
      </c>
      <c r="V90" s="179">
        <f>4*200</f>
        <v/>
      </c>
      <c r="W90" s="179">
        <f>V90-V90*8%</f>
        <v/>
      </c>
      <c r="X90" s="180" t="inlineStr">
        <is>
          <t>200 unidad</t>
        </is>
      </c>
      <c r="Z90" s="182" t="inlineStr">
        <is>
          <t>Calidad del cuero</t>
        </is>
      </c>
      <c r="AA90" s="177" t="inlineStr">
        <is>
          <t>3-Cuero genuino premium</t>
        </is>
      </c>
      <c r="AB90" s="179">
        <f>80*0</f>
        <v/>
      </c>
      <c r="AC90" s="179">
        <f>AB90-AB90*8%</f>
        <v/>
      </c>
      <c r="AD90" s="180" t="inlineStr">
        <is>
          <t>0m²</t>
        </is>
      </c>
    </row>
    <row r="91">
      <c r="B91" s="52" t="n"/>
      <c r="E91" s="155" t="inlineStr">
        <is>
          <t>Total</t>
        </is>
      </c>
      <c r="F91" s="123">
        <f>SUM(F87:F90)</f>
        <v/>
      </c>
      <c r="S91" s="52" t="n"/>
      <c r="T91" s="182" t="inlineStr">
        <is>
          <t>Calidad de accesorios</t>
        </is>
      </c>
      <c r="U91" s="180" t="inlineStr">
        <is>
          <t>2- Metal premium</t>
        </is>
      </c>
      <c r="V91" s="179">
        <f>9*190</f>
        <v/>
      </c>
      <c r="W91" s="179">
        <f>V91-V91*8%</f>
        <v/>
      </c>
      <c r="X91" s="180" t="inlineStr">
        <is>
          <t>190 unidad</t>
        </is>
      </c>
      <c r="Z91" s="182" t="inlineStr">
        <is>
          <t>Calidad de accesorios</t>
        </is>
      </c>
      <c r="AA91" s="177" t="inlineStr">
        <is>
          <t>1- Aleación económica</t>
        </is>
      </c>
      <c r="AB91" s="179">
        <f>4*200</f>
        <v/>
      </c>
      <c r="AC91" s="179">
        <f>AB91-AB91*8%</f>
        <v/>
      </c>
      <c r="AD91" s="180" t="inlineStr">
        <is>
          <t>200 unidad</t>
        </is>
      </c>
    </row>
    <row r="92">
      <c r="B92" s="52" t="n"/>
      <c r="F92" s="124" t="n"/>
      <c r="S92" s="52" t="n"/>
      <c r="T92" s="182" t="inlineStr">
        <is>
          <t>Calidad del hilo</t>
        </is>
      </c>
      <c r="U92" s="177" t="inlineStr">
        <is>
          <t>1- Poliéster estándar</t>
        </is>
      </c>
      <c r="V92" s="179">
        <f>2*0</f>
        <v/>
      </c>
      <c r="W92" s="179">
        <f>V92-V92*8%</f>
        <v/>
      </c>
      <c r="X92" s="180" t="inlineStr">
        <is>
          <t>0 m</t>
        </is>
      </c>
      <c r="Z92" s="182" t="inlineStr">
        <is>
          <t>Calidad de accesorios</t>
        </is>
      </c>
      <c r="AA92" s="180" t="inlineStr">
        <is>
          <t>2- Metal premium</t>
        </is>
      </c>
      <c r="AB92" s="179">
        <f>9*185</f>
        <v/>
      </c>
      <c r="AC92" s="179">
        <f>AB92-AB92*8%</f>
        <v/>
      </c>
      <c r="AD92" s="180" t="inlineStr">
        <is>
          <t>185 unidad</t>
        </is>
      </c>
    </row>
    <row r="93">
      <c r="B93" s="52" t="n">
        <v>5000</v>
      </c>
      <c r="C93" s="155" t="inlineStr">
        <is>
          <t>unidades mercado</t>
        </is>
      </c>
      <c r="F93" s="124" t="n"/>
      <c r="S93" s="52" t="n"/>
      <c r="T93" s="182" t="inlineStr">
        <is>
          <t>Calidad del hilo</t>
        </is>
      </c>
      <c r="U93" s="177" t="inlineStr">
        <is>
          <t>2- Encerado reforzado</t>
        </is>
      </c>
      <c r="V93" s="179">
        <f>4*1500</f>
        <v/>
      </c>
      <c r="W93" s="179">
        <f>V93-V93*8%</f>
        <v/>
      </c>
      <c r="X93" s="180" t="inlineStr">
        <is>
          <t>1500 m</t>
        </is>
      </c>
      <c r="Z93" s="182" t="inlineStr">
        <is>
          <t>Calidad del hilo</t>
        </is>
      </c>
      <c r="AA93" s="177" t="inlineStr">
        <is>
          <t>1- Poliéster estándar</t>
        </is>
      </c>
      <c r="AB93" s="179">
        <f>2*0</f>
        <v/>
      </c>
      <c r="AC93" s="179">
        <f>AB93-AB93*8%</f>
        <v/>
      </c>
      <c r="AD93" s="180" t="inlineStr">
        <is>
          <t>0 m</t>
        </is>
      </c>
    </row>
    <row r="94">
      <c r="B94" s="125" t="n">
        <v>0.7</v>
      </c>
      <c r="F94" s="124" t="n"/>
      <c r="S94" s="52" t="n"/>
      <c r="T94" s="182" t="inlineStr">
        <is>
          <t>Calidad del hilo</t>
        </is>
      </c>
      <c r="U94" s="177" t="inlineStr">
        <is>
          <t>3- Alta tenacidad</t>
        </is>
      </c>
      <c r="V94" s="179">
        <f>7*1400</f>
        <v/>
      </c>
      <c r="W94" s="179">
        <f>V94-V94*8%</f>
        <v/>
      </c>
      <c r="X94" s="180" t="inlineStr">
        <is>
          <t>1400 m</t>
        </is>
      </c>
      <c r="Z94" s="182" t="inlineStr">
        <is>
          <t>Calidad del hilo</t>
        </is>
      </c>
      <c r="AA94" s="177" t="inlineStr">
        <is>
          <t>2- Encerado reforzado</t>
        </is>
      </c>
      <c r="AB94" s="179">
        <f>4*1500</f>
        <v/>
      </c>
      <c r="AC94" s="179">
        <f>AB94-AB94*8%</f>
        <v/>
      </c>
      <c r="AD94" s="180" t="inlineStr">
        <is>
          <t>1500 m</t>
        </is>
      </c>
    </row>
    <row r="95">
      <c r="B95" s="52">
        <f>B93*B94</f>
        <v/>
      </c>
      <c r="C95" s="155" t="inlineStr">
        <is>
          <t>unidades mercado real</t>
        </is>
      </c>
      <c r="F95" s="124" t="n"/>
      <c r="S95" s="52" t="n"/>
      <c r="T95" s="182" t="inlineStr">
        <is>
          <t>Total</t>
        </is>
      </c>
      <c r="U95" s="182" t="n"/>
      <c r="V95" s="183">
        <f>SUM(V87:V94)</f>
        <v/>
      </c>
      <c r="W95" s="183">
        <f>SUM(W87:W94)</f>
        <v/>
      </c>
      <c r="X95" s="182" t="n"/>
      <c r="Z95" s="182" t="inlineStr">
        <is>
          <t>Calidad del hilo</t>
        </is>
      </c>
      <c r="AA95" s="177" t="inlineStr">
        <is>
          <t>3- Alta tenacidad</t>
        </is>
      </c>
      <c r="AB95" s="179">
        <f>7*1400</f>
        <v/>
      </c>
      <c r="AC95" s="179">
        <f>AB95-AB95*8%</f>
        <v/>
      </c>
      <c r="AD95" s="180" t="inlineStr">
        <is>
          <t>1400 m</t>
        </is>
      </c>
    </row>
    <row r="96">
      <c r="B96" s="126" t="n"/>
      <c r="C96" s="128" t="n"/>
      <c r="D96" s="128" t="n"/>
      <c r="E96" s="128" t="n"/>
      <c r="F96" s="129" t="n"/>
      <c r="S96" s="52" t="n"/>
      <c r="Z96" s="182" t="inlineStr">
        <is>
          <t>Total</t>
        </is>
      </c>
      <c r="AA96" s="182" t="n"/>
      <c r="AB96" s="183">
        <f>SUM(AB88:AB95)</f>
        <v/>
      </c>
      <c r="AC96" s="183">
        <f>SUM(AC88:AC95)</f>
        <v/>
      </c>
      <c r="AD96" s="182" t="n"/>
    </row>
    <row r="97">
      <c r="S97" s="52" t="n"/>
    </row>
    <row r="98">
      <c r="S98" s="52" t="n"/>
      <c r="T98" s="155" t="inlineStr">
        <is>
          <t>Inventario final: Inventario inicial - Producción</t>
        </is>
      </c>
    </row>
    <row r="99">
      <c r="S99" s="52" t="n"/>
    </row>
    <row r="100">
      <c r="B100" s="31" t="inlineStr">
        <is>
          <t>EJEMPLO de distribución de Ventas (Bolsos Premium)</t>
        </is>
      </c>
      <c r="C100" s="35" t="inlineStr">
        <is>
          <t>Reputacion</t>
        </is>
      </c>
      <c r="D100" s="35" t="inlineStr">
        <is>
          <t>Precio</t>
        </is>
      </c>
      <c r="E100" s="35" t="inlineStr">
        <is>
          <t>Puntaje del precio</t>
        </is>
      </c>
      <c r="F100" s="35" t="inlineStr">
        <is>
          <t>Puntaje total</t>
        </is>
      </c>
      <c r="G100" s="35" t="inlineStr">
        <is>
          <t>Porcentaje parcial</t>
        </is>
      </c>
      <c r="H100" s="35" t="inlineStr">
        <is>
          <t>Unidades Vendidas</t>
        </is>
      </c>
      <c r="S100" s="52" t="n"/>
      <c r="T100" s="182" t="inlineStr">
        <is>
          <t>Total</t>
        </is>
      </c>
      <c r="U100" s="182" t="n"/>
      <c r="V100" s="183">
        <f>V95-AB96</f>
        <v/>
      </c>
      <c r="W100" s="183">
        <f>W95-AC96</f>
        <v/>
      </c>
      <c r="X100" s="182" t="n"/>
    </row>
    <row r="101">
      <c r="B101" s="35" t="inlineStr">
        <is>
          <t>Empresa A</t>
        </is>
      </c>
      <c r="C101" s="35" t="n">
        <v>7</v>
      </c>
      <c r="D101" s="35" t="n">
        <v>250</v>
      </c>
      <c r="E101" s="35">
        <f>(MAX($D$101:$D$104)*2-D101)/10</f>
        <v/>
      </c>
      <c r="F101" s="118">
        <f>SUM(C101,E101)</f>
        <v/>
      </c>
      <c r="G101" s="119">
        <f>F101/$F$105</f>
        <v/>
      </c>
      <c r="H101" s="5">
        <f>ROUND(G101*$B$109,0)</f>
        <v/>
      </c>
      <c r="S101" s="52" t="n"/>
    </row>
    <row r="102">
      <c r="B102" s="35" t="inlineStr">
        <is>
          <t>Empresa B</t>
        </is>
      </c>
      <c r="C102" s="35" t="n">
        <v>8.300000000000001</v>
      </c>
      <c r="D102" s="35" t="n">
        <v>300</v>
      </c>
      <c r="E102" s="35">
        <f>(MAX($D$101:$D$104)*2-D102)/10</f>
        <v/>
      </c>
      <c r="F102" s="118">
        <f>SUM(C102,E102)</f>
        <v/>
      </c>
      <c r="G102" s="119">
        <f>F102/$F$105</f>
        <v/>
      </c>
      <c r="H102" s="5">
        <f>ROUND(G102*$B$109,0)</f>
        <v/>
      </c>
      <c r="S102" s="52" t="n"/>
    </row>
    <row r="103">
      <c r="B103" s="35" t="inlineStr">
        <is>
          <t>Empresa C</t>
        </is>
      </c>
      <c r="C103" s="35" t="n">
        <v>10.2</v>
      </c>
      <c r="D103" s="35" t="n">
        <v>220</v>
      </c>
      <c r="E103" s="35">
        <f>(MAX($D$101:$D$104)*2-D103)/10</f>
        <v/>
      </c>
      <c r="F103" s="118">
        <f>SUM(C103,E103)</f>
        <v/>
      </c>
      <c r="G103" s="119">
        <f>F103/$F$105</f>
        <v/>
      </c>
      <c r="H103" s="5">
        <f>ROUND(G103*$B$109,0)</f>
        <v/>
      </c>
      <c r="S103" s="52" t="n"/>
    </row>
    <row r="104">
      <c r="B104" s="35" t="inlineStr">
        <is>
          <t>Empresa D</t>
        </is>
      </c>
      <c r="C104" s="35" t="n">
        <v>9</v>
      </c>
      <c r="D104" s="35" t="n">
        <v>400</v>
      </c>
      <c r="E104" s="35">
        <f>(MAX($D$101:$D$104)*2-D104)/10</f>
        <v/>
      </c>
      <c r="F104" s="118">
        <f>SUM(C104,E104)</f>
        <v/>
      </c>
      <c r="G104" s="119">
        <f>F104/$F$105</f>
        <v/>
      </c>
      <c r="H104" s="5">
        <f>ROUND(G104*$B$109,0)</f>
        <v/>
      </c>
      <c r="S104" s="52" t="n"/>
    </row>
    <row r="105">
      <c r="B105" s="52" t="n"/>
      <c r="E105" s="155" t="inlineStr">
        <is>
          <t>Total</t>
        </is>
      </c>
      <c r="F105" s="123">
        <f>SUM(F101:F104)</f>
        <v/>
      </c>
      <c r="S105" s="52" t="n"/>
    </row>
    <row r="106">
      <c r="B106" s="52" t="n"/>
      <c r="F106" s="124" t="n"/>
      <c r="S106" s="52" t="n"/>
    </row>
    <row r="107">
      <c r="B107" s="52" t="n">
        <v>2000</v>
      </c>
      <c r="C107" s="155" t="inlineStr">
        <is>
          <t>unidades mercado</t>
        </is>
      </c>
      <c r="F107" s="124" t="n"/>
      <c r="S107" s="52" t="n"/>
    </row>
    <row r="108">
      <c r="B108" s="125" t="n">
        <v>0.4</v>
      </c>
      <c r="F108" s="124" t="n"/>
      <c r="S108" s="52" t="n"/>
    </row>
    <row r="109">
      <c r="B109" s="52">
        <f>B107*B108</f>
        <v/>
      </c>
      <c r="C109" s="155" t="inlineStr">
        <is>
          <t>unidades mercado real</t>
        </is>
      </c>
      <c r="F109" s="124" t="n"/>
      <c r="S109" s="52" t="n"/>
    </row>
    <row r="110">
      <c r="B110" s="126" t="n"/>
      <c r="C110" s="128" t="n"/>
      <c r="D110" s="128" t="n"/>
      <c r="E110" s="128" t="n"/>
      <c r="F110" s="129" t="n"/>
      <c r="S110" s="52" t="n"/>
    </row>
    <row r="111">
      <c r="S111" s="52" t="n"/>
    </row>
    <row r="112">
      <c r="S112" s="52" t="n"/>
    </row>
    <row r="113">
      <c r="A113" s="115" t="inlineStr">
        <is>
          <t>Calculo de Reputacion</t>
        </is>
      </c>
      <c r="C113" s="116">
        <f>F48*10</f>
        <v/>
      </c>
      <c r="D113" s="116">
        <f>M10*10</f>
        <v/>
      </c>
      <c r="E113" s="116">
        <f>AVERAGE(H56,H58,H61)*10</f>
        <v/>
      </c>
      <c r="F113" s="46">
        <f>B63/10000*10</f>
        <v/>
      </c>
      <c r="G113" s="176">
        <f>SUM(C113:F113)</f>
        <v/>
      </c>
      <c r="H113" s="29" t="inlineStr">
        <is>
          <t>ptos de reputación</t>
        </is>
      </c>
      <c r="S113" s="52" t="n"/>
    </row>
    <row r="114">
      <c r="C114" s="102" t="inlineStr">
        <is>
          <t>Factor de producción</t>
        </is>
      </c>
      <c r="D114" s="102" t="inlineStr">
        <is>
          <t>Factor de MO</t>
        </is>
      </c>
      <c r="E114" s="102" t="inlineStr">
        <is>
          <t>Factor de MP (utilizacion)</t>
        </is>
      </c>
      <c r="F114" s="102" t="inlineStr">
        <is>
          <t>Factor de Publicidad</t>
        </is>
      </c>
      <c r="L114" s="149" t="inlineStr">
        <is>
          <t>Peso precio</t>
        </is>
      </c>
      <c r="M114" s="150" t="n">
        <v>0.7</v>
      </c>
      <c r="S114" s="52" t="n"/>
    </row>
    <row r="115">
      <c r="L115" s="149" t="inlineStr">
        <is>
          <t>peso reputación</t>
        </is>
      </c>
      <c r="M115" s="150" t="n">
        <v>0.2</v>
      </c>
      <c r="S115" s="52" t="n"/>
    </row>
    <row r="116">
      <c r="L116" s="149" t="inlineStr">
        <is>
          <t>Peso calidad</t>
        </is>
      </c>
      <c r="M116" s="150" t="n">
        <v>0.1</v>
      </c>
      <c r="S116" s="52" t="n"/>
    </row>
    <row r="117">
      <c r="B117" s="164" t="inlineStr">
        <is>
          <t>EJEMPLO de distribución de Ventas (Bolsos Economicos)</t>
        </is>
      </c>
      <c r="C117" s="164" t="inlineStr">
        <is>
          <t>Precio</t>
        </is>
      </c>
      <c r="D117" s="164" t="inlineStr">
        <is>
          <t>Reputación (0-10)</t>
        </is>
      </c>
      <c r="E117" s="164" t="inlineStr">
        <is>
          <t>Calidad (0-100)</t>
        </is>
      </c>
      <c r="F117" s="164" t="inlineStr">
        <is>
          <t>Precio Económico (0-100)</t>
        </is>
      </c>
      <c r="G117" s="164" t="inlineStr">
        <is>
          <t>Reputación (0-100)</t>
        </is>
      </c>
      <c r="H117" s="164" t="inlineStr">
        <is>
          <t>Puntaje total</t>
        </is>
      </c>
      <c r="I117" s="164" t="inlineStr">
        <is>
          <t>Porcentaje parcial</t>
        </is>
      </c>
      <c r="J117" s="164" t="inlineStr">
        <is>
          <t>Unidades Vendidas</t>
        </is>
      </c>
      <c r="K117" s="152" t="n"/>
      <c r="S117" s="52" t="n"/>
    </row>
    <row r="118">
      <c r="B118" s="153" t="inlineStr">
        <is>
          <t>Empresa A</t>
        </is>
      </c>
      <c r="C118" s="154" t="n">
        <v>40</v>
      </c>
      <c r="D118" s="156" t="n">
        <v>7</v>
      </c>
      <c r="E118" s="156">
        <f>ROUND((D118/$D$122)*100,0)</f>
        <v/>
      </c>
      <c r="F118" s="161">
        <f>100*(MAX($C$118:$C$121)-C118)/(MAX($C$118:$C$121)-MIN($C$118:$C$121))</f>
        <v/>
      </c>
      <c r="G118" s="161">
        <f>D118*10</f>
        <v/>
      </c>
      <c r="H118" s="161">
        <f>$M$114*F118+$M$115*G118+$M$116*E118</f>
        <v/>
      </c>
      <c r="I118" s="162">
        <f>H118/$H$122</f>
        <v/>
      </c>
      <c r="J118" s="161">
        <f>ROUND(I118*$B$126,0)</f>
        <v/>
      </c>
      <c r="K118" s="152" t="n"/>
      <c r="S118" s="52" t="n"/>
    </row>
    <row r="119">
      <c r="B119" s="153" t="inlineStr">
        <is>
          <t>Empresa B</t>
        </is>
      </c>
      <c r="C119" s="154" t="n">
        <v>45</v>
      </c>
      <c r="D119" s="156" t="n">
        <v>8.300000000000001</v>
      </c>
      <c r="E119" s="156">
        <f>ROUND((D119/$D$122)*100,0)</f>
        <v/>
      </c>
      <c r="F119" s="161">
        <f>100*(MAX($C$118:$C$121)-C119)/(MAX($C$118:$C$121)-MIN($C$118:$C$121))</f>
        <v/>
      </c>
      <c r="G119" s="161">
        <f>D119*10</f>
        <v/>
      </c>
      <c r="H119" s="161">
        <f>$M$114*F119+$M$115*G119+$M$116*E119</f>
        <v/>
      </c>
      <c r="I119" s="162">
        <f>H119/$H$122</f>
        <v/>
      </c>
      <c r="J119" s="161">
        <f>ROUND(I119*$B$126,0)</f>
        <v/>
      </c>
      <c r="K119" s="152" t="n"/>
      <c r="S119" s="52" t="n"/>
    </row>
    <row r="120">
      <c r="B120" s="153" t="inlineStr">
        <is>
          <t>Empresa C</t>
        </is>
      </c>
      <c r="C120" s="154" t="n">
        <v>43</v>
      </c>
      <c r="D120" s="156" t="n">
        <v>10.2</v>
      </c>
      <c r="E120" s="156">
        <f>ROUND((D120/$D$122)*100,0)</f>
        <v/>
      </c>
      <c r="F120" s="161">
        <f>100*(MAX($C$118:$C$121)-C120)/(MAX($C$118:$C$121)-MIN($C$118:$C$121))</f>
        <v/>
      </c>
      <c r="G120" s="161">
        <f>D120*10</f>
        <v/>
      </c>
      <c r="H120" s="161">
        <f>$M$114*F120+$M$115*G120+$M$116*E120</f>
        <v/>
      </c>
      <c r="I120" s="162">
        <f>H120/$H$122</f>
        <v/>
      </c>
      <c r="J120" s="161">
        <f>ROUND(I120*$B$126,0)</f>
        <v/>
      </c>
      <c r="K120" s="152" t="n"/>
      <c r="S120" s="52" t="n"/>
    </row>
    <row r="121">
      <c r="B121" s="153" t="inlineStr">
        <is>
          <t>Empresa D</t>
        </is>
      </c>
      <c r="C121" s="154" t="n">
        <v>41</v>
      </c>
      <c r="D121" s="156" t="n">
        <v>9</v>
      </c>
      <c r="E121" s="156">
        <f>ROUND((D121/$D$122)*100,0)</f>
        <v/>
      </c>
      <c r="F121" s="161">
        <f>100*(MAX($C$118:$C$121)-C121)/(MAX($C$118:$C$121)-MIN($C$118:$C$121))</f>
        <v/>
      </c>
      <c r="G121" s="161">
        <f>D121*10</f>
        <v/>
      </c>
      <c r="H121" s="161">
        <f>$M$114*F121+$M$115*G121+$M$116*E121</f>
        <v/>
      </c>
      <c r="I121" s="162">
        <f>H121/$H$122</f>
        <v/>
      </c>
      <c r="J121" s="161">
        <f>ROUND(I121*$B$126,0)</f>
        <v/>
      </c>
      <c r="K121" s="152" t="n"/>
      <c r="S121" s="52" t="n"/>
    </row>
    <row r="122">
      <c r="B122" s="164" t="n"/>
      <c r="C122" s="164" t="inlineStr">
        <is>
          <t>SUMA</t>
        </is>
      </c>
      <c r="D122" s="164">
        <f>SUM(D118:D121)</f>
        <v/>
      </c>
      <c r="E122" s="164" t="n"/>
      <c r="F122" s="164" t="n"/>
      <c r="G122" s="165" t="inlineStr">
        <is>
          <t>TOTAL</t>
        </is>
      </c>
      <c r="H122" s="161">
        <f>SUM(H118:H121)</f>
        <v/>
      </c>
      <c r="I122" s="164" t="n"/>
      <c r="J122" s="164">
        <f>SUM(J118:J121)</f>
        <v/>
      </c>
      <c r="K122" s="152" t="n"/>
      <c r="S122" s="52" t="n"/>
    </row>
    <row r="123">
      <c r="B123" s="152" t="n"/>
      <c r="C123" s="152" t="n"/>
      <c r="D123" s="152" t="n"/>
      <c r="E123" s="152" t="n"/>
      <c r="F123" s="152" t="n"/>
      <c r="G123" s="152" t="n"/>
      <c r="H123" s="152" t="n"/>
      <c r="I123" s="152" t="n"/>
      <c r="J123" s="152" t="n"/>
      <c r="K123" s="152" t="n"/>
      <c r="S123" s="52" t="n"/>
    </row>
    <row r="124">
      <c r="B124" s="164" t="n">
        <v>7000</v>
      </c>
      <c r="C124" s="164" t="inlineStr">
        <is>
          <t xml:space="preserve">Unidades mercado </t>
        </is>
      </c>
      <c r="D124" s="152" t="n"/>
      <c r="E124" s="152" t="n"/>
      <c r="F124" s="152" t="n"/>
      <c r="G124" s="152" t="n"/>
      <c r="H124" s="152" t="n"/>
      <c r="I124" s="152" t="n"/>
      <c r="J124" s="152" t="n"/>
      <c r="K124" s="152" t="n"/>
      <c r="S124" s="52" t="n"/>
    </row>
    <row r="125">
      <c r="B125" s="166" t="n">
        <v>0.5</v>
      </c>
      <c r="C125" s="164" t="n"/>
      <c r="D125" s="152" t="n"/>
      <c r="E125" s="152" t="n"/>
      <c r="F125" s="152" t="n"/>
      <c r="G125" s="152" t="n"/>
      <c r="H125" s="152" t="n"/>
      <c r="I125" s="152" t="n"/>
      <c r="J125" s="152" t="n"/>
      <c r="K125" s="152" t="n"/>
      <c r="S125" s="52" t="n"/>
    </row>
    <row r="126">
      <c r="B126" s="164" t="n">
        <v>3500</v>
      </c>
      <c r="C126" s="164" t="inlineStr">
        <is>
          <t xml:space="preserve">Unidades mercado real </t>
        </is>
      </c>
      <c r="D126" s="152" t="n"/>
      <c r="E126" s="152" t="n"/>
      <c r="F126" s="152" t="n"/>
      <c r="G126" s="152" t="n"/>
      <c r="H126" s="152" t="n"/>
      <c r="I126" s="152" t="n"/>
      <c r="J126" s="152" t="n"/>
      <c r="K126" s="152" t="n"/>
      <c r="S126" s="52" t="n"/>
    </row>
    <row r="127">
      <c r="B127" s="152" t="n"/>
      <c r="C127" s="152" t="n"/>
      <c r="D127" s="152" t="n"/>
      <c r="E127" s="152" t="n"/>
      <c r="F127" s="152" t="n"/>
      <c r="G127" s="152" t="n"/>
      <c r="H127" s="152" t="n"/>
      <c r="I127" s="152" t="n"/>
      <c r="J127" s="152" t="n"/>
      <c r="K127" s="152" t="n"/>
      <c r="L127" s="149" t="inlineStr">
        <is>
          <t>Peso precio</t>
        </is>
      </c>
      <c r="M127" s="150" t="n">
        <v>0.4</v>
      </c>
      <c r="S127" s="52" t="n"/>
    </row>
    <row r="128">
      <c r="B128" s="152" t="n"/>
      <c r="C128" s="152" t="n"/>
      <c r="D128" s="152" t="n"/>
      <c r="E128" s="152" t="n"/>
      <c r="F128" s="152" t="n"/>
      <c r="G128" s="152" t="n"/>
      <c r="H128" s="152" t="n"/>
      <c r="I128" s="152" t="n"/>
      <c r="J128" s="152" t="n"/>
      <c r="K128" s="152" t="n"/>
      <c r="L128" s="149" t="inlineStr">
        <is>
          <t>peso reputación</t>
        </is>
      </c>
      <c r="M128" s="150" t="n">
        <v>0.35</v>
      </c>
      <c r="S128" s="52" t="n"/>
    </row>
    <row r="129">
      <c r="B129" s="152" t="n"/>
      <c r="C129" s="152" t="n"/>
      <c r="D129" s="152" t="n"/>
      <c r="E129" s="152" t="n"/>
      <c r="F129" s="152" t="n"/>
      <c r="G129" s="152" t="n"/>
      <c r="H129" s="152" t="n"/>
      <c r="I129" s="152" t="n"/>
      <c r="J129" s="152" t="n"/>
      <c r="K129" s="152" t="n"/>
      <c r="L129" s="149" t="inlineStr">
        <is>
          <t>Peso calidad</t>
        </is>
      </c>
      <c r="M129" s="150" t="n">
        <v>0.25</v>
      </c>
      <c r="S129" s="52" t="n"/>
    </row>
    <row r="130">
      <c r="B130" s="164" t="inlineStr">
        <is>
          <t>EJEMPLO de distribución de Ventas (Bolsos Medio)</t>
        </is>
      </c>
      <c r="C130" s="164" t="inlineStr">
        <is>
          <t>Precio</t>
        </is>
      </c>
      <c r="D130" s="164" t="inlineStr">
        <is>
          <t>Reputación (0-10)</t>
        </is>
      </c>
      <c r="E130" s="164" t="inlineStr">
        <is>
          <t>Calidad (0-100)</t>
        </is>
      </c>
      <c r="F130" s="164" t="inlineStr">
        <is>
          <t>Precio Económico (0-100)</t>
        </is>
      </c>
      <c r="G130" s="164" t="inlineStr">
        <is>
          <t>Reputación (0-100)</t>
        </is>
      </c>
      <c r="H130" s="164" t="inlineStr">
        <is>
          <t>Puntaje total</t>
        </is>
      </c>
      <c r="I130" s="164" t="inlineStr">
        <is>
          <t>Porcentaje parcial</t>
        </is>
      </c>
      <c r="J130" s="164" t="inlineStr">
        <is>
          <t>Unidades Vendidas</t>
        </is>
      </c>
      <c r="K130" s="152" t="n"/>
      <c r="L130" s="149" t="inlineStr">
        <is>
          <t>Precio ideal</t>
        </is>
      </c>
      <c r="M130" s="149" t="n">
        <v>100</v>
      </c>
      <c r="S130" s="52" t="n"/>
    </row>
    <row r="131">
      <c r="B131" s="153" t="inlineStr">
        <is>
          <t>Empresa A</t>
        </is>
      </c>
      <c r="C131" s="154" t="n">
        <v>120</v>
      </c>
      <c r="D131" s="156" t="n">
        <v>7</v>
      </c>
      <c r="E131" s="156">
        <f>ROUND((D131/$D$122)*100,0)</f>
        <v/>
      </c>
      <c r="F131" s="161">
        <f>100-(ABS(C131-$M$130)/$M$130*100)</f>
        <v/>
      </c>
      <c r="G131" s="161">
        <f>D131*10</f>
        <v/>
      </c>
      <c r="H131" s="161">
        <f>$M$127*F131+$M$128*G131+$M$129*E131</f>
        <v/>
      </c>
      <c r="I131" s="162">
        <f>H131/$H$135</f>
        <v/>
      </c>
      <c r="J131" s="161">
        <f>ROUND(I131*$B$139,0)</f>
        <v/>
      </c>
      <c r="K131" s="152" t="n"/>
      <c r="S131" s="52" t="n"/>
    </row>
    <row r="132">
      <c r="B132" s="153" t="inlineStr">
        <is>
          <t>Empresa B</t>
        </is>
      </c>
      <c r="C132" s="154" t="n">
        <v>150</v>
      </c>
      <c r="D132" s="156" t="n">
        <v>8.300000000000001</v>
      </c>
      <c r="E132" s="156">
        <f>ROUND((D132/$D$122)*100,0)</f>
        <v/>
      </c>
      <c r="F132" s="161">
        <f>100-(ABS(C132-$M$130)/$M$130*100)</f>
        <v/>
      </c>
      <c r="G132" s="161">
        <f>D132*10</f>
        <v/>
      </c>
      <c r="H132" s="161">
        <f>$M$127*F132+$M$128*G132+$M$129*E132</f>
        <v/>
      </c>
      <c r="I132" s="162">
        <f>H132/$H$135</f>
        <v/>
      </c>
      <c r="J132" s="161">
        <f>ROUND(I132*$B$139,0)</f>
        <v/>
      </c>
      <c r="K132" s="152" t="n"/>
      <c r="S132" s="52" t="n"/>
    </row>
    <row r="133">
      <c r="B133" s="153" t="inlineStr">
        <is>
          <t>Empresa C</t>
        </is>
      </c>
      <c r="C133" s="154" t="n">
        <v>190</v>
      </c>
      <c r="D133" s="156" t="n">
        <v>10.2</v>
      </c>
      <c r="E133" s="156">
        <f>ROUND((D133/$D$122)*100,0)</f>
        <v/>
      </c>
      <c r="F133" s="161">
        <f>100-(ABS(C133-$M$130)/$M$130*100)</f>
        <v/>
      </c>
      <c r="G133" s="161">
        <f>D133*10</f>
        <v/>
      </c>
      <c r="H133" s="161">
        <f>$M$127*F133+$M$128*G133+$M$129*E133</f>
        <v/>
      </c>
      <c r="I133" s="162">
        <f>H133/$H$135</f>
        <v/>
      </c>
      <c r="J133" s="161">
        <f>ROUND(I133*$B$139,0)</f>
        <v/>
      </c>
      <c r="K133" s="152" t="n"/>
      <c r="S133" s="52" t="n"/>
    </row>
    <row r="134">
      <c r="B134" s="153" t="inlineStr">
        <is>
          <t>Empresa D</t>
        </is>
      </c>
      <c r="C134" s="154" t="n">
        <v>200</v>
      </c>
      <c r="D134" s="156" t="n">
        <v>9</v>
      </c>
      <c r="E134" s="156">
        <f>ROUND((D134/$D$122)*100,0)</f>
        <v/>
      </c>
      <c r="F134" s="161">
        <f>100-(ABS(C134-$M$130)/$M$130*100)</f>
        <v/>
      </c>
      <c r="G134" s="161">
        <f>D134*10</f>
        <v/>
      </c>
      <c r="H134" s="161">
        <f>$M$127*F134+$M$128*G134+$M$129*E134</f>
        <v/>
      </c>
      <c r="I134" s="162">
        <f>H134/$H$135</f>
        <v/>
      </c>
      <c r="J134" s="161">
        <f>ROUND(I134*$B$139,0)</f>
        <v/>
      </c>
      <c r="K134" s="152" t="n"/>
      <c r="S134" s="52" t="n"/>
    </row>
    <row r="135">
      <c r="B135" s="164" t="n"/>
      <c r="C135" s="164" t="inlineStr">
        <is>
          <t>SUMA</t>
        </is>
      </c>
      <c r="D135" s="164">
        <f>SUM(D131:D134)</f>
        <v/>
      </c>
      <c r="E135" s="164" t="n"/>
      <c r="F135" s="164" t="n"/>
      <c r="G135" s="168" t="inlineStr">
        <is>
          <t>TOTAL</t>
        </is>
      </c>
      <c r="H135" s="169">
        <f>SUM(H131:H134)</f>
        <v/>
      </c>
      <c r="I135" s="164" t="n"/>
      <c r="J135" s="164">
        <f>SUM(J131:J134)</f>
        <v/>
      </c>
      <c r="K135" s="152" t="n"/>
      <c r="S135" s="52" t="n"/>
    </row>
    <row r="136">
      <c r="B136" s="152" t="n"/>
      <c r="C136" s="152" t="n"/>
      <c r="D136" s="152" t="n"/>
      <c r="E136" s="152" t="n"/>
      <c r="F136" s="152" t="n"/>
      <c r="G136" s="152" t="n"/>
      <c r="H136" s="152" t="n"/>
      <c r="I136" s="152" t="n"/>
      <c r="J136" s="152" t="n"/>
      <c r="K136" s="152" t="n"/>
      <c r="S136" s="52" t="n"/>
    </row>
    <row r="137">
      <c r="B137" s="164" t="n">
        <v>5000</v>
      </c>
      <c r="C137" s="164" t="inlineStr">
        <is>
          <t xml:space="preserve">Unidades mercado </t>
        </is>
      </c>
      <c r="D137" s="152" t="n"/>
      <c r="E137" s="152" t="n"/>
      <c r="F137" s="152" t="n"/>
      <c r="G137" s="152" t="n"/>
      <c r="H137" s="152" t="n"/>
      <c r="I137" s="152" t="n"/>
      <c r="J137" s="152" t="n"/>
      <c r="K137" s="152" t="n"/>
      <c r="S137" s="52" t="n"/>
    </row>
    <row r="138">
      <c r="B138" s="166" t="n">
        <v>0.7</v>
      </c>
      <c r="C138" s="164" t="n"/>
      <c r="D138" s="152" t="n"/>
      <c r="E138" s="152" t="n"/>
      <c r="F138" s="152" t="n"/>
      <c r="G138" s="152" t="n"/>
      <c r="H138" s="152" t="n"/>
      <c r="I138" s="152" t="n"/>
      <c r="J138" s="152" t="n"/>
      <c r="S138" s="52" t="n"/>
    </row>
    <row r="139">
      <c r="B139" s="164" t="n">
        <v>3500</v>
      </c>
      <c r="C139" s="164" t="inlineStr">
        <is>
          <t xml:space="preserve">Unidades mercado real </t>
        </is>
      </c>
      <c r="D139" s="152" t="n"/>
      <c r="E139" s="152" t="n"/>
      <c r="F139" s="152" t="n"/>
      <c r="G139" s="152" t="n"/>
      <c r="H139" s="152" t="n"/>
      <c r="I139" s="152" t="n"/>
      <c r="J139" s="152" t="n"/>
      <c r="S139" s="52" t="n"/>
    </row>
    <row r="140">
      <c r="L140" s="149" t="inlineStr">
        <is>
          <t>Peso precio</t>
        </is>
      </c>
      <c r="M140" s="150" t="n">
        <v>0.1</v>
      </c>
      <c r="S140" s="52" t="n"/>
    </row>
    <row r="141">
      <c r="L141" s="149" t="inlineStr">
        <is>
          <t>peso reputación</t>
        </is>
      </c>
      <c r="M141" s="150" t="n">
        <v>0.5</v>
      </c>
      <c r="S141" s="52" t="n"/>
    </row>
    <row r="142">
      <c r="L142" s="149" t="inlineStr">
        <is>
          <t>Peso calidad</t>
        </is>
      </c>
      <c r="M142" s="150" t="n">
        <v>0.4</v>
      </c>
      <c r="S142" s="52" t="n"/>
    </row>
    <row r="143">
      <c r="B143" s="164" t="inlineStr">
        <is>
          <t>EJEMPLO de distribución de Ventas (Bolsos Caros)</t>
        </is>
      </c>
      <c r="C143" s="164" t="inlineStr">
        <is>
          <t>Precio</t>
        </is>
      </c>
      <c r="D143" s="164" t="inlineStr">
        <is>
          <t>Reputación (0-10)</t>
        </is>
      </c>
      <c r="E143" s="164" t="inlineStr">
        <is>
          <t>Calidad (0-100)</t>
        </is>
      </c>
      <c r="F143" s="164" t="inlineStr">
        <is>
          <t>Precio Económico (0-100)</t>
        </is>
      </c>
      <c r="G143" s="164" t="inlineStr">
        <is>
          <t>Reputación (0-100)</t>
        </is>
      </c>
      <c r="H143" s="164" t="inlineStr">
        <is>
          <t>Puntaje total</t>
        </is>
      </c>
      <c r="I143" s="164" t="inlineStr">
        <is>
          <t>Porcentaje parcial</t>
        </is>
      </c>
      <c r="J143" s="164" t="inlineStr">
        <is>
          <t>Unidades Vendidas</t>
        </is>
      </c>
      <c r="L143" s="149" t="inlineStr">
        <is>
          <t>Precio ideal</t>
        </is>
      </c>
      <c r="M143" s="149" t="n">
        <v>250</v>
      </c>
      <c r="S143" s="52" t="n"/>
    </row>
    <row r="144">
      <c r="B144" s="153" t="inlineStr">
        <is>
          <t>Empresa A</t>
        </is>
      </c>
      <c r="C144" s="154" t="n">
        <v>250</v>
      </c>
      <c r="D144" s="156" t="n">
        <v>7</v>
      </c>
      <c r="E144" s="156">
        <f>ROUND((D144/$D$122)*100,0)</f>
        <v/>
      </c>
      <c r="F144" s="161">
        <f>100-(ABS(C144-$M$143)/$M$143*100)</f>
        <v/>
      </c>
      <c r="G144" s="161">
        <f>D144*10</f>
        <v/>
      </c>
      <c r="H144" s="161">
        <f>$M$140*F144+$M$141*G144+$M$142*E144</f>
        <v/>
      </c>
      <c r="I144" s="162">
        <f>H144/$H$148</f>
        <v/>
      </c>
      <c r="J144" s="161">
        <f>ROUND(I144*$B$152,0)</f>
        <v/>
      </c>
      <c r="S144" s="52" t="n"/>
    </row>
    <row r="145">
      <c r="B145" s="153" t="inlineStr">
        <is>
          <t>Empresa B</t>
        </is>
      </c>
      <c r="C145" s="154" t="n">
        <v>300</v>
      </c>
      <c r="D145" s="156" t="n">
        <v>8.300000000000001</v>
      </c>
      <c r="E145" s="156">
        <f>ROUND((D145/$D$122)*100,0)</f>
        <v/>
      </c>
      <c r="F145" s="161">
        <f>100-(ABS(C145-$M$143)/$M$143*100)</f>
        <v/>
      </c>
      <c r="G145" s="161">
        <f>D145*10</f>
        <v/>
      </c>
      <c r="H145" s="161">
        <f>$M$140*F145+$M$141*G145+$M$142*E145</f>
        <v/>
      </c>
      <c r="I145" s="162">
        <f>H145/$H$148</f>
        <v/>
      </c>
      <c r="J145" s="161">
        <f>ROUND(I145*$B$152,0)</f>
        <v/>
      </c>
      <c r="S145" s="52" t="n"/>
    </row>
    <row r="146">
      <c r="B146" s="153" t="inlineStr">
        <is>
          <t>Empresa C</t>
        </is>
      </c>
      <c r="C146" s="154" t="n">
        <v>220</v>
      </c>
      <c r="D146" s="156" t="n">
        <v>10.2</v>
      </c>
      <c r="E146" s="156">
        <f>ROUND((D146/$D$122)*100,0)</f>
        <v/>
      </c>
      <c r="F146" s="161">
        <f>100-(ABS(C146-$M$143)/$M$143*100)</f>
        <v/>
      </c>
      <c r="G146" s="161">
        <f>D146*10</f>
        <v/>
      </c>
      <c r="H146" s="161">
        <f>$M$140*F146+$M$141*G146+$M$142*E146</f>
        <v/>
      </c>
      <c r="I146" s="162">
        <f>H146/$H$148</f>
        <v/>
      </c>
      <c r="J146" s="161">
        <f>ROUND(I146*$B$152,0)</f>
        <v/>
      </c>
      <c r="S146" s="52" t="n"/>
    </row>
    <row r="147">
      <c r="B147" s="153" t="inlineStr">
        <is>
          <t>Empresa D</t>
        </is>
      </c>
      <c r="C147" s="154" t="n">
        <v>400</v>
      </c>
      <c r="D147" s="156" t="n">
        <v>9</v>
      </c>
      <c r="E147" s="156">
        <f>ROUND((D147/$D$122)*100,0)</f>
        <v/>
      </c>
      <c r="F147" s="161">
        <f>100-(ABS(C147-$M$143)/$M$143*100)</f>
        <v/>
      </c>
      <c r="G147" s="161">
        <f>D147*10</f>
        <v/>
      </c>
      <c r="H147" s="161">
        <f>$M$140*F147+$M$141*G147+$M$142*E147</f>
        <v/>
      </c>
      <c r="I147" s="162">
        <f>H147/$H$148</f>
        <v/>
      </c>
      <c r="J147" s="161">
        <f>ROUND(I147*$B$152,0)</f>
        <v/>
      </c>
      <c r="S147" s="52" t="n"/>
    </row>
    <row r="148">
      <c r="B148" s="164" t="n"/>
      <c r="C148" s="164" t="inlineStr">
        <is>
          <t>SUMA</t>
        </is>
      </c>
      <c r="D148" s="164">
        <f>SUM(D144:D147)</f>
        <v/>
      </c>
      <c r="E148" s="164" t="n"/>
      <c r="F148" s="164" t="n"/>
      <c r="G148" s="168" t="inlineStr">
        <is>
          <t>TOTAL</t>
        </is>
      </c>
      <c r="H148" s="169">
        <f>SUM(H144:H147)</f>
        <v/>
      </c>
      <c r="I148" s="164" t="n"/>
      <c r="J148" s="164">
        <f>SUM(J144:J147)</f>
        <v/>
      </c>
      <c r="S148" s="52" t="n"/>
    </row>
    <row r="149">
      <c r="B149" s="152" t="n"/>
      <c r="C149" s="152" t="n"/>
      <c r="D149" s="152" t="n"/>
      <c r="E149" s="152" t="n"/>
      <c r="F149" s="152" t="n"/>
      <c r="G149" s="152" t="n"/>
      <c r="H149" s="152" t="n"/>
      <c r="I149" s="152" t="n"/>
      <c r="J149" s="152" t="n"/>
      <c r="S149" s="52" t="n"/>
    </row>
    <row r="150">
      <c r="B150" s="164" t="n">
        <v>2000</v>
      </c>
      <c r="C150" s="164" t="inlineStr">
        <is>
          <t xml:space="preserve">Unidades mercado </t>
        </is>
      </c>
      <c r="D150" s="152" t="n"/>
      <c r="E150" s="152" t="n"/>
      <c r="F150" s="152" t="n"/>
      <c r="G150" s="152" t="n"/>
      <c r="H150" s="152" t="n"/>
      <c r="I150" s="152" t="n"/>
      <c r="J150" s="152" t="n"/>
      <c r="S150" s="52" t="n"/>
    </row>
    <row r="151">
      <c r="B151" s="166" t="n">
        <v>0.4</v>
      </c>
      <c r="C151" s="164" t="n"/>
      <c r="D151" s="152" t="n"/>
      <c r="E151" s="152" t="n"/>
      <c r="F151" s="152" t="n"/>
      <c r="G151" s="152" t="n"/>
      <c r="H151" s="152" t="n"/>
      <c r="I151" s="152" t="n"/>
      <c r="J151" s="152" t="n"/>
      <c r="S151" s="52" t="n"/>
    </row>
    <row r="152">
      <c r="B152" s="164" t="n">
        <v>800</v>
      </c>
      <c r="C152" s="164" t="inlineStr">
        <is>
          <t xml:space="preserve">Unidades mercado real </t>
        </is>
      </c>
      <c r="D152" s="152" t="n"/>
      <c r="E152" s="152" t="n"/>
      <c r="F152" s="152" t="n"/>
      <c r="G152" s="152" t="n"/>
      <c r="H152" s="152" t="n"/>
      <c r="I152" s="152" t="n"/>
      <c r="J152" s="152" t="n"/>
      <c r="S152" s="52" t="n"/>
    </row>
    <row r="153">
      <c r="S153" s="52" t="n"/>
    </row>
    <row r="154">
      <c r="S154" s="52" t="n"/>
    </row>
    <row r="155">
      <c r="S155" s="52" t="n"/>
    </row>
    <row r="156">
      <c r="S156" s="52" t="n"/>
    </row>
    <row r="157">
      <c r="S157" s="52" t="n"/>
    </row>
    <row r="158">
      <c r="S158" s="52" t="n"/>
    </row>
    <row r="159">
      <c r="S159" s="52" t="n"/>
    </row>
    <row r="160">
      <c r="S160" s="52" t="n"/>
    </row>
    <row r="161">
      <c r="S161" s="52" t="n"/>
    </row>
    <row r="162">
      <c r="S162" s="52" t="n"/>
    </row>
    <row r="163">
      <c r="S163" s="52" t="n"/>
    </row>
    <row r="164">
      <c r="S164" s="52" t="n"/>
    </row>
    <row r="165">
      <c r="S165" s="52" t="n"/>
    </row>
    <row r="166">
      <c r="S166" s="52" t="n"/>
    </row>
    <row r="167">
      <c r="S167" s="52" t="n"/>
    </row>
    <row r="168">
      <c r="S168" s="52" t="n"/>
    </row>
    <row r="169">
      <c r="S169" s="52" t="n"/>
    </row>
    <row r="170">
      <c r="S170" s="52" t="n"/>
    </row>
    <row r="171">
      <c r="S171" s="52" t="n"/>
    </row>
    <row r="172">
      <c r="S172" s="52" t="n"/>
    </row>
    <row r="173">
      <c r="S173" s="52" t="n"/>
    </row>
    <row r="174">
      <c r="S174" s="52" t="n"/>
    </row>
    <row r="175">
      <c r="S175" s="52" t="n"/>
    </row>
    <row r="176">
      <c r="S176" s="52" t="n"/>
    </row>
    <row r="177">
      <c r="S177" s="52" t="n"/>
    </row>
    <row r="178">
      <c r="S178" s="52" t="n"/>
    </row>
    <row r="179">
      <c r="S179" s="52" t="n"/>
    </row>
    <row r="180">
      <c r="S180" s="52" t="n"/>
    </row>
    <row r="181">
      <c r="S181" s="52" t="n"/>
    </row>
    <row r="182">
      <c r="S182" s="52" t="n"/>
    </row>
    <row r="183">
      <c r="S183" s="52" t="n"/>
    </row>
    <row r="184">
      <c r="S184" s="52" t="n"/>
    </row>
    <row r="185">
      <c r="S185" s="52" t="n"/>
    </row>
    <row r="186">
      <c r="S186" s="52" t="n"/>
    </row>
    <row r="187">
      <c r="S187" s="52" t="n"/>
    </row>
    <row r="188">
      <c r="S188" s="52" t="n"/>
    </row>
    <row r="189">
      <c r="S189" s="52" t="n"/>
    </row>
    <row r="190">
      <c r="S190" s="52" t="n"/>
    </row>
    <row r="191">
      <c r="S191" s="52" t="n"/>
    </row>
    <row r="192">
      <c r="S192" s="52" t="n"/>
    </row>
    <row r="193">
      <c r="S193" s="52" t="n"/>
    </row>
    <row r="194">
      <c r="S194" s="52" t="n"/>
    </row>
    <row r="195">
      <c r="S195" s="52" t="n"/>
    </row>
    <row r="196">
      <c r="S196" s="52" t="n"/>
    </row>
    <row r="197">
      <c r="S197" s="52" t="n"/>
    </row>
    <row r="198">
      <c r="S198" s="52" t="n"/>
    </row>
    <row r="199">
      <c r="S199" s="52" t="n"/>
    </row>
    <row r="200">
      <c r="S200" s="52" t="n"/>
    </row>
  </sheetData>
  <mergeCells count="1">
    <mergeCell ref="A3:B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7"/>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184" min="1" max="1"/>
    <col width="20" customWidth="1" style="184" min="2" max="2"/>
    <col width="18" customWidth="1" style="184" min="3" max="3"/>
    <col width="16" customWidth="1" style="184" min="4" max="4"/>
    <col width="18" customWidth="1" style="184" min="5" max="5"/>
    <col width="14" customWidth="1" style="184" min="6" max="6"/>
    <col width="16" customWidth="1" style="184" min="7" max="7"/>
    <col width="18" customWidth="1" style="184" min="8" max="8"/>
    <col width="16" customWidth="1" style="184" min="9" max="10"/>
    <col width="20" customWidth="1" style="184" min="11" max="11"/>
    <col width="46" customWidth="1" style="184" min="12" max="12"/>
    <col width="8.710000000000001" customWidth="1" style="184" min="13" max="26"/>
  </cols>
  <sheetData>
    <row r="1">
      <c r="A1" s="8" t="inlineStr">
        <is>
          <t>Lote</t>
        </is>
      </c>
      <c r="B1" s="8" t="inlineStr">
        <is>
          <t>Segmento de venta (elige)</t>
        </is>
      </c>
      <c r="C1" s="8" t="inlineStr">
        <is>
          <t>Cantidad de unidades (input)</t>
        </is>
      </c>
      <c r="D1" s="8" t="inlineStr">
        <is>
          <t>Codigo Cuero (elige)</t>
        </is>
      </c>
      <c r="E1" s="8" t="inlineStr">
        <is>
          <t>Codigo Accesorios (elige)</t>
        </is>
      </c>
      <c r="F1" s="8" t="inlineStr">
        <is>
          <t>Codigo Hilo (elige)</t>
        </is>
      </c>
      <c r="G1" s="8" t="inlineStr">
        <is>
          <t>Codigo Molde (elige)</t>
        </is>
      </c>
      <c r="H1" s="8" t="inlineStr">
        <is>
          <t>Costo unitario insumos (auto)</t>
        </is>
      </c>
      <c r="I1" s="8" t="inlineStr">
        <is>
          <t>Puntaje Calidad del lote (auto)</t>
        </is>
      </c>
      <c r="J1" s="8" t="inlineStr">
        <is>
          <t>Umbral requerido por segmento (auto)</t>
        </is>
      </c>
      <c r="K1" s="8" t="inlineStr">
        <is>
          <t>Resultado (auto)</t>
        </is>
      </c>
      <c r="L1" s="8" t="inlineStr">
        <is>
          <t>Mensaje para el jugador (auto)</t>
        </is>
      </c>
    </row>
    <row r="2">
      <c r="A2" s="9" t="inlineStr">
        <is>
          <t>Lote 1</t>
        </is>
      </c>
      <c r="B2" s="108" t="n"/>
      <c r="C2" s="108" t="n">
        <v>0</v>
      </c>
      <c r="D2" s="108" t="n"/>
      <c r="E2" s="108" t="n"/>
      <c r="F2" s="108" t="n"/>
      <c r="G2" s="108" t="n"/>
      <c r="H2" s="110">
        <f t="array" ref="H2">IFERROR(INDEX(Catalogo_Decisiones!$G$2:$G$57,MATCH($D2,Catalogo_Decisiones!$A$2:$A$57,0)),0)+IFERROR(INDEX(Catalogo_Decisiones!$G$2:$G$57,MATCH($E2,Catalogo_Decisiones!$A$2:$A$57,0)),0)+IFERROR(INDEX(Catalogo_Decisiones!$G$2:$G$57,MATCH($F2,Catalogo_Decisiones!$A$2:$A$57,0)),0)</f>
        <v/>
      </c>
      <c r="I2" s="110">
        <f t="array" ref="I2">IFERROR(INDEX(Catalogo_Decisiones!$H$2:$H$57,MATCH($D2,Catalogo_Decisiones!$A$2:$A$57,0)),0)+IFERROR(INDEX(Catalogo_Decisiones!$H$2:$H$57,MATCH($E2,Catalogo_Decisiones!$A$2:$A$57,0)),0)+IFERROR(INDEX(Catalogo_Decisiones!$H$2:$H$57,MATCH($F2,Catalogo_Decisiones!$A$2:$A$57,0)),0)+IFERROR(INDEX(Catalogo_Decisiones!$H$2:$H$57,MATCH($G2,Catalogo_Decisiones!$A$2:$A$57,0)),0)</f>
        <v/>
      </c>
      <c r="J2" s="110">
        <f>_xlfn.IFS($B2="SEG-01",0,$B2="SEG-02",4,$B2="SEG-03",7,TRUE(),0)</f>
        <v/>
      </c>
      <c r="K2" s="113">
        <f>IF(B2="","",IF(I2&gt;=J2,"Coherente","No alcanza el segmento"))</f>
        <v/>
      </c>
      <c r="L2" s="113">
        <f>IF(B2="","Elige un segmento y los insumos del lote",IF(K2="Coherente","Este lote cumple con la calidad esperada para su segmento. Los clientes perciben el valor y el precio se sostiene.","Este lote no alcanza la calidad que su segmento promete. Los clientes se sienten enganados: baja el precio efectivo y la reputacion."))</f>
        <v/>
      </c>
    </row>
    <row r="3">
      <c r="A3" s="9" t="inlineStr">
        <is>
          <t>Lote 2</t>
        </is>
      </c>
      <c r="B3" s="108" t="n"/>
      <c r="C3" s="108" t="n">
        <v>0</v>
      </c>
      <c r="D3" s="108" t="n"/>
      <c r="E3" s="108" t="n"/>
      <c r="F3" s="108" t="n"/>
      <c r="G3" s="108" t="n"/>
      <c r="H3" s="110">
        <f t="array" ref="H3">IFERROR(INDEX(Catalogo_Decisiones!$G$2:$G$57,MATCH($D3,Catalogo_Decisiones!$A$2:$A$57,0)),0)+IFERROR(INDEX(Catalogo_Decisiones!$G$2:$G$57,MATCH($E3,Catalogo_Decisiones!$A$2:$A$57,0)),0)+IFERROR(INDEX(Catalogo_Decisiones!$G$2:$G$57,MATCH($F3,Catalogo_Decisiones!$A$2:$A$57,0)),0)</f>
        <v/>
      </c>
      <c r="I3" s="110">
        <f t="array" ref="I3">IFERROR(INDEX(Catalogo_Decisiones!$H$2:$H$57,MATCH($D3,Catalogo_Decisiones!$A$2:$A$57,0)),0)+IFERROR(INDEX(Catalogo_Decisiones!$H$2:$H$57,MATCH($E3,Catalogo_Decisiones!$A$2:$A$57,0)),0)+IFERROR(INDEX(Catalogo_Decisiones!$H$2:$H$57,MATCH($F3,Catalogo_Decisiones!$A$2:$A$57,0)),0)+IFERROR(INDEX(Catalogo_Decisiones!$H$2:$H$57,MATCH($G3,Catalogo_Decisiones!$A$2:$A$57,0)),0)</f>
        <v/>
      </c>
      <c r="J3" s="110">
        <f>_xlfn.IFS($B3="SEG-01",0,$B3="SEG-02",4,$B3="SEG-03",7,TRUE(),0)</f>
        <v/>
      </c>
      <c r="K3" s="113">
        <f>IF(B3="","",IF(I3&gt;=J3,"Coherente","No alcanza el segmento"))</f>
        <v/>
      </c>
      <c r="L3" s="113">
        <f>IF(B3="","Elige un segmento y los insumos del lote",IF(K3="Coherente","Este lote cumple con la calidad esperada para su segmento. Los clientes perciben el valor y el precio se sostiene.","Este lote no alcanza la calidad que su segmento promete. Los clientes se sienten enganados: baja el precio efectivo y la reputacion."))</f>
        <v/>
      </c>
    </row>
    <row r="4">
      <c r="A4" s="9" t="inlineStr">
        <is>
          <t>Lote 3</t>
        </is>
      </c>
      <c r="B4" s="108" t="n"/>
      <c r="C4" s="108" t="n">
        <v>0</v>
      </c>
      <c r="D4" s="108" t="n"/>
      <c r="E4" s="108" t="n"/>
      <c r="F4" s="108" t="n"/>
      <c r="G4" s="108" t="n"/>
      <c r="H4" s="110">
        <f t="array" ref="H4">IFERROR(INDEX(Catalogo_Decisiones!$G$2:$G$57,MATCH($D4,Catalogo_Decisiones!$A$2:$A$57,0)),0)+IFERROR(INDEX(Catalogo_Decisiones!$G$2:$G$57,MATCH($E4,Catalogo_Decisiones!$A$2:$A$57,0)),0)+IFERROR(INDEX(Catalogo_Decisiones!$G$2:$G$57,MATCH($F4,Catalogo_Decisiones!$A$2:$A$57,0)),0)</f>
        <v/>
      </c>
      <c r="I4" s="110">
        <f t="array" ref="I4">IFERROR(INDEX(Catalogo_Decisiones!$H$2:$H$57,MATCH($D4,Catalogo_Decisiones!$A$2:$A$57,0)),0)+IFERROR(INDEX(Catalogo_Decisiones!$H$2:$H$57,MATCH($E4,Catalogo_Decisiones!$A$2:$A$57,0)),0)+IFERROR(INDEX(Catalogo_Decisiones!$H$2:$H$57,MATCH($F4,Catalogo_Decisiones!$A$2:$A$57,0)),0)+IFERROR(INDEX(Catalogo_Decisiones!$H$2:$H$57,MATCH($G4,Catalogo_Decisiones!$A$2:$A$57,0)),0)</f>
        <v/>
      </c>
      <c r="J4" s="110">
        <f>_xlfn.IFS($B4="SEG-01",0,$B4="SEG-02",4,$B4="SEG-03",7,TRUE(),0)</f>
        <v/>
      </c>
      <c r="K4" s="113">
        <f>IF(B4="","",IF(I4&gt;=J4,"Coherente","No alcanza el segmento"))</f>
        <v/>
      </c>
      <c r="L4" s="113">
        <f>IF(B4="","Elige un segmento y los insumos del lote",IF(K4="Coherente","Este lote cumple con la calidad esperada para su segmento. Los clientes perciben el valor y el precio se sostiene.","Este lote no alcanza la calidad que su segmento promete. Los clientes se sienten enganados: baja el precio efectivo y la reputacion."))</f>
        <v/>
      </c>
    </row>
    <row r="5">
      <c r="A5" s="9" t="inlineStr">
        <is>
          <t>TOTAL CICLO</t>
        </is>
      </c>
      <c r="B5" s="127" t="n"/>
      <c r="C5" s="130">
        <f>SUM(C2:C4)</f>
        <v/>
      </c>
      <c r="D5" s="127" t="n"/>
      <c r="E5" s="127" t="n"/>
      <c r="F5" s="127" t="n"/>
      <c r="G5" s="127" t="n"/>
      <c r="H5" s="130">
        <f>SUMPRODUCT(C2:C4,H2:H4)</f>
        <v/>
      </c>
      <c r="I5" s="127" t="n"/>
      <c r="J5" s="127" t="n"/>
      <c r="K5" s="127" t="n"/>
      <c r="L5" s="127" t="n"/>
    </row>
    <row r="7">
      <c r="A7" s="131" t="inlineStr">
        <is>
          <t>Nota: cada lote se evalua por separado. El costo unitario de insumos (col H) NO incluye el molde (es inversion fija de Ciclo 0), solo cuero+accesorios+hilo por unidad.</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dataValidations count="5">
    <dataValidation sqref="G2:G4" showDropDown="0" showInputMessage="0" showErrorMessage="0" allowBlank="1" type="list">
      <formula1>"INF-08,INF-09,INF-10"</formula1>
    </dataValidation>
    <dataValidation sqref="F2:F4" showDropDown="0" showInputMessage="0" showErrorMessage="0" allowBlank="1" type="list">
      <formula1>"INS-06,INS-07,INS-08"</formula1>
    </dataValidation>
    <dataValidation sqref="B2:B4" showDropDown="0" showInputMessage="0" showErrorMessage="0" allowBlank="1" type="list">
      <formula1>"SEG-01,SEG-02,SEG-03"</formula1>
    </dataValidation>
    <dataValidation sqref="E2:E4" showDropDown="0" showInputMessage="0" showErrorMessage="0" allowBlank="1" type="list">
      <formula1>"INS-04,INS-05"</formula1>
    </dataValidation>
    <dataValidation sqref="D2:D4" showDropDown="0" showInputMessage="0" showErrorMessage="0" allowBlank="1" type="list">
      <formula1>"INS-01,INS-02,INS-03"</formula1>
    </dataValidation>
  </dataValidation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ColWidth="14.43" defaultRowHeight="15" customHeight="1"/>
  <cols>
    <col width="30" customWidth="1" style="184" min="1" max="1"/>
    <col width="22" customWidth="1" style="184" min="2" max="2"/>
    <col width="24" customWidth="1" style="184" min="3" max="3"/>
    <col width="18" customWidth="1" style="184" min="4" max="4"/>
    <col width="8.710000000000001" customWidth="1" style="184" min="5" max="26"/>
  </cols>
  <sheetData>
    <row r="1">
      <c r="A1" s="8" t="inlineStr">
        <is>
          <t>Puntaje interno</t>
        </is>
      </c>
      <c r="B1" s="8" t="inlineStr">
        <is>
          <t>Valor (suma de aportes)</t>
        </is>
      </c>
      <c r="C1" s="8" t="inlineStr">
        <is>
          <t>Escala</t>
        </is>
      </c>
      <c r="D1" s="8" t="inlineStr">
        <is>
          <t>Nivel resultante</t>
        </is>
      </c>
    </row>
    <row r="2">
      <c r="A2" s="167" t="inlineStr">
        <is>
          <t>CALIDAD POR LOTE (detalle)</t>
        </is>
      </c>
    </row>
    <row r="3">
      <c r="A3" s="10" t="inlineStr">
        <is>
          <t>Puntaje Calidad - Lote 1</t>
        </is>
      </c>
      <c r="B3" s="19">
        <f>Lotes_Produccion!I2</f>
        <v/>
      </c>
      <c r="C3" s="10">
        <f>IF(Lotes_Produccion!B2="","","Segmento: "&amp;Lotes_Produccion!B2)</f>
        <v/>
      </c>
      <c r="D3" s="10">
        <f>Lotes_Produccion!K2</f>
        <v/>
      </c>
    </row>
    <row r="4">
      <c r="A4" s="10" t="inlineStr">
        <is>
          <t>Puntaje Calidad - Lote 2</t>
        </is>
      </c>
      <c r="B4" s="19">
        <f>Lotes_Produccion!I3</f>
        <v/>
      </c>
      <c r="C4" s="10">
        <f>IF(Lotes_Produccion!B3="","","Segmento: "&amp;Lotes_Produccion!B3)</f>
        <v/>
      </c>
      <c r="D4" s="10">
        <f>Lotes_Produccion!K3</f>
        <v/>
      </c>
    </row>
    <row r="5">
      <c r="A5" s="10" t="inlineStr">
        <is>
          <t>Puntaje Calidad - Lote 3</t>
        </is>
      </c>
      <c r="B5" s="19">
        <f>Lotes_Produccion!I4</f>
        <v/>
      </c>
      <c r="C5" s="10">
        <f>IF(Lotes_Produccion!B4="","","Segmento: "&amp;Lotes_Produccion!B4)</f>
        <v/>
      </c>
      <c r="D5" s="10">
        <f>Lotes_Produccion!K4</f>
        <v/>
      </c>
    </row>
    <row r="6">
      <c r="A6" s="9" t="inlineStr">
        <is>
          <t>Puntaje Calidad EMPRESA (promedio ponderado por unidades)</t>
        </is>
      </c>
      <c r="B6" s="130">
        <f>IFERROR(SUMPRODUCT(Lotes_Produccion!C2:C4,Lotes_Produccion!I2:I4)/SUM(Lotes_Produccion!C2:C4),0)</f>
        <v/>
      </c>
      <c r="C6" s="9" t="inlineStr">
        <is>
          <t>0 - 10 (referencial)</t>
        </is>
      </c>
      <c r="D6" s="9">
        <f>IF(B6&gt;=7,"Alto",IF(B6&gt;=4,"Medio","Bajo"))</f>
        <v/>
      </c>
    </row>
    <row r="8">
      <c r="A8" s="167" t="inlineStr">
        <is>
          <t>OTROS PUNTAJES DE EMPRESA</t>
        </is>
      </c>
    </row>
    <row r="9">
      <c r="A9" s="9" t="inlineStr">
        <is>
          <t>Puntaje de Eficiencia</t>
        </is>
      </c>
      <c r="B9" s="19">
        <f>SUM(Seleccion_Ciclo0!G2:G15)</f>
        <v/>
      </c>
      <c r="C9" s="10" t="inlineStr">
        <is>
          <t>0 - 10 (referencial)</t>
        </is>
      </c>
      <c r="D9" s="10">
        <f>IF(B9&gt;=7,"Alto",IF(B9&gt;=4,"Medio","Bajo"))</f>
        <v/>
      </c>
    </row>
    <row r="10">
      <c r="A10" s="9" t="inlineStr">
        <is>
          <t>Puntaje de Reputacion</t>
        </is>
      </c>
      <c r="B10" s="19">
        <f>SUM(Seleccion_Ciclo0!H2:H15)</f>
        <v/>
      </c>
      <c r="C10" s="10" t="inlineStr">
        <is>
          <t>0 - 10 (referencial)</t>
        </is>
      </c>
      <c r="D10" s="10">
        <f>IF(B10&gt;=7,"Alto",IF(B10&gt;=4,"Medio","Bajo"))</f>
        <v/>
      </c>
    </row>
    <row r="11">
      <c r="A11" s="9" t="inlineStr">
        <is>
          <t>Puntaje de Salud Financiera</t>
        </is>
      </c>
      <c r="B11" s="19">
        <f>SUM(Seleccion_Ciclo0!I2:I15)</f>
        <v/>
      </c>
      <c r="C11" s="10" t="inlineStr">
        <is>
          <t>0 - 10 (referencial)</t>
        </is>
      </c>
      <c r="D11" s="10">
        <f>IF(B11&gt;=7,"Alto",IF(B11&gt;=4,"Medio","Bajo"))</f>
        <v/>
      </c>
    </row>
    <row r="13">
      <c r="A13" s="131" t="inlineStr">
        <is>
          <t>Nota: cada 'Aporte' se define en la hoja Catalogo_Decisiones (columnas H-K) y se suma automaticamente segun lo elegido en Seleccion_Ciclo0.</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10.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B3" sqref="B3"/>
    </sheetView>
  </sheetViews>
  <sheetFormatPr baseColWidth="8" defaultColWidth="14.43" defaultRowHeight="15" customHeight="1"/>
  <cols>
    <col width="10" customWidth="1" style="184" min="1" max="1"/>
    <col width="20" customWidth="1" style="184" min="2" max="2"/>
    <col width="34" customWidth="1" style="184" min="3" max="3"/>
    <col width="38" customWidth="1" style="184" min="4" max="4"/>
    <col width="55" customWidth="1" style="184" min="5" max="5"/>
    <col width="8.710000000000001" customWidth="1" style="184" min="6" max="26"/>
  </cols>
  <sheetData>
    <row r="1">
      <c r="A1" s="8" t="inlineStr">
        <is>
          <t>ID</t>
        </is>
      </c>
      <c r="B1" s="8" t="inlineStr">
        <is>
          <t>Puntaje evaluado</t>
        </is>
      </c>
      <c r="C1" s="8" t="inlineStr">
        <is>
          <t>Condicion</t>
        </is>
      </c>
      <c r="D1" s="8" t="inlineStr">
        <is>
          <t>Efecto numerico en el juego</t>
        </is>
      </c>
      <c r="E1" s="8" t="inlineStr">
        <is>
          <t>Mensaje textual para el jugador</t>
        </is>
      </c>
    </row>
    <row r="2">
      <c r="A2" s="172" t="inlineStr">
        <is>
          <t>CONS-01</t>
        </is>
      </c>
      <c r="B2" s="172" t="inlineStr">
        <is>
          <t>Calidad</t>
        </is>
      </c>
      <c r="C2" s="172" t="inlineStr">
        <is>
          <t>&lt; 4 y Segmento = Premium</t>
        </is>
      </c>
      <c r="D2" s="172" t="inlineStr">
        <is>
          <t>Precio de venta -35%, Reputacion -2</t>
        </is>
      </c>
      <c r="E2" s="172" t="inlineStr">
        <is>
          <t>Posicionaste tu marca como premium, pero tus materiales e insumos no lo respaldan. Los clientes se sienten enganados y las devoluciones aumentan.</t>
        </is>
      </c>
    </row>
    <row r="3">
      <c r="A3" s="172" t="inlineStr">
        <is>
          <t>CONS-02</t>
        </is>
      </c>
      <c r="B3" s="172" t="inlineStr">
        <is>
          <t>Calidad</t>
        </is>
      </c>
      <c r="C3" s="172" t="inlineStr">
        <is>
          <t>&gt;= 7 y Segmento = Premium</t>
        </is>
      </c>
      <c r="D3" s="172" t="inlineStr">
        <is>
          <t>Precio de venta +40%, Reputacion +2</t>
        </is>
      </c>
      <c r="E3" s="172" t="inlineStr">
        <is>
          <t>Tu producto cumple con los estandares premium. Los clientes perciben el valor y pagan sin problema el precio elevado.</t>
        </is>
      </c>
    </row>
    <row r="4">
      <c r="A4" s="172" t="inlineStr">
        <is>
          <t>CONS-03</t>
        </is>
      </c>
      <c r="B4" s="172" t="inlineStr">
        <is>
          <t>Eficiencia</t>
        </is>
      </c>
      <c r="C4" s="172" t="inlineStr">
        <is>
          <t>&lt; 4</t>
        </is>
      </c>
      <c r="D4" s="172" t="inlineStr">
        <is>
          <t>Produccion real = 70% de lo planeado (retrasos)</t>
        </is>
      </c>
      <c r="E4" s="172" t="inlineStr">
        <is>
          <t>Tu equipo no dio abasto con el volumen que planeaste. Hubo retrasos y entregaste menos de lo prometido.</t>
        </is>
      </c>
    </row>
    <row r="5">
      <c r="A5" s="172" t="inlineStr">
        <is>
          <t>CONS-04</t>
        </is>
      </c>
      <c r="B5" s="172" t="inlineStr">
        <is>
          <t>Reputacion</t>
        </is>
      </c>
      <c r="C5" s="172" t="inlineStr">
        <is>
          <t>&lt; 3 durante 2 ciclos seguidos</t>
        </is>
      </c>
      <c r="D5" s="172" t="inlineStr">
        <is>
          <t>Demanda -20%</t>
        </is>
      </c>
      <c r="E5" s="172" t="inlineStr">
        <is>
          <t>Tu marca empieza a perder terreno. Los clientes prefieren a la competencia.</t>
        </is>
      </c>
    </row>
    <row r="6">
      <c r="A6" s="172" t="inlineStr">
        <is>
          <t>CONS-05</t>
        </is>
      </c>
      <c r="B6" s="172" t="inlineStr">
        <is>
          <t>Salud Financiera</t>
        </is>
      </c>
      <c r="C6" s="172" t="inlineStr">
        <is>
          <t>&lt; 3</t>
        </is>
      </c>
      <c r="D6" s="172" t="inlineStr">
        <is>
          <t>El banco sube la tasa de interes del proximo prestamo</t>
        </is>
      </c>
      <c r="E6" s="172" t="inlineStr">
        <is>
          <t>Tu situacion financiera es riesgosa. El banco te ofrece condiciones menos favorables la proxima vez.</t>
        </is>
      </c>
    </row>
    <row r="7">
      <c r="A7" s="172" t="inlineStr">
        <is>
          <t>CONS-06</t>
        </is>
      </c>
      <c r="B7" s="172" t="inlineStr">
        <is>
          <t>Produccion vs Capacidad</t>
        </is>
      </c>
      <c r="C7" s="172" t="inlineStr">
        <is>
          <t>Cantidad producida &gt; capacidad instalada</t>
        </is>
      </c>
      <c r="D7" s="172" t="inlineStr">
        <is>
          <t>Retraso de entrega, costo extra por horas extra</t>
        </is>
      </c>
      <c r="E7" s="172" t="inlineStr">
        <is>
          <t>Intentaste producir mas de lo que tu planta soporta. Hubo cuellos de botella y tuviste que pagar horas extra para cumplir.</t>
        </is>
      </c>
    </row>
    <row r="8">
      <c r="A8" s="172" t="inlineStr">
        <is>
          <t>CONS-07</t>
        </is>
      </c>
      <c r="B8" s="172" t="inlineStr">
        <is>
          <t>Produccion vs Demanda</t>
        </is>
      </c>
      <c r="C8" s="172" t="inlineStr">
        <is>
          <t>Cantidad producida &gt; demanda real del mercado</t>
        </is>
      </c>
      <c r="D8" s="172" t="inlineStr">
        <is>
          <t>Inventario sin vender, costo de almacenaje</t>
        </is>
      </c>
      <c r="E8" s="172" t="inlineStr">
        <is>
          <t>Produjiste mas de lo que el mercado te pidio. Te quedaste con inventario sin vender.</t>
        </is>
      </c>
    </row>
    <row r="9">
      <c r="A9" s="172" t="inlineStr">
        <is>
          <t>CONS-08</t>
        </is>
      </c>
      <c r="B9" s="172" t="inlineStr">
        <is>
          <t>Eficiencia</t>
        </is>
      </c>
      <c r="C9" s="172" t="inlineStr">
        <is>
          <t>Jefatura = No y Eficiencia &lt; 5</t>
        </is>
      </c>
      <c r="D9" s="172" t="inlineStr">
        <is>
          <t>Riesgo de descoordinacion: -5% produccion adicional</t>
        </is>
      </c>
      <c r="E9" s="172" t="inlineStr">
        <is>
          <t>Sin jefatura que coordine, tu equipo perdio tiempo resolviendo conflictos de tareas.</t>
        </is>
      </c>
    </row>
    <row r="21" ht="15.75" customHeight="1" s="184"/>
    <row r="22" ht="15.75" customHeight="1" s="184"/>
    <row r="23" ht="15.75" customHeight="1" s="184"/>
    <row r="24" ht="15.75" customHeight="1" s="184"/>
    <row r="25" ht="15.75" customHeight="1" s="184"/>
    <row r="26" ht="15.75" customHeight="1" s="184"/>
    <row r="27" ht="15.75" customHeight="1" s="184"/>
    <row r="28" ht="15.75" customHeight="1" s="184"/>
    <row r="29" ht="15.75" customHeight="1" s="184"/>
    <row r="30" ht="15.75" customHeight="1" s="184"/>
    <row r="31" ht="15.75" customHeight="1" s="184"/>
    <row r="32" ht="15.75" customHeight="1" s="184"/>
    <row r="33" ht="15.75" customHeight="1" s="184"/>
    <row r="34" ht="15.75" customHeight="1" s="184"/>
    <row r="35" ht="15.75" customHeight="1" s="184"/>
    <row r="36" ht="15.75" customHeight="1" s="184"/>
    <row r="37" ht="15.75" customHeight="1" s="184"/>
    <row r="38" ht="15.75" customHeight="1" s="184"/>
    <row r="39" ht="15.75" customHeight="1" s="184"/>
    <row r="40" ht="15.75" customHeight="1" s="184"/>
    <row r="41" ht="15.75" customHeight="1" s="184"/>
    <row r="42" ht="15.75" customHeight="1" s="184"/>
    <row r="43" ht="15.75" customHeight="1" s="184"/>
    <row r="44" ht="15.75" customHeight="1" s="184"/>
    <row r="45" ht="15.75" customHeight="1" s="184"/>
    <row r="46" ht="15.75" customHeight="1" s="184"/>
    <row r="47" ht="15.75" customHeight="1" s="184"/>
    <row r="48" ht="15.75" customHeight="1" s="184"/>
    <row r="49" ht="15.75" customHeight="1" s="184"/>
    <row r="50" ht="15.75" customHeight="1" s="184"/>
    <row r="51" ht="15.75" customHeight="1" s="184"/>
    <row r="52" ht="15.75" customHeight="1" s="184"/>
    <row r="53" ht="15.75" customHeight="1" s="184"/>
    <row r="54" ht="15.75" customHeight="1" s="184"/>
    <row r="55" ht="15.75" customHeight="1" s="184"/>
    <row r="56" ht="15.75" customHeight="1" s="184"/>
    <row r="57" ht="15.75" customHeight="1" s="184"/>
    <row r="58" ht="15.75" customHeight="1" s="184"/>
    <row r="59" ht="15.75" customHeight="1" s="184"/>
    <row r="60" ht="15.75" customHeight="1" s="184"/>
    <row r="61" ht="15.75" customHeight="1" s="184"/>
    <row r="62" ht="15.75" customHeight="1" s="184"/>
    <row r="63" ht="15.75" customHeight="1" s="184"/>
    <row r="64" ht="15.75" customHeight="1" s="184"/>
    <row r="65" ht="15.75" customHeight="1" s="184"/>
    <row r="66" ht="15.75" customHeight="1" s="184"/>
    <row r="67" ht="15.75" customHeight="1" s="184"/>
    <row r="68" ht="15.75" customHeight="1" s="184"/>
    <row r="69" ht="15.75" customHeight="1" s="184"/>
    <row r="70" ht="15.75" customHeight="1" s="184"/>
    <row r="71" ht="15.75" customHeight="1" s="184"/>
    <row r="72" ht="15.75" customHeight="1" s="184"/>
    <row r="73" ht="15.75" customHeight="1" s="184"/>
    <row r="74" ht="15.75" customHeight="1" s="184"/>
    <row r="75" ht="15.75" customHeight="1" s="184"/>
    <row r="76" ht="15.75" customHeight="1" s="184"/>
    <row r="77" ht="15.75" customHeight="1" s="184"/>
    <row r="78" ht="15.75" customHeight="1" s="184"/>
    <row r="79" ht="15.75" customHeight="1" s="184"/>
    <row r="80" ht="15.75" customHeight="1" s="184"/>
    <row r="81" ht="15.75" customHeight="1" s="184"/>
    <row r="82" ht="15.75" customHeight="1" s="184"/>
    <row r="83" ht="15.75" customHeight="1" s="184"/>
    <row r="84" ht="15.75" customHeight="1" s="184"/>
    <row r="85" ht="15.75" customHeight="1" s="184"/>
    <row r="86" ht="15.75" customHeight="1" s="184"/>
    <row r="87" ht="15.75" customHeight="1" s="184"/>
    <row r="88" ht="15.75" customHeight="1" s="184"/>
    <row r="89" ht="15.75" customHeight="1" s="184"/>
    <row r="90" ht="15.75" customHeight="1" s="184"/>
    <row r="91" ht="15.75" customHeight="1" s="184"/>
    <row r="92" ht="15.75" customHeight="1" s="184"/>
    <row r="93" ht="15.75" customHeight="1" s="184"/>
    <row r="94" ht="15.75" customHeight="1" s="184"/>
    <row r="95" ht="15.75" customHeight="1" s="184"/>
    <row r="96" ht="15.75" customHeight="1" s="184"/>
    <row r="97" ht="15.75" customHeight="1" s="184"/>
    <row r="98" ht="15.75" customHeight="1" s="184"/>
    <row r="99" ht="15.75" customHeight="1" s="184"/>
    <row r="100" ht="15.75" customHeight="1" s="184"/>
    <row r="101" ht="15.75" customHeight="1" s="184"/>
    <row r="102" ht="15.75" customHeight="1" s="184"/>
    <row r="103" ht="15.75" customHeight="1" s="184"/>
    <row r="104" ht="15.75" customHeight="1" s="184"/>
    <row r="105" ht="15.75" customHeight="1" s="184"/>
    <row r="106" ht="15.75" customHeight="1" s="184"/>
    <row r="107" ht="15.75" customHeight="1" s="184"/>
    <row r="108" ht="15.75" customHeight="1" s="184"/>
    <row r="109" ht="15.75" customHeight="1" s="184"/>
    <row r="110" ht="15.75" customHeight="1" s="184"/>
    <row r="111" ht="15.75" customHeight="1" s="184"/>
    <row r="112" ht="15.75" customHeight="1" s="184"/>
    <row r="113" ht="15.75" customHeight="1" s="184"/>
    <row r="114" ht="15.75" customHeight="1" s="184"/>
    <row r="115" ht="15.75" customHeight="1" s="184"/>
    <row r="116" ht="15.75" customHeight="1" s="184"/>
    <row r="117" ht="15.75" customHeight="1" s="184"/>
    <row r="118" ht="15.75" customHeight="1" s="184"/>
    <row r="119" ht="15.75" customHeight="1" s="184"/>
    <row r="120" ht="15.75" customHeight="1" s="184"/>
    <row r="121" ht="15.75" customHeight="1" s="184"/>
    <row r="122" ht="15.75" customHeight="1" s="184"/>
    <row r="123" ht="15.75" customHeight="1" s="184"/>
    <row r="124" ht="15.75" customHeight="1" s="184"/>
    <row r="125" ht="15.75" customHeight="1" s="184"/>
    <row r="126" ht="15.75" customHeight="1" s="184"/>
    <row r="127" ht="15.75" customHeight="1" s="184"/>
    <row r="128" ht="15.75" customHeight="1" s="184"/>
    <row r="129" ht="15.75" customHeight="1" s="184"/>
    <row r="130" ht="15.75" customHeight="1" s="184"/>
    <row r="131" ht="15.75" customHeight="1" s="184"/>
    <row r="132" ht="15.75" customHeight="1" s="184"/>
    <row r="133" ht="15.75" customHeight="1" s="184"/>
    <row r="134" ht="15.75" customHeight="1" s="184"/>
    <row r="135" ht="15.75" customHeight="1" s="184"/>
    <row r="136" ht="15.75" customHeight="1" s="184"/>
    <row r="137" ht="15.75" customHeight="1" s="184"/>
    <row r="138" ht="15.75" customHeight="1" s="184"/>
    <row r="139" ht="15.75" customHeight="1" s="184"/>
    <row r="140" ht="15.75" customHeight="1" s="184"/>
    <row r="141" ht="15.75" customHeight="1" s="184"/>
    <row r="142" ht="15.75" customHeight="1" s="184"/>
    <row r="143" ht="15.75" customHeight="1" s="184"/>
    <row r="144" ht="15.75" customHeight="1" s="184"/>
    <row r="145" ht="15.75" customHeight="1" s="184"/>
    <row r="146" ht="15.75" customHeight="1" s="184"/>
    <row r="147" ht="15.75" customHeight="1" s="184"/>
    <row r="148" ht="15.75" customHeight="1" s="184"/>
    <row r="149" ht="15.75" customHeight="1" s="184"/>
    <row r="150" ht="15.75" customHeight="1" s="184"/>
    <row r="151" ht="15.75" customHeight="1" s="184"/>
    <row r="152" ht="15.75" customHeight="1" s="184"/>
    <row r="153" ht="15.75" customHeight="1" s="184"/>
    <row r="154" ht="15.75" customHeight="1" s="184"/>
    <row r="155" ht="15.75" customHeight="1" s="184"/>
    <row r="156" ht="15.75" customHeight="1" s="184"/>
    <row r="157" ht="15.75" customHeight="1" s="184"/>
    <row r="158" ht="15.75" customHeight="1" s="184"/>
    <row r="159" ht="15.75" customHeight="1" s="184"/>
    <row r="160" ht="15.75" customHeight="1" s="184"/>
    <row r="161" ht="15.75" customHeight="1" s="184"/>
    <row r="162" ht="15.75" customHeight="1" s="184"/>
    <row r="163" ht="15.75" customHeight="1" s="184"/>
    <row r="164" ht="15.75" customHeight="1" s="184"/>
    <row r="165" ht="15.75" customHeight="1" s="184"/>
    <row r="166" ht="15.75" customHeight="1" s="184"/>
    <row r="167" ht="15.75" customHeight="1" s="184"/>
    <row r="168" ht="15.75" customHeight="1" s="184"/>
    <row r="169" ht="15.75" customHeight="1" s="184"/>
    <row r="170" ht="15.75" customHeight="1" s="184"/>
    <row r="171" ht="15.75" customHeight="1" s="184"/>
    <row r="172" ht="15.75" customHeight="1" s="184"/>
    <row r="173" ht="15.75" customHeight="1" s="184"/>
    <row r="174" ht="15.75" customHeight="1" s="184"/>
    <row r="175" ht="15.75" customHeight="1" s="184"/>
    <row r="176" ht="15.75" customHeight="1" s="184"/>
    <row r="177" ht="15.75" customHeight="1" s="184"/>
    <row r="178" ht="15.75" customHeight="1" s="184"/>
    <row r="179" ht="15.75" customHeight="1" s="184"/>
    <row r="180" ht="15.75" customHeight="1" s="184"/>
    <row r="181" ht="15.75" customHeight="1" s="184"/>
    <row r="182" ht="15.75" customHeight="1" s="184"/>
    <row r="183" ht="15.75" customHeight="1" s="184"/>
    <row r="184" ht="15.75" customHeight="1" s="184"/>
    <row r="185" ht="15.75" customHeight="1" s="184"/>
    <row r="186" ht="15.75" customHeight="1" s="184"/>
    <row r="187" ht="15.75" customHeight="1" s="184"/>
    <row r="188" ht="15.75" customHeight="1" s="184"/>
    <row r="189" ht="15.75" customHeight="1" s="184"/>
    <row r="190" ht="15.75" customHeight="1" s="184"/>
    <row r="191" ht="15.75" customHeight="1" s="184"/>
    <row r="192" ht="15.75" customHeight="1" s="184"/>
    <row r="193" ht="15.75" customHeight="1" s="184"/>
    <row r="194" ht="15.75" customHeight="1" s="184"/>
    <row r="195" ht="15.75" customHeight="1" s="184"/>
    <row r="196" ht="15.75" customHeight="1" s="184"/>
    <row r="197" ht="15.75" customHeight="1" s="184"/>
    <row r="198" ht="15.75" customHeight="1" s="184"/>
    <row r="199" ht="15.75" customHeight="1" s="184"/>
    <row r="200" ht="15.75" customHeight="1" s="184"/>
    <row r="201" ht="15.75" customHeight="1" s="184"/>
    <row r="202" ht="15.75" customHeight="1" s="184"/>
    <row r="203" ht="15.75" customHeight="1" s="184"/>
    <row r="204" ht="15.75" customHeight="1" s="184"/>
    <row r="205" ht="15.75" customHeight="1" s="184"/>
    <row r="206" ht="15.75" customHeight="1" s="184"/>
    <row r="207" ht="15.75" customHeight="1" s="184"/>
    <row r="208" ht="15.75" customHeight="1" s="184"/>
    <row r="209" ht="15.75" customHeight="1" s="184"/>
    <row r="210" ht="15.75" customHeight="1" s="184"/>
    <row r="211" ht="15.75" customHeight="1" s="184"/>
    <row r="212" ht="15.75" customHeight="1" s="184"/>
    <row r="213" ht="15.75" customHeight="1" s="184"/>
    <row r="214" ht="15.75" customHeight="1" s="184"/>
    <row r="215" ht="15.75" customHeight="1" s="184"/>
    <row r="216" ht="15.75" customHeight="1" s="184"/>
    <row r="217" ht="15.75" customHeight="1" s="184"/>
    <row r="218" ht="15.75" customHeight="1" s="184"/>
    <row r="219" ht="15.75" customHeight="1" s="184"/>
    <row r="220" ht="15.75" customHeight="1" s="184"/>
    <row r="221" ht="15.75" customHeight="1" s="184"/>
    <row r="222" ht="15.75" customHeight="1" s="184"/>
    <row r="223" ht="15.75" customHeight="1" s="184"/>
    <row r="224" ht="15.75" customHeight="1" s="184"/>
    <row r="225" ht="15.75" customHeight="1" s="184"/>
    <row r="226" ht="15.75" customHeight="1" s="184"/>
    <row r="227" ht="15.75" customHeight="1" s="184"/>
    <row r="228" ht="15.75" customHeight="1" s="184"/>
    <row r="229" ht="15.75" customHeight="1" s="184"/>
    <row r="230" ht="15.75" customHeight="1" s="184"/>
    <row r="231" ht="15.75" customHeight="1" s="184"/>
    <row r="232" ht="15.75" customHeight="1" s="184"/>
    <row r="233" ht="15.75" customHeight="1" s="184"/>
    <row r="234" ht="15.75" customHeight="1" s="184"/>
    <row r="235" ht="15.75" customHeight="1" s="184"/>
    <row r="236" ht="15.75" customHeight="1" s="184"/>
    <row r="237" ht="15.75" customHeight="1" s="184"/>
    <row r="238" ht="15.75" customHeight="1" s="184"/>
    <row r="239" ht="15.75" customHeight="1" s="184"/>
    <row r="240" ht="15.75" customHeight="1" s="184"/>
    <row r="241" ht="15.75" customHeight="1" s="184"/>
    <row r="242" ht="15.75" customHeight="1" s="184"/>
    <row r="243" ht="15.75" customHeight="1" s="184"/>
    <row r="244" ht="15.75" customHeight="1" s="184"/>
    <row r="245" ht="15.75" customHeight="1" s="184"/>
    <row r="246" ht="15.75" customHeight="1" s="184"/>
    <row r="247" ht="15.75" customHeight="1" s="184"/>
    <row r="248" ht="15.75" customHeight="1" s="184"/>
    <row r="249" ht="15.75" customHeight="1" s="184"/>
    <row r="250" ht="15.75" customHeight="1" s="184"/>
    <row r="251" ht="15.75" customHeight="1" s="184"/>
    <row r="252" ht="15.75" customHeight="1" s="184"/>
    <row r="253" ht="15.75" customHeight="1" s="184"/>
    <row r="254" ht="15.75" customHeight="1" s="184"/>
    <row r="255" ht="15.75" customHeight="1" s="184"/>
    <row r="256" ht="15.75" customHeight="1" s="184"/>
    <row r="257" ht="15.75" customHeight="1" s="184"/>
    <row r="258" ht="15.75" customHeight="1" s="184"/>
    <row r="259" ht="15.75" customHeight="1" s="184"/>
    <row r="260" ht="15.75" customHeight="1" s="184"/>
    <row r="261" ht="15.75" customHeight="1" s="184"/>
    <row r="262" ht="15.75" customHeight="1" s="184"/>
    <row r="263" ht="15.75" customHeight="1" s="184"/>
    <row r="264" ht="15.75" customHeight="1" s="184"/>
    <row r="265" ht="15.75" customHeight="1" s="184"/>
    <row r="266" ht="15.75" customHeight="1" s="184"/>
    <row r="267" ht="15.75" customHeight="1" s="184"/>
    <row r="268" ht="15.75" customHeight="1" s="184"/>
    <row r="269" ht="15.75" customHeight="1" s="184"/>
    <row r="270" ht="15.75" customHeight="1" s="184"/>
    <row r="271" ht="15.75" customHeight="1" s="184"/>
    <row r="272" ht="15.75" customHeight="1" s="184"/>
    <row r="273" ht="15.75" customHeight="1" s="184"/>
    <row r="274" ht="15.75" customHeight="1" s="184"/>
    <row r="275" ht="15.75" customHeight="1" s="184"/>
    <row r="276" ht="15.75" customHeight="1" s="184"/>
    <row r="277" ht="15.75" customHeight="1" s="184"/>
    <row r="278" ht="15.75" customHeight="1" s="184"/>
    <row r="279" ht="15.75" customHeight="1" s="184"/>
    <row r="280" ht="15.75" customHeight="1" s="184"/>
    <row r="281" ht="15.75" customHeight="1" s="184"/>
    <row r="282" ht="15.75" customHeight="1" s="184"/>
    <row r="283" ht="15.75" customHeight="1" s="184"/>
    <row r="284" ht="15.75" customHeight="1" s="184"/>
    <row r="285" ht="15.75" customHeight="1" s="184"/>
    <row r="286" ht="15.75" customHeight="1" s="184"/>
    <row r="287" ht="15.75" customHeight="1" s="184"/>
    <row r="288" ht="15.75" customHeight="1" s="184"/>
    <row r="289" ht="15.75" customHeight="1" s="184"/>
    <row r="290" ht="15.75" customHeight="1" s="184"/>
    <row r="291" ht="15.75" customHeight="1" s="184"/>
    <row r="292" ht="15.75" customHeight="1" s="184"/>
    <row r="293" ht="15.75" customHeight="1" s="184"/>
    <row r="294" ht="15.75" customHeight="1" s="184"/>
    <row r="295" ht="15.75" customHeight="1" s="184"/>
    <row r="296" ht="15.75" customHeight="1" s="184"/>
    <row r="297" ht="15.75" customHeight="1" s="184"/>
    <row r="298" ht="15.75" customHeight="1" s="184"/>
    <row r="299" ht="15.75" customHeight="1" s="184"/>
    <row r="300" ht="15.75" customHeight="1" s="184"/>
    <row r="301" ht="15.75" customHeight="1" s="184"/>
    <row r="302" ht="15.75" customHeight="1" s="184"/>
    <row r="303" ht="15.75" customHeight="1" s="184"/>
    <row r="304" ht="15.75" customHeight="1" s="184"/>
    <row r="305" ht="15.75" customHeight="1" s="184"/>
    <row r="306" ht="15.75" customHeight="1" s="184"/>
    <row r="307" ht="15.75" customHeight="1" s="184"/>
    <row r="308" ht="15.75" customHeight="1" s="184"/>
    <row r="309" ht="15.75" customHeight="1" s="184"/>
    <row r="310" ht="15.75" customHeight="1" s="184"/>
    <row r="311" ht="15.75" customHeight="1" s="184"/>
    <row r="312" ht="15.75" customHeight="1" s="184"/>
    <row r="313" ht="15.75" customHeight="1" s="184"/>
    <row r="314" ht="15.75" customHeight="1" s="184"/>
    <row r="315" ht="15.75" customHeight="1" s="184"/>
    <row r="316" ht="15.75" customHeight="1" s="184"/>
    <row r="317" ht="15.75" customHeight="1" s="184"/>
    <row r="318" ht="15.75" customHeight="1" s="184"/>
    <row r="319" ht="15.75" customHeight="1" s="184"/>
    <row r="320" ht="15.75" customHeight="1" s="184"/>
    <row r="321" ht="15.75" customHeight="1" s="184"/>
    <row r="322" ht="15.75" customHeight="1" s="184"/>
    <row r="323" ht="15.75" customHeight="1" s="184"/>
    <row r="324" ht="15.75" customHeight="1" s="184"/>
    <row r="325" ht="15.75" customHeight="1" s="184"/>
    <row r="326" ht="15.75" customHeight="1" s="184"/>
    <row r="327" ht="15.75" customHeight="1" s="184"/>
    <row r="328" ht="15.75" customHeight="1" s="184"/>
    <row r="329" ht="15.75" customHeight="1" s="184"/>
    <row r="330" ht="15.75" customHeight="1" s="184"/>
    <row r="331" ht="15.75" customHeight="1" s="184"/>
    <row r="332" ht="15.75" customHeight="1" s="184"/>
    <row r="333" ht="15.75" customHeight="1" s="184"/>
    <row r="334" ht="15.75" customHeight="1" s="184"/>
    <row r="335" ht="15.75" customHeight="1" s="184"/>
    <row r="336" ht="15.75" customHeight="1" s="184"/>
    <row r="337" ht="15.75" customHeight="1" s="184"/>
    <row r="338" ht="15.75" customHeight="1" s="184"/>
    <row r="339" ht="15.75" customHeight="1" s="184"/>
    <row r="340" ht="15.75" customHeight="1" s="184"/>
    <row r="341" ht="15.75" customHeight="1" s="184"/>
    <row r="342" ht="15.75" customHeight="1" s="184"/>
    <row r="343" ht="15.75" customHeight="1" s="184"/>
    <row r="344" ht="15.75" customHeight="1" s="184"/>
    <row r="345" ht="15.75" customHeight="1" s="184"/>
    <row r="346" ht="15.75" customHeight="1" s="184"/>
    <row r="347" ht="15.75" customHeight="1" s="184"/>
    <row r="348" ht="15.75" customHeight="1" s="184"/>
    <row r="349" ht="15.75" customHeight="1" s="184"/>
    <row r="350" ht="15.75" customHeight="1" s="184"/>
    <row r="351" ht="15.75" customHeight="1" s="184"/>
    <row r="352" ht="15.75" customHeight="1" s="184"/>
    <row r="353" ht="15.75" customHeight="1" s="184"/>
    <row r="354" ht="15.75" customHeight="1" s="184"/>
    <row r="355" ht="15.75" customHeight="1" s="184"/>
    <row r="356" ht="15.75" customHeight="1" s="184"/>
    <row r="357" ht="15.75" customHeight="1" s="184"/>
    <row r="358" ht="15.75" customHeight="1" s="184"/>
    <row r="359" ht="15.75" customHeight="1" s="184"/>
    <row r="360" ht="15.75" customHeight="1" s="184"/>
    <row r="361" ht="15.75" customHeight="1" s="184"/>
    <row r="362" ht="15.75" customHeight="1" s="184"/>
    <row r="363" ht="15.75" customHeight="1" s="184"/>
    <row r="364" ht="15.75" customHeight="1" s="184"/>
    <row r="365" ht="15.75" customHeight="1" s="184"/>
    <row r="366" ht="15.75" customHeight="1" s="184"/>
    <row r="367" ht="15.75" customHeight="1" s="184"/>
    <row r="368" ht="15.75" customHeight="1" s="184"/>
    <row r="369" ht="15.75" customHeight="1" s="184"/>
    <row r="370" ht="15.75" customHeight="1" s="184"/>
    <row r="371" ht="15.75" customHeight="1" s="184"/>
    <row r="372" ht="15.75" customHeight="1" s="184"/>
    <row r="373" ht="15.75" customHeight="1" s="184"/>
    <row r="374" ht="15.75" customHeight="1" s="184"/>
    <row r="375" ht="15.75" customHeight="1" s="184"/>
    <row r="376" ht="15.75" customHeight="1" s="184"/>
    <row r="377" ht="15.75" customHeight="1" s="184"/>
    <row r="378" ht="15.75" customHeight="1" s="184"/>
    <row r="379" ht="15.75" customHeight="1" s="184"/>
    <row r="380" ht="15.75" customHeight="1" s="184"/>
    <row r="381" ht="15.75" customHeight="1" s="184"/>
    <row r="382" ht="15.75" customHeight="1" s="184"/>
    <row r="383" ht="15.75" customHeight="1" s="184"/>
    <row r="384" ht="15.75" customHeight="1" s="184"/>
    <row r="385" ht="15.75" customHeight="1" s="184"/>
    <row r="386" ht="15.75" customHeight="1" s="184"/>
    <row r="387" ht="15.75" customHeight="1" s="184"/>
    <row r="388" ht="15.75" customHeight="1" s="184"/>
    <row r="389" ht="15.75" customHeight="1" s="184"/>
    <row r="390" ht="15.75" customHeight="1" s="184"/>
    <row r="391" ht="15.75" customHeight="1" s="184"/>
    <row r="392" ht="15.75" customHeight="1" s="184"/>
    <row r="393" ht="15.75" customHeight="1" s="184"/>
    <row r="394" ht="15.75" customHeight="1" s="184"/>
    <row r="395" ht="15.75" customHeight="1" s="184"/>
    <row r="396" ht="15.75" customHeight="1" s="184"/>
    <row r="397" ht="15.75" customHeight="1" s="184"/>
    <row r="398" ht="15.75" customHeight="1" s="184"/>
    <row r="399" ht="15.75" customHeight="1" s="184"/>
    <row r="400" ht="15.75" customHeight="1" s="184"/>
    <row r="401" ht="15.75" customHeight="1" s="184"/>
    <row r="402" ht="15.75" customHeight="1" s="184"/>
    <row r="403" ht="15.75" customHeight="1" s="184"/>
    <row r="404" ht="15.75" customHeight="1" s="184"/>
    <row r="405" ht="15.75" customHeight="1" s="184"/>
    <row r="406" ht="15.75" customHeight="1" s="184"/>
    <row r="407" ht="15.75" customHeight="1" s="184"/>
    <row r="408" ht="15.75" customHeight="1" s="184"/>
    <row r="409" ht="15.75" customHeight="1" s="184"/>
    <row r="410" ht="15.75" customHeight="1" s="184"/>
    <row r="411" ht="15.75" customHeight="1" s="184"/>
    <row r="412" ht="15.75" customHeight="1" s="184"/>
    <row r="413" ht="15.75" customHeight="1" s="184"/>
    <row r="414" ht="15.75" customHeight="1" s="184"/>
    <row r="415" ht="15.75" customHeight="1" s="184"/>
    <row r="416" ht="15.75" customHeight="1" s="184"/>
    <row r="417" ht="15.75" customHeight="1" s="184"/>
    <row r="418" ht="15.75" customHeight="1" s="184"/>
    <row r="419" ht="15.75" customHeight="1" s="184"/>
    <row r="420" ht="15.75" customHeight="1" s="184"/>
    <row r="421" ht="15.75" customHeight="1" s="184"/>
    <row r="422" ht="15.75" customHeight="1" s="184"/>
    <row r="423" ht="15.75" customHeight="1" s="184"/>
    <row r="424" ht="15.75" customHeight="1" s="184"/>
    <row r="425" ht="15.75" customHeight="1" s="184"/>
    <row r="426" ht="15.75" customHeight="1" s="184"/>
    <row r="427" ht="15.75" customHeight="1" s="184"/>
    <row r="428" ht="15.75" customHeight="1" s="184"/>
    <row r="429" ht="15.75" customHeight="1" s="184"/>
    <row r="430" ht="15.75" customHeight="1" s="184"/>
    <row r="431" ht="15.75" customHeight="1" s="184"/>
    <row r="432" ht="15.75" customHeight="1" s="184"/>
    <row r="433" ht="15.75" customHeight="1" s="184"/>
    <row r="434" ht="15.75" customHeight="1" s="184"/>
    <row r="435" ht="15.75" customHeight="1" s="184"/>
    <row r="436" ht="15.75" customHeight="1" s="184"/>
    <row r="437" ht="15.75" customHeight="1" s="184"/>
    <row r="438" ht="15.75" customHeight="1" s="184"/>
    <row r="439" ht="15.75" customHeight="1" s="184"/>
    <row r="440" ht="15.75" customHeight="1" s="184"/>
    <row r="441" ht="15.75" customHeight="1" s="184"/>
    <row r="442" ht="15.75" customHeight="1" s="184"/>
    <row r="443" ht="15.75" customHeight="1" s="184"/>
    <row r="444" ht="15.75" customHeight="1" s="184"/>
    <row r="445" ht="15.75" customHeight="1" s="184"/>
    <row r="446" ht="15.75" customHeight="1" s="184"/>
    <row r="447" ht="15.75" customHeight="1" s="184"/>
    <row r="448" ht="15.75" customHeight="1" s="184"/>
    <row r="449" ht="15.75" customHeight="1" s="184"/>
    <row r="450" ht="15.75" customHeight="1" s="184"/>
    <row r="451" ht="15.75" customHeight="1" s="184"/>
    <row r="452" ht="15.75" customHeight="1" s="184"/>
    <row r="453" ht="15.75" customHeight="1" s="184"/>
    <row r="454" ht="15.75" customHeight="1" s="184"/>
    <row r="455" ht="15.75" customHeight="1" s="184"/>
    <row r="456" ht="15.75" customHeight="1" s="184"/>
    <row r="457" ht="15.75" customHeight="1" s="184"/>
    <row r="458" ht="15.75" customHeight="1" s="184"/>
    <row r="459" ht="15.75" customHeight="1" s="184"/>
    <row r="460" ht="15.75" customHeight="1" s="184"/>
    <row r="461" ht="15.75" customHeight="1" s="184"/>
    <row r="462" ht="15.75" customHeight="1" s="184"/>
    <row r="463" ht="15.75" customHeight="1" s="184"/>
    <row r="464" ht="15.75" customHeight="1" s="184"/>
    <row r="465" ht="15.75" customHeight="1" s="184"/>
    <row r="466" ht="15.75" customHeight="1" s="184"/>
    <row r="467" ht="15.75" customHeight="1" s="184"/>
    <row r="468" ht="15.75" customHeight="1" s="184"/>
    <row r="469" ht="15.75" customHeight="1" s="184"/>
    <row r="470" ht="15.75" customHeight="1" s="184"/>
    <row r="471" ht="15.75" customHeight="1" s="184"/>
    <row r="472" ht="15.75" customHeight="1" s="184"/>
    <row r="473" ht="15.75" customHeight="1" s="184"/>
    <row r="474" ht="15.75" customHeight="1" s="184"/>
    <row r="475" ht="15.75" customHeight="1" s="184"/>
    <row r="476" ht="15.75" customHeight="1" s="184"/>
    <row r="477" ht="15.75" customHeight="1" s="184"/>
    <row r="478" ht="15.75" customHeight="1" s="184"/>
    <row r="479" ht="15.75" customHeight="1" s="184"/>
    <row r="480" ht="15.75" customHeight="1" s="184"/>
    <row r="481" ht="15.75" customHeight="1" s="184"/>
    <row r="482" ht="15.75" customHeight="1" s="184"/>
    <row r="483" ht="15.75" customHeight="1" s="184"/>
    <row r="484" ht="15.75" customHeight="1" s="184"/>
    <row r="485" ht="15.75" customHeight="1" s="184"/>
    <row r="486" ht="15.75" customHeight="1" s="184"/>
    <row r="487" ht="15.75" customHeight="1" s="184"/>
    <row r="488" ht="15.75" customHeight="1" s="184"/>
    <row r="489" ht="15.75" customHeight="1" s="184"/>
    <row r="490" ht="15.75" customHeight="1" s="184"/>
    <row r="491" ht="15.75" customHeight="1" s="184"/>
    <row r="492" ht="15.75" customHeight="1" s="184"/>
    <row r="493" ht="15.75" customHeight="1" s="184"/>
    <row r="494" ht="15.75" customHeight="1" s="184"/>
    <row r="495" ht="15.75" customHeight="1" s="184"/>
    <row r="496" ht="15.75" customHeight="1" s="184"/>
    <row r="497" ht="15.75" customHeight="1" s="184"/>
    <row r="498" ht="15.75" customHeight="1" s="184"/>
    <row r="499" ht="15.75" customHeight="1" s="184"/>
    <row r="500" ht="15.75" customHeight="1" s="184"/>
    <row r="501" ht="15.75" customHeight="1" s="184"/>
    <row r="502" ht="15.75" customHeight="1" s="184"/>
    <row r="503" ht="15.75" customHeight="1" s="184"/>
    <row r="504" ht="15.75" customHeight="1" s="184"/>
    <row r="505" ht="15.75" customHeight="1" s="184"/>
    <row r="506" ht="15.75" customHeight="1" s="184"/>
    <row r="507" ht="15.75" customHeight="1" s="184"/>
    <row r="508" ht="15.75" customHeight="1" s="184"/>
    <row r="509" ht="15.75" customHeight="1" s="184"/>
    <row r="510" ht="15.75" customHeight="1" s="184"/>
    <row r="511" ht="15.75" customHeight="1" s="184"/>
    <row r="512" ht="15.75" customHeight="1" s="184"/>
    <row r="513" ht="15.75" customHeight="1" s="184"/>
    <row r="514" ht="15.75" customHeight="1" s="184"/>
    <row r="515" ht="15.75" customHeight="1" s="184"/>
    <row r="516" ht="15.75" customHeight="1" s="184"/>
    <row r="517" ht="15.75" customHeight="1" s="184"/>
    <row r="518" ht="15.75" customHeight="1" s="184"/>
    <row r="519" ht="15.75" customHeight="1" s="184"/>
    <row r="520" ht="15.75" customHeight="1" s="184"/>
    <row r="521" ht="15.75" customHeight="1" s="184"/>
    <row r="522" ht="15.75" customHeight="1" s="184"/>
    <row r="523" ht="15.75" customHeight="1" s="184"/>
    <row r="524" ht="15.75" customHeight="1" s="184"/>
    <row r="525" ht="15.75" customHeight="1" s="184"/>
    <row r="526" ht="15.75" customHeight="1" s="184"/>
    <row r="527" ht="15.75" customHeight="1" s="184"/>
    <row r="528" ht="15.75" customHeight="1" s="184"/>
    <row r="529" ht="15.75" customHeight="1" s="184"/>
    <row r="530" ht="15.75" customHeight="1" s="184"/>
    <row r="531" ht="15.75" customHeight="1" s="184"/>
    <row r="532" ht="15.75" customHeight="1" s="184"/>
    <row r="533" ht="15.75" customHeight="1" s="184"/>
    <row r="534" ht="15.75" customHeight="1" s="184"/>
    <row r="535" ht="15.75" customHeight="1" s="184"/>
    <row r="536" ht="15.75" customHeight="1" s="184"/>
    <row r="537" ht="15.75" customHeight="1" s="184"/>
    <row r="538" ht="15.75" customHeight="1" s="184"/>
    <row r="539" ht="15.75" customHeight="1" s="184"/>
    <row r="540" ht="15.75" customHeight="1" s="184"/>
    <row r="541" ht="15.75" customHeight="1" s="184"/>
    <row r="542" ht="15.75" customHeight="1" s="184"/>
    <row r="543" ht="15.75" customHeight="1" s="184"/>
    <row r="544" ht="15.75" customHeight="1" s="184"/>
    <row r="545" ht="15.75" customHeight="1" s="184"/>
    <row r="546" ht="15.75" customHeight="1" s="184"/>
    <row r="547" ht="15.75" customHeight="1" s="184"/>
    <row r="548" ht="15.75" customHeight="1" s="184"/>
    <row r="549" ht="15.75" customHeight="1" s="184"/>
    <row r="550" ht="15.75" customHeight="1" s="184"/>
    <row r="551" ht="15.75" customHeight="1" s="184"/>
    <row r="552" ht="15.75" customHeight="1" s="184"/>
    <row r="553" ht="15.75" customHeight="1" s="184"/>
    <row r="554" ht="15.75" customHeight="1" s="184"/>
    <row r="555" ht="15.75" customHeight="1" s="184"/>
    <row r="556" ht="15.75" customHeight="1" s="184"/>
    <row r="557" ht="15.75" customHeight="1" s="184"/>
    <row r="558" ht="15.75" customHeight="1" s="184"/>
    <row r="559" ht="15.75" customHeight="1" s="184"/>
    <row r="560" ht="15.75" customHeight="1" s="184"/>
    <row r="561" ht="15.75" customHeight="1" s="184"/>
    <row r="562" ht="15.75" customHeight="1" s="184"/>
    <row r="563" ht="15.75" customHeight="1" s="184"/>
    <row r="564" ht="15.75" customHeight="1" s="184"/>
    <row r="565" ht="15.75" customHeight="1" s="184"/>
    <row r="566" ht="15.75" customHeight="1" s="184"/>
    <row r="567" ht="15.75" customHeight="1" s="184"/>
    <row r="568" ht="15.75" customHeight="1" s="184"/>
    <row r="569" ht="15.75" customHeight="1" s="184"/>
    <row r="570" ht="15.75" customHeight="1" s="184"/>
    <row r="571" ht="15.75" customHeight="1" s="184"/>
    <row r="572" ht="15.75" customHeight="1" s="184"/>
    <row r="573" ht="15.75" customHeight="1" s="184"/>
    <row r="574" ht="15.75" customHeight="1" s="184"/>
    <row r="575" ht="15.75" customHeight="1" s="184"/>
    <row r="576" ht="15.75" customHeight="1" s="184"/>
    <row r="577" ht="15.75" customHeight="1" s="184"/>
    <row r="578" ht="15.75" customHeight="1" s="184"/>
    <row r="579" ht="15.75" customHeight="1" s="184"/>
    <row r="580" ht="15.75" customHeight="1" s="184"/>
    <row r="581" ht="15.75" customHeight="1" s="184"/>
    <row r="582" ht="15.75" customHeight="1" s="184"/>
    <row r="583" ht="15.75" customHeight="1" s="184"/>
    <row r="584" ht="15.75" customHeight="1" s="184"/>
    <row r="585" ht="15.75" customHeight="1" s="184"/>
    <row r="586" ht="15.75" customHeight="1" s="184"/>
    <row r="587" ht="15.75" customHeight="1" s="184"/>
    <row r="588" ht="15.75" customHeight="1" s="184"/>
    <row r="589" ht="15.75" customHeight="1" s="184"/>
    <row r="590" ht="15.75" customHeight="1" s="184"/>
    <row r="591" ht="15.75" customHeight="1" s="184"/>
    <row r="592" ht="15.75" customHeight="1" s="184"/>
    <row r="593" ht="15.75" customHeight="1" s="184"/>
    <row r="594" ht="15.75" customHeight="1" s="184"/>
    <row r="595" ht="15.75" customHeight="1" s="184"/>
    <row r="596" ht="15.75" customHeight="1" s="184"/>
    <row r="597" ht="15.75" customHeight="1" s="184"/>
    <row r="598" ht="15.75" customHeight="1" s="184"/>
    <row r="599" ht="15.75" customHeight="1" s="184"/>
    <row r="600" ht="15.75" customHeight="1" s="184"/>
    <row r="601" ht="15.75" customHeight="1" s="184"/>
    <row r="602" ht="15.75" customHeight="1" s="184"/>
    <row r="603" ht="15.75" customHeight="1" s="184"/>
    <row r="604" ht="15.75" customHeight="1" s="184"/>
    <row r="605" ht="15.75" customHeight="1" s="184"/>
    <row r="606" ht="15.75" customHeight="1" s="184"/>
    <row r="607" ht="15.75" customHeight="1" s="184"/>
    <row r="608" ht="15.75" customHeight="1" s="184"/>
    <row r="609" ht="15.75" customHeight="1" s="184"/>
    <row r="610" ht="15.75" customHeight="1" s="184"/>
    <row r="611" ht="15.75" customHeight="1" s="184"/>
    <row r="612" ht="15.75" customHeight="1" s="184"/>
    <row r="613" ht="15.75" customHeight="1" s="184"/>
    <row r="614" ht="15.75" customHeight="1" s="184"/>
    <row r="615" ht="15.75" customHeight="1" s="184"/>
    <row r="616" ht="15.75" customHeight="1" s="184"/>
    <row r="617" ht="15.75" customHeight="1" s="184"/>
    <row r="618" ht="15.75" customHeight="1" s="184"/>
    <row r="619" ht="15.75" customHeight="1" s="184"/>
    <row r="620" ht="15.75" customHeight="1" s="184"/>
    <row r="621" ht="15.75" customHeight="1" s="184"/>
    <row r="622" ht="15.75" customHeight="1" s="184"/>
    <row r="623" ht="15.75" customHeight="1" s="184"/>
    <row r="624" ht="15.75" customHeight="1" s="184"/>
    <row r="625" ht="15.75" customHeight="1" s="184"/>
    <row r="626" ht="15.75" customHeight="1" s="184"/>
    <row r="627" ht="15.75" customHeight="1" s="184"/>
    <row r="628" ht="15.75" customHeight="1" s="184"/>
    <row r="629" ht="15.75" customHeight="1" s="184"/>
    <row r="630" ht="15.75" customHeight="1" s="184"/>
    <row r="631" ht="15.75" customHeight="1" s="184"/>
    <row r="632" ht="15.75" customHeight="1" s="184"/>
    <row r="633" ht="15.75" customHeight="1" s="184"/>
    <row r="634" ht="15.75" customHeight="1" s="184"/>
    <row r="635" ht="15.75" customHeight="1" s="184"/>
    <row r="636" ht="15.75" customHeight="1" s="184"/>
    <row r="637" ht="15.75" customHeight="1" s="184"/>
    <row r="638" ht="15.75" customHeight="1" s="184"/>
    <row r="639" ht="15.75" customHeight="1" s="184"/>
    <row r="640" ht="15.75" customHeight="1" s="184"/>
    <row r="641" ht="15.75" customHeight="1" s="184"/>
    <row r="642" ht="15.75" customHeight="1" s="184"/>
    <row r="643" ht="15.75" customHeight="1" s="184"/>
    <row r="644" ht="15.75" customHeight="1" s="184"/>
    <row r="645" ht="15.75" customHeight="1" s="184"/>
    <row r="646" ht="15.75" customHeight="1" s="184"/>
    <row r="647" ht="15.75" customHeight="1" s="184"/>
    <row r="648" ht="15.75" customHeight="1" s="184"/>
    <row r="649" ht="15.75" customHeight="1" s="184"/>
    <row r="650" ht="15.75" customHeight="1" s="184"/>
    <row r="651" ht="15.75" customHeight="1" s="184"/>
    <row r="652" ht="15.75" customHeight="1" s="184"/>
    <row r="653" ht="15.75" customHeight="1" s="184"/>
    <row r="654" ht="15.75" customHeight="1" s="184"/>
    <row r="655" ht="15.75" customHeight="1" s="184"/>
    <row r="656" ht="15.75" customHeight="1" s="184"/>
    <row r="657" ht="15.75" customHeight="1" s="184"/>
    <row r="658" ht="15.75" customHeight="1" s="184"/>
    <row r="659" ht="15.75" customHeight="1" s="184"/>
    <row r="660" ht="15.75" customHeight="1" s="184"/>
    <row r="661" ht="15.75" customHeight="1" s="184"/>
    <row r="662" ht="15.75" customHeight="1" s="184"/>
    <row r="663" ht="15.75" customHeight="1" s="184"/>
    <row r="664" ht="15.75" customHeight="1" s="184"/>
    <row r="665" ht="15.75" customHeight="1" s="184"/>
    <row r="666" ht="15.75" customHeight="1" s="184"/>
    <row r="667" ht="15.75" customHeight="1" s="184"/>
    <row r="668" ht="15.75" customHeight="1" s="184"/>
    <row r="669" ht="15.75" customHeight="1" s="184"/>
    <row r="670" ht="15.75" customHeight="1" s="184"/>
    <row r="671" ht="15.75" customHeight="1" s="184"/>
    <row r="672" ht="15.75" customHeight="1" s="184"/>
    <row r="673" ht="15.75" customHeight="1" s="184"/>
    <row r="674" ht="15.75" customHeight="1" s="184"/>
    <row r="675" ht="15.75" customHeight="1" s="184"/>
    <row r="676" ht="15.75" customHeight="1" s="184"/>
    <row r="677" ht="15.75" customHeight="1" s="184"/>
    <row r="678" ht="15.75" customHeight="1" s="184"/>
    <row r="679" ht="15.75" customHeight="1" s="184"/>
    <row r="680" ht="15.75" customHeight="1" s="184"/>
    <row r="681" ht="15.75" customHeight="1" s="184"/>
    <row r="682" ht="15.75" customHeight="1" s="184"/>
    <row r="683" ht="15.75" customHeight="1" s="184"/>
    <row r="684" ht="15.75" customHeight="1" s="184"/>
    <row r="685" ht="15.75" customHeight="1" s="184"/>
    <row r="686" ht="15.75" customHeight="1" s="184"/>
    <row r="687" ht="15.75" customHeight="1" s="184"/>
    <row r="688" ht="15.75" customHeight="1" s="184"/>
    <row r="689" ht="15.75" customHeight="1" s="184"/>
    <row r="690" ht="15.75" customHeight="1" s="184"/>
    <row r="691" ht="15.75" customHeight="1" s="184"/>
    <row r="692" ht="15.75" customHeight="1" s="184"/>
    <row r="693" ht="15.75" customHeight="1" s="184"/>
    <row r="694" ht="15.75" customHeight="1" s="184"/>
    <row r="695" ht="15.75" customHeight="1" s="184"/>
    <row r="696" ht="15.75" customHeight="1" s="184"/>
    <row r="697" ht="15.75" customHeight="1" s="184"/>
    <row r="698" ht="15.75" customHeight="1" s="184"/>
    <row r="699" ht="15.75" customHeight="1" s="184"/>
    <row r="700" ht="15.75" customHeight="1" s="184"/>
    <row r="701" ht="15.75" customHeight="1" s="184"/>
    <row r="702" ht="15.75" customHeight="1" s="184"/>
    <row r="703" ht="15.75" customHeight="1" s="184"/>
    <row r="704" ht="15.75" customHeight="1" s="184"/>
    <row r="705" ht="15.75" customHeight="1" s="184"/>
    <row r="706" ht="15.75" customHeight="1" s="184"/>
    <row r="707" ht="15.75" customHeight="1" s="184"/>
    <row r="708" ht="15.75" customHeight="1" s="184"/>
    <row r="709" ht="15.75" customHeight="1" s="184"/>
    <row r="710" ht="15.75" customHeight="1" s="184"/>
    <row r="711" ht="15.75" customHeight="1" s="184"/>
    <row r="712" ht="15.75" customHeight="1" s="184"/>
    <row r="713" ht="15.75" customHeight="1" s="184"/>
    <row r="714" ht="15.75" customHeight="1" s="184"/>
    <row r="715" ht="15.75" customHeight="1" s="184"/>
    <row r="716" ht="15.75" customHeight="1" s="184"/>
    <row r="717" ht="15.75" customHeight="1" s="184"/>
    <row r="718" ht="15.75" customHeight="1" s="184"/>
    <row r="719" ht="15.75" customHeight="1" s="184"/>
    <row r="720" ht="15.75" customHeight="1" s="184"/>
    <row r="721" ht="15.75" customHeight="1" s="184"/>
    <row r="722" ht="15.75" customHeight="1" s="184"/>
    <row r="723" ht="15.75" customHeight="1" s="184"/>
    <row r="724" ht="15.75" customHeight="1" s="184"/>
    <row r="725" ht="15.75" customHeight="1" s="184"/>
    <row r="726" ht="15.75" customHeight="1" s="184"/>
    <row r="727" ht="15.75" customHeight="1" s="184"/>
    <row r="728" ht="15.75" customHeight="1" s="184"/>
    <row r="729" ht="15.75" customHeight="1" s="184"/>
    <row r="730" ht="15.75" customHeight="1" s="184"/>
    <row r="731" ht="15.75" customHeight="1" s="184"/>
    <row r="732" ht="15.75" customHeight="1" s="184"/>
    <row r="733" ht="15.75" customHeight="1" s="184"/>
    <row r="734" ht="15.75" customHeight="1" s="184"/>
    <row r="735" ht="15.75" customHeight="1" s="184"/>
    <row r="736" ht="15.75" customHeight="1" s="184"/>
    <row r="737" ht="15.75" customHeight="1" s="184"/>
    <row r="738" ht="15.75" customHeight="1" s="184"/>
    <row r="739" ht="15.75" customHeight="1" s="184"/>
    <row r="740" ht="15.75" customHeight="1" s="184"/>
    <row r="741" ht="15.75" customHeight="1" s="184"/>
    <row r="742" ht="15.75" customHeight="1" s="184"/>
    <row r="743" ht="15.75" customHeight="1" s="184"/>
    <row r="744" ht="15.75" customHeight="1" s="184"/>
    <row r="745" ht="15.75" customHeight="1" s="184"/>
    <row r="746" ht="15.75" customHeight="1" s="184"/>
    <row r="747" ht="15.75" customHeight="1" s="184"/>
    <row r="748" ht="15.75" customHeight="1" s="184"/>
    <row r="749" ht="15.75" customHeight="1" s="184"/>
    <row r="750" ht="15.75" customHeight="1" s="184"/>
    <row r="751" ht="15.75" customHeight="1" s="184"/>
    <row r="752" ht="15.75" customHeight="1" s="184"/>
    <row r="753" ht="15.75" customHeight="1" s="184"/>
    <row r="754" ht="15.75" customHeight="1" s="184"/>
    <row r="755" ht="15.75" customHeight="1" s="184"/>
    <row r="756" ht="15.75" customHeight="1" s="184"/>
    <row r="757" ht="15.75" customHeight="1" s="184"/>
    <row r="758" ht="15.75" customHeight="1" s="184"/>
    <row r="759" ht="15.75" customHeight="1" s="184"/>
    <row r="760" ht="15.75" customHeight="1" s="184"/>
    <row r="761" ht="15.75" customHeight="1" s="184"/>
    <row r="762" ht="15.75" customHeight="1" s="184"/>
    <row r="763" ht="15.75" customHeight="1" s="184"/>
    <row r="764" ht="15.75" customHeight="1" s="184"/>
    <row r="765" ht="15.75" customHeight="1" s="184"/>
    <row r="766" ht="15.75" customHeight="1" s="184"/>
    <row r="767" ht="15.75" customHeight="1" s="184"/>
    <row r="768" ht="15.75" customHeight="1" s="184"/>
    <row r="769" ht="15.75" customHeight="1" s="184"/>
    <row r="770" ht="15.75" customHeight="1" s="184"/>
    <row r="771" ht="15.75" customHeight="1" s="184"/>
    <row r="772" ht="15.75" customHeight="1" s="184"/>
    <row r="773" ht="15.75" customHeight="1" s="184"/>
    <row r="774" ht="15.75" customHeight="1" s="184"/>
    <row r="775" ht="15.75" customHeight="1" s="184"/>
    <row r="776" ht="15.75" customHeight="1" s="184"/>
    <row r="777" ht="15.75" customHeight="1" s="184"/>
    <row r="778" ht="15.75" customHeight="1" s="184"/>
    <row r="779" ht="15.75" customHeight="1" s="184"/>
    <row r="780" ht="15.75" customHeight="1" s="184"/>
    <row r="781" ht="15.75" customHeight="1" s="184"/>
    <row r="782" ht="15.75" customHeight="1" s="184"/>
    <row r="783" ht="15.75" customHeight="1" s="184"/>
    <row r="784" ht="15.75" customHeight="1" s="184"/>
    <row r="785" ht="15.75" customHeight="1" s="184"/>
    <row r="786" ht="15.75" customHeight="1" s="184"/>
    <row r="787" ht="15.75" customHeight="1" s="184"/>
    <row r="788" ht="15.75" customHeight="1" s="184"/>
    <row r="789" ht="15.75" customHeight="1" s="184"/>
    <row r="790" ht="15.75" customHeight="1" s="184"/>
    <row r="791" ht="15.75" customHeight="1" s="184"/>
    <row r="792" ht="15.75" customHeight="1" s="184"/>
    <row r="793" ht="15.75" customHeight="1" s="184"/>
    <row r="794" ht="15.75" customHeight="1" s="184"/>
    <row r="795" ht="15.75" customHeight="1" s="184"/>
    <row r="796" ht="15.75" customHeight="1" s="184"/>
    <row r="797" ht="15.75" customHeight="1" s="184"/>
    <row r="798" ht="15.75" customHeight="1" s="184"/>
    <row r="799" ht="15.75" customHeight="1" s="184"/>
    <row r="800" ht="15.75" customHeight="1" s="184"/>
    <row r="801" ht="15.75" customHeight="1" s="184"/>
    <row r="802" ht="15.75" customHeight="1" s="184"/>
    <row r="803" ht="15.75" customHeight="1" s="184"/>
    <row r="804" ht="15.75" customHeight="1" s="184"/>
    <row r="805" ht="15.75" customHeight="1" s="184"/>
    <row r="806" ht="15.75" customHeight="1" s="184"/>
    <row r="807" ht="15.75" customHeight="1" s="184"/>
    <row r="808" ht="15.75" customHeight="1" s="184"/>
    <row r="809" ht="15.75" customHeight="1" s="184"/>
    <row r="810" ht="15.75" customHeight="1" s="184"/>
    <row r="811" ht="15.75" customHeight="1" s="184"/>
    <row r="812" ht="15.75" customHeight="1" s="184"/>
    <row r="813" ht="15.75" customHeight="1" s="184"/>
    <row r="814" ht="15.75" customHeight="1" s="184"/>
    <row r="815" ht="15.75" customHeight="1" s="184"/>
    <row r="816" ht="15.75" customHeight="1" s="184"/>
    <row r="817" ht="15.75" customHeight="1" s="184"/>
    <row r="818" ht="15.75" customHeight="1" s="184"/>
    <row r="819" ht="15.75" customHeight="1" s="184"/>
    <row r="820" ht="15.75" customHeight="1" s="184"/>
    <row r="821" ht="15.75" customHeight="1" s="184"/>
    <row r="822" ht="15.75" customHeight="1" s="184"/>
    <row r="823" ht="15.75" customHeight="1" s="184"/>
    <row r="824" ht="15.75" customHeight="1" s="184"/>
    <row r="825" ht="15.75" customHeight="1" s="184"/>
    <row r="826" ht="15.75" customHeight="1" s="184"/>
    <row r="827" ht="15.75" customHeight="1" s="184"/>
    <row r="828" ht="15.75" customHeight="1" s="184"/>
    <row r="829" ht="15.75" customHeight="1" s="184"/>
    <row r="830" ht="15.75" customHeight="1" s="184"/>
    <row r="831" ht="15.75" customHeight="1" s="184"/>
    <row r="832" ht="15.75" customHeight="1" s="184"/>
    <row r="833" ht="15.75" customHeight="1" s="184"/>
    <row r="834" ht="15.75" customHeight="1" s="184"/>
    <row r="835" ht="15.75" customHeight="1" s="184"/>
    <row r="836" ht="15.75" customHeight="1" s="184"/>
    <row r="837" ht="15.75" customHeight="1" s="184"/>
    <row r="838" ht="15.75" customHeight="1" s="184"/>
    <row r="839" ht="15.75" customHeight="1" s="184"/>
    <row r="840" ht="15.75" customHeight="1" s="184"/>
    <row r="841" ht="15.75" customHeight="1" s="184"/>
    <row r="842" ht="15.75" customHeight="1" s="184"/>
    <row r="843" ht="15.75" customHeight="1" s="184"/>
    <row r="844" ht="15.75" customHeight="1" s="184"/>
    <row r="845" ht="15.75" customHeight="1" s="184"/>
    <row r="846" ht="15.75" customHeight="1" s="184"/>
    <row r="847" ht="15.75" customHeight="1" s="184"/>
    <row r="848" ht="15.75" customHeight="1" s="184"/>
    <row r="849" ht="15.75" customHeight="1" s="184"/>
    <row r="850" ht="15.75" customHeight="1" s="184"/>
    <row r="851" ht="15.75" customHeight="1" s="184"/>
    <row r="852" ht="15.75" customHeight="1" s="184"/>
    <row r="853" ht="15.75" customHeight="1" s="184"/>
    <row r="854" ht="15.75" customHeight="1" s="184"/>
    <row r="855" ht="15.75" customHeight="1" s="184"/>
    <row r="856" ht="15.75" customHeight="1" s="184"/>
    <row r="857" ht="15.75" customHeight="1" s="184"/>
    <row r="858" ht="15.75" customHeight="1" s="184"/>
    <row r="859" ht="15.75" customHeight="1" s="184"/>
    <row r="860" ht="15.75" customHeight="1" s="184"/>
    <row r="861" ht="15.75" customHeight="1" s="184"/>
    <row r="862" ht="15.75" customHeight="1" s="184"/>
    <row r="863" ht="15.75" customHeight="1" s="184"/>
    <row r="864" ht="15.75" customHeight="1" s="184"/>
    <row r="865" ht="15.75" customHeight="1" s="184"/>
    <row r="866" ht="15.75" customHeight="1" s="184"/>
    <row r="867" ht="15.75" customHeight="1" s="184"/>
    <row r="868" ht="15.75" customHeight="1" s="184"/>
    <row r="869" ht="15.75" customHeight="1" s="184"/>
    <row r="870" ht="15.75" customHeight="1" s="184"/>
    <row r="871" ht="15.75" customHeight="1" s="184"/>
    <row r="872" ht="15.75" customHeight="1" s="184"/>
    <row r="873" ht="15.75" customHeight="1" s="184"/>
    <row r="874" ht="15.75" customHeight="1" s="184"/>
    <row r="875" ht="15.75" customHeight="1" s="184"/>
    <row r="876" ht="15.75" customHeight="1" s="184"/>
    <row r="877" ht="15.75" customHeight="1" s="184"/>
    <row r="878" ht="15.75" customHeight="1" s="184"/>
    <row r="879" ht="15.75" customHeight="1" s="184"/>
    <row r="880" ht="15.75" customHeight="1" s="184"/>
    <row r="881" ht="15.75" customHeight="1" s="184"/>
    <row r="882" ht="15.75" customHeight="1" s="184"/>
    <row r="883" ht="15.75" customHeight="1" s="184"/>
    <row r="884" ht="15.75" customHeight="1" s="184"/>
    <row r="885" ht="15.75" customHeight="1" s="184"/>
    <row r="886" ht="15.75" customHeight="1" s="184"/>
    <row r="887" ht="15.75" customHeight="1" s="184"/>
    <row r="888" ht="15.75" customHeight="1" s="184"/>
    <row r="889" ht="15.75" customHeight="1" s="184"/>
    <row r="890" ht="15.75" customHeight="1" s="184"/>
    <row r="891" ht="15.75" customHeight="1" s="184"/>
    <row r="892" ht="15.75" customHeight="1" s="184"/>
    <row r="893" ht="15.75" customHeight="1" s="184"/>
    <row r="894" ht="15.75" customHeight="1" s="184"/>
    <row r="895" ht="15.75" customHeight="1" s="184"/>
    <row r="896" ht="15.75" customHeight="1" s="184"/>
    <row r="897" ht="15.75" customHeight="1" s="184"/>
    <row r="898" ht="15.75" customHeight="1" s="184"/>
    <row r="899" ht="15.75" customHeight="1" s="184"/>
    <row r="900" ht="15.75" customHeight="1" s="184"/>
    <row r="901" ht="15.75" customHeight="1" s="184"/>
    <row r="902" ht="15.75" customHeight="1" s="184"/>
    <row r="903" ht="15.75" customHeight="1" s="184"/>
    <row r="904" ht="15.75" customHeight="1" s="184"/>
    <row r="905" ht="15.75" customHeight="1" s="184"/>
    <row r="906" ht="15.75" customHeight="1" s="184"/>
    <row r="907" ht="15.75" customHeight="1" s="184"/>
    <row r="908" ht="15.75" customHeight="1" s="184"/>
    <row r="909" ht="15.75" customHeight="1" s="184"/>
    <row r="910" ht="15.75" customHeight="1" s="184"/>
    <row r="911" ht="15.75" customHeight="1" s="184"/>
    <row r="912" ht="15.75" customHeight="1" s="184"/>
    <row r="913" ht="15.75" customHeight="1" s="184"/>
    <row r="914" ht="15.75" customHeight="1" s="184"/>
    <row r="915" ht="15.75" customHeight="1" s="184"/>
    <row r="916" ht="15.75" customHeight="1" s="184"/>
    <row r="917" ht="15.75" customHeight="1" s="184"/>
    <row r="918" ht="15.75" customHeight="1" s="184"/>
    <row r="919" ht="15.75" customHeight="1" s="184"/>
    <row r="920" ht="15.75" customHeight="1" s="184"/>
    <row r="921" ht="15.75" customHeight="1" s="184"/>
    <row r="922" ht="15.75" customHeight="1" s="184"/>
    <row r="923" ht="15.75" customHeight="1" s="184"/>
    <row r="924" ht="15.75" customHeight="1" s="184"/>
    <row r="925" ht="15.75" customHeight="1" s="184"/>
    <row r="926" ht="15.75" customHeight="1" s="184"/>
    <row r="927" ht="15.75" customHeight="1" s="184"/>
    <row r="928" ht="15.75" customHeight="1" s="184"/>
    <row r="929" ht="15.75" customHeight="1" s="184"/>
    <row r="930" ht="15.75" customHeight="1" s="184"/>
    <row r="931" ht="15.75" customHeight="1" s="184"/>
    <row r="932" ht="15.75" customHeight="1" s="184"/>
    <row r="933" ht="15.75" customHeight="1" s="184"/>
    <row r="934" ht="15.75" customHeight="1" s="184"/>
    <row r="935" ht="15.75" customHeight="1" s="184"/>
    <row r="936" ht="15.75" customHeight="1" s="184"/>
    <row r="937" ht="15.75" customHeight="1" s="184"/>
    <row r="938" ht="15.75" customHeight="1" s="184"/>
    <row r="939" ht="15.75" customHeight="1" s="184"/>
    <row r="940" ht="15.75" customHeight="1" s="184"/>
    <row r="941" ht="15.75" customHeight="1" s="184"/>
    <row r="942" ht="15.75" customHeight="1" s="184"/>
    <row r="943" ht="15.75" customHeight="1" s="184"/>
    <row r="944" ht="15.75" customHeight="1" s="184"/>
    <row r="945" ht="15.75" customHeight="1" s="184"/>
    <row r="946" ht="15.75" customHeight="1" s="184"/>
    <row r="947" ht="15.75" customHeight="1" s="184"/>
    <row r="948" ht="15.75" customHeight="1" s="184"/>
    <row r="949" ht="15.75" customHeight="1" s="184"/>
    <row r="950" ht="15.75" customHeight="1" s="184"/>
    <row r="951" ht="15.75" customHeight="1" s="184"/>
    <row r="952" ht="15.75" customHeight="1" s="184"/>
    <row r="953" ht="15.75" customHeight="1" s="184"/>
    <row r="954" ht="15.75" customHeight="1" s="184"/>
    <row r="955" ht="15.75" customHeight="1" s="184"/>
    <row r="956" ht="15.75" customHeight="1" s="184"/>
    <row r="957" ht="15.75" customHeight="1" s="184"/>
    <row r="958" ht="15.75" customHeight="1" s="184"/>
    <row r="959" ht="15.75" customHeight="1" s="184"/>
    <row r="960" ht="15.75" customHeight="1" s="184"/>
    <row r="961" ht="15.75" customHeight="1" s="184"/>
    <row r="962" ht="15.75" customHeight="1" s="184"/>
    <row r="963" ht="15.75" customHeight="1" s="184"/>
    <row r="964" ht="15.75" customHeight="1" s="184"/>
    <row r="965" ht="15.75" customHeight="1" s="184"/>
    <row r="966" ht="15.75" customHeight="1" s="184"/>
    <row r="967" ht="15.75" customHeight="1" s="184"/>
    <row r="968" ht="15.75" customHeight="1" s="184"/>
    <row r="969" ht="15.75" customHeight="1" s="184"/>
    <row r="970" ht="15.75" customHeight="1" s="184"/>
    <row r="971" ht="15.75" customHeight="1" s="184"/>
    <row r="972" ht="15.75" customHeight="1" s="184"/>
    <row r="973" ht="15.75" customHeight="1" s="184"/>
    <row r="974" ht="15.75" customHeight="1" s="184"/>
    <row r="975" ht="15.75" customHeight="1" s="184"/>
    <row r="976" ht="15.75" customHeight="1" s="184"/>
    <row r="977" ht="15.75" customHeight="1" s="184"/>
    <row r="978" ht="15.75" customHeight="1" s="184"/>
    <row r="979" ht="15.75" customHeight="1" s="184"/>
    <row r="980" ht="15.75" customHeight="1" s="184"/>
    <row r="981" ht="15.75" customHeight="1" s="184"/>
    <row r="982" ht="15.75" customHeight="1" s="184"/>
    <row r="983" ht="15.75" customHeight="1" s="184"/>
    <row r="984" ht="15.75" customHeight="1" s="184"/>
    <row r="985" ht="15.75" customHeight="1" s="184"/>
    <row r="986" ht="15.75" customHeight="1" s="184"/>
    <row r="987" ht="15.75" customHeight="1" s="184"/>
    <row r="988" ht="15.75" customHeight="1" s="184"/>
    <row r="989" ht="15.75" customHeight="1" s="184"/>
    <row r="990" ht="15.75" customHeight="1" s="184"/>
    <row r="991" ht="15.75" customHeight="1" s="184"/>
    <row r="992" ht="15.75" customHeight="1" s="184"/>
    <row r="993" ht="15.75" customHeight="1" s="184"/>
    <row r="994" ht="15.75" customHeight="1" s="184"/>
    <row r="995" ht="15.75" customHeight="1" s="184"/>
    <row r="996" ht="15.75" customHeight="1" s="184"/>
    <row r="997" ht="15.75" customHeight="1" s="184"/>
    <row r="998" ht="15.75" customHeight="1" s="184"/>
    <row r="999" ht="15.75" customHeight="1" s="184"/>
    <row r="1000" ht="15.75" customHeight="1" s="184"/>
  </sheetData>
  <pageMargins left="0.75" right="0.75" top="1" bottom="1" header="0" footer="0"/>
  <pageSetup orientation="portrait" paperSize="9"/>
</worksheet>
</file>

<file path=xl/worksheets/sheet11.xml><?xml version="1.0" encoding="utf-8"?>
<worksheet xmlns="http://schemas.openxmlformats.org/spreadsheetml/2006/main">
  <sheetPr>
    <outlinePr summaryBelow="1" summaryRight="1"/>
    <pageSetUpPr/>
  </sheetPr>
  <dimension ref="A1:F1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84" min="1" max="1"/>
    <col width="22" customWidth="1" style="184" min="2" max="2"/>
    <col width="22" customWidth="1" style="184" min="3" max="3"/>
    <col width="22" customWidth="1" style="184" min="4" max="4"/>
    <col width="22" customWidth="1" style="184" min="5" max="5"/>
    <col width="22" customWidth="1" style="184" min="6" max="6"/>
  </cols>
  <sheetData>
    <row r="1">
      <c r="A1" s="185" t="inlineStr">
        <is>
          <t>Parámetro</t>
        </is>
      </c>
      <c r="B1" s="185" t="inlineStr">
        <is>
          <t>Valor</t>
        </is>
      </c>
      <c r="C1" s="185" t="inlineStr">
        <is>
          <t>Regla</t>
        </is>
      </c>
      <c r="D1" s="185" t="inlineStr">
        <is>
          <t>Activa</t>
        </is>
      </c>
      <c r="E1" s="185" t="inlineStr">
        <is>
          <t>Efecto numérico</t>
        </is>
      </c>
      <c r="F1" s="185" t="inlineStr">
        <is>
          <t>Mensaje literal</t>
        </is>
      </c>
    </row>
    <row r="2">
      <c r="A2" s="186" t="inlineStr">
        <is>
          <t>calidad</t>
        </is>
      </c>
      <c r="B2" s="186" t="n">
        <v>12</v>
      </c>
      <c r="C2" s="186" t="inlineStr">
        <is>
          <t>CONS-01</t>
        </is>
      </c>
      <c r="D2" s="186">
        <f>AND(B2&lt;4,B3="SEG-03")</f>
        <v/>
      </c>
      <c r="E2" s="186">
        <f>IF(D2,0.65,1)</f>
        <v/>
      </c>
      <c r="F2" s="186">
        <f>IF(D2,INDEX(Matriz_Consecuencias!$E$2:$E$9,MATCH(C2,Matriz_Consecuencias!$A$2:$A$9,0)),"")</f>
        <v/>
      </c>
    </row>
    <row r="3">
      <c r="A3" s="186" t="inlineStr">
        <is>
          <t>segmento</t>
        </is>
      </c>
      <c r="B3" s="186" t="inlineStr">
        <is>
          <t>SEG-03</t>
        </is>
      </c>
      <c r="C3" s="186" t="inlineStr">
        <is>
          <t>CONS-02</t>
        </is>
      </c>
      <c r="D3" s="186">
        <f>AND(B2&gt;=7,B3="SEG-03")</f>
        <v/>
      </c>
      <c r="E3" s="186">
        <f>IF(D3,1.4,1)</f>
        <v/>
      </c>
      <c r="F3" s="186">
        <f>IF(D3,INDEX(Matriz_Consecuencias!$E$2:$E$9,MATCH(C3,Matriz_Consecuencias!$A$2:$A$9,0)),"")</f>
        <v/>
      </c>
    </row>
    <row r="4">
      <c r="A4" s="186" t="inlineStr">
        <is>
          <t>eficiencia</t>
        </is>
      </c>
      <c r="B4" s="186" t="n">
        <v>17</v>
      </c>
      <c r="C4" s="186" t="inlineStr">
        <is>
          <t>CONS-03</t>
        </is>
      </c>
      <c r="D4" s="186">
        <f>B4&lt;4</f>
        <v/>
      </c>
      <c r="E4" s="186">
        <f>IF(D4,0.7,1)</f>
        <v/>
      </c>
      <c r="F4" s="186">
        <f>IF(D4,INDEX(Matriz_Consecuencias!$E$2:$E$9,MATCH(C4,Matriz_Consecuencias!$A$2:$A$9,0)),"")</f>
        <v/>
      </c>
    </row>
    <row r="5">
      <c r="A5" s="186" t="inlineStr">
        <is>
          <t>reputacion</t>
        </is>
      </c>
      <c r="B5" s="186" t="n">
        <v>8</v>
      </c>
      <c r="C5" s="186" t="inlineStr">
        <is>
          <t>CONS-04</t>
        </is>
      </c>
      <c r="D5" s="186">
        <f>AND(B5+B15&lt;3,B6+1&gt;=2)</f>
        <v/>
      </c>
      <c r="E5" s="186">
        <f>IF(D5,0.8,1)</f>
        <v/>
      </c>
      <c r="F5" s="186">
        <f>IF(D5,INDEX(Matriz_Consecuencias!$E$2:$E$9,MATCH(C5,Matriz_Consecuencias!$A$2:$A$9,0)),"")</f>
        <v/>
      </c>
    </row>
    <row r="6">
      <c r="A6" s="186" t="inlineStr">
        <is>
          <t>ciclosBajaPrevios</t>
        </is>
      </c>
      <c r="B6" s="186" t="n">
        <v>0</v>
      </c>
      <c r="C6" s="186" t="inlineStr">
        <is>
          <t>CONS-05</t>
        </is>
      </c>
      <c r="D6" s="186">
        <f>B7&lt;3</f>
        <v/>
      </c>
      <c r="E6" s="186">
        <f>IF(D6,3,0)</f>
        <v/>
      </c>
      <c r="F6" s="186">
        <f>IF(D6,INDEX(Matriz_Consecuencias!$E$2:$E$9,MATCH(C6,Matriz_Consecuencias!$A$2:$A$9,0)),"")</f>
        <v/>
      </c>
    </row>
    <row r="7">
      <c r="A7" s="186" t="inlineStr">
        <is>
          <t>saludFinanciera</t>
        </is>
      </c>
      <c r="B7" s="186" t="n">
        <v>-3</v>
      </c>
      <c r="C7" s="186" t="inlineStr">
        <is>
          <t>CONS-06</t>
        </is>
      </c>
      <c r="D7" s="186">
        <f>B9&gt;B10</f>
        <v/>
      </c>
      <c r="E7" s="186">
        <f>IF(D7,0.25*B13*MIN(1,IFERROR((B9-B10)/B10,0)),0)</f>
        <v/>
      </c>
      <c r="F7" s="186">
        <f>IF(D7,INDEX(Matriz_Consecuencias!$E$2:$E$9,MATCH(C7,Matriz_Consecuencias!$A$2:$A$9,0)),"")</f>
        <v/>
      </c>
    </row>
    <row r="8">
      <c r="A8" s="186" t="inlineStr">
        <is>
          <t>jefatura</t>
        </is>
      </c>
      <c r="B8" s="186" t="b">
        <v>1</v>
      </c>
      <c r="C8" s="186" t="inlineStr">
        <is>
          <t>CONS-07</t>
        </is>
      </c>
      <c r="D8" s="186">
        <f>B11&gt;B12</f>
        <v/>
      </c>
      <c r="E8" s="186">
        <f>IF(D8,(B11-B12)*2,0)</f>
        <v/>
      </c>
      <c r="F8" s="186">
        <f>IF(D8,INDEX(Matriz_Consecuencias!$E$2:$E$9,MATCH(C8,Matriz_Consecuencias!$A$2:$A$9,0)),"")</f>
        <v/>
      </c>
    </row>
    <row r="9">
      <c r="A9" s="186" t="inlineStr">
        <is>
          <t>planeado</t>
        </is>
      </c>
      <c r="B9" s="186" t="n">
        <v>520</v>
      </c>
      <c r="C9" s="186" t="inlineStr">
        <is>
          <t>CONS-08</t>
        </is>
      </c>
      <c r="D9" s="186">
        <f>AND(NOT(B8),B4&lt;5)</f>
        <v/>
      </c>
      <c r="E9" s="186">
        <f>IF(D9,0.95,1)</f>
        <v/>
      </c>
      <c r="F9" s="186">
        <f>IF(D9,INDEX(Matriz_Consecuencias!$E$2:$E$9,MATCH(C9,Matriz_Consecuencias!$A$2:$A$9,0)),"")</f>
        <v/>
      </c>
    </row>
    <row r="10">
      <c r="A10" s="186" t="inlineStr">
        <is>
          <t>capacidad</t>
        </is>
      </c>
      <c r="B10" s="186" t="n">
        <v>396</v>
      </c>
      <c r="C10" s="186" t="n"/>
      <c r="D10" s="186" t="n"/>
      <c r="E10" s="186" t="n"/>
      <c r="F10" s="186" t="n"/>
    </row>
    <row r="11">
      <c r="A11" s="186" t="inlineStr">
        <is>
          <t>producido</t>
        </is>
      </c>
      <c r="B11" s="186" t="n">
        <v>365</v>
      </c>
      <c r="C11" s="186" t="n"/>
      <c r="D11" s="186" t="n"/>
      <c r="E11" s="186" t="n"/>
      <c r="F11" s="186" t="n"/>
    </row>
    <row r="12">
      <c r="A12" s="186" t="inlineStr">
        <is>
          <t>demanda</t>
        </is>
      </c>
      <c r="B12" s="186" t="n">
        <v>350</v>
      </c>
      <c r="C12" s="186" t="n"/>
      <c r="D12" s="186" t="n"/>
      <c r="E12" s="186" t="n"/>
      <c r="F12" s="186" t="n"/>
    </row>
    <row r="13">
      <c r="A13" s="186" t="inlineStr">
        <is>
          <t>costoMO</t>
        </is>
      </c>
      <c r="B13" s="186" t="n">
        <v>10000</v>
      </c>
      <c r="C13" s="186" t="n"/>
      <c r="D13" s="186" t="n"/>
      <c r="E13" s="186" t="n"/>
      <c r="F13" s="186" t="n"/>
    </row>
    <row r="14">
      <c r="A14" s="186" t="inlineStr">
        <is>
          <t>produccionTrasConsecuencias</t>
        </is>
      </c>
      <c r="B14" s="186">
        <f>ROUNDDOWN(MIN(B9,B10)*E4*E9,0)</f>
        <v/>
      </c>
      <c r="C14" s="186" t="n"/>
      <c r="D14" s="186" t="n"/>
      <c r="E14" s="186" t="n"/>
      <c r="F14" s="186" t="n"/>
    </row>
    <row r="15">
      <c r="A15" s="186" t="inlineStr">
        <is>
          <t>reputacionCambio</t>
        </is>
      </c>
      <c r="B15" s="186">
        <f>IF(D2,-2,0)+IF(D3,2,0)</f>
        <v/>
      </c>
      <c r="C15" s="186" t="n"/>
      <c r="D15" s="186" t="n"/>
      <c r="E15" s="186" t="n"/>
      <c r="F15" s="186" t="n"/>
    </row>
    <row r="16">
      <c r="A16" s="186" t="inlineStr">
        <is>
          <t>precioFactor</t>
        </is>
      </c>
      <c r="B16" s="186">
        <f>E2*E3</f>
        <v/>
      </c>
      <c r="C16" s="186" t="n"/>
      <c r="D16" s="186" t="n"/>
      <c r="E16" s="186" t="n"/>
      <c r="F16" s="186" t="n"/>
    </row>
    <row r="17">
      <c r="A17" s="186" t="inlineStr">
        <is>
          <t>ciclosBajaFinal</t>
        </is>
      </c>
      <c r="B17" s="186">
        <f>IF(B5+B15&lt;3,B6+1,0)</f>
        <v/>
      </c>
      <c r="C17" s="186" t="n"/>
      <c r="D17" s="186" t="n"/>
      <c r="E17" s="186" t="n"/>
      <c r="F17" s="186" t="n"/>
    </row>
    <row r="18">
      <c r="A18" s="186" t="n"/>
      <c r="B18" s="186" t="n"/>
      <c r="C18" s="186" t="n"/>
      <c r="D18" s="186" t="n"/>
      <c r="E18" s="186" t="n"/>
      <c r="F18" s="186" t="n"/>
    </row>
    <row r="19">
      <c r="A19" s="186" t="inlineStr">
        <is>
          <t>Extensión autorizada: números de horas extra, almacén y tasa son PENDIENTE_DEFINIR del pedido, no fórmulas originales.</t>
        </is>
      </c>
      <c r="B19" s="186" t="n"/>
      <c r="C19" s="186" t="n"/>
      <c r="D19" s="186" t="n"/>
      <c r="E19" s="186" t="n"/>
      <c r="F19" s="186"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T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84" min="1" max="1"/>
    <col width="22" customWidth="1" style="184" min="2" max="2"/>
    <col width="22" customWidth="1" style="184" min="3" max="3"/>
    <col width="22" customWidth="1" style="184" min="4" max="4"/>
    <col width="22" customWidth="1" style="184" min="5" max="5"/>
    <col width="22" customWidth="1" style="184" min="6" max="6"/>
    <col width="22" customWidth="1" style="184" min="7" max="7"/>
    <col width="22" customWidth="1" style="184" min="8" max="8"/>
    <col width="22" customWidth="1" style="184" min="9" max="9"/>
    <col width="22" customWidth="1" style="184" min="10" max="10"/>
    <col width="22" customWidth="1" style="184" min="11" max="11"/>
    <col width="22" customWidth="1" style="184" min="12" max="12"/>
    <col width="22" customWidth="1" style="184" min="13" max="13"/>
    <col width="22" customWidth="1" style="184" min="14" max="14"/>
    <col width="22" customWidth="1" style="184" min="15" max="15"/>
    <col width="22" customWidth="1" style="184" min="16" max="16"/>
    <col width="22" customWidth="1" style="184" min="17" max="17"/>
    <col width="22" customWidth="1" style="184" min="18" max="18"/>
    <col width="22" customWidth="1" style="184" min="19" max="19"/>
    <col width="22" customWidth="1" style="184" min="20" max="20"/>
  </cols>
  <sheetData>
    <row r="1">
      <c r="A1" s="185" t="inlineStr">
        <is>
          <t>empresa</t>
        </is>
      </c>
      <c r="B1" s="185" t="inlineStr">
        <is>
          <t>segmento</t>
        </is>
      </c>
      <c r="C1" s="185" t="inlineStr">
        <is>
          <t>precio</t>
        </is>
      </c>
      <c r="D1" s="185" t="inlineStr">
        <is>
          <t>reputacion</t>
        </is>
      </c>
      <c r="E1" s="185" t="inlineStr">
        <is>
          <t>calidad</t>
        </is>
      </c>
      <c r="F1" s="185" t="inlineStr">
        <is>
          <t>inventario</t>
        </is>
      </c>
      <c r="G1" s="185" t="inlineStr">
        <is>
          <t>factorDemanda</t>
        </is>
      </c>
      <c r="H1" s="185" t="inlineStr">
        <is>
          <t>mercadoReal</t>
        </is>
      </c>
      <c r="I1" s="185" t="inlineStr">
        <is>
          <t>precioIdeal</t>
        </is>
      </c>
      <c r="J1" s="185" t="inlineStr">
        <is>
          <t>pesoPrecio</t>
        </is>
      </c>
      <c r="K1" s="185" t="inlineStr">
        <is>
          <t>pesoReputacion</t>
        </is>
      </c>
      <c r="L1" s="185" t="inlineStr">
        <is>
          <t>pesoCalidad</t>
        </is>
      </c>
      <c r="M1" s="185" t="inlineStr">
        <is>
          <t>puntajePrecio</t>
        </is>
      </c>
      <c r="N1" s="185" t="inlineStr">
        <is>
          <t>puntajeTotal</t>
        </is>
      </c>
      <c r="O1" s="185" t="inlineStr">
        <is>
          <t>porcentaje</t>
        </is>
      </c>
      <c r="P1" s="185" t="inlineStr">
        <is>
          <t>asignado</t>
        </is>
      </c>
      <c r="Q1" s="185" t="inlineStr">
        <is>
          <t>vendido</t>
        </is>
      </c>
      <c r="R1" s="185" t="inlineStr">
        <is>
          <t>ingreso</t>
        </is>
      </c>
      <c r="S1" s="185" t="inlineStr">
        <is>
          <t>inventarioFinal</t>
        </is>
      </c>
      <c r="T1" s="185" t="inlineStr">
        <is>
          <t>precioEfectivo</t>
        </is>
      </c>
    </row>
    <row r="2">
      <c r="A2" s="186" t="inlineStr">
        <is>
          <t>A</t>
        </is>
      </c>
      <c r="B2" s="186" t="inlineStr">
        <is>
          <t>SEG-01</t>
        </is>
      </c>
      <c r="C2" s="186" t="n">
        <v>40</v>
      </c>
      <c r="D2" s="186" t="n">
        <v>7</v>
      </c>
      <c r="E2" s="186" t="n">
        <v>62</v>
      </c>
      <c r="F2" s="186" t="n">
        <v>1000</v>
      </c>
      <c r="G2" s="186" t="n">
        <v>1</v>
      </c>
      <c r="H2" s="186" t="n">
        <v>3500</v>
      </c>
      <c r="I2" s="186" t="n">
        <v>0</v>
      </c>
      <c r="J2" s="186" t="n">
        <v>0.7</v>
      </c>
      <c r="K2" s="186" t="n">
        <v>0.2</v>
      </c>
      <c r="L2" s="186" t="n">
        <v>0.1</v>
      </c>
      <c r="M2" s="186">
        <f>IF(B2="SEG-01",IFERROR(100*(_xlfn.MAXIFS($C$2:$C$6,$B$2:$B$6,B2)-C2)/(_xlfn.MAXIFS($C$2:$C$6,$B$2:$B$6,B2)-_xlfn.MINIFS($C$2:$C$6,$B$2:$B$6,B2)),100),100-ABS(C2-I2)/I2*100)</f>
        <v/>
      </c>
      <c r="N2" s="186">
        <f>J2*M2+K2*D2*10+L2*E2</f>
        <v/>
      </c>
      <c r="O2" s="186">
        <f>IFERROR(N2/SUMIF($B$2:$B$6,B2,$N$2:$N$6),0)</f>
        <v/>
      </c>
      <c r="P2" s="186">
        <f>ROUND(O2*H2,0)</f>
        <v/>
      </c>
      <c r="Q2" s="186">
        <f>MIN(P2*G2,F2)</f>
        <v/>
      </c>
      <c r="R2" s="186">
        <f>Q2*T2</f>
        <v/>
      </c>
      <c r="S2" s="186">
        <f>F2-Q2</f>
        <v/>
      </c>
      <c r="T2" s="186">
        <f>C2</f>
        <v/>
      </c>
    </row>
    <row r="3">
      <c r="A3" s="186" t="inlineStr">
        <is>
          <t>B</t>
        </is>
      </c>
      <c r="B3" s="186" t="inlineStr">
        <is>
          <t>SEG-01</t>
        </is>
      </c>
      <c r="C3" s="186" t="n">
        <v>45</v>
      </c>
      <c r="D3" s="186" t="n">
        <v>8.300000000000001</v>
      </c>
      <c r="E3" s="186" t="n">
        <v>80</v>
      </c>
      <c r="F3" s="186" t="n">
        <v>1000</v>
      </c>
      <c r="G3" s="186" t="n">
        <v>1</v>
      </c>
      <c r="H3" s="186" t="n">
        <v>3500</v>
      </c>
      <c r="I3" s="186" t="n">
        <v>0</v>
      </c>
      <c r="J3" s="186" t="n">
        <v>0.7</v>
      </c>
      <c r="K3" s="186" t="n">
        <v>0.2</v>
      </c>
      <c r="L3" s="186" t="n">
        <v>0.1</v>
      </c>
      <c r="M3" s="186">
        <f>IF(B3="SEG-01",IFERROR(100*(_xlfn.MAXIFS($C$2:$C$6,$B$2:$B$6,B3)-C3)/(_xlfn.MAXIFS($C$2:$C$6,$B$2:$B$6,B3)-_xlfn.MINIFS($C$2:$C$6,$B$2:$B$6,B3)),100),100-ABS(C3-I3)/I3*100)</f>
        <v/>
      </c>
      <c r="N3" s="186">
        <f>J3*M3+K3*D3*10+L3*E3</f>
        <v/>
      </c>
      <c r="O3" s="186">
        <f>IFERROR(N3/SUMIF($B$2:$B$6,B3,$N$2:$N$6),0)</f>
        <v/>
      </c>
      <c r="P3" s="186">
        <f>ROUND(O3*H3,0)</f>
        <v/>
      </c>
      <c r="Q3" s="186">
        <f>MIN(P3*G3,F3)</f>
        <v/>
      </c>
      <c r="R3" s="186">
        <f>Q3*T3</f>
        <v/>
      </c>
      <c r="S3" s="186">
        <f>F3-Q3</f>
        <v/>
      </c>
      <c r="T3" s="186">
        <f>C3</f>
        <v/>
      </c>
    </row>
    <row r="4">
      <c r="A4" s="186" t="inlineStr">
        <is>
          <t>C</t>
        </is>
      </c>
      <c r="B4" s="186" t="inlineStr">
        <is>
          <t>SEG-02</t>
        </is>
      </c>
      <c r="C4" s="186" t="n">
        <v>120</v>
      </c>
      <c r="D4" s="186" t="n">
        <v>10.2</v>
      </c>
      <c r="E4" s="186" t="n">
        <v>90</v>
      </c>
      <c r="F4" s="186" t="n">
        <v>1000</v>
      </c>
      <c r="G4" s="186" t="n">
        <v>1</v>
      </c>
      <c r="H4" s="186" t="n">
        <v>3500</v>
      </c>
      <c r="I4" s="186" t="n">
        <v>100</v>
      </c>
      <c r="J4" s="186" t="n">
        <v>0.4</v>
      </c>
      <c r="K4" s="186" t="n">
        <v>0.35</v>
      </c>
      <c r="L4" s="186" t="n">
        <v>0.25</v>
      </c>
      <c r="M4" s="186">
        <f>IF(B4="SEG-01",IFERROR(100*(_xlfn.MAXIFS($C$2:$C$6,$B$2:$B$6,B4)-C4)/(_xlfn.MAXIFS($C$2:$C$6,$B$2:$B$6,B4)-_xlfn.MINIFS($C$2:$C$6,$B$2:$B$6,B4)),100),100-ABS(C4-I4)/I4*100)</f>
        <v/>
      </c>
      <c r="N4" s="186">
        <f>J4*M4+K4*D4*10+L4*E4</f>
        <v/>
      </c>
      <c r="O4" s="186">
        <f>IFERROR(N4/SUMIF($B$2:$B$6,B4,$N$2:$N$6),0)</f>
        <v/>
      </c>
      <c r="P4" s="186">
        <f>ROUND(O4*H4,0)</f>
        <v/>
      </c>
      <c r="Q4" s="186">
        <f>MIN(P4*G4,F4)</f>
        <v/>
      </c>
      <c r="R4" s="186">
        <f>Q4*T4</f>
        <v/>
      </c>
      <c r="S4" s="186">
        <f>F4-Q4</f>
        <v/>
      </c>
      <c r="T4" s="186">
        <f>C4</f>
        <v/>
      </c>
    </row>
    <row r="5">
      <c r="A5" s="186" t="inlineStr">
        <is>
          <t>D</t>
        </is>
      </c>
      <c r="B5" s="186" t="inlineStr">
        <is>
          <t>SEG-02</t>
        </is>
      </c>
      <c r="C5" s="186" t="n">
        <v>150</v>
      </c>
      <c r="D5" s="186" t="n">
        <v>9</v>
      </c>
      <c r="E5" s="186" t="n">
        <v>50</v>
      </c>
      <c r="F5" s="186" t="n">
        <v>1000</v>
      </c>
      <c r="G5" s="186" t="n">
        <v>1</v>
      </c>
      <c r="H5" s="186" t="n">
        <v>3500</v>
      </c>
      <c r="I5" s="186" t="n">
        <v>100</v>
      </c>
      <c r="J5" s="186" t="n">
        <v>0.4</v>
      </c>
      <c r="K5" s="186" t="n">
        <v>0.35</v>
      </c>
      <c r="L5" s="186" t="n">
        <v>0.25</v>
      </c>
      <c r="M5" s="186">
        <f>IF(B5="SEG-01",IFERROR(100*(_xlfn.MAXIFS($C$2:$C$6,$B$2:$B$6,B5)-C5)/(_xlfn.MAXIFS($C$2:$C$6,$B$2:$B$6,B5)-_xlfn.MINIFS($C$2:$C$6,$B$2:$B$6,B5)),100),100-ABS(C5-I5)/I5*100)</f>
        <v/>
      </c>
      <c r="N5" s="186">
        <f>J5*M5+K5*D5*10+L5*E5</f>
        <v/>
      </c>
      <c r="O5" s="186">
        <f>IFERROR(N5/SUMIF($B$2:$B$6,B5,$N$2:$N$6),0)</f>
        <v/>
      </c>
      <c r="P5" s="186">
        <f>ROUND(O5*H5,0)</f>
        <v/>
      </c>
      <c r="Q5" s="186">
        <f>MIN(P5*G5,F5)</f>
        <v/>
      </c>
      <c r="R5" s="186">
        <f>Q5*T5</f>
        <v/>
      </c>
      <c r="S5" s="186">
        <f>F5-Q5</f>
        <v/>
      </c>
      <c r="T5" s="186">
        <f>C5</f>
        <v/>
      </c>
    </row>
    <row r="6">
      <c r="A6" s="186" t="inlineStr">
        <is>
          <t>E</t>
        </is>
      </c>
      <c r="B6" s="186" t="inlineStr">
        <is>
          <t>SEG-03</t>
        </is>
      </c>
      <c r="C6" s="186" t="n">
        <v>250</v>
      </c>
      <c r="D6" s="186" t="n">
        <v>8</v>
      </c>
      <c r="E6" s="186" t="n">
        <v>100</v>
      </c>
      <c r="F6" s="186" t="n">
        <v>1000</v>
      </c>
      <c r="G6" s="186" t="n">
        <v>1</v>
      </c>
      <c r="H6" s="186" t="n">
        <v>800</v>
      </c>
      <c r="I6" s="186" t="n">
        <v>250</v>
      </c>
      <c r="J6" s="186" t="n">
        <v>0.1</v>
      </c>
      <c r="K6" s="186" t="n">
        <v>0.5</v>
      </c>
      <c r="L6" s="186" t="n">
        <v>0.4</v>
      </c>
      <c r="M6" s="186">
        <f>IF(B6="SEG-01",IFERROR(100*(_xlfn.MAXIFS($C$2:$C$6,$B$2:$B$6,B6)-C6)/(_xlfn.MAXIFS($C$2:$C$6,$B$2:$B$6,B6)-_xlfn.MINIFS($C$2:$C$6,$B$2:$B$6,B6)),100),100-ABS(C6-I6)/I6*100)</f>
        <v/>
      </c>
      <c r="N6" s="186">
        <f>J6*M6+K6*D6*10+L6*E6</f>
        <v/>
      </c>
      <c r="O6" s="186">
        <f>IFERROR(N6/SUMIF($B$2:$B$6,B6,$N$2:$N$6),0)</f>
        <v/>
      </c>
      <c r="P6" s="186">
        <f>ROUND(O6*H6,0)</f>
        <v/>
      </c>
      <c r="Q6" s="186">
        <f>MIN(P6*G6,F6)</f>
        <v/>
      </c>
      <c r="R6" s="186">
        <f>Q6*T6</f>
        <v/>
      </c>
      <c r="S6" s="186">
        <f>F6-Q6</f>
        <v/>
      </c>
      <c r="T6" s="186">
        <f>C6</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W1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0" customWidth="1" style="184" min="1" max="1"/>
    <col width="20" customWidth="1" style="184" min="2" max="2"/>
    <col width="20" customWidth="1" style="184" min="3" max="3"/>
    <col width="20" customWidth="1" style="184" min="4" max="4"/>
    <col width="20" customWidth="1" style="184" min="5" max="5"/>
    <col width="20" customWidth="1" style="184" min="6" max="6"/>
    <col width="20" customWidth="1" style="184" min="7" max="7"/>
    <col width="20" customWidth="1" style="184" min="8" max="8"/>
    <col width="20" customWidth="1" style="184" min="9" max="9"/>
    <col width="20" customWidth="1" style="184" min="10" max="10"/>
    <col width="20" customWidth="1" style="184" min="11" max="11"/>
    <col width="20" customWidth="1" style="184" min="12" max="12"/>
    <col width="20" customWidth="1" style="184" min="13" max="13"/>
    <col width="20" customWidth="1" style="184" min="14" max="14"/>
    <col width="20" customWidth="1" style="184" min="15" max="15"/>
    <col width="20" customWidth="1" style="184" min="16" max="16"/>
    <col width="20" customWidth="1" style="184" min="17" max="17"/>
    <col width="20" customWidth="1" style="184" min="18" max="18"/>
    <col width="20" customWidth="1" style="184" min="19" max="19"/>
    <col width="20" customWidth="1" style="184" min="20" max="20"/>
    <col width="20" customWidth="1" style="184" min="21" max="21"/>
    <col width="20" customWidth="1" style="184" min="22" max="22"/>
    <col width="20" customWidth="1" style="184" min="23" max="23"/>
    <col width="20" customWidth="1" style="184" min="24" max="24"/>
    <col width="20" customWidth="1" style="184" min="25" max="25"/>
    <col width="20" customWidth="1" style="184" min="26" max="26"/>
    <col width="20" customWidth="1" style="184" min="27" max="27"/>
    <col width="20" customWidth="1" style="184" min="28" max="28"/>
    <col width="20" customWidth="1" style="184" min="29" max="29"/>
    <col width="20" customWidth="1" style="184" min="30" max="30"/>
    <col width="20" customWidth="1" style="184" min="31" max="31"/>
    <col width="20" customWidth="1" style="184" min="32" max="32"/>
    <col width="20" customWidth="1" style="184" min="33" max="33"/>
    <col width="20" customWidth="1" style="184" min="34" max="34"/>
    <col width="20" customWidth="1" style="184" min="35" max="35"/>
    <col width="20" customWidth="1" style="184" min="36" max="36"/>
    <col width="20" customWidth="1" style="184" min="37" max="37"/>
    <col width="20" customWidth="1" style="184" min="38" max="38"/>
    <col width="20" customWidth="1" style="184" min="39" max="39"/>
    <col width="20" customWidth="1" style="184" min="40" max="40"/>
    <col width="20" customWidth="1" style="184" min="41" max="41"/>
    <col width="20" customWidth="1" style="184" min="42" max="42"/>
    <col width="20" customWidth="1" style="184" min="43" max="43"/>
    <col width="20" customWidth="1" style="184" min="44" max="44"/>
    <col width="20" customWidth="1" style="184" min="45" max="45"/>
    <col width="20" customWidth="1" style="184" min="46" max="46"/>
    <col width="20" customWidth="1" style="184" min="47" max="47"/>
    <col width="20" customWidth="1" style="184" min="48" max="48"/>
    <col width="20" customWidth="1" style="184" min="49" max="49"/>
    <col width="20" customWidth="1" style="184" min="50" max="50"/>
    <col width="20" customWidth="1" style="184" min="51" max="51"/>
    <col width="20" customWidth="1" style="184" min="52" max="52"/>
    <col width="20" customWidth="1" style="184" min="53" max="53"/>
    <col width="20" customWidth="1" style="184" min="54" max="54"/>
    <col width="20" customWidth="1" style="184" min="55" max="55"/>
    <col width="20" customWidth="1" style="184" min="56" max="56"/>
    <col width="20" customWidth="1" style="184" min="57" max="57"/>
    <col width="20" customWidth="1" style="184" min="58" max="58"/>
    <col width="20" customWidth="1" style="184" min="59" max="59"/>
    <col width="20" customWidth="1" style="184" min="60" max="60"/>
    <col width="20" customWidth="1" style="184" min="61" max="61"/>
    <col width="20" customWidth="1" style="184" min="62" max="62"/>
    <col width="20" customWidth="1" style="184" min="63" max="63"/>
    <col width="20" customWidth="1" style="184" min="64" max="64"/>
    <col width="20" customWidth="1" style="184" min="65" max="65"/>
    <col width="20" customWidth="1" style="184" min="66" max="66"/>
    <col width="20" customWidth="1" style="184" min="67" max="67"/>
    <col width="20" customWidth="1" style="184" min="68" max="68"/>
    <col width="20" customWidth="1" style="184" min="69" max="69"/>
    <col width="20" customWidth="1" style="184" min="70" max="70"/>
    <col width="20" customWidth="1" style="184" min="71" max="71"/>
    <col width="20" customWidth="1" style="184" min="72" max="72"/>
    <col width="20" customWidth="1" style="184" min="73" max="73"/>
    <col width="20" customWidth="1" style="184" min="74" max="74"/>
    <col width="20" customWidth="1" style="184" min="75" max="75"/>
    <col width="20" customWidth="1" style="184" min="76" max="76"/>
    <col width="20" customWidth="1" style="184" min="77" max="77"/>
    <col width="20" customWidth="1" style="184" min="78" max="78"/>
    <col width="20" customWidth="1" style="184" min="79" max="79"/>
    <col width="20" customWidth="1" style="184" min="80" max="80"/>
    <col width="20" customWidth="1" style="184" min="81" max="81"/>
    <col width="20" customWidth="1" style="184" min="82" max="82"/>
    <col width="20" customWidth="1" style="184" min="83" max="83"/>
    <col width="20" customWidth="1" style="184" min="84" max="84"/>
    <col width="20" customWidth="1" style="184" min="85" max="85"/>
    <col width="20" customWidth="1" style="184" min="86" max="86"/>
    <col width="20" customWidth="1" style="184" min="87" max="87"/>
    <col width="20" customWidth="1" style="184" min="88" max="88"/>
    <col width="20" customWidth="1" style="184" min="89" max="89"/>
    <col width="20" customWidth="1" style="184" min="90" max="90"/>
    <col width="20" customWidth="1" style="184" min="91" max="91"/>
    <col width="20" customWidth="1" style="184" min="92" max="92"/>
    <col width="20" customWidth="1" style="184" min="93" max="93"/>
    <col width="20" customWidth="1" style="184" min="94" max="94"/>
    <col width="20" customWidth="1" style="184" min="95" max="95"/>
    <col width="20" customWidth="1" style="184" min="96" max="96"/>
    <col width="20" customWidth="1" style="184" min="97" max="97"/>
    <col width="20" customWidth="1" style="184" min="98" max="98"/>
    <col width="20" customWidth="1" style="184" min="99" max="99"/>
    <col width="20" customWidth="1" style="184" min="100" max="100"/>
    <col width="20" customWidth="1" style="184" min="101" max="101"/>
    <col width="20" customWidth="1" style="184" min="102" max="102"/>
    <col width="20" customWidth="1" style="184" min="103" max="103"/>
    <col width="20" customWidth="1" style="184" min="104" max="104"/>
    <col width="20" customWidth="1" style="184" min="105" max="105"/>
    <col width="20" customWidth="1" style="184" min="106" max="106"/>
    <col width="20" customWidth="1" style="184" min="107" max="107"/>
    <col width="20" customWidth="1" style="184" min="108" max="108"/>
    <col width="20" customWidth="1" style="184" min="109" max="109"/>
    <col width="20" customWidth="1" style="184" min="110" max="110"/>
    <col width="20" customWidth="1" style="184" min="111" max="111"/>
    <col width="20" customWidth="1" style="184" min="112" max="112"/>
    <col width="20" customWidth="1" style="184" min="113" max="113"/>
    <col width="20" customWidth="1" style="184" min="114" max="114"/>
    <col width="20" customWidth="1" style="184" min="115" max="115"/>
    <col width="20" customWidth="1" style="184" min="116" max="116"/>
    <col width="20" customWidth="1" style="184" min="117" max="117"/>
    <col width="20" customWidth="1" style="184" min="118" max="118"/>
    <col width="20" customWidth="1" style="184" min="119" max="119"/>
    <col width="20" customWidth="1" style="184" min="120" max="120"/>
    <col width="20" customWidth="1" style="184" min="121" max="121"/>
    <col width="20" customWidth="1" style="184" min="122" max="122"/>
    <col width="20" customWidth="1" style="184" min="123" max="123"/>
    <col width="20" customWidth="1" style="184" min="124" max="124"/>
    <col width="20" customWidth="1" style="184" min="125" max="125"/>
    <col width="20" customWidth="1" style="184" min="126" max="126"/>
    <col width="20" customWidth="1" style="184" min="127" max="127"/>
    <col width="20" customWidth="1" style="184" min="128" max="128"/>
    <col width="20" customWidth="1" style="184" min="129" max="129"/>
    <col width="20" customWidth="1" style="184" min="130" max="130"/>
    <col width="20" customWidth="1" style="184" min="131" max="131"/>
    <col width="20" customWidth="1" style="184" min="132" max="132"/>
    <col width="20" customWidth="1" style="184" min="133" max="133"/>
    <col width="20" customWidth="1" style="184" min="134" max="134"/>
    <col width="20" customWidth="1" style="184" min="135" max="135"/>
    <col width="20" customWidth="1" style="184" min="136" max="136"/>
    <col width="20" customWidth="1" style="184" min="137" max="137"/>
    <col width="20" customWidth="1" style="184" min="138" max="138"/>
    <col width="20" customWidth="1" style="184" min="139" max="139"/>
    <col width="20" customWidth="1" style="184" min="140" max="140"/>
    <col width="20" customWidth="1" style="184" min="141" max="141"/>
    <col width="20" customWidth="1" style="184" min="142" max="142"/>
    <col width="20" customWidth="1" style="184" min="143" max="143"/>
    <col width="20" customWidth="1" style="184" min="144" max="144"/>
    <col width="20" customWidth="1" style="184" min="145" max="145"/>
    <col width="20" customWidth="1" style="184" min="146" max="146"/>
    <col width="20" customWidth="1" style="184" min="147" max="147"/>
    <col width="20" customWidth="1" style="184" min="148" max="148"/>
    <col width="20" customWidth="1" style="184" min="149" max="149"/>
    <col width="20" customWidth="1" style="184" min="150" max="150"/>
    <col width="20" customWidth="1" style="184" min="151" max="151"/>
    <col width="20" customWidth="1" style="184" min="152" max="152"/>
    <col width="20" customWidth="1" style="184" min="153" max="153"/>
    <col width="20" customWidth="1" style="184" min="154" max="154"/>
    <col width="20" customWidth="1" style="184" min="155" max="155"/>
    <col width="20" customWidth="1" style="184" min="156" max="156"/>
    <col width="20" customWidth="1" style="184" min="157" max="157"/>
  </cols>
  <sheetData>
    <row r="1">
      <c r="A1" s="0" t="inlineStr">
        <is>
          <t>ciclo</t>
        </is>
      </c>
      <c r="B1" s="0" t="inlineStr">
        <is>
          <t>empresa</t>
        </is>
      </c>
      <c r="C1" s="0" t="inlineStr">
        <is>
          <t>grupoMercado</t>
        </is>
      </c>
      <c r="D1" s="0" t="inlineStr">
        <is>
          <t>segmento</t>
        </is>
      </c>
      <c r="E1" s="0" t="inlineStr">
        <is>
          <t>molde</t>
        </is>
      </c>
      <c r="F1" s="0" t="inlineStr">
        <is>
          <t>cuero</t>
        </is>
      </c>
      <c r="G1" s="0" t="inlineStr">
        <is>
          <t>accesorios</t>
        </is>
      </c>
      <c r="H1" s="0" t="inlineStr">
        <is>
          <t>hilo</t>
        </is>
      </c>
      <c r="I1" s="0" t="inlineStr">
        <is>
          <t>planeado</t>
        </is>
      </c>
      <c r="J1" s="0" t="inlineStr">
        <is>
          <t>precio</t>
        </is>
      </c>
      <c r="K1" s="0" t="inlineStr">
        <is>
          <t>jefes</t>
        </is>
      </c>
      <c r="L1" s="0" t="inlineStr">
        <is>
          <t>publicidad</t>
        </is>
      </c>
      <c r="M1" s="0" t="inlineStr">
        <is>
          <t>regimen</t>
        </is>
      </c>
      <c r="N1" s="0" t="inlineStr">
        <is>
          <t>seleccion0</t>
        </is>
      </c>
      <c r="O1" s="0" t="inlineStr">
        <is>
          <t>seleccion1</t>
        </is>
      </c>
      <c r="P1" s="0" t="inlineStr">
        <is>
          <t>seleccion2</t>
        </is>
      </c>
      <c r="Q1" s="0" t="inlineStr">
        <is>
          <t>seleccion3</t>
        </is>
      </c>
      <c r="R1" s="0" t="inlineStr">
        <is>
          <t>seleccion4</t>
        </is>
      </c>
      <c r="S1" s="0" t="inlineStr">
        <is>
          <t>seleccion5</t>
        </is>
      </c>
      <c r="T1" s="0" t="inlineStr">
        <is>
          <t>seleccion6</t>
        </is>
      </c>
      <c r="U1" s="0" t="inlineStr">
        <is>
          <t>seleccion7</t>
        </is>
      </c>
      <c r="V1" s="0" t="inlineStr">
        <is>
          <t>seleccion8</t>
        </is>
      </c>
      <c r="W1" s="0" t="inlineStr">
        <is>
          <t>seleccion9</t>
        </is>
      </c>
      <c r="X1" s="0" t="inlineStr">
        <is>
          <t>seleccion10</t>
        </is>
      </c>
      <c r="Y1" s="0" t="inlineStr">
        <is>
          <t>seleccion11</t>
        </is>
      </c>
      <c r="Z1" s="0" t="inlineStr">
        <is>
          <t>seleccion12</t>
        </is>
      </c>
      <c r="AA1" s="0" t="inlineStr">
        <is>
          <t>seleccion13</t>
        </is>
      </c>
      <c r="AB1" s="0" t="inlineStr">
        <is>
          <t>seleccion14</t>
        </is>
      </c>
      <c r="AC1" s="0" t="inlineStr">
        <is>
          <t>seleccion15</t>
        </is>
      </c>
      <c r="AD1" s="0" t="inlineStr">
        <is>
          <t>seleccion16</t>
        </is>
      </c>
      <c r="AE1" s="0" t="inlineStr">
        <is>
          <t>seleccion17</t>
        </is>
      </c>
      <c r="AF1" s="0" t="inlineStr">
        <is>
          <t>puntajeEficiencia</t>
        </is>
      </c>
      <c r="AG1" s="0" t="inlineStr">
        <is>
          <t>reputacionBase</t>
        </is>
      </c>
      <c r="AH1" s="0" t="inlineStr">
        <is>
          <t>saludFinanciera</t>
        </is>
      </c>
      <c r="AI1" s="0" t="inlineStr">
        <is>
          <t>calidad</t>
        </is>
      </c>
      <c r="AJ1" s="0" t="inlineStr">
        <is>
          <t>reputacionCambio</t>
        </is>
      </c>
      <c r="AK1" s="0" t="inlineStr">
        <is>
          <t>precioFactor</t>
        </is>
      </c>
      <c r="AL1" s="0" t="inlineStr">
        <is>
          <t>reputacionMatriz</t>
        </is>
      </c>
      <c r="AM1" s="0" t="inlineStr">
        <is>
          <t>ciclosReputacionBaja</t>
        </is>
      </c>
      <c r="AN1" s="0" t="inlineStr">
        <is>
          <t>factorDemanda</t>
        </is>
      </c>
      <c r="AO1" s="0" t="inlineStr">
        <is>
          <t>tasaAdicionalPP</t>
        </is>
      </c>
      <c r="AP1" s="0" t="inlineStr">
        <is>
          <t>montoPrestamo</t>
        </is>
      </c>
      <c r="AQ1" s="0" t="inlineStr">
        <is>
          <t>teaBase</t>
        </is>
      </c>
      <c r="AR1" s="0" t="inlineStr">
        <is>
          <t>tasaTEA</t>
        </is>
      </c>
      <c r="AS1" s="0" t="inlineStr">
        <is>
          <t>deudaPrincipal</t>
        </is>
      </c>
      <c r="AT1" s="0" t="inlineStr">
        <is>
          <t>penalizacionPendiente</t>
        </is>
      </c>
      <c r="AU1" s="0" t="inlineStr">
        <is>
          <t>factorConsecuencias</t>
        </is>
      </c>
      <c r="AV1" s="0" t="inlineStr">
        <is>
          <t>corte00</t>
        </is>
      </c>
      <c r="AW1" s="0" t="inlineStr">
        <is>
          <t>corte01</t>
        </is>
      </c>
      <c r="AX1" s="0" t="inlineStr">
        <is>
          <t>corte02</t>
        </is>
      </c>
      <c r="AY1" s="0" t="inlineStr">
        <is>
          <t>corte10</t>
        </is>
      </c>
      <c r="AZ1" s="0" t="inlineStr">
        <is>
          <t>corte11</t>
        </is>
      </c>
      <c r="BA1" s="0" t="inlineStr">
        <is>
          <t>corte12</t>
        </is>
      </c>
      <c r="BB1" s="0" t="inlineStr">
        <is>
          <t>corte20</t>
        </is>
      </c>
      <c r="BC1" s="0" t="inlineStr">
        <is>
          <t>corte21</t>
        </is>
      </c>
      <c r="BD1" s="0" t="inlineStr">
        <is>
          <t>corte22</t>
        </is>
      </c>
      <c r="BE1" s="0" t="inlineStr">
        <is>
          <t>capacidad_corte</t>
        </is>
      </c>
      <c r="BF1" s="0" t="inlineStr">
        <is>
          <t>ensamble00</t>
        </is>
      </c>
      <c r="BG1" s="0" t="inlineStr">
        <is>
          <t>ensamble01</t>
        </is>
      </c>
      <c r="BH1" s="0" t="inlineStr">
        <is>
          <t>ensamble02</t>
        </is>
      </c>
      <c r="BI1" s="0" t="inlineStr">
        <is>
          <t>ensamble10</t>
        </is>
      </c>
      <c r="BJ1" s="0" t="inlineStr">
        <is>
          <t>ensamble11</t>
        </is>
      </c>
      <c r="BK1" s="0" t="inlineStr">
        <is>
          <t>ensamble12</t>
        </is>
      </c>
      <c r="BL1" s="0" t="inlineStr">
        <is>
          <t>ensamble20</t>
        </is>
      </c>
      <c r="BM1" s="0" t="inlineStr">
        <is>
          <t>ensamble21</t>
        </is>
      </c>
      <c r="BN1" s="0" t="inlineStr">
        <is>
          <t>ensamble22</t>
        </is>
      </c>
      <c r="BO1" s="0" t="inlineStr">
        <is>
          <t>capacidad_ensamble</t>
        </is>
      </c>
      <c r="BP1" s="0" t="inlineStr">
        <is>
          <t>acabado00</t>
        </is>
      </c>
      <c r="BQ1" s="0" t="inlineStr">
        <is>
          <t>acabado01</t>
        </is>
      </c>
      <c r="BR1" s="0" t="inlineStr">
        <is>
          <t>acabado02</t>
        </is>
      </c>
      <c r="BS1" s="0" t="inlineStr">
        <is>
          <t>acabado10</t>
        </is>
      </c>
      <c r="BT1" s="0" t="inlineStr">
        <is>
          <t>acabado11</t>
        </is>
      </c>
      <c r="BU1" s="0" t="inlineStr">
        <is>
          <t>acabado12</t>
        </is>
      </c>
      <c r="BV1" s="0" t="inlineStr">
        <is>
          <t>acabado20</t>
        </is>
      </c>
      <c r="BW1" s="0" t="inlineStr">
        <is>
          <t>acabado21</t>
        </is>
      </c>
      <c r="BX1" s="0" t="inlineStr">
        <is>
          <t>acabado22</t>
        </is>
      </c>
      <c r="BY1" s="0" t="inlineStr">
        <is>
          <t>capacidad_acabado</t>
        </is>
      </c>
      <c r="BZ1" s="0" t="inlineStr">
        <is>
          <t>trabajadores</t>
        </is>
      </c>
      <c r="CA1" s="0" t="inlineStr">
        <is>
          <t>n3</t>
        </is>
      </c>
      <c r="CB1" s="0" t="inlineStr">
        <is>
          <t>factorEficiencia</t>
        </is>
      </c>
      <c r="CC1" s="0" t="inlineStr">
        <is>
          <t>capacidadDiaria</t>
        </is>
      </c>
      <c r="CD1" s="0" t="inlineStr">
        <is>
          <t>capacidadCiclo</t>
        </is>
      </c>
      <c r="CE1" s="0" t="inlineStr">
        <is>
          <t>produccionCapacidad</t>
        </is>
      </c>
      <c r="CF1" s="0" t="inlineStr">
        <is>
          <t>comprado_INS-01</t>
        </is>
      </c>
      <c r="CG1" s="0" t="inlineStr">
        <is>
          <t>disponible_INS-01</t>
        </is>
      </c>
      <c r="CH1" s="0" t="inlineStr">
        <is>
          <t>comprado_INS-02</t>
        </is>
      </c>
      <c r="CI1" s="0" t="inlineStr">
        <is>
          <t>disponible_INS-02</t>
        </is>
      </c>
      <c r="CJ1" s="0" t="inlineStr">
        <is>
          <t>comprado_INS-03</t>
        </is>
      </c>
      <c r="CK1" s="0" t="inlineStr">
        <is>
          <t>disponible_INS-03</t>
        </is>
      </c>
      <c r="CL1" s="0" t="inlineStr">
        <is>
          <t>comprado_INS-04</t>
        </is>
      </c>
      <c r="CM1" s="0" t="inlineStr">
        <is>
          <t>disponible_INS-04</t>
        </is>
      </c>
      <c r="CN1" s="0" t="inlineStr">
        <is>
          <t>comprado_INS-05</t>
        </is>
      </c>
      <c r="CO1" s="0" t="inlineStr">
        <is>
          <t>disponible_INS-05</t>
        </is>
      </c>
      <c r="CP1" s="0" t="inlineStr">
        <is>
          <t>comprado_INS-06</t>
        </is>
      </c>
      <c r="CQ1" s="0" t="inlineStr">
        <is>
          <t>disponible_INS-06</t>
        </is>
      </c>
      <c r="CR1" s="0" t="inlineStr">
        <is>
          <t>comprado_INS-07</t>
        </is>
      </c>
      <c r="CS1" s="0" t="inlineStr">
        <is>
          <t>disponible_INS-07</t>
        </is>
      </c>
      <c r="CT1" s="0" t="inlineStr">
        <is>
          <t>comprado_INS-08</t>
        </is>
      </c>
      <c r="CU1" s="0" t="inlineStr">
        <is>
          <t>disponible_INS-08</t>
        </is>
      </c>
      <c r="CV1" s="0" t="inlineStr">
        <is>
          <t>limite_cuero</t>
        </is>
      </c>
      <c r="CW1" s="0" t="inlineStr">
        <is>
          <t>limite_accesorios</t>
        </is>
      </c>
      <c r="CX1" s="0" t="inlineStr">
        <is>
          <t>limite_hilo</t>
        </is>
      </c>
      <c r="CY1" s="0" t="inlineStr">
        <is>
          <t>producidoPre</t>
        </is>
      </c>
      <c r="CZ1" s="0" t="inlineStr">
        <is>
          <t>producido</t>
        </is>
      </c>
      <c r="DA1" s="0" t="inlineStr">
        <is>
          <t>consumoCuero</t>
        </is>
      </c>
      <c r="DB1" s="0" t="inlineStr">
        <is>
          <t>usado_INS-01</t>
        </is>
      </c>
      <c r="DC1" s="0" t="inlineStr">
        <is>
          <t>stockMP_INS-01</t>
        </is>
      </c>
      <c r="DD1" s="0" t="inlineStr">
        <is>
          <t>usado_INS-02</t>
        </is>
      </c>
      <c r="DE1" s="0" t="inlineStr">
        <is>
          <t>stockMP_INS-02</t>
        </is>
      </c>
      <c r="DF1" s="0" t="inlineStr">
        <is>
          <t>usado_INS-03</t>
        </is>
      </c>
      <c r="DG1" s="0" t="inlineStr">
        <is>
          <t>stockMP_INS-03</t>
        </is>
      </c>
      <c r="DH1" s="0" t="inlineStr">
        <is>
          <t>consumoAccesorios</t>
        </is>
      </c>
      <c r="DI1" s="0" t="inlineStr">
        <is>
          <t>usado_INS-04</t>
        </is>
      </c>
      <c r="DJ1" s="0" t="inlineStr">
        <is>
          <t>stockMP_INS-04</t>
        </is>
      </c>
      <c r="DK1" s="0" t="inlineStr">
        <is>
          <t>usado_INS-05</t>
        </is>
      </c>
      <c r="DL1" s="0" t="inlineStr">
        <is>
          <t>stockMP_INS-05</t>
        </is>
      </c>
      <c r="DM1" s="0" t="inlineStr">
        <is>
          <t>consumoHilo</t>
        </is>
      </c>
      <c r="DN1" s="0" t="inlineStr">
        <is>
          <t>usado_INS-06</t>
        </is>
      </c>
      <c r="DO1" s="0" t="inlineStr">
        <is>
          <t>stockMP_INS-06</t>
        </is>
      </c>
      <c r="DP1" s="0" t="inlineStr">
        <is>
          <t>usado_INS-07</t>
        </is>
      </c>
      <c r="DQ1" s="0" t="inlineStr">
        <is>
          <t>stockMP_INS-07</t>
        </is>
      </c>
      <c r="DR1" s="0" t="inlineStr">
        <is>
          <t>usado_INS-08</t>
        </is>
      </c>
      <c r="DS1" s="0" t="inlineStr">
        <is>
          <t>stockMP_INS-08</t>
        </is>
      </c>
      <c r="DT1" s="0" t="inlineStr">
        <is>
          <t>costoMO</t>
        </is>
      </c>
      <c r="DU1" s="0" t="inlineStr">
        <is>
          <t>costoMP</t>
        </is>
      </c>
      <c r="DV1" s="0" t="inlineStr">
        <is>
          <t>mantenimiento</t>
        </is>
      </c>
      <c r="DW1" s="0" t="inlineStr">
        <is>
          <t>depreciacion</t>
        </is>
      </c>
      <c r="DX1" s="0" t="inlineStr">
        <is>
          <t>reputacionOperativa</t>
        </is>
      </c>
      <c r="DY1" s="0" t="inlineStr">
        <is>
          <t>reputacionMercado</t>
        </is>
      </c>
      <c r="DZ1" s="0" t="inlineStr">
        <is>
          <t>stockProductoAntes</t>
        </is>
      </c>
      <c r="EA1" s="0" t="inlineStr">
        <is>
          <t>mercadoReal</t>
        </is>
      </c>
      <c r="EB1" s="0" t="inlineStr">
        <is>
          <t>precioIdeal</t>
        </is>
      </c>
      <c r="EC1" s="0" t="inlineStr">
        <is>
          <t>inventarioProducto</t>
        </is>
      </c>
      <c r="ED1" s="0" t="inlineStr">
        <is>
          <t>puntajePrecio</t>
        </is>
      </c>
      <c r="EE1" s="0" t="inlineStr">
        <is>
          <t>calidadMercado</t>
        </is>
      </c>
      <c r="EF1" s="0" t="inlineStr">
        <is>
          <t>puntajeTotal</t>
        </is>
      </c>
      <c r="EG1" s="0" t="inlineStr">
        <is>
          <t>porcentaje</t>
        </is>
      </c>
      <c r="EH1" s="0" t="inlineStr">
        <is>
          <t>asignado</t>
        </is>
      </c>
      <c r="EI1" s="0" t="inlineStr">
        <is>
          <t>demandaAjustada</t>
        </is>
      </c>
      <c r="EJ1" s="0" t="inlineStr">
        <is>
          <t>vendido</t>
        </is>
      </c>
      <c r="EK1" s="0" t="inlineStr">
        <is>
          <t>ingresos</t>
        </is>
      </c>
      <c r="EL1" s="0" t="inlineStr">
        <is>
          <t>almacenaje</t>
        </is>
      </c>
      <c r="EM1" s="0" t="inlineStr">
        <is>
          <t>horasExtra</t>
        </is>
      </c>
      <c r="EN1" s="0" t="inlineStr">
        <is>
          <t>costoGarantia</t>
        </is>
      </c>
      <c r="EO1" s="0" t="inlineStr">
        <is>
          <t>costoRecurrente</t>
        </is>
      </c>
      <c r="EP1" s="0" t="inlineStr">
        <is>
          <t>costoLeadTime</t>
        </is>
      </c>
      <c r="EQ1" s="0" t="inlineStr">
        <is>
          <t>costoAnalista</t>
        </is>
      </c>
      <c r="ER1" s="0" t="inlineStr">
        <is>
          <t>costosTotales</t>
        </is>
      </c>
      <c r="ES1" s="0" t="inlineStr">
        <is>
          <t>utilidad</t>
        </is>
      </c>
      <c r="ET1" s="0" t="inlineStr">
        <is>
          <t>CONS-01</t>
        </is>
      </c>
      <c r="EU1" s="0" t="inlineStr">
        <is>
          <t>CONS-02</t>
        </is>
      </c>
      <c r="EV1" s="0" t="inlineStr">
        <is>
          <t>CONS-03</t>
        </is>
      </c>
      <c r="EW1" s="0" t="inlineStr">
        <is>
          <t>CONS-04</t>
        </is>
      </c>
      <c r="EX1" s="0" t="inlineStr">
        <is>
          <t>CONS-05</t>
        </is>
      </c>
      <c r="EY1" s="0" t="inlineStr">
        <is>
          <t>CONS-06</t>
        </is>
      </c>
      <c r="EZ1" s="0" t="inlineStr">
        <is>
          <t>CONS-07</t>
        </is>
      </c>
      <c r="FA1" s="0" t="inlineStr">
        <is>
          <t>CONS-08</t>
        </is>
      </c>
      <c r="FB1" t="inlineStr">
        <is>
          <t>capitalInicial</t>
        </is>
      </c>
      <c r="FC1" t="inlineStr">
        <is>
          <t>compraActivos</t>
        </is>
      </c>
      <c r="FD1" t="inlineStr">
        <is>
          <t>adquisicionNeta</t>
        </is>
      </c>
      <c r="FE1" t="inlineStr">
        <is>
          <t>valorCompradoNeto</t>
        </is>
      </c>
      <c r="FF1" t="inlineStr">
        <is>
          <t>valorInventarioNeto</t>
        </is>
      </c>
      <c r="FG1" t="inlineStr">
        <is>
          <t>cajaInicial</t>
        </is>
      </c>
      <c r="FH1" t="inlineStr">
        <is>
          <t>tasaNuevoPrestamo</t>
        </is>
      </c>
      <c r="FI1" t="inlineStr">
        <is>
          <t>interesMensual</t>
        </is>
      </c>
      <c r="FJ1" t="inlineStr">
        <is>
          <t>tasaMensual</t>
        </is>
      </c>
      <c r="FK1" t="inlineStr">
        <is>
          <t>intereses</t>
        </is>
      </c>
      <c r="FL1" t="inlineStr">
        <is>
          <t>pagosOperacion</t>
        </is>
      </c>
      <c r="FM1" t="inlineStr">
        <is>
          <t>cajaFinal</t>
        </is>
      </c>
      <c r="FN1" t="inlineStr">
        <is>
          <t>depreciacionAcumulada</t>
        </is>
      </c>
      <c r="FO1" t="inlineStr">
        <is>
          <t>activosCosto</t>
        </is>
      </c>
      <c r="FP1" t="inlineStr">
        <is>
          <t>activosFijos</t>
        </is>
      </c>
      <c r="FQ1" t="inlineStr">
        <is>
          <t>financial.estadoResultados.ingresos</t>
        </is>
      </c>
      <c r="FR1" t="inlineStr">
        <is>
          <t>financial.estadoResultados.ventasNetas</t>
        </is>
      </c>
      <c r="FS1" t="inlineStr">
        <is>
          <t>financial.estadoResultados.costos</t>
        </is>
      </c>
      <c r="FT1" t="inlineStr">
        <is>
          <t>financial.estadoResultados.utilidad</t>
        </is>
      </c>
      <c r="FU1" t="inlineStr">
        <is>
          <t>financial.estadoResultados.depreciacion</t>
        </is>
      </c>
      <c r="FV1" t="inlineStr">
        <is>
          <t>financial.estadoResultados.intereses</t>
        </is>
      </c>
      <c r="FW1" t="inlineStr">
        <is>
          <t>financial.estadoResultados.costosProduccion</t>
        </is>
      </c>
      <c r="FX1" t="inlineStr">
        <is>
          <t>financial.balanceCaja.cajaInicial</t>
        </is>
      </c>
      <c r="FY1" t="inlineStr">
        <is>
          <t>financial.balanceCaja.entradas</t>
        </is>
      </c>
      <c r="FZ1" t="inlineStr">
        <is>
          <t>financial.balanceCaja.salidas</t>
        </is>
      </c>
      <c r="GA1" t="inlineStr">
        <is>
          <t>financial.balanceCaja.cajaFinal</t>
        </is>
      </c>
      <c r="GB1" t="inlineStr">
        <is>
          <t>financial.flujoCaja.cajaInicial</t>
        </is>
      </c>
      <c r="GC1" t="inlineStr">
        <is>
          <t>financial.flujoCaja.cobrosVentas</t>
        </is>
      </c>
      <c r="GD1" t="inlineStr">
        <is>
          <t>financial.flujoCaja.pagosOperacion</t>
        </is>
      </c>
      <c r="GE1" t="inlineStr">
        <is>
          <t>financial.flujoCaja.compraActivos</t>
        </is>
      </c>
      <c r="GF1" t="inlineStr">
        <is>
          <t>financial.flujoCaja.financiamiento</t>
        </is>
      </c>
      <c r="GG1" t="inlineStr">
        <is>
          <t>financial.flujoCaja.operacion</t>
        </is>
      </c>
      <c r="GH1" t="inlineStr">
        <is>
          <t>financial.flujoCaja.inversion</t>
        </is>
      </c>
      <c r="GI1" t="inlineStr">
        <is>
          <t>financial.flujoCaja.flujoNeto</t>
        </is>
      </c>
      <c r="GJ1" t="inlineStr">
        <is>
          <t>financial.flujoCaja.cajaFinal</t>
        </is>
      </c>
      <c r="GK1" t="inlineStr">
        <is>
          <t>financial.balanceGeneral.efectivo</t>
        </is>
      </c>
      <c r="GL1" t="inlineStr">
        <is>
          <t>financial.balanceGeneral.activosFijos</t>
        </is>
      </c>
      <c r="GM1" t="inlineStr">
        <is>
          <t>financial.balanceGeneral.inventarioMP</t>
        </is>
      </c>
      <c r="GN1" t="inlineStr">
        <is>
          <t>financial.balanceGeneral.activos</t>
        </is>
      </c>
      <c r="GO1" t="inlineStr">
        <is>
          <t>financial.balanceGeneral.deuda</t>
        </is>
      </c>
      <c r="GP1" t="inlineStr">
        <is>
          <t>financial.balanceGeneral.patrimonio</t>
        </is>
      </c>
      <c r="GQ1" t="inlineStr">
        <is>
          <t>financial.balanceGeneral.pasivoPatrimonio</t>
        </is>
      </c>
      <c r="GR1" t="inlineStr">
        <is>
          <t>financial.financiamiento.montoPrestamo</t>
        </is>
      </c>
      <c r="GS1" t="inlineStr">
        <is>
          <t>financial.financiamiento.tasaTEA</t>
        </is>
      </c>
      <c r="GT1" t="inlineStr">
        <is>
          <t>financial.financiamiento.deudaPrincipal</t>
        </is>
      </c>
      <c r="GU1" t="inlineStr">
        <is>
          <t>financial.financiamiento.tasaAdicionalProximoPrestamo</t>
        </is>
      </c>
      <c r="GV1" t="inlineStr">
        <is>
          <t>financial.financiamiento.tasaMensual</t>
        </is>
      </c>
      <c r="GW1" t="inlineStr">
        <is>
          <t>financial.financiamiento.intereses</t>
        </is>
      </c>
    </row>
    <row r="2">
      <c r="A2" s="0" t="n">
        <v>1</v>
      </c>
      <c r="B2" s="0" t="inlineStr">
        <is>
          <t>A</t>
        </is>
      </c>
      <c r="C2" s="0" t="inlineStr">
        <is>
          <t>1|SEG-01</t>
        </is>
      </c>
      <c r="D2" s="0" t="inlineStr">
        <is>
          <t>SEG-01</t>
        </is>
      </c>
      <c r="E2" s="0" t="inlineStr">
        <is>
          <t>INF-08</t>
        </is>
      </c>
      <c r="F2" s="0" t="inlineStr">
        <is>
          <t>INS-01</t>
        </is>
      </c>
      <c r="G2" s="0" t="inlineStr">
        <is>
          <t>INS-04</t>
        </is>
      </c>
      <c r="H2" s="0" t="inlineStr">
        <is>
          <t>INS-06</t>
        </is>
      </c>
      <c r="I2" s="0" t="n">
        <v>200</v>
      </c>
      <c r="J2" s="0" t="n">
        <v>40</v>
      </c>
      <c r="K2" s="0" t="n">
        <v>1</v>
      </c>
      <c r="L2" s="0" t="n">
        <v>0</v>
      </c>
      <c r="M2" s="0" t="inlineStr">
        <is>
          <t>MYPE</t>
        </is>
      </c>
      <c r="N2" s="0" t="inlineStr">
        <is>
          <t>INF-03</t>
        </is>
      </c>
      <c r="O2" s="0" t="inlineStr">
        <is>
          <t>INF-06</t>
        </is>
      </c>
      <c r="P2" s="0" t="inlineStr">
        <is>
          <t>INF-09</t>
        </is>
      </c>
      <c r="Q2" s="0" t="inlineStr">
        <is>
          <t>RH-02</t>
        </is>
      </c>
      <c r="R2" s="0" t="inlineStr">
        <is>
          <t>RH-05</t>
        </is>
      </c>
      <c r="S2" s="0" t="inlineStr">
        <is>
          <t>RH-08</t>
        </is>
      </c>
      <c r="T2" s="0" t="inlineStr">
        <is>
          <t>RH-10A</t>
        </is>
      </c>
      <c r="U2" s="0" t="inlineStr">
        <is>
          <t>COM-01C</t>
        </is>
      </c>
      <c r="V2" s="0" t="inlineStr">
        <is>
          <t>FIN-01B</t>
        </is>
      </c>
      <c r="W2" s="0" t="inlineStr">
        <is>
          <t>COM-06B</t>
        </is>
      </c>
      <c r="X2" s="0" t="inlineStr"/>
      <c r="Y2" s="0" t="inlineStr"/>
      <c r="Z2" s="0" t="inlineStr"/>
      <c r="AA2" s="0" t="inlineStr"/>
      <c r="AB2" s="0" t="inlineStr"/>
      <c r="AC2" s="0" t="inlineStr"/>
      <c r="AD2" s="0" t="inlineStr"/>
      <c r="AE2" s="0" t="inlineStr"/>
      <c r="AF2" s="0">
        <f>IFERROR(INDEX('Catalogo_Numerico_sim3'!$I$2:$I$69,MATCH(N2,'Catalogo_Numerico_sim3'!$A$2:$A$69,0)),0)+IFERROR(INDEX('Catalogo_Numerico_sim3'!$I$2:$I$69,MATCH(O2,'Catalogo_Numerico_sim3'!$A$2:$A$69,0)),0)+IFERROR(INDEX('Catalogo_Numerico_sim3'!$I$2:$I$69,MATCH(P2,'Catalogo_Numerico_sim3'!$A$2:$A$69,0)),0)+IFERROR(INDEX('Catalogo_Numerico_sim3'!$I$2:$I$69,MATCH(Q2,'Catalogo_Numerico_sim3'!$A$2:$A$69,0)),0)+IFERROR(INDEX('Catalogo_Numerico_sim3'!$I$2:$I$69,MATCH(R2,'Catalogo_Numerico_sim3'!$A$2:$A$69,0)),0)+IFERROR(INDEX('Catalogo_Numerico_sim3'!$I$2:$I$69,MATCH(S2,'Catalogo_Numerico_sim3'!$A$2:$A$69,0)),0)+IFERROR(INDEX('Catalogo_Numerico_sim3'!$I$2:$I$69,MATCH(T2,'Catalogo_Numerico_sim3'!$A$2:$A$69,0)),0)+IFERROR(INDEX('Catalogo_Numerico_sim3'!$I$2:$I$69,MATCH(U2,'Catalogo_Numerico_sim3'!$A$2:$A$69,0)),0)+IFERROR(INDEX('Catalogo_Numerico_sim3'!$I$2:$I$69,MATCH(V2,'Catalogo_Numerico_sim3'!$A$2:$A$69,0)),0)+IFERROR(INDEX('Catalogo_Numerico_sim3'!$I$2:$I$69,MATCH(W2,'Catalogo_Numerico_sim3'!$A$2:$A$69,0)),0)</f>
        <v/>
      </c>
      <c r="AG2" s="0">
        <f>IFERROR(INDEX('Catalogo_Numerico_sim3'!$J$2:$J$69,MATCH(N2,'Catalogo_Numerico_sim3'!$A$2:$A$69,0)),0)+IFERROR(INDEX('Catalogo_Numerico_sim3'!$J$2:$J$69,MATCH(O2,'Catalogo_Numerico_sim3'!$A$2:$A$69,0)),0)+IFERROR(INDEX('Catalogo_Numerico_sim3'!$J$2:$J$69,MATCH(P2,'Catalogo_Numerico_sim3'!$A$2:$A$69,0)),0)+IFERROR(INDEX('Catalogo_Numerico_sim3'!$J$2:$J$69,MATCH(Q2,'Catalogo_Numerico_sim3'!$A$2:$A$69,0)),0)+IFERROR(INDEX('Catalogo_Numerico_sim3'!$J$2:$J$69,MATCH(R2,'Catalogo_Numerico_sim3'!$A$2:$A$69,0)),0)+IFERROR(INDEX('Catalogo_Numerico_sim3'!$J$2:$J$69,MATCH(S2,'Catalogo_Numerico_sim3'!$A$2:$A$69,0)),0)+IFERROR(INDEX('Catalogo_Numerico_sim3'!$J$2:$J$69,MATCH(T2,'Catalogo_Numerico_sim3'!$A$2:$A$69,0)),0)+IFERROR(INDEX('Catalogo_Numerico_sim3'!$J$2:$J$69,MATCH(U2,'Catalogo_Numerico_sim3'!$A$2:$A$69,0)),0)+IFERROR(INDEX('Catalogo_Numerico_sim3'!$J$2:$J$69,MATCH(V2,'Catalogo_Numerico_sim3'!$A$2:$A$69,0)),0)+IFERROR(INDEX('Catalogo_Numerico_sim3'!$J$2:$J$69,MATCH(W2,'Catalogo_Numerico_sim3'!$A$2:$A$69,0)),0)</f>
        <v/>
      </c>
      <c r="AH2" s="0">
        <f>IFERROR(INDEX('Catalogo_Numerico_sim3'!$K$2:$K$69,MATCH(N2,'Catalogo_Numerico_sim3'!$A$2:$A$69,0)),0)+IFERROR(INDEX('Catalogo_Numerico_sim3'!$K$2:$K$69,MATCH(O2,'Catalogo_Numerico_sim3'!$A$2:$A$69,0)),0)+IFERROR(INDEX('Catalogo_Numerico_sim3'!$K$2:$K$69,MATCH(P2,'Catalogo_Numerico_sim3'!$A$2:$A$69,0)),0)+IFERROR(INDEX('Catalogo_Numerico_sim3'!$K$2:$K$69,MATCH(Q2,'Catalogo_Numerico_sim3'!$A$2:$A$69,0)),0)+IFERROR(INDEX('Catalogo_Numerico_sim3'!$K$2:$K$69,MATCH(R2,'Catalogo_Numerico_sim3'!$A$2:$A$69,0)),0)+IFERROR(INDEX('Catalogo_Numerico_sim3'!$K$2:$K$69,MATCH(S2,'Catalogo_Numerico_sim3'!$A$2:$A$69,0)),0)+IFERROR(INDEX('Catalogo_Numerico_sim3'!$K$2:$K$69,MATCH(T2,'Catalogo_Numerico_sim3'!$A$2:$A$69,0)),0)+IFERROR(INDEX('Catalogo_Numerico_sim3'!$K$2:$K$69,MATCH(U2,'Catalogo_Numerico_sim3'!$A$2:$A$69,0)),0)+IFERROR(INDEX('Catalogo_Numerico_sim3'!$K$2:$K$69,MATCH(V2,'Catalogo_Numerico_sim3'!$A$2:$A$69,0)),0)+IFERROR(INDEX('Catalogo_Numerico_sim3'!$K$2:$K$69,MATCH(W2,'Catalogo_Numerico_sim3'!$A$2:$A$69,0)),0)</f>
        <v/>
      </c>
      <c r="AI2" s="0">
        <f>IFERROR(('Lotes_Pipeline_sim3'!H2*'Lotes_Pipeline_sim3'!J2)/I2,0)</f>
        <v/>
      </c>
      <c r="AJ2" s="0">
        <f>IF(OR(AND('Lotes_Pipeline_sim3'!C2="SEG-03",'Lotes_Pipeline_sim3'!H2&gt;0,'Lotes_Pipeline_sim3'!J2&lt;4)),-2,0)+IF(OR(AND('Lotes_Pipeline_sim3'!C2="SEG-03",'Lotes_Pipeline_sim3'!H2&gt;0,'Lotes_Pipeline_sim3'!J2&gt;=7)),2,0)</f>
        <v/>
      </c>
      <c r="AK2" s="0">
        <f>IF(AND(D2="SEG-03",I2&gt;0),IF(AI2&lt;4,0.65,IF(AI2&gt;=7,1.4,1)),1)</f>
        <v/>
      </c>
      <c r="AL2" s="0">
        <f>AG2+AJ2</f>
        <v/>
      </c>
      <c r="AM2" s="0">
        <f>IF(AL2&lt;3,0+1,0)</f>
        <v/>
      </c>
      <c r="AN2" s="0">
        <f>IF(AM2&gt;=2,0.8,1)</f>
        <v/>
      </c>
      <c r="AO2" s="0">
        <f>IF(AH2&lt;3,3,0)</f>
        <v/>
      </c>
      <c r="AP2" s="0" t="n">
        <v>0</v>
      </c>
      <c r="AQ2" s="0" t="n">
        <v>20</v>
      </c>
      <c r="AR2" s="0">
        <f>AQ2+0</f>
        <v/>
      </c>
      <c r="AS2" s="0">
        <f>0+AP2</f>
        <v/>
      </c>
      <c r="AT2" s="0">
        <f>IF(AP2&gt;0,AO2,MAX(0,AO2))</f>
        <v/>
      </c>
      <c r="AU2" s="0">
        <f>IF(AF2&lt;4,0.7,1)*IF(AND(K2=0,AF2&lt;5),0.95,1)</f>
        <v/>
      </c>
      <c r="AV2" s="0" t="n">
        <v>1</v>
      </c>
      <c r="AW2" s="0" t="n">
        <v>0</v>
      </c>
      <c r="AX2" s="0" t="n">
        <v>0</v>
      </c>
      <c r="AY2" s="0" t="n">
        <v>0</v>
      </c>
      <c r="AZ2" s="0" t="n">
        <v>0</v>
      </c>
      <c r="BA2" s="0" t="n">
        <v>0</v>
      </c>
      <c r="BB2" s="0" t="n">
        <v>0</v>
      </c>
      <c r="BC2" s="0" t="n">
        <v>0</v>
      </c>
      <c r="BD2" s="0" t="n">
        <v>0</v>
      </c>
      <c r="BE2" s="0">
        <f>AV2*5*1+AY2*7*1+BB2*9*1</f>
        <v/>
      </c>
      <c r="BF2" s="0" t="n">
        <v>1</v>
      </c>
      <c r="BG2" s="0" t="n">
        <v>0</v>
      </c>
      <c r="BH2" s="0" t="n">
        <v>0</v>
      </c>
      <c r="BI2" s="0" t="n">
        <v>0</v>
      </c>
      <c r="BJ2" s="0" t="n">
        <v>0</v>
      </c>
      <c r="BK2" s="0" t="n">
        <v>0</v>
      </c>
      <c r="BL2" s="0" t="n">
        <v>0</v>
      </c>
      <c r="BM2" s="0" t="n">
        <v>0</v>
      </c>
      <c r="BN2" s="0" t="n">
        <v>0</v>
      </c>
      <c r="BO2" s="0">
        <f>BF2*6*1+BG2*6*1.2+BH2*6*1.5+BI2*8*1+BJ2*8*1.2+BK2*8*1.5+BL2*12*1+BM2*12*1.2+BN2*12*1.5</f>
        <v/>
      </c>
      <c r="BP2" s="0" t="n">
        <v>1</v>
      </c>
      <c r="BQ2" s="0" t="n">
        <v>0</v>
      </c>
      <c r="BR2" s="0" t="n">
        <v>0</v>
      </c>
      <c r="BS2" s="0" t="n">
        <v>0</v>
      </c>
      <c r="BT2" s="0" t="n">
        <v>0</v>
      </c>
      <c r="BU2" s="0" t="n">
        <v>0</v>
      </c>
      <c r="BV2" s="0" t="n">
        <v>0</v>
      </c>
      <c r="BW2" s="0" t="n">
        <v>0</v>
      </c>
      <c r="BX2" s="0" t="n">
        <v>0</v>
      </c>
      <c r="BY2" s="0">
        <f>BP2*6*1+BQ2*6*1.2+BR2*6*1.5+BS2*7*1+BT2*7*1.2+BU2*7*1.5+BV2*10*1+BW2*10*1.2+BX2*10*1.5</f>
        <v/>
      </c>
      <c r="BZ2" s="0">
        <f>AV2+AY2+BB2+BF2+BG2+BH2+BI2+BJ2+BK2+BL2+BM2+BN2+BP2+BQ2+BR2+BS2+BT2+BU2+BV2+BW2+BX2</f>
        <v/>
      </c>
      <c r="CA2" s="0">
        <f>BB2+BL2+BM2+BN2+BV2+BW2+BX2</f>
        <v/>
      </c>
      <c r="CB2" s="0">
        <f>0.9+(BB2+BL2+BV2)*0.01+K2*0.04</f>
        <v/>
      </c>
      <c r="CC2" s="0">
        <f>MIN(BE2,BO2,BY2)</f>
        <v/>
      </c>
      <c r="CD2" s="0">
        <f>CC2*24*1</f>
        <v/>
      </c>
      <c r="CE2" s="0">
        <f>ROUND(CD2*CB2,0)</f>
        <v/>
      </c>
      <c r="CF2" s="0" t="n">
        <v>300</v>
      </c>
      <c r="CG2" s="0">
        <f>0+CF2</f>
        <v/>
      </c>
      <c r="CH2" s="0" t="n">
        <v>0</v>
      </c>
      <c r="CI2" s="0">
        <f>0+CH2</f>
        <v/>
      </c>
      <c r="CJ2" s="0" t="n">
        <v>0</v>
      </c>
      <c r="CK2" s="0">
        <f>0+CJ2</f>
        <v/>
      </c>
      <c r="CL2" s="0" t="n">
        <v>1000</v>
      </c>
      <c r="CM2" s="0">
        <f>0+CL2</f>
        <v/>
      </c>
      <c r="CN2" s="0" t="n">
        <v>0</v>
      </c>
      <c r="CO2" s="0">
        <f>0+CN2</f>
        <v/>
      </c>
      <c r="CP2" s="0" t="n">
        <v>6000</v>
      </c>
      <c r="CQ2" s="0">
        <f>0+CP2</f>
        <v/>
      </c>
      <c r="CR2" s="0" t="n">
        <v>0</v>
      </c>
      <c r="CS2" s="0">
        <f>0+CR2</f>
        <v/>
      </c>
      <c r="CT2" s="0" t="n">
        <v>0</v>
      </c>
      <c r="CU2" s="0">
        <f>0+CT2</f>
        <v/>
      </c>
      <c r="CV2" s="0">
        <f>(CG2)/0.3</f>
        <v/>
      </c>
      <c r="CW2" s="0">
        <f>(CM2)/1</f>
        <v/>
      </c>
      <c r="CX2" s="0">
        <f>(CQ2)/6</f>
        <v/>
      </c>
      <c r="CY2" s="0">
        <f>ROUNDDOWN(MIN(I2,CE2,CV2,CW2,CX2),0)</f>
        <v/>
      </c>
      <c r="CZ2" s="0">
        <f>'Lotes_Pipeline_sim3'!U2</f>
        <v/>
      </c>
      <c r="DA2" s="0">
        <f>DB2+DD2+DF2</f>
        <v/>
      </c>
      <c r="DB2" s="0">
        <f>'Lotes_Pipeline_sim3'!X2</f>
        <v/>
      </c>
      <c r="DC2" s="0">
        <f>CG2-DB2</f>
        <v/>
      </c>
      <c r="DD2" s="0">
        <f>'Lotes_Pipeline_sim3'!AA2</f>
        <v/>
      </c>
      <c r="DE2" s="0">
        <f>CI2-DD2</f>
        <v/>
      </c>
      <c r="DF2" s="0">
        <f>'Lotes_Pipeline_sim3'!AD2</f>
        <v/>
      </c>
      <c r="DG2" s="0">
        <f>CK2-DF2</f>
        <v/>
      </c>
      <c r="DH2" s="0">
        <f>DI2+DK2</f>
        <v/>
      </c>
      <c r="DI2" s="0">
        <f>'Lotes_Pipeline_sim3'!AG2</f>
        <v/>
      </c>
      <c r="DJ2" s="0">
        <f>CM2-DI2</f>
        <v/>
      </c>
      <c r="DK2" s="0">
        <f>'Lotes_Pipeline_sim3'!AJ2</f>
        <v/>
      </c>
      <c r="DL2" s="0">
        <f>CO2-DK2</f>
        <v/>
      </c>
      <c r="DM2" s="0">
        <f>DN2+DP2+DR2</f>
        <v/>
      </c>
      <c r="DN2" s="0">
        <f>'Lotes_Pipeline_sim3'!AM2</f>
        <v/>
      </c>
      <c r="DO2" s="0">
        <f>CQ2-DN2</f>
        <v/>
      </c>
      <c r="DP2" s="0">
        <f>'Lotes_Pipeline_sim3'!AP2</f>
        <v/>
      </c>
      <c r="DQ2" s="0">
        <f>CS2-DP2</f>
        <v/>
      </c>
      <c r="DR2" s="0">
        <f>'Lotes_Pipeline_sim3'!AS2</f>
        <v/>
      </c>
      <c r="DS2" s="0">
        <f>CU2-DR2</f>
        <v/>
      </c>
      <c r="DT2" s="0">
        <f>((AV2+AW2+AX2)*IF(M2="NO_MYPE",'Costos De Producción'!V11,'Costos De Producción'!U11)+(AY2+AZ2+BA2)*IF(M2="NO_MYPE",'Costos De Producción'!V20,'Costos De Producción'!U20)+(BB2+BC2+BD2)*IF(M2="NO_MYPE",'Costos De Producción'!V29,'Costos De Producción'!U29)+(BF2+BG2+BH2)*IF(M2="NO_MYPE",'Costos De Producción'!Z11,'Costos De Producción'!Y11)+(BI2+BJ2+BK2)*IF(M2="NO_MYPE",'Costos De Producción'!Z20,'Costos De Producción'!Y20)+(BL2+BM2+BN2)*IF(M2="NO_MYPE",'Costos De Producción'!Z29,'Costos De Producción'!Y29)+(BP2+BQ2+BR2)*IF(M2="NO_MYPE",'Costos De Producción'!AD11,'Costos De Producción'!AC11)+(BS2+BT2+BU2)*IF(M2="NO_MYPE",'Costos De Producción'!AD20,'Costos De Producción'!AC20)+(BV2+BW2+BX2)*IF(M2="NO_MYPE",'Costos De Producción'!AD29,'Costos De Producción'!AC29)+K2*IF(M2="NO_MYPE",'Costos De Producción'!V39,'Costos De Producción'!U39)+IF(M2="NO_MYPE",'Costos De Producción'!Z39,'Costos De Producción'!Y39)+'Costos De Producción'!AC33)*1</f>
        <v/>
      </c>
      <c r="DU2" s="0">
        <f>(DB2*25+DD2*45+DF2*80+DI2*4+DK2*9+DN2*2+DP2*4+DR2*7)*0.92</f>
        <v/>
      </c>
      <c r="DV2" s="0">
        <f>1*2500*0.05/12*1+1*3500*0.05/12*1+1*1200*0.05/12*1+1*300*0.05/12*1</f>
        <v/>
      </c>
      <c r="DW2" s="0">
        <f>1*(2375.0/10/12*1)+1*(3325.0/10/12*1)+1*(1140.0/8/12*1)+1*(285.0/5/12*1)</f>
        <v/>
      </c>
      <c r="DX2" s="0">
        <f>IFERROR((0)/CZ2,0)*10+IFERROR(CA2/BZ2,0)*10+(IFERROR(DF2/(DB2+DD2+DF2),0)+IFERROR(DK2/(DI2+DK2),0)+IFERROR(DR2/(DP2+DR2),0))/3*10+L2/10000*10</f>
        <v/>
      </c>
      <c r="DY2" s="0">
        <f>DX2+AJ2</f>
        <v/>
      </c>
      <c r="DZ2" s="0">
        <f>0+CZ2</f>
        <v/>
      </c>
      <c r="EA2" s="0" t="n">
        <v>40</v>
      </c>
      <c r="EB2" s="0" t="n">
        <v>0</v>
      </c>
      <c r="EC2" s="0">
        <f>'Lotes_Pipeline_sim3'!AY2</f>
        <v/>
      </c>
      <c r="ED2" s="0">
        <f>IF(D2="SEG-01",IFERROR(100*(_xlfn.MAXIFS($J$2:$J$13,$C$2:$C$13,C2)-J2)/(_xlfn.MAXIFS($J$2:$J$13,$C$2:$C$13,C2)-_xlfn.MINIFS($J$2:$J$13,$C$2:$C$13,C2)),100),100-ABS(J2-EB2)/EB2*100)</f>
        <v/>
      </c>
      <c r="EE2" s="0">
        <f>ROUND(MIN(100,AI2*10),0)</f>
        <v/>
      </c>
      <c r="EF2" s="0">
        <f>0.7*ED2+0.2*DY2*10+0.1*EE2</f>
        <v/>
      </c>
      <c r="EG2" s="0">
        <f>IFERROR(EF2/SUMIF($C$2:$C$13,C2,$EF$2:$EF$13),0)</f>
        <v/>
      </c>
      <c r="EH2" s="0">
        <f>'Mercados_Pipeline_sim3'!J2</f>
        <v/>
      </c>
      <c r="EI2" s="0">
        <f>'Mercados_Pipeline_sim3'!I2</f>
        <v/>
      </c>
      <c r="EJ2" s="0">
        <f>'Lotes_Pipeline_sim3'!AW2</f>
        <v/>
      </c>
      <c r="EK2" s="0">
        <f>'Lotes_Pipeline_sim3'!AX2</f>
        <v/>
      </c>
      <c r="EL2" s="0">
        <f>EC2*2</f>
        <v/>
      </c>
      <c r="EM2" s="0">
        <f>IF(I2&gt;CE2,0.25*DT2*IFERROR(MIN(1,(I2-CE2)/CE2),1),0)</f>
        <v/>
      </c>
      <c r="EN2" s="0">
        <f>0</f>
        <v/>
      </c>
      <c r="EO2" s="0">
        <f>(IFERROR(INDEX('Catalogo_Numerico_sim3'!$G$2:$G$69,MATCH("COM-01C",'Catalogo_Numerico_sim3'!$A$2:$A$69,0)),0))*1</f>
        <v/>
      </c>
      <c r="EP2" s="0">
        <f>0</f>
        <v/>
      </c>
      <c r="EQ2" s="0" t="n">
        <v>0</v>
      </c>
      <c r="ER2" s="0">
        <f>DT2+DU2+DV2+DW2+L2+EL2+EM2+EN2+EO2+EP2+EQ2</f>
        <v/>
      </c>
      <c r="ES2" s="0">
        <f>EK2-ER2</f>
        <v/>
      </c>
      <c r="ET2" s="0">
        <f>OR(AND('Lotes_Pipeline_sim3'!C2="SEG-03",'Lotes_Pipeline_sim3'!H2&gt;0,'Lotes_Pipeline_sim3'!J2&lt;4))</f>
        <v/>
      </c>
      <c r="EU2" s="0">
        <f>OR(AND('Lotes_Pipeline_sim3'!C2="SEG-03",'Lotes_Pipeline_sim3'!H2&gt;0,'Lotes_Pipeline_sim3'!J2&gt;=7))</f>
        <v/>
      </c>
      <c r="EV2" s="0">
        <f>AF2&lt;4</f>
        <v/>
      </c>
      <c r="EW2" s="0">
        <f>AM2&gt;=2</f>
        <v/>
      </c>
      <c r="EX2" s="0">
        <f>AH2&lt;3</f>
        <v/>
      </c>
      <c r="EY2" s="0">
        <f>I2&gt;CE2</f>
        <v/>
      </c>
      <c r="EZ2" s="0">
        <f>CZ2&gt;EJ2</f>
        <v/>
      </c>
      <c r="FA2" s="0">
        <f>AND(K2=0,AF2&lt;5)</f>
        <v/>
      </c>
      <c r="FB2" t="n">
        <v>1000000</v>
      </c>
      <c r="FC2">
        <f>1*2500*(1+0.03+0.02)+1*3500*(1+0.03+0.02)+1*1200*(1+0.03+0.02)+1*300*(1+0+0.01)</f>
        <v/>
      </c>
      <c r="FD2">
        <f>1*2500+1*3500+1*1200+1*300</f>
        <v/>
      </c>
      <c r="FE2">
        <f>(CF2*25+CH2*45+CJ2*80+CL2*4+CN2*9+CP2*2+CR2*4+CT2*7)*0.92</f>
        <v/>
      </c>
      <c r="FF2">
        <f>(DC2*25+DE2*45+DG2*80+DJ2*4+DL2*9+DO2*2+DQ2*4+DS2*7)*0.92</f>
        <v/>
      </c>
      <c r="FG2">
        <f>FB2</f>
        <v/>
      </c>
      <c r="FH2">
        <f>(1+AR2/100)^(1/12)-1</f>
        <v/>
      </c>
      <c r="FI2">
        <f>0*0+AP2*FH2</f>
        <v/>
      </c>
      <c r="FJ2">
        <f>IFERROR(FI2/(0+AP2),0)</f>
        <v/>
      </c>
      <c r="FK2">
        <f>FI2*1</f>
        <v/>
      </c>
      <c r="FL2">
        <f>ER2-DW2-DU2+FE2+FK2</f>
        <v/>
      </c>
      <c r="FM2">
        <f>FG2+EK2+AP2-FL2-FC2</f>
        <v/>
      </c>
      <c r="FN2">
        <f>0+DW2</f>
        <v/>
      </c>
      <c r="FO2">
        <f>0+FD2</f>
        <v/>
      </c>
      <c r="FP2">
        <f>FO2-FN2</f>
        <v/>
      </c>
      <c r="FQ2">
        <f>EK2</f>
        <v/>
      </c>
      <c r="FR2">
        <f>EK2</f>
        <v/>
      </c>
      <c r="FS2">
        <f>ER2+FK2</f>
        <v/>
      </c>
      <c r="FT2">
        <f>ES2-FK2</f>
        <v/>
      </c>
      <c r="FU2">
        <f>DW2</f>
        <v/>
      </c>
      <c r="FV2">
        <f>FK2</f>
        <v/>
      </c>
      <c r="FW2">
        <f>ER2</f>
        <v/>
      </c>
      <c r="FX2">
        <f>FG2</f>
        <v/>
      </c>
      <c r="FY2">
        <f>EK2+AP2</f>
        <v/>
      </c>
      <c r="FZ2">
        <f>FL2+FC2</f>
        <v/>
      </c>
      <c r="GA2">
        <f>FM2</f>
        <v/>
      </c>
      <c r="GB2">
        <f>FG2</f>
        <v/>
      </c>
      <c r="GC2">
        <f>EK2</f>
        <v/>
      </c>
      <c r="GD2">
        <f>FL2</f>
        <v/>
      </c>
      <c r="GE2">
        <f>FC2</f>
        <v/>
      </c>
      <c r="GF2">
        <f>AP2</f>
        <v/>
      </c>
      <c r="GG2">
        <f>EK2-FL2</f>
        <v/>
      </c>
      <c r="GH2">
        <f>-FC2</f>
        <v/>
      </c>
      <c r="GI2">
        <f>FM2-FG2</f>
        <v/>
      </c>
      <c r="GJ2">
        <f>FM2</f>
        <v/>
      </c>
      <c r="GK2">
        <f>FM2</f>
        <v/>
      </c>
      <c r="GL2">
        <f>FP2</f>
        <v/>
      </c>
      <c r="GM2">
        <f>FF2</f>
        <v/>
      </c>
      <c r="GN2">
        <f>FM2+FP2+FF2</f>
        <v/>
      </c>
      <c r="GO2">
        <f>AS2</f>
        <v/>
      </c>
      <c r="GP2">
        <f>FM2+FP2+FF2-AS2</f>
        <v/>
      </c>
      <c r="GQ2">
        <f>FM2+FP2+FF2</f>
        <v/>
      </c>
      <c r="GR2">
        <f>AP2</f>
        <v/>
      </c>
      <c r="GS2">
        <f>AR2</f>
        <v/>
      </c>
      <c r="GT2">
        <f>AS2</f>
        <v/>
      </c>
      <c r="GU2">
        <f>AT2</f>
        <v/>
      </c>
      <c r="GV2">
        <f>FJ2</f>
        <v/>
      </c>
      <c r="GW2">
        <f>FK2</f>
        <v/>
      </c>
    </row>
    <row r="3">
      <c r="A3" s="0" t="n">
        <v>1</v>
      </c>
      <c r="B3" s="0" t="inlineStr">
        <is>
          <t>B</t>
        </is>
      </c>
      <c r="C3" s="0" t="inlineStr">
        <is>
          <t>1|SEG-02</t>
        </is>
      </c>
      <c r="D3" s="0" t="inlineStr">
        <is>
          <t>SEG-02</t>
        </is>
      </c>
      <c r="E3" s="0" t="inlineStr">
        <is>
          <t>INF-09</t>
        </is>
      </c>
      <c r="F3" s="0" t="inlineStr">
        <is>
          <t>INS-02</t>
        </is>
      </c>
      <c r="G3" s="0" t="inlineStr">
        <is>
          <t>INS-04</t>
        </is>
      </c>
      <c r="H3" s="0" t="inlineStr">
        <is>
          <t>INS-07</t>
        </is>
      </c>
      <c r="I3" s="0" t="n">
        <v>200</v>
      </c>
      <c r="J3" s="0" t="n">
        <v>110</v>
      </c>
      <c r="K3" s="0" t="n">
        <v>1</v>
      </c>
      <c r="L3" s="0" t="n">
        <v>6000</v>
      </c>
      <c r="M3" s="0" t="inlineStr">
        <is>
          <t>MYPE</t>
        </is>
      </c>
      <c r="N3" s="0" t="inlineStr">
        <is>
          <t>INF-03</t>
        </is>
      </c>
      <c r="O3" s="0" t="inlineStr">
        <is>
          <t>INF-06</t>
        </is>
      </c>
      <c r="P3" s="0" t="inlineStr">
        <is>
          <t>INF-09</t>
        </is>
      </c>
      <c r="Q3" s="0" t="inlineStr">
        <is>
          <t>RH-02</t>
        </is>
      </c>
      <c r="R3" s="0" t="inlineStr">
        <is>
          <t>RH-05</t>
        </is>
      </c>
      <c r="S3" s="0" t="inlineStr">
        <is>
          <t>RH-08</t>
        </is>
      </c>
      <c r="T3" s="0" t="inlineStr">
        <is>
          <t>RH-10A</t>
        </is>
      </c>
      <c r="U3" s="0" t="inlineStr">
        <is>
          <t>COM-01C</t>
        </is>
      </c>
      <c r="V3" s="0" t="inlineStr">
        <is>
          <t>FIN-01B</t>
        </is>
      </c>
      <c r="W3" s="0" t="inlineStr">
        <is>
          <t>INV-01B</t>
        </is>
      </c>
      <c r="X3" s="0" t="inlineStr">
        <is>
          <t>COM-06B</t>
        </is>
      </c>
      <c r="Y3" s="0" t="inlineStr">
        <is>
          <t>INV-02B</t>
        </is>
      </c>
      <c r="Z3" s="0" t="inlineStr"/>
      <c r="AA3" s="0" t="inlineStr"/>
      <c r="AB3" s="0" t="inlineStr"/>
      <c r="AC3" s="0" t="inlineStr"/>
      <c r="AD3" s="0" t="inlineStr"/>
      <c r="AE3" s="0" t="inlineStr"/>
      <c r="AF3" s="0">
        <f>IFERROR(INDEX('Catalogo_Numerico_sim3'!$I$2:$I$69,MATCH(N3,'Catalogo_Numerico_sim3'!$A$2:$A$69,0)),0)+IFERROR(INDEX('Catalogo_Numerico_sim3'!$I$2:$I$69,MATCH(O3,'Catalogo_Numerico_sim3'!$A$2:$A$69,0)),0)+IFERROR(INDEX('Catalogo_Numerico_sim3'!$I$2:$I$69,MATCH(P3,'Catalogo_Numerico_sim3'!$A$2:$A$69,0)),0)+IFERROR(INDEX('Catalogo_Numerico_sim3'!$I$2:$I$69,MATCH(Q3,'Catalogo_Numerico_sim3'!$A$2:$A$69,0)),0)+IFERROR(INDEX('Catalogo_Numerico_sim3'!$I$2:$I$69,MATCH(R3,'Catalogo_Numerico_sim3'!$A$2:$A$69,0)),0)+IFERROR(INDEX('Catalogo_Numerico_sim3'!$I$2:$I$69,MATCH(S3,'Catalogo_Numerico_sim3'!$A$2:$A$69,0)),0)+IFERROR(INDEX('Catalogo_Numerico_sim3'!$I$2:$I$69,MATCH(T3,'Catalogo_Numerico_sim3'!$A$2:$A$69,0)),0)+IFERROR(INDEX('Catalogo_Numerico_sim3'!$I$2:$I$69,MATCH(U3,'Catalogo_Numerico_sim3'!$A$2:$A$69,0)),0)+IFERROR(INDEX('Catalogo_Numerico_sim3'!$I$2:$I$69,MATCH(V3,'Catalogo_Numerico_sim3'!$A$2:$A$69,0)),0)+IFERROR(INDEX('Catalogo_Numerico_sim3'!$I$2:$I$69,MATCH(W3,'Catalogo_Numerico_sim3'!$A$2:$A$69,0)),0)+IFERROR(INDEX('Catalogo_Numerico_sim3'!$I$2:$I$69,MATCH(X3,'Catalogo_Numerico_sim3'!$A$2:$A$69,0)),0)+IFERROR(INDEX('Catalogo_Numerico_sim3'!$I$2:$I$69,MATCH(Y3,'Catalogo_Numerico_sim3'!$A$2:$A$69,0)),0)</f>
        <v/>
      </c>
      <c r="AG3" s="0">
        <f>IFERROR(INDEX('Catalogo_Numerico_sim3'!$J$2:$J$69,MATCH(N3,'Catalogo_Numerico_sim3'!$A$2:$A$69,0)),0)+IFERROR(INDEX('Catalogo_Numerico_sim3'!$J$2:$J$69,MATCH(O3,'Catalogo_Numerico_sim3'!$A$2:$A$69,0)),0)+IFERROR(INDEX('Catalogo_Numerico_sim3'!$J$2:$J$69,MATCH(P3,'Catalogo_Numerico_sim3'!$A$2:$A$69,0)),0)+IFERROR(INDEX('Catalogo_Numerico_sim3'!$J$2:$J$69,MATCH(Q3,'Catalogo_Numerico_sim3'!$A$2:$A$69,0)),0)+IFERROR(INDEX('Catalogo_Numerico_sim3'!$J$2:$J$69,MATCH(R3,'Catalogo_Numerico_sim3'!$A$2:$A$69,0)),0)+IFERROR(INDEX('Catalogo_Numerico_sim3'!$J$2:$J$69,MATCH(S3,'Catalogo_Numerico_sim3'!$A$2:$A$69,0)),0)+IFERROR(INDEX('Catalogo_Numerico_sim3'!$J$2:$J$69,MATCH(T3,'Catalogo_Numerico_sim3'!$A$2:$A$69,0)),0)+IFERROR(INDEX('Catalogo_Numerico_sim3'!$J$2:$J$69,MATCH(U3,'Catalogo_Numerico_sim3'!$A$2:$A$69,0)),0)+IFERROR(INDEX('Catalogo_Numerico_sim3'!$J$2:$J$69,MATCH(V3,'Catalogo_Numerico_sim3'!$A$2:$A$69,0)),0)+IFERROR(INDEX('Catalogo_Numerico_sim3'!$J$2:$J$69,MATCH(W3,'Catalogo_Numerico_sim3'!$A$2:$A$69,0)),0)+IFERROR(INDEX('Catalogo_Numerico_sim3'!$J$2:$J$69,MATCH(X3,'Catalogo_Numerico_sim3'!$A$2:$A$69,0)),0)+IFERROR(INDEX('Catalogo_Numerico_sim3'!$J$2:$J$69,MATCH(Y3,'Catalogo_Numerico_sim3'!$A$2:$A$69,0)),0)</f>
        <v/>
      </c>
      <c r="AH3" s="0">
        <f>IFERROR(INDEX('Catalogo_Numerico_sim3'!$K$2:$K$69,MATCH(N3,'Catalogo_Numerico_sim3'!$A$2:$A$69,0)),0)+IFERROR(INDEX('Catalogo_Numerico_sim3'!$K$2:$K$69,MATCH(O3,'Catalogo_Numerico_sim3'!$A$2:$A$69,0)),0)+IFERROR(INDEX('Catalogo_Numerico_sim3'!$K$2:$K$69,MATCH(P3,'Catalogo_Numerico_sim3'!$A$2:$A$69,0)),0)+IFERROR(INDEX('Catalogo_Numerico_sim3'!$K$2:$K$69,MATCH(Q3,'Catalogo_Numerico_sim3'!$A$2:$A$69,0)),0)+IFERROR(INDEX('Catalogo_Numerico_sim3'!$K$2:$K$69,MATCH(R3,'Catalogo_Numerico_sim3'!$A$2:$A$69,0)),0)+IFERROR(INDEX('Catalogo_Numerico_sim3'!$K$2:$K$69,MATCH(S3,'Catalogo_Numerico_sim3'!$A$2:$A$69,0)),0)+IFERROR(INDEX('Catalogo_Numerico_sim3'!$K$2:$K$69,MATCH(T3,'Catalogo_Numerico_sim3'!$A$2:$A$69,0)),0)+IFERROR(INDEX('Catalogo_Numerico_sim3'!$K$2:$K$69,MATCH(U3,'Catalogo_Numerico_sim3'!$A$2:$A$69,0)),0)+IFERROR(INDEX('Catalogo_Numerico_sim3'!$K$2:$K$69,MATCH(V3,'Catalogo_Numerico_sim3'!$A$2:$A$69,0)),0)+IFERROR(INDEX('Catalogo_Numerico_sim3'!$K$2:$K$69,MATCH(W3,'Catalogo_Numerico_sim3'!$A$2:$A$69,0)),0)+IFERROR(INDEX('Catalogo_Numerico_sim3'!$K$2:$K$69,MATCH(X3,'Catalogo_Numerico_sim3'!$A$2:$A$69,0)),0)+IFERROR(INDEX('Catalogo_Numerico_sim3'!$K$2:$K$69,MATCH(Y3,'Catalogo_Numerico_sim3'!$A$2:$A$69,0)),0)</f>
        <v/>
      </c>
      <c r="AI3" s="0">
        <f>IFERROR(('Lotes_Pipeline_sim3'!H3*'Lotes_Pipeline_sim3'!J3)/I3,0)</f>
        <v/>
      </c>
      <c r="AJ3" s="0">
        <f>IF(OR(AND('Lotes_Pipeline_sim3'!C3="SEG-03",'Lotes_Pipeline_sim3'!H3&gt;0,'Lotes_Pipeline_sim3'!J3&lt;4)),-2,0)+IF(OR(AND('Lotes_Pipeline_sim3'!C3="SEG-03",'Lotes_Pipeline_sim3'!H3&gt;0,'Lotes_Pipeline_sim3'!J3&gt;=7)),2,0)</f>
        <v/>
      </c>
      <c r="AK3" s="0">
        <f>IF(AND(D3="SEG-03",I3&gt;0),IF(AI3&lt;4,0.65,IF(AI3&gt;=7,1.4,1)),1)</f>
        <v/>
      </c>
      <c r="AL3" s="0">
        <f>AG3+AJ3</f>
        <v/>
      </c>
      <c r="AM3" s="0">
        <f>IF(AL3&lt;3,0+1,0)</f>
        <v/>
      </c>
      <c r="AN3" s="0">
        <f>IF(AM3&gt;=2,0.8,1)</f>
        <v/>
      </c>
      <c r="AO3" s="0">
        <f>IF(AH3&lt;3,3,0)</f>
        <v/>
      </c>
      <c r="AP3" s="0" t="n">
        <v>0</v>
      </c>
      <c r="AQ3" s="0" t="n">
        <v>20</v>
      </c>
      <c r="AR3" s="0">
        <f>AQ3+0</f>
        <v/>
      </c>
      <c r="AS3" s="0">
        <f>0+AP3</f>
        <v/>
      </c>
      <c r="AT3" s="0">
        <f>IF(AP3&gt;0,AO3,MAX(0,AO3))</f>
        <v/>
      </c>
      <c r="AU3" s="0">
        <f>IF(AF3&lt;4,0.7,1)*IF(AND(K3=0,AF3&lt;5),0.95,1)</f>
        <v/>
      </c>
      <c r="AV3" s="0" t="n">
        <v>1</v>
      </c>
      <c r="AW3" s="0" t="n">
        <v>0</v>
      </c>
      <c r="AX3" s="0" t="n">
        <v>0</v>
      </c>
      <c r="AY3" s="0" t="n">
        <v>0</v>
      </c>
      <c r="AZ3" s="0" t="n">
        <v>0</v>
      </c>
      <c r="BA3" s="0" t="n">
        <v>0</v>
      </c>
      <c r="BB3" s="0" t="n">
        <v>0</v>
      </c>
      <c r="BC3" s="0" t="n">
        <v>0</v>
      </c>
      <c r="BD3" s="0" t="n">
        <v>0</v>
      </c>
      <c r="BE3" s="0">
        <f>AV3*5*1+AY3*7*1+BB3*9*1</f>
        <v/>
      </c>
      <c r="BF3" s="0" t="n">
        <v>1</v>
      </c>
      <c r="BG3" s="0" t="n">
        <v>0</v>
      </c>
      <c r="BH3" s="0" t="n">
        <v>0</v>
      </c>
      <c r="BI3" s="0" t="n">
        <v>0</v>
      </c>
      <c r="BJ3" s="0" t="n">
        <v>0</v>
      </c>
      <c r="BK3" s="0" t="n">
        <v>0</v>
      </c>
      <c r="BL3" s="0" t="n">
        <v>0</v>
      </c>
      <c r="BM3" s="0" t="n">
        <v>0</v>
      </c>
      <c r="BN3" s="0" t="n">
        <v>0</v>
      </c>
      <c r="BO3" s="0">
        <f>BF3*6*1+BG3*6*1.2+BH3*6*1.5+BI3*8*1+BJ3*8*1.2+BK3*8*1.5+BL3*12*1+BM3*12*1.2+BN3*12*1.5</f>
        <v/>
      </c>
      <c r="BP3" s="0" t="n">
        <v>1</v>
      </c>
      <c r="BQ3" s="0" t="n">
        <v>0</v>
      </c>
      <c r="BR3" s="0" t="n">
        <v>0</v>
      </c>
      <c r="BS3" s="0" t="n">
        <v>0</v>
      </c>
      <c r="BT3" s="0" t="n">
        <v>0</v>
      </c>
      <c r="BU3" s="0" t="n">
        <v>0</v>
      </c>
      <c r="BV3" s="0" t="n">
        <v>0</v>
      </c>
      <c r="BW3" s="0" t="n">
        <v>0</v>
      </c>
      <c r="BX3" s="0" t="n">
        <v>0</v>
      </c>
      <c r="BY3" s="0">
        <f>BP3*6*1+BQ3*6*1.2+BR3*6*1.5+BS3*7*1+BT3*7*1.2+BU3*7*1.5+BV3*10*1+BW3*10*1.2+BX3*10*1.5</f>
        <v/>
      </c>
      <c r="BZ3" s="0">
        <f>AV3+AY3+BB3+BF3+BG3+BH3+BI3+BJ3+BK3+BL3+BM3+BN3+BP3+BQ3+BR3+BS3+BT3+BU3+BV3+BW3+BX3</f>
        <v/>
      </c>
      <c r="CA3" s="0">
        <f>BB3+BL3+BM3+BN3+BV3+BW3+BX3</f>
        <v/>
      </c>
      <c r="CB3" s="0">
        <f>0.9+(BB3+BL3+BV3)*0.01+K3*0.04</f>
        <v/>
      </c>
      <c r="CC3" s="0">
        <f>MIN(BE3,BO3,BY3)</f>
        <v/>
      </c>
      <c r="CD3" s="0">
        <f>CC3*24*1.08</f>
        <v/>
      </c>
      <c r="CE3" s="0">
        <f>ROUND(CD3*CB3,0)</f>
        <v/>
      </c>
      <c r="CF3" s="0" t="n">
        <v>0</v>
      </c>
      <c r="CG3" s="0">
        <f>0+CF3</f>
        <v/>
      </c>
      <c r="CH3" s="0" t="n">
        <v>300</v>
      </c>
      <c r="CI3" s="0">
        <f>0+CH3</f>
        <v/>
      </c>
      <c r="CJ3" s="0" t="n">
        <v>0</v>
      </c>
      <c r="CK3" s="0">
        <f>0+CJ3</f>
        <v/>
      </c>
      <c r="CL3" s="0" t="n">
        <v>1000</v>
      </c>
      <c r="CM3" s="0">
        <f>0+CL3</f>
        <v/>
      </c>
      <c r="CN3" s="0" t="n">
        <v>0</v>
      </c>
      <c r="CO3" s="0">
        <f>0+CN3</f>
        <v/>
      </c>
      <c r="CP3" s="0" t="n">
        <v>0</v>
      </c>
      <c r="CQ3" s="0">
        <f>0+CP3</f>
        <v/>
      </c>
      <c r="CR3" s="0" t="n">
        <v>6000</v>
      </c>
      <c r="CS3" s="0">
        <f>0+CR3</f>
        <v/>
      </c>
      <c r="CT3" s="0" t="n">
        <v>0</v>
      </c>
      <c r="CU3" s="0">
        <f>0+CT3</f>
        <v/>
      </c>
      <c r="CV3" s="0">
        <f>(CI3)/0.4</f>
        <v/>
      </c>
      <c r="CW3" s="0">
        <f>(CM3)/1</f>
        <v/>
      </c>
      <c r="CX3" s="0">
        <f>(CS3)/7</f>
        <v/>
      </c>
      <c r="CY3" s="0">
        <f>ROUNDDOWN(MIN(I3,CE3,CV3,CW3,CX3),0)</f>
        <v/>
      </c>
      <c r="CZ3" s="0">
        <f>'Lotes_Pipeline_sim3'!U3</f>
        <v/>
      </c>
      <c r="DA3" s="0">
        <f>DB3+DD3+DF3</f>
        <v/>
      </c>
      <c r="DB3" s="0">
        <f>'Lotes_Pipeline_sim3'!X3</f>
        <v/>
      </c>
      <c r="DC3" s="0">
        <f>CG3-DB3</f>
        <v/>
      </c>
      <c r="DD3" s="0">
        <f>'Lotes_Pipeline_sim3'!AA3</f>
        <v/>
      </c>
      <c r="DE3" s="0">
        <f>CI3-DD3</f>
        <v/>
      </c>
      <c r="DF3" s="0">
        <f>'Lotes_Pipeline_sim3'!AD3</f>
        <v/>
      </c>
      <c r="DG3" s="0">
        <f>CK3-DF3</f>
        <v/>
      </c>
      <c r="DH3" s="0">
        <f>DI3+DK3</f>
        <v/>
      </c>
      <c r="DI3" s="0">
        <f>'Lotes_Pipeline_sim3'!AG3</f>
        <v/>
      </c>
      <c r="DJ3" s="0">
        <f>CM3-DI3</f>
        <v/>
      </c>
      <c r="DK3" s="0">
        <f>'Lotes_Pipeline_sim3'!AJ3</f>
        <v/>
      </c>
      <c r="DL3" s="0">
        <f>CO3-DK3</f>
        <v/>
      </c>
      <c r="DM3" s="0">
        <f>DN3+DP3+DR3</f>
        <v/>
      </c>
      <c r="DN3" s="0">
        <f>'Lotes_Pipeline_sim3'!AM3</f>
        <v/>
      </c>
      <c r="DO3" s="0">
        <f>CQ3-DN3</f>
        <v/>
      </c>
      <c r="DP3" s="0">
        <f>'Lotes_Pipeline_sim3'!AP3</f>
        <v/>
      </c>
      <c r="DQ3" s="0">
        <f>CS3-DP3</f>
        <v/>
      </c>
      <c r="DR3" s="0">
        <f>'Lotes_Pipeline_sim3'!AS3</f>
        <v/>
      </c>
      <c r="DS3" s="0">
        <f>CU3-DR3</f>
        <v/>
      </c>
      <c r="DT3" s="0">
        <f>((AV3+AW3+AX3)*IF(M3="NO_MYPE",'Costos De Producción'!V11,'Costos De Producción'!U11)+(AY3+AZ3+BA3)*IF(M3="NO_MYPE",'Costos De Producción'!V20,'Costos De Producción'!U20)+(BB3+BC3+BD3)*IF(M3="NO_MYPE",'Costos De Producción'!V29,'Costos De Producción'!U29)+(BF3+BG3+BH3)*IF(M3="NO_MYPE",'Costos De Producción'!Z11,'Costos De Producción'!Y11)+(BI3+BJ3+BK3)*IF(M3="NO_MYPE",'Costos De Producción'!Z20,'Costos De Producción'!Y20)+(BL3+BM3+BN3)*IF(M3="NO_MYPE",'Costos De Producción'!Z29,'Costos De Producción'!Y29)+(BP3+BQ3+BR3)*IF(M3="NO_MYPE",'Costos De Producción'!AD11,'Costos De Producción'!AC11)+(BS3+BT3+BU3)*IF(M3="NO_MYPE",'Costos De Producción'!AD20,'Costos De Producción'!AC20)+(BV3+BW3+BX3)*IF(M3="NO_MYPE",'Costos De Producción'!AD29,'Costos De Producción'!AC29)+K3*IF(M3="NO_MYPE",'Costos De Producción'!V39,'Costos De Producción'!U39)+IF(M3="NO_MYPE",'Costos De Producción'!Z39,'Costos De Producción'!Y39)+'Costos De Producción'!AC33)*1</f>
        <v/>
      </c>
      <c r="DU3" s="0">
        <f>(DB3*25+DD3*45+DF3*80+DI3*4+DK3*9+DN3*2+DP3*4+DR3*7)*0.92</f>
        <v/>
      </c>
      <c r="DV3" s="0">
        <f>1*2500*0.05/12*1+1*3500*0.05/12*1+1*1200*0.05/12*1+1*300*0.05/12*1</f>
        <v/>
      </c>
      <c r="DW3" s="0">
        <f>1*(2375.0/10/12*1)+1*(3325.0/10/12*1)+1*(1140.0/8/12*1)+1*(285.0/5/12*1)</f>
        <v/>
      </c>
      <c r="DX3" s="0">
        <f>IFERROR((0)/CZ3,0)*10+IFERROR(CA3/BZ3,0)*10+(IFERROR(DF3/(DB3+DD3+DF3),0)+IFERROR(DK3/(DI3+DK3),0)+IFERROR(DR3/(DP3+DR3),0))/3*10+L3/10000*10</f>
        <v/>
      </c>
      <c r="DY3" s="0">
        <f>DX3+AJ3</f>
        <v/>
      </c>
      <c r="DZ3" s="0">
        <f>0+CZ3</f>
        <v/>
      </c>
      <c r="EA3" s="0" t="n">
        <v>40</v>
      </c>
      <c r="EB3" s="0" t="n">
        <v>100</v>
      </c>
      <c r="EC3" s="0">
        <f>'Lotes_Pipeline_sim3'!AY3</f>
        <v/>
      </c>
      <c r="ED3" s="0">
        <f>IF(D3="SEG-01",IFERROR(100*(_xlfn.MAXIFS($J$2:$J$13,$C$2:$C$13,C3)-J3)/(_xlfn.MAXIFS($J$2:$J$13,$C$2:$C$13,C3)-_xlfn.MINIFS($J$2:$J$13,$C$2:$C$13,C3)),100),100-ABS(J3-EB3)/EB3*100)</f>
        <v/>
      </c>
      <c r="EE3" s="0">
        <f>ROUND(MIN(100,AI3*10),0)</f>
        <v/>
      </c>
      <c r="EF3" s="0">
        <f>0.4*ED3+0.35*DY3*10+0.25*EE3</f>
        <v/>
      </c>
      <c r="EG3" s="0">
        <f>IFERROR(EF3/SUMIF($C$2:$C$13,C3,$EF$2:$EF$13),0)</f>
        <v/>
      </c>
      <c r="EH3" s="0">
        <f>'Mercados_Pipeline_sim3'!J3</f>
        <v/>
      </c>
      <c r="EI3" s="0">
        <f>'Mercados_Pipeline_sim3'!I3</f>
        <v/>
      </c>
      <c r="EJ3" s="0">
        <f>'Lotes_Pipeline_sim3'!AW3</f>
        <v/>
      </c>
      <c r="EK3" s="0">
        <f>'Lotes_Pipeline_sim3'!AX3</f>
        <v/>
      </c>
      <c r="EL3" s="0">
        <f>EC3*2</f>
        <v/>
      </c>
      <c r="EM3" s="0">
        <f>IF(I3&gt;CE3,0.25*DT3*IFERROR(MIN(1,(I3-CE3)/CE3),1),0)</f>
        <v/>
      </c>
      <c r="EN3" s="0">
        <f>0</f>
        <v/>
      </c>
      <c r="EO3" s="0">
        <f>(IFERROR(INDEX('Catalogo_Numerico_sim3'!$G$2:$G$69,MATCH("COM-01C",'Catalogo_Numerico_sim3'!$A$2:$A$69,0)),0)+IFERROR(INDEX('Catalogo_Numerico_sim3'!$G$2:$G$69,MATCH("INV-01B",'Catalogo_Numerico_sim3'!$A$2:$A$69,0)),0))*1</f>
        <v/>
      </c>
      <c r="EP3" s="0">
        <f>0</f>
        <v/>
      </c>
      <c r="EQ3" s="0" t="n">
        <v>0</v>
      </c>
      <c r="ER3" s="0">
        <f>DT3+DU3+DV3+DW3+L3+EL3+EM3+EN3+EO3+EP3+EQ3</f>
        <v/>
      </c>
      <c r="ES3" s="0">
        <f>EK3-ER3</f>
        <v/>
      </c>
      <c r="ET3" s="0">
        <f>OR(AND('Lotes_Pipeline_sim3'!C3="SEG-03",'Lotes_Pipeline_sim3'!H3&gt;0,'Lotes_Pipeline_sim3'!J3&lt;4))</f>
        <v/>
      </c>
      <c r="EU3" s="0">
        <f>OR(AND('Lotes_Pipeline_sim3'!C3="SEG-03",'Lotes_Pipeline_sim3'!H3&gt;0,'Lotes_Pipeline_sim3'!J3&gt;=7))</f>
        <v/>
      </c>
      <c r="EV3" s="0">
        <f>AF3&lt;4</f>
        <v/>
      </c>
      <c r="EW3" s="0">
        <f>AM3&gt;=2</f>
        <v/>
      </c>
      <c r="EX3" s="0">
        <f>AH3&lt;3</f>
        <v/>
      </c>
      <c r="EY3" s="0">
        <f>I3&gt;CE3</f>
        <v/>
      </c>
      <c r="EZ3" s="0">
        <f>CZ3&gt;EJ3</f>
        <v/>
      </c>
      <c r="FA3" s="0">
        <f>AND(K3=0,AF3&lt;5)</f>
        <v/>
      </c>
      <c r="FB3" t="n">
        <v>1000000</v>
      </c>
      <c r="FC3">
        <f>1*2500*(1+0.03+0.02)+1*3500*(1+0.03+0.02)+1*1200*(1+0.03+0.02)+1*300*(1+0+0.01)</f>
        <v/>
      </c>
      <c r="FD3">
        <f>1*2500+1*3500+1*1200+1*300</f>
        <v/>
      </c>
      <c r="FE3">
        <f>(CF3*25+CH3*45+CJ3*80+CL3*4+CN3*9+CP3*2+CR3*4+CT3*7)*0.92</f>
        <v/>
      </c>
      <c r="FF3">
        <f>(DC3*25+DE3*45+DG3*80+DJ3*4+DL3*9+DO3*2+DQ3*4+DS3*7)*0.92</f>
        <v/>
      </c>
      <c r="FG3">
        <f>FB3</f>
        <v/>
      </c>
      <c r="FH3">
        <f>(1+AR3/100)^(1/12)-1</f>
        <v/>
      </c>
      <c r="FI3">
        <f>0*0+AP3*FH3</f>
        <v/>
      </c>
      <c r="FJ3">
        <f>IFERROR(FI3/(0+AP3),0)</f>
        <v/>
      </c>
      <c r="FK3">
        <f>FI3*1</f>
        <v/>
      </c>
      <c r="FL3">
        <f>ER3-DW3-DU3+FE3+FK3</f>
        <v/>
      </c>
      <c r="FM3">
        <f>FG3+EK3+AP3-FL3-FC3</f>
        <v/>
      </c>
      <c r="FN3">
        <f>0+DW3</f>
        <v/>
      </c>
      <c r="FO3">
        <f>0+FD3</f>
        <v/>
      </c>
      <c r="FP3">
        <f>FO3-FN3</f>
        <v/>
      </c>
      <c r="FQ3">
        <f>EK3</f>
        <v/>
      </c>
      <c r="FR3">
        <f>EK3</f>
        <v/>
      </c>
      <c r="FS3">
        <f>ER3+FK3</f>
        <v/>
      </c>
      <c r="FT3">
        <f>ES3-FK3</f>
        <v/>
      </c>
      <c r="FU3">
        <f>DW3</f>
        <v/>
      </c>
      <c r="FV3">
        <f>FK3</f>
        <v/>
      </c>
      <c r="FW3">
        <f>ER3</f>
        <v/>
      </c>
      <c r="FX3">
        <f>FG3</f>
        <v/>
      </c>
      <c r="FY3">
        <f>EK3+AP3</f>
        <v/>
      </c>
      <c r="FZ3">
        <f>FL3+FC3</f>
        <v/>
      </c>
      <c r="GA3">
        <f>FM3</f>
        <v/>
      </c>
      <c r="GB3">
        <f>FG3</f>
        <v/>
      </c>
      <c r="GC3">
        <f>EK3</f>
        <v/>
      </c>
      <c r="GD3">
        <f>FL3</f>
        <v/>
      </c>
      <c r="GE3">
        <f>FC3</f>
        <v/>
      </c>
      <c r="GF3">
        <f>AP3</f>
        <v/>
      </c>
      <c r="GG3">
        <f>EK3-FL3</f>
        <v/>
      </c>
      <c r="GH3">
        <f>-FC3</f>
        <v/>
      </c>
      <c r="GI3">
        <f>FM3-FG3</f>
        <v/>
      </c>
      <c r="GJ3">
        <f>FM3</f>
        <v/>
      </c>
      <c r="GK3">
        <f>FM3</f>
        <v/>
      </c>
      <c r="GL3">
        <f>FP3</f>
        <v/>
      </c>
      <c r="GM3">
        <f>FF3</f>
        <v/>
      </c>
      <c r="GN3">
        <f>FM3+FP3+FF3</f>
        <v/>
      </c>
      <c r="GO3">
        <f>AS3</f>
        <v/>
      </c>
      <c r="GP3">
        <f>FM3+FP3+FF3-AS3</f>
        <v/>
      </c>
      <c r="GQ3">
        <f>FM3+FP3+FF3</f>
        <v/>
      </c>
      <c r="GR3">
        <f>AP3</f>
        <v/>
      </c>
      <c r="GS3">
        <f>AR3</f>
        <v/>
      </c>
      <c r="GT3">
        <f>AS3</f>
        <v/>
      </c>
      <c r="GU3">
        <f>AT3</f>
        <v/>
      </c>
      <c r="GV3">
        <f>FJ3</f>
        <v/>
      </c>
      <c r="GW3">
        <f>FK3</f>
        <v/>
      </c>
    </row>
    <row r="4">
      <c r="A4" s="0" t="n">
        <v>1</v>
      </c>
      <c r="B4" s="0" t="inlineStr">
        <is>
          <t>C</t>
        </is>
      </c>
      <c r="C4" s="0" t="inlineStr">
        <is>
          <t>1|SEG-03</t>
        </is>
      </c>
      <c r="D4" s="0" t="inlineStr">
        <is>
          <t>SEG-03</t>
        </is>
      </c>
      <c r="E4" s="0" t="inlineStr">
        <is>
          <t>INF-10</t>
        </is>
      </c>
      <c r="F4" s="0" t="inlineStr">
        <is>
          <t>INS-03</t>
        </is>
      </c>
      <c r="G4" s="0" t="inlineStr">
        <is>
          <t>INS-05</t>
        </is>
      </c>
      <c r="H4" s="0" t="inlineStr">
        <is>
          <t>INS-08</t>
        </is>
      </c>
      <c r="I4" s="0" t="n">
        <v>200</v>
      </c>
      <c r="J4" s="0" t="n">
        <v>260</v>
      </c>
      <c r="K4" s="0" t="n">
        <v>1</v>
      </c>
      <c r="L4" s="0" t="n">
        <v>6000</v>
      </c>
      <c r="M4" s="0" t="inlineStr">
        <is>
          <t>NO_MYPE</t>
        </is>
      </c>
      <c r="N4" s="0" t="inlineStr">
        <is>
          <t>INF-03</t>
        </is>
      </c>
      <c r="O4" s="0" t="inlineStr">
        <is>
          <t>INF-06</t>
        </is>
      </c>
      <c r="P4" s="0" t="inlineStr">
        <is>
          <t>INF-09</t>
        </is>
      </c>
      <c r="Q4" s="0" t="inlineStr">
        <is>
          <t>RH-02</t>
        </is>
      </c>
      <c r="R4" s="0" t="inlineStr">
        <is>
          <t>RH-05</t>
        </is>
      </c>
      <c r="S4" s="0" t="inlineStr">
        <is>
          <t>RH-08</t>
        </is>
      </c>
      <c r="T4" s="0" t="inlineStr">
        <is>
          <t>RH-10A</t>
        </is>
      </c>
      <c r="U4" s="0" t="inlineStr">
        <is>
          <t>COM-01C</t>
        </is>
      </c>
      <c r="V4" s="0" t="inlineStr">
        <is>
          <t>FIN-01B</t>
        </is>
      </c>
      <c r="W4" s="0" t="inlineStr">
        <is>
          <t>INV-01B</t>
        </is>
      </c>
      <c r="X4" s="0" t="inlineStr">
        <is>
          <t>COM-06C</t>
        </is>
      </c>
      <c r="Y4" s="0" t="inlineStr">
        <is>
          <t>INV-02B</t>
        </is>
      </c>
      <c r="Z4" s="0" t="inlineStr"/>
      <c r="AA4" s="0" t="inlineStr"/>
      <c r="AB4" s="0" t="inlineStr"/>
      <c r="AC4" s="0" t="inlineStr"/>
      <c r="AD4" s="0" t="inlineStr"/>
      <c r="AE4" s="0" t="inlineStr"/>
      <c r="AF4" s="0">
        <f>IFERROR(INDEX('Catalogo_Numerico_sim3'!$I$2:$I$69,MATCH(N4,'Catalogo_Numerico_sim3'!$A$2:$A$69,0)),0)+IFERROR(INDEX('Catalogo_Numerico_sim3'!$I$2:$I$69,MATCH(O4,'Catalogo_Numerico_sim3'!$A$2:$A$69,0)),0)+IFERROR(INDEX('Catalogo_Numerico_sim3'!$I$2:$I$69,MATCH(P4,'Catalogo_Numerico_sim3'!$A$2:$A$69,0)),0)+IFERROR(INDEX('Catalogo_Numerico_sim3'!$I$2:$I$69,MATCH(Q4,'Catalogo_Numerico_sim3'!$A$2:$A$69,0)),0)+IFERROR(INDEX('Catalogo_Numerico_sim3'!$I$2:$I$69,MATCH(R4,'Catalogo_Numerico_sim3'!$A$2:$A$69,0)),0)+IFERROR(INDEX('Catalogo_Numerico_sim3'!$I$2:$I$69,MATCH(S4,'Catalogo_Numerico_sim3'!$A$2:$A$69,0)),0)+IFERROR(INDEX('Catalogo_Numerico_sim3'!$I$2:$I$69,MATCH(T4,'Catalogo_Numerico_sim3'!$A$2:$A$69,0)),0)+IFERROR(INDEX('Catalogo_Numerico_sim3'!$I$2:$I$69,MATCH(U4,'Catalogo_Numerico_sim3'!$A$2:$A$69,0)),0)+IFERROR(INDEX('Catalogo_Numerico_sim3'!$I$2:$I$69,MATCH(V4,'Catalogo_Numerico_sim3'!$A$2:$A$69,0)),0)+IFERROR(INDEX('Catalogo_Numerico_sim3'!$I$2:$I$69,MATCH(W4,'Catalogo_Numerico_sim3'!$A$2:$A$69,0)),0)+IFERROR(INDEX('Catalogo_Numerico_sim3'!$I$2:$I$69,MATCH(X4,'Catalogo_Numerico_sim3'!$A$2:$A$69,0)),0)+IFERROR(INDEX('Catalogo_Numerico_sim3'!$I$2:$I$69,MATCH(Y4,'Catalogo_Numerico_sim3'!$A$2:$A$69,0)),0)</f>
        <v/>
      </c>
      <c r="AG4" s="0">
        <f>IFERROR(INDEX('Catalogo_Numerico_sim3'!$J$2:$J$69,MATCH(N4,'Catalogo_Numerico_sim3'!$A$2:$A$69,0)),0)+IFERROR(INDEX('Catalogo_Numerico_sim3'!$J$2:$J$69,MATCH(O4,'Catalogo_Numerico_sim3'!$A$2:$A$69,0)),0)+IFERROR(INDEX('Catalogo_Numerico_sim3'!$J$2:$J$69,MATCH(P4,'Catalogo_Numerico_sim3'!$A$2:$A$69,0)),0)+IFERROR(INDEX('Catalogo_Numerico_sim3'!$J$2:$J$69,MATCH(Q4,'Catalogo_Numerico_sim3'!$A$2:$A$69,0)),0)+IFERROR(INDEX('Catalogo_Numerico_sim3'!$J$2:$J$69,MATCH(R4,'Catalogo_Numerico_sim3'!$A$2:$A$69,0)),0)+IFERROR(INDEX('Catalogo_Numerico_sim3'!$J$2:$J$69,MATCH(S4,'Catalogo_Numerico_sim3'!$A$2:$A$69,0)),0)+IFERROR(INDEX('Catalogo_Numerico_sim3'!$J$2:$J$69,MATCH(T4,'Catalogo_Numerico_sim3'!$A$2:$A$69,0)),0)+IFERROR(INDEX('Catalogo_Numerico_sim3'!$J$2:$J$69,MATCH(U4,'Catalogo_Numerico_sim3'!$A$2:$A$69,0)),0)+IFERROR(INDEX('Catalogo_Numerico_sim3'!$J$2:$J$69,MATCH(V4,'Catalogo_Numerico_sim3'!$A$2:$A$69,0)),0)+IFERROR(INDEX('Catalogo_Numerico_sim3'!$J$2:$J$69,MATCH(W4,'Catalogo_Numerico_sim3'!$A$2:$A$69,0)),0)+IFERROR(INDEX('Catalogo_Numerico_sim3'!$J$2:$J$69,MATCH(X4,'Catalogo_Numerico_sim3'!$A$2:$A$69,0)),0)+IFERROR(INDEX('Catalogo_Numerico_sim3'!$J$2:$J$69,MATCH(Y4,'Catalogo_Numerico_sim3'!$A$2:$A$69,0)),0)</f>
        <v/>
      </c>
      <c r="AH4" s="0">
        <f>IFERROR(INDEX('Catalogo_Numerico_sim3'!$K$2:$K$69,MATCH(N4,'Catalogo_Numerico_sim3'!$A$2:$A$69,0)),0)+IFERROR(INDEX('Catalogo_Numerico_sim3'!$K$2:$K$69,MATCH(O4,'Catalogo_Numerico_sim3'!$A$2:$A$69,0)),0)+IFERROR(INDEX('Catalogo_Numerico_sim3'!$K$2:$K$69,MATCH(P4,'Catalogo_Numerico_sim3'!$A$2:$A$69,0)),0)+IFERROR(INDEX('Catalogo_Numerico_sim3'!$K$2:$K$69,MATCH(Q4,'Catalogo_Numerico_sim3'!$A$2:$A$69,0)),0)+IFERROR(INDEX('Catalogo_Numerico_sim3'!$K$2:$K$69,MATCH(R4,'Catalogo_Numerico_sim3'!$A$2:$A$69,0)),0)+IFERROR(INDEX('Catalogo_Numerico_sim3'!$K$2:$K$69,MATCH(S4,'Catalogo_Numerico_sim3'!$A$2:$A$69,0)),0)+IFERROR(INDEX('Catalogo_Numerico_sim3'!$K$2:$K$69,MATCH(T4,'Catalogo_Numerico_sim3'!$A$2:$A$69,0)),0)+IFERROR(INDEX('Catalogo_Numerico_sim3'!$K$2:$K$69,MATCH(U4,'Catalogo_Numerico_sim3'!$A$2:$A$69,0)),0)+IFERROR(INDEX('Catalogo_Numerico_sim3'!$K$2:$K$69,MATCH(V4,'Catalogo_Numerico_sim3'!$A$2:$A$69,0)),0)+IFERROR(INDEX('Catalogo_Numerico_sim3'!$K$2:$K$69,MATCH(W4,'Catalogo_Numerico_sim3'!$A$2:$A$69,0)),0)+IFERROR(INDEX('Catalogo_Numerico_sim3'!$K$2:$K$69,MATCH(X4,'Catalogo_Numerico_sim3'!$A$2:$A$69,0)),0)+IFERROR(INDEX('Catalogo_Numerico_sim3'!$K$2:$K$69,MATCH(Y4,'Catalogo_Numerico_sim3'!$A$2:$A$69,0)),0)</f>
        <v/>
      </c>
      <c r="AI4" s="0">
        <f>IFERROR(('Lotes_Pipeline_sim3'!H4*'Lotes_Pipeline_sim3'!J4)/I4,0)</f>
        <v/>
      </c>
      <c r="AJ4" s="0">
        <f>IF(OR(AND('Lotes_Pipeline_sim3'!C4="SEG-03",'Lotes_Pipeline_sim3'!H4&gt;0,'Lotes_Pipeline_sim3'!J4&lt;4)),-2,0)+IF(OR(AND('Lotes_Pipeline_sim3'!C4="SEG-03",'Lotes_Pipeline_sim3'!H4&gt;0,'Lotes_Pipeline_sim3'!J4&gt;=7)),2,0)</f>
        <v/>
      </c>
      <c r="AK4" s="0">
        <f>IF(AND(D4="SEG-03",I4&gt;0),IF(AI4&lt;4,0.65,IF(AI4&gt;=7,1.4,1)),1)</f>
        <v/>
      </c>
      <c r="AL4" s="0">
        <f>AG4+AJ4</f>
        <v/>
      </c>
      <c r="AM4" s="0">
        <f>IF(AL4&lt;3,0+1,0)</f>
        <v/>
      </c>
      <c r="AN4" s="0">
        <f>IF(AM4&gt;=2,0.8,1)</f>
        <v/>
      </c>
      <c r="AO4" s="0">
        <f>IF(AH4&lt;3,3,0)</f>
        <v/>
      </c>
      <c r="AP4" s="0" t="n">
        <v>0</v>
      </c>
      <c r="AQ4" s="0" t="n">
        <v>20</v>
      </c>
      <c r="AR4" s="0">
        <f>AQ4+0</f>
        <v/>
      </c>
      <c r="AS4" s="0">
        <f>0+AP4</f>
        <v/>
      </c>
      <c r="AT4" s="0">
        <f>IF(AP4&gt;0,AO4,MAX(0,AO4))</f>
        <v/>
      </c>
      <c r="AU4" s="0">
        <f>IF(AF4&lt;4,0.7,1)*IF(AND(K4=0,AF4&lt;5),0.95,1)</f>
        <v/>
      </c>
      <c r="AV4" s="0" t="n">
        <v>1</v>
      </c>
      <c r="AW4" s="0" t="n">
        <v>0</v>
      </c>
      <c r="AX4" s="0" t="n">
        <v>0</v>
      </c>
      <c r="AY4" s="0" t="n">
        <v>0</v>
      </c>
      <c r="AZ4" s="0" t="n">
        <v>0</v>
      </c>
      <c r="BA4" s="0" t="n">
        <v>0</v>
      </c>
      <c r="BB4" s="0" t="n">
        <v>0</v>
      </c>
      <c r="BC4" s="0" t="n">
        <v>0</v>
      </c>
      <c r="BD4" s="0" t="n">
        <v>0</v>
      </c>
      <c r="BE4" s="0">
        <f>AV4*5*1+AY4*7*1+BB4*9*1</f>
        <v/>
      </c>
      <c r="BF4" s="0" t="n">
        <v>1</v>
      </c>
      <c r="BG4" s="0" t="n">
        <v>0</v>
      </c>
      <c r="BH4" s="0" t="n">
        <v>0</v>
      </c>
      <c r="BI4" s="0" t="n">
        <v>0</v>
      </c>
      <c r="BJ4" s="0" t="n">
        <v>0</v>
      </c>
      <c r="BK4" s="0" t="n">
        <v>0</v>
      </c>
      <c r="BL4" s="0" t="n">
        <v>0</v>
      </c>
      <c r="BM4" s="0" t="n">
        <v>0</v>
      </c>
      <c r="BN4" s="0" t="n">
        <v>0</v>
      </c>
      <c r="BO4" s="0">
        <f>BF4*6*1+BG4*6*1.2+BH4*6*1.5+BI4*8*1+BJ4*8*1.2+BK4*8*1.5+BL4*12*1+BM4*12*1.2+BN4*12*1.5</f>
        <v/>
      </c>
      <c r="BP4" s="0" t="n">
        <v>1</v>
      </c>
      <c r="BQ4" s="0" t="n">
        <v>0</v>
      </c>
      <c r="BR4" s="0" t="n">
        <v>0</v>
      </c>
      <c r="BS4" s="0" t="n">
        <v>0</v>
      </c>
      <c r="BT4" s="0" t="n">
        <v>0</v>
      </c>
      <c r="BU4" s="0" t="n">
        <v>0</v>
      </c>
      <c r="BV4" s="0" t="n">
        <v>0</v>
      </c>
      <c r="BW4" s="0" t="n">
        <v>0</v>
      </c>
      <c r="BX4" s="0" t="n">
        <v>0</v>
      </c>
      <c r="BY4" s="0">
        <f>BP4*6*1+BQ4*6*1.2+BR4*6*1.5+BS4*7*1+BT4*7*1.2+BU4*7*1.5+BV4*10*1+BW4*10*1.2+BX4*10*1.5</f>
        <v/>
      </c>
      <c r="BZ4" s="0">
        <f>AV4+AY4+BB4+BF4+BG4+BH4+BI4+BJ4+BK4+BL4+BM4+BN4+BP4+BQ4+BR4+BS4+BT4+BU4+BV4+BW4+BX4</f>
        <v/>
      </c>
      <c r="CA4" s="0">
        <f>BB4+BL4+BM4+BN4+BV4+BW4+BX4</f>
        <v/>
      </c>
      <c r="CB4" s="0">
        <f>0.9+(BB4+BL4+BV4)*0.01+K4*0.04</f>
        <v/>
      </c>
      <c r="CC4" s="0">
        <f>MIN(BE4,BO4,BY4)</f>
        <v/>
      </c>
      <c r="CD4" s="0">
        <f>CC4*24*1.08</f>
        <v/>
      </c>
      <c r="CE4" s="0">
        <f>ROUND(CD4*CB4,0)</f>
        <v/>
      </c>
      <c r="CF4" s="0" t="n">
        <v>0</v>
      </c>
      <c r="CG4" s="0">
        <f>0+CF4</f>
        <v/>
      </c>
      <c r="CH4" s="0" t="n">
        <v>0</v>
      </c>
      <c r="CI4" s="0">
        <f>0+CH4</f>
        <v/>
      </c>
      <c r="CJ4" s="0" t="n">
        <v>300</v>
      </c>
      <c r="CK4" s="0">
        <f>0+CJ4</f>
        <v/>
      </c>
      <c r="CL4" s="0" t="n">
        <v>0</v>
      </c>
      <c r="CM4" s="0">
        <f>0+CL4</f>
        <v/>
      </c>
      <c r="CN4" s="0" t="n">
        <v>1000</v>
      </c>
      <c r="CO4" s="0">
        <f>0+CN4</f>
        <v/>
      </c>
      <c r="CP4" s="0" t="n">
        <v>0</v>
      </c>
      <c r="CQ4" s="0">
        <f>0+CP4</f>
        <v/>
      </c>
      <c r="CR4" s="0" t="n">
        <v>0</v>
      </c>
      <c r="CS4" s="0">
        <f>0+CR4</f>
        <v/>
      </c>
      <c r="CT4" s="0" t="n">
        <v>6000</v>
      </c>
      <c r="CU4" s="0">
        <f>0+CT4</f>
        <v/>
      </c>
      <c r="CV4" s="0">
        <f>(CK4)/0.7</f>
        <v/>
      </c>
      <c r="CW4" s="0">
        <f>(CO4)/1</f>
        <v/>
      </c>
      <c r="CX4" s="0">
        <f>(CU4)/13</f>
        <v/>
      </c>
      <c r="CY4" s="0">
        <f>ROUNDDOWN(MIN(I4,CE4,CV4,CW4,CX4),0)</f>
        <v/>
      </c>
      <c r="CZ4" s="0">
        <f>'Lotes_Pipeline_sim3'!U4</f>
        <v/>
      </c>
      <c r="DA4" s="0">
        <f>DB4+DD4+DF4</f>
        <v/>
      </c>
      <c r="DB4" s="0">
        <f>'Lotes_Pipeline_sim3'!X4</f>
        <v/>
      </c>
      <c r="DC4" s="0">
        <f>CG4-DB4</f>
        <v/>
      </c>
      <c r="DD4" s="0">
        <f>'Lotes_Pipeline_sim3'!AA4</f>
        <v/>
      </c>
      <c r="DE4" s="0">
        <f>CI4-DD4</f>
        <v/>
      </c>
      <c r="DF4" s="0">
        <f>'Lotes_Pipeline_sim3'!AD4</f>
        <v/>
      </c>
      <c r="DG4" s="0">
        <f>CK4-DF4</f>
        <v/>
      </c>
      <c r="DH4" s="0">
        <f>DI4+DK4</f>
        <v/>
      </c>
      <c r="DI4" s="0">
        <f>'Lotes_Pipeline_sim3'!AG4</f>
        <v/>
      </c>
      <c r="DJ4" s="0">
        <f>CM4-DI4</f>
        <v/>
      </c>
      <c r="DK4" s="0">
        <f>'Lotes_Pipeline_sim3'!AJ4</f>
        <v/>
      </c>
      <c r="DL4" s="0">
        <f>CO4-DK4</f>
        <v/>
      </c>
      <c r="DM4" s="0">
        <f>DN4+DP4+DR4</f>
        <v/>
      </c>
      <c r="DN4" s="0">
        <f>'Lotes_Pipeline_sim3'!AM4</f>
        <v/>
      </c>
      <c r="DO4" s="0">
        <f>CQ4-DN4</f>
        <v/>
      </c>
      <c r="DP4" s="0">
        <f>'Lotes_Pipeline_sim3'!AP4</f>
        <v/>
      </c>
      <c r="DQ4" s="0">
        <f>CS4-DP4</f>
        <v/>
      </c>
      <c r="DR4" s="0">
        <f>'Lotes_Pipeline_sim3'!AS4</f>
        <v/>
      </c>
      <c r="DS4" s="0">
        <f>CU4-DR4</f>
        <v/>
      </c>
      <c r="DT4" s="0">
        <f>((AV4+AW4+AX4)*IF(M4="NO_MYPE",'Costos De Producción'!V11,'Costos De Producción'!U11)+(AY4+AZ4+BA4)*IF(M4="NO_MYPE",'Costos De Producción'!V20,'Costos De Producción'!U20)+(BB4+BC4+BD4)*IF(M4="NO_MYPE",'Costos De Producción'!V29,'Costos De Producción'!U29)+(BF4+BG4+BH4)*IF(M4="NO_MYPE",'Costos De Producción'!Z11,'Costos De Producción'!Y11)+(BI4+BJ4+BK4)*IF(M4="NO_MYPE",'Costos De Producción'!Z20,'Costos De Producción'!Y20)+(BL4+BM4+BN4)*IF(M4="NO_MYPE",'Costos De Producción'!Z29,'Costos De Producción'!Y29)+(BP4+BQ4+BR4)*IF(M4="NO_MYPE",'Costos De Producción'!AD11,'Costos De Producción'!AC11)+(BS4+BT4+BU4)*IF(M4="NO_MYPE",'Costos De Producción'!AD20,'Costos De Producción'!AC20)+(BV4+BW4+BX4)*IF(M4="NO_MYPE",'Costos De Producción'!AD29,'Costos De Producción'!AC29)+K4*IF(M4="NO_MYPE",'Costos De Producción'!V39,'Costos De Producción'!U39)+IF(M4="NO_MYPE",'Costos De Producción'!Z39,'Costos De Producción'!Y39)+'Costos De Producción'!AC33)*1</f>
        <v/>
      </c>
      <c r="DU4" s="0">
        <f>(DB4*25+DD4*45+DF4*80+DI4*4+DK4*9+DN4*2+DP4*4+DR4*7)*0.92</f>
        <v/>
      </c>
      <c r="DV4" s="0">
        <f>1*2500*0.08/12*1+1*3500*0.08/12*1+1*1200*0.08/12*1+1*300*0.08/12*1</f>
        <v/>
      </c>
      <c r="DW4" s="0">
        <f>1*(2250.0/10/12*1)+1*(3150.0/10/12*1)+1*(1080.0/8/12*1)+1*(270.0/5/12*1)</f>
        <v/>
      </c>
      <c r="DX4" s="0">
        <f>IFERROR(('Lotes_Pipeline_sim3'!U4)/CZ4,0)*10+IFERROR(CA4/BZ4,0)*10+(IFERROR(DF4/(DB4+DD4+DF4),0)+IFERROR(DK4/(DI4+DK4),0)+IFERROR(DR4/(DP4+DR4),0))/3*10+L4/10000*10</f>
        <v/>
      </c>
      <c r="DY4" s="0">
        <f>DX4+AJ4</f>
        <v/>
      </c>
      <c r="DZ4" s="0">
        <f>0+CZ4</f>
        <v/>
      </c>
      <c r="EA4" s="0" t="n">
        <v>40</v>
      </c>
      <c r="EB4" s="0" t="n">
        <v>250</v>
      </c>
      <c r="EC4" s="0">
        <f>'Lotes_Pipeline_sim3'!AY4</f>
        <v/>
      </c>
      <c r="ED4" s="0">
        <f>IF(D4="SEG-01",IFERROR(100*(_xlfn.MAXIFS($J$2:$J$13,$C$2:$C$13,C4)-J4)/(_xlfn.MAXIFS($J$2:$J$13,$C$2:$C$13,C4)-_xlfn.MINIFS($J$2:$J$13,$C$2:$C$13,C4)),100),100-ABS(J4-EB4)/EB4*100)</f>
        <v/>
      </c>
      <c r="EE4" s="0">
        <f>ROUND(MIN(100,AI4*10),0)</f>
        <v/>
      </c>
      <c r="EF4" s="0">
        <f>0.1*ED4+0.5*DY4*10+0.4*EE4</f>
        <v/>
      </c>
      <c r="EG4" s="0">
        <f>IFERROR(EF4/SUMIF($C$2:$C$13,C4,$EF$2:$EF$13),0)</f>
        <v/>
      </c>
      <c r="EH4" s="0">
        <f>'Mercados_Pipeline_sim3'!J4</f>
        <v/>
      </c>
      <c r="EI4" s="0">
        <f>'Mercados_Pipeline_sim3'!I4</f>
        <v/>
      </c>
      <c r="EJ4" s="0">
        <f>'Lotes_Pipeline_sim3'!AW4</f>
        <v/>
      </c>
      <c r="EK4" s="0">
        <f>'Lotes_Pipeline_sim3'!AX4</f>
        <v/>
      </c>
      <c r="EL4" s="0">
        <f>EC4*2</f>
        <v/>
      </c>
      <c r="EM4" s="0">
        <f>IF(I4&gt;CE4,0.25*DT4*IFERROR(MIN(1,(I4-CE4)/CE4),1),0)</f>
        <v/>
      </c>
      <c r="EN4" s="0">
        <f>0</f>
        <v/>
      </c>
      <c r="EO4" s="0">
        <f>(IFERROR(INDEX('Catalogo_Numerico_sim3'!$G$2:$G$69,MATCH("COM-01C",'Catalogo_Numerico_sim3'!$A$2:$A$69,0)),0)+IFERROR(INDEX('Catalogo_Numerico_sim3'!$G$2:$G$69,MATCH("INV-01B",'Catalogo_Numerico_sim3'!$A$2:$A$69,0)),0))*1</f>
        <v/>
      </c>
      <c r="EP4" s="0">
        <f>0</f>
        <v/>
      </c>
      <c r="EQ4" s="0" t="n">
        <v>0</v>
      </c>
      <c r="ER4" s="0">
        <f>DT4+DU4+DV4+DW4+L4+EL4+EM4+EN4+EO4+EP4+EQ4</f>
        <v/>
      </c>
      <c r="ES4" s="0">
        <f>EK4-ER4</f>
        <v/>
      </c>
      <c r="ET4" s="0">
        <f>OR(AND('Lotes_Pipeline_sim3'!C4="SEG-03",'Lotes_Pipeline_sim3'!H4&gt;0,'Lotes_Pipeline_sim3'!J4&lt;4))</f>
        <v/>
      </c>
      <c r="EU4" s="0">
        <f>OR(AND('Lotes_Pipeline_sim3'!C4="SEG-03",'Lotes_Pipeline_sim3'!H4&gt;0,'Lotes_Pipeline_sim3'!J4&gt;=7))</f>
        <v/>
      </c>
      <c r="EV4" s="0">
        <f>AF4&lt;4</f>
        <v/>
      </c>
      <c r="EW4" s="0">
        <f>AM4&gt;=2</f>
        <v/>
      </c>
      <c r="EX4" s="0">
        <f>AH4&lt;3</f>
        <v/>
      </c>
      <c r="EY4" s="0">
        <f>I4&gt;CE4</f>
        <v/>
      </c>
      <c r="EZ4" s="0">
        <f>CZ4&gt;EJ4</f>
        <v/>
      </c>
      <c r="FA4" s="0">
        <f>AND(K4=0,AF4&lt;5)</f>
        <v/>
      </c>
      <c r="FB4" t="n">
        <v>1000000</v>
      </c>
      <c r="FC4">
        <f>1*2500*(1+0.05+0.03)+1*3500*(1+0.05+0.03)+1*1200*(1+0.05+0.03)+1*300*(1+0+0.02)</f>
        <v/>
      </c>
      <c r="FD4">
        <f>1*2500+1*3500+1*1200+1*300</f>
        <v/>
      </c>
      <c r="FE4">
        <f>(CF4*25+CH4*45+CJ4*80+CL4*4+CN4*9+CP4*2+CR4*4+CT4*7)*0.92</f>
        <v/>
      </c>
      <c r="FF4">
        <f>(DC4*25+DE4*45+DG4*80+DJ4*4+DL4*9+DO4*2+DQ4*4+DS4*7)*0.92</f>
        <v/>
      </c>
      <c r="FG4">
        <f>FB4</f>
        <v/>
      </c>
      <c r="FH4">
        <f>(1+AR4/100)^(1/12)-1</f>
        <v/>
      </c>
      <c r="FI4">
        <f>0*0+AP4*FH4</f>
        <v/>
      </c>
      <c r="FJ4">
        <f>IFERROR(FI4/(0+AP4),0)</f>
        <v/>
      </c>
      <c r="FK4">
        <f>FI4*1</f>
        <v/>
      </c>
      <c r="FL4">
        <f>ER4-DW4-DU4+FE4+FK4</f>
        <v/>
      </c>
      <c r="FM4">
        <f>FG4+EK4+AP4-FL4-FC4</f>
        <v/>
      </c>
      <c r="FN4">
        <f>0+DW4</f>
        <v/>
      </c>
      <c r="FO4">
        <f>0+FD4</f>
        <v/>
      </c>
      <c r="FP4">
        <f>FO4-FN4</f>
        <v/>
      </c>
      <c r="FQ4">
        <f>EK4</f>
        <v/>
      </c>
      <c r="FR4">
        <f>EK4</f>
        <v/>
      </c>
      <c r="FS4">
        <f>ER4+FK4</f>
        <v/>
      </c>
      <c r="FT4">
        <f>ES4-FK4</f>
        <v/>
      </c>
      <c r="FU4">
        <f>DW4</f>
        <v/>
      </c>
      <c r="FV4">
        <f>FK4</f>
        <v/>
      </c>
      <c r="FW4">
        <f>ER4</f>
        <v/>
      </c>
      <c r="FX4">
        <f>FG4</f>
        <v/>
      </c>
      <c r="FY4">
        <f>EK4+AP4</f>
        <v/>
      </c>
      <c r="FZ4">
        <f>FL4+FC4</f>
        <v/>
      </c>
      <c r="GA4">
        <f>FM4</f>
        <v/>
      </c>
      <c r="GB4">
        <f>FG4</f>
        <v/>
      </c>
      <c r="GC4">
        <f>EK4</f>
        <v/>
      </c>
      <c r="GD4">
        <f>FL4</f>
        <v/>
      </c>
      <c r="GE4">
        <f>FC4</f>
        <v/>
      </c>
      <c r="GF4">
        <f>AP4</f>
        <v/>
      </c>
      <c r="GG4">
        <f>EK4-FL4</f>
        <v/>
      </c>
      <c r="GH4">
        <f>-FC4</f>
        <v/>
      </c>
      <c r="GI4">
        <f>FM4-FG4</f>
        <v/>
      </c>
      <c r="GJ4">
        <f>FM4</f>
        <v/>
      </c>
      <c r="GK4">
        <f>FM4</f>
        <v/>
      </c>
      <c r="GL4">
        <f>FP4</f>
        <v/>
      </c>
      <c r="GM4">
        <f>FF4</f>
        <v/>
      </c>
      <c r="GN4">
        <f>FM4+FP4+FF4</f>
        <v/>
      </c>
      <c r="GO4">
        <f>AS4</f>
        <v/>
      </c>
      <c r="GP4">
        <f>FM4+FP4+FF4-AS4</f>
        <v/>
      </c>
      <c r="GQ4">
        <f>FM4+FP4+FF4</f>
        <v/>
      </c>
      <c r="GR4">
        <f>AP4</f>
        <v/>
      </c>
      <c r="GS4">
        <f>AR4</f>
        <v/>
      </c>
      <c r="GT4">
        <f>AS4</f>
        <v/>
      </c>
      <c r="GU4">
        <f>AT4</f>
        <v/>
      </c>
      <c r="GV4">
        <f>FJ4</f>
        <v/>
      </c>
      <c r="GW4">
        <f>FK4</f>
        <v/>
      </c>
    </row>
    <row r="5">
      <c r="A5" s="0" t="n">
        <v>1</v>
      </c>
      <c r="B5" s="0" t="inlineStr">
        <is>
          <t>D</t>
        </is>
      </c>
      <c r="C5" s="0" t="inlineStr">
        <is>
          <t>1|SEG-01</t>
        </is>
      </c>
      <c r="D5" s="0" t="inlineStr">
        <is>
          <t>SEG-01</t>
        </is>
      </c>
      <c r="E5" s="0" t="inlineStr">
        <is>
          <t>INF-08</t>
        </is>
      </c>
      <c r="F5" s="0" t="inlineStr">
        <is>
          <t>INS-01</t>
        </is>
      </c>
      <c r="G5" s="0" t="inlineStr">
        <is>
          <t>INS-04</t>
        </is>
      </c>
      <c r="H5" s="0" t="inlineStr">
        <is>
          <t>INS-06</t>
        </is>
      </c>
      <c r="I5" s="0" t="n">
        <v>200</v>
      </c>
      <c r="J5" s="0" t="n">
        <v>45</v>
      </c>
      <c r="K5" s="0" t="n">
        <v>1</v>
      </c>
      <c r="L5" s="0" t="n">
        <v>6000</v>
      </c>
      <c r="M5" s="0" t="inlineStr">
        <is>
          <t>MYPE</t>
        </is>
      </c>
      <c r="N5" s="0" t="inlineStr">
        <is>
          <t>INF-03</t>
        </is>
      </c>
      <c r="O5" s="0" t="inlineStr">
        <is>
          <t>INF-06</t>
        </is>
      </c>
      <c r="P5" s="0" t="inlineStr">
        <is>
          <t>INF-09</t>
        </is>
      </c>
      <c r="Q5" s="0" t="inlineStr">
        <is>
          <t>RH-02</t>
        </is>
      </c>
      <c r="R5" s="0" t="inlineStr">
        <is>
          <t>RH-05</t>
        </is>
      </c>
      <c r="S5" s="0" t="inlineStr">
        <is>
          <t>RH-08</t>
        </is>
      </c>
      <c r="T5" s="0" t="inlineStr">
        <is>
          <t>RH-10A</t>
        </is>
      </c>
      <c r="U5" s="0" t="inlineStr">
        <is>
          <t>COM-01C</t>
        </is>
      </c>
      <c r="V5" s="0" t="inlineStr">
        <is>
          <t>FIN-01B</t>
        </is>
      </c>
      <c r="W5" s="0" t="inlineStr">
        <is>
          <t>INV-01B</t>
        </is>
      </c>
      <c r="X5" s="0" t="inlineStr">
        <is>
          <t>INV-02B</t>
        </is>
      </c>
      <c r="Y5" s="0" t="inlineStr"/>
      <c r="Z5" s="0" t="inlineStr"/>
      <c r="AA5" s="0" t="inlineStr"/>
      <c r="AB5" s="0" t="inlineStr"/>
      <c r="AC5" s="0" t="inlineStr"/>
      <c r="AD5" s="0" t="inlineStr"/>
      <c r="AE5" s="0" t="inlineStr"/>
      <c r="AF5" s="0">
        <f>IFERROR(INDEX('Catalogo_Numerico_sim3'!$I$2:$I$69,MATCH(N5,'Catalogo_Numerico_sim3'!$A$2:$A$69,0)),0)+IFERROR(INDEX('Catalogo_Numerico_sim3'!$I$2:$I$69,MATCH(O5,'Catalogo_Numerico_sim3'!$A$2:$A$69,0)),0)+IFERROR(INDEX('Catalogo_Numerico_sim3'!$I$2:$I$69,MATCH(P5,'Catalogo_Numerico_sim3'!$A$2:$A$69,0)),0)+IFERROR(INDEX('Catalogo_Numerico_sim3'!$I$2:$I$69,MATCH(Q5,'Catalogo_Numerico_sim3'!$A$2:$A$69,0)),0)+IFERROR(INDEX('Catalogo_Numerico_sim3'!$I$2:$I$69,MATCH(R5,'Catalogo_Numerico_sim3'!$A$2:$A$69,0)),0)+IFERROR(INDEX('Catalogo_Numerico_sim3'!$I$2:$I$69,MATCH(S5,'Catalogo_Numerico_sim3'!$A$2:$A$69,0)),0)+IFERROR(INDEX('Catalogo_Numerico_sim3'!$I$2:$I$69,MATCH(T5,'Catalogo_Numerico_sim3'!$A$2:$A$69,0)),0)+IFERROR(INDEX('Catalogo_Numerico_sim3'!$I$2:$I$69,MATCH(U5,'Catalogo_Numerico_sim3'!$A$2:$A$69,0)),0)+IFERROR(INDEX('Catalogo_Numerico_sim3'!$I$2:$I$69,MATCH(V5,'Catalogo_Numerico_sim3'!$A$2:$A$69,0)),0)+IFERROR(INDEX('Catalogo_Numerico_sim3'!$I$2:$I$69,MATCH(W5,'Catalogo_Numerico_sim3'!$A$2:$A$69,0)),0)+IFERROR(INDEX('Catalogo_Numerico_sim3'!$I$2:$I$69,MATCH(X5,'Catalogo_Numerico_sim3'!$A$2:$A$69,0)),0)</f>
        <v/>
      </c>
      <c r="AG5" s="0">
        <f>IFERROR(INDEX('Catalogo_Numerico_sim3'!$J$2:$J$69,MATCH(N5,'Catalogo_Numerico_sim3'!$A$2:$A$69,0)),0)+IFERROR(INDEX('Catalogo_Numerico_sim3'!$J$2:$J$69,MATCH(O5,'Catalogo_Numerico_sim3'!$A$2:$A$69,0)),0)+IFERROR(INDEX('Catalogo_Numerico_sim3'!$J$2:$J$69,MATCH(P5,'Catalogo_Numerico_sim3'!$A$2:$A$69,0)),0)+IFERROR(INDEX('Catalogo_Numerico_sim3'!$J$2:$J$69,MATCH(Q5,'Catalogo_Numerico_sim3'!$A$2:$A$69,0)),0)+IFERROR(INDEX('Catalogo_Numerico_sim3'!$J$2:$J$69,MATCH(R5,'Catalogo_Numerico_sim3'!$A$2:$A$69,0)),0)+IFERROR(INDEX('Catalogo_Numerico_sim3'!$J$2:$J$69,MATCH(S5,'Catalogo_Numerico_sim3'!$A$2:$A$69,0)),0)+IFERROR(INDEX('Catalogo_Numerico_sim3'!$J$2:$J$69,MATCH(T5,'Catalogo_Numerico_sim3'!$A$2:$A$69,0)),0)+IFERROR(INDEX('Catalogo_Numerico_sim3'!$J$2:$J$69,MATCH(U5,'Catalogo_Numerico_sim3'!$A$2:$A$69,0)),0)+IFERROR(INDEX('Catalogo_Numerico_sim3'!$J$2:$J$69,MATCH(V5,'Catalogo_Numerico_sim3'!$A$2:$A$69,0)),0)+IFERROR(INDEX('Catalogo_Numerico_sim3'!$J$2:$J$69,MATCH(W5,'Catalogo_Numerico_sim3'!$A$2:$A$69,0)),0)+IFERROR(INDEX('Catalogo_Numerico_sim3'!$J$2:$J$69,MATCH(X5,'Catalogo_Numerico_sim3'!$A$2:$A$69,0)),0)</f>
        <v/>
      </c>
      <c r="AH5" s="0">
        <f>IFERROR(INDEX('Catalogo_Numerico_sim3'!$K$2:$K$69,MATCH(N5,'Catalogo_Numerico_sim3'!$A$2:$A$69,0)),0)+IFERROR(INDEX('Catalogo_Numerico_sim3'!$K$2:$K$69,MATCH(O5,'Catalogo_Numerico_sim3'!$A$2:$A$69,0)),0)+IFERROR(INDEX('Catalogo_Numerico_sim3'!$K$2:$K$69,MATCH(P5,'Catalogo_Numerico_sim3'!$A$2:$A$69,0)),0)+IFERROR(INDEX('Catalogo_Numerico_sim3'!$K$2:$K$69,MATCH(Q5,'Catalogo_Numerico_sim3'!$A$2:$A$69,0)),0)+IFERROR(INDEX('Catalogo_Numerico_sim3'!$K$2:$K$69,MATCH(R5,'Catalogo_Numerico_sim3'!$A$2:$A$69,0)),0)+IFERROR(INDEX('Catalogo_Numerico_sim3'!$K$2:$K$69,MATCH(S5,'Catalogo_Numerico_sim3'!$A$2:$A$69,0)),0)+IFERROR(INDEX('Catalogo_Numerico_sim3'!$K$2:$K$69,MATCH(T5,'Catalogo_Numerico_sim3'!$A$2:$A$69,0)),0)+IFERROR(INDEX('Catalogo_Numerico_sim3'!$K$2:$K$69,MATCH(U5,'Catalogo_Numerico_sim3'!$A$2:$A$69,0)),0)+IFERROR(INDEX('Catalogo_Numerico_sim3'!$K$2:$K$69,MATCH(V5,'Catalogo_Numerico_sim3'!$A$2:$A$69,0)),0)+IFERROR(INDEX('Catalogo_Numerico_sim3'!$K$2:$K$69,MATCH(W5,'Catalogo_Numerico_sim3'!$A$2:$A$69,0)),0)+IFERROR(INDEX('Catalogo_Numerico_sim3'!$K$2:$K$69,MATCH(X5,'Catalogo_Numerico_sim3'!$A$2:$A$69,0)),0)</f>
        <v/>
      </c>
      <c r="AI5" s="0">
        <f>IFERROR(('Lotes_Pipeline_sim3'!H5*'Lotes_Pipeline_sim3'!J5)/I5,0)</f>
        <v/>
      </c>
      <c r="AJ5" s="0">
        <f>IF(OR(AND('Lotes_Pipeline_sim3'!C5="SEG-03",'Lotes_Pipeline_sim3'!H5&gt;0,'Lotes_Pipeline_sim3'!J5&lt;4)),-2,0)+IF(OR(AND('Lotes_Pipeline_sim3'!C5="SEG-03",'Lotes_Pipeline_sim3'!H5&gt;0,'Lotes_Pipeline_sim3'!J5&gt;=7)),2,0)</f>
        <v/>
      </c>
      <c r="AK5" s="0">
        <f>IF(AND(D5="SEG-03",I5&gt;0),IF(AI5&lt;4,0.65,IF(AI5&gt;=7,1.4,1)),1)</f>
        <v/>
      </c>
      <c r="AL5" s="0">
        <f>AG5+AJ5</f>
        <v/>
      </c>
      <c r="AM5" s="0">
        <f>IF(AL5&lt;3,0+1,0)</f>
        <v/>
      </c>
      <c r="AN5" s="0">
        <f>IF(AM5&gt;=2,0.8,1)</f>
        <v/>
      </c>
      <c r="AO5" s="0">
        <f>IF(AH5&lt;3,3,0)</f>
        <v/>
      </c>
      <c r="AP5" s="0" t="n">
        <v>0</v>
      </c>
      <c r="AQ5" s="0" t="n">
        <v>20</v>
      </c>
      <c r="AR5" s="0">
        <f>AQ5+0</f>
        <v/>
      </c>
      <c r="AS5" s="0">
        <f>0+AP5</f>
        <v/>
      </c>
      <c r="AT5" s="0">
        <f>IF(AP5&gt;0,AO5,MAX(0,AO5))</f>
        <v/>
      </c>
      <c r="AU5" s="0">
        <f>IF(AF5&lt;4,0.7,1)*IF(AND(K5=0,AF5&lt;5),0.95,1)</f>
        <v/>
      </c>
      <c r="AV5" s="0" t="n">
        <v>1</v>
      </c>
      <c r="AW5" s="0" t="n">
        <v>0</v>
      </c>
      <c r="AX5" s="0" t="n">
        <v>0</v>
      </c>
      <c r="AY5" s="0" t="n">
        <v>0</v>
      </c>
      <c r="AZ5" s="0" t="n">
        <v>0</v>
      </c>
      <c r="BA5" s="0" t="n">
        <v>0</v>
      </c>
      <c r="BB5" s="0" t="n">
        <v>0</v>
      </c>
      <c r="BC5" s="0" t="n">
        <v>0</v>
      </c>
      <c r="BD5" s="0" t="n">
        <v>0</v>
      </c>
      <c r="BE5" s="0">
        <f>AV5*5*1+AY5*7*1+BB5*9*1</f>
        <v/>
      </c>
      <c r="BF5" s="0" t="n">
        <v>1</v>
      </c>
      <c r="BG5" s="0" t="n">
        <v>0</v>
      </c>
      <c r="BH5" s="0" t="n">
        <v>0</v>
      </c>
      <c r="BI5" s="0" t="n">
        <v>0</v>
      </c>
      <c r="BJ5" s="0" t="n">
        <v>0</v>
      </c>
      <c r="BK5" s="0" t="n">
        <v>0</v>
      </c>
      <c r="BL5" s="0" t="n">
        <v>0</v>
      </c>
      <c r="BM5" s="0" t="n">
        <v>0</v>
      </c>
      <c r="BN5" s="0" t="n">
        <v>0</v>
      </c>
      <c r="BO5" s="0">
        <f>BF5*6*1+BG5*6*1.2+BH5*6*1.5+BI5*8*1+BJ5*8*1.2+BK5*8*1.5+BL5*12*1+BM5*12*1.2+BN5*12*1.5</f>
        <v/>
      </c>
      <c r="BP5" s="0" t="n">
        <v>1</v>
      </c>
      <c r="BQ5" s="0" t="n">
        <v>0</v>
      </c>
      <c r="BR5" s="0" t="n">
        <v>0</v>
      </c>
      <c r="BS5" s="0" t="n">
        <v>0</v>
      </c>
      <c r="BT5" s="0" t="n">
        <v>0</v>
      </c>
      <c r="BU5" s="0" t="n">
        <v>0</v>
      </c>
      <c r="BV5" s="0" t="n">
        <v>0</v>
      </c>
      <c r="BW5" s="0" t="n">
        <v>0</v>
      </c>
      <c r="BX5" s="0" t="n">
        <v>0</v>
      </c>
      <c r="BY5" s="0">
        <f>BP5*6*1+BQ5*6*1.2+BR5*6*1.5+BS5*7*1+BT5*7*1.2+BU5*7*1.5+BV5*10*1+BW5*10*1.2+BX5*10*1.5</f>
        <v/>
      </c>
      <c r="BZ5" s="0">
        <f>AV5+AY5+BB5+BF5+BG5+BH5+BI5+BJ5+BK5+BL5+BM5+BN5+BP5+BQ5+BR5+BS5+BT5+BU5+BV5+BW5+BX5</f>
        <v/>
      </c>
      <c r="CA5" s="0">
        <f>BB5+BL5+BM5+BN5+BV5+BW5+BX5</f>
        <v/>
      </c>
      <c r="CB5" s="0">
        <f>0.9+(BB5+BL5+BV5)*0.01+K5*0.04</f>
        <v/>
      </c>
      <c r="CC5" s="0">
        <f>MIN(BE5,BO5,BY5)</f>
        <v/>
      </c>
      <c r="CD5" s="0">
        <f>CC5*24*1.08</f>
        <v/>
      </c>
      <c r="CE5" s="0">
        <f>ROUND(CD5*CB5,0)</f>
        <v/>
      </c>
      <c r="CF5" s="0" t="n">
        <v>300</v>
      </c>
      <c r="CG5" s="0">
        <f>0+CF5</f>
        <v/>
      </c>
      <c r="CH5" s="0" t="n">
        <v>0</v>
      </c>
      <c r="CI5" s="0">
        <f>0+CH5</f>
        <v/>
      </c>
      <c r="CJ5" s="0" t="n">
        <v>0</v>
      </c>
      <c r="CK5" s="0">
        <f>0+CJ5</f>
        <v/>
      </c>
      <c r="CL5" s="0" t="n">
        <v>1000</v>
      </c>
      <c r="CM5" s="0">
        <f>0+CL5</f>
        <v/>
      </c>
      <c r="CN5" s="0" t="n">
        <v>0</v>
      </c>
      <c r="CO5" s="0">
        <f>0+CN5</f>
        <v/>
      </c>
      <c r="CP5" s="0" t="n">
        <v>6000</v>
      </c>
      <c r="CQ5" s="0">
        <f>0+CP5</f>
        <v/>
      </c>
      <c r="CR5" s="0" t="n">
        <v>0</v>
      </c>
      <c r="CS5" s="0">
        <f>0+CR5</f>
        <v/>
      </c>
      <c r="CT5" s="0" t="n">
        <v>0</v>
      </c>
      <c r="CU5" s="0">
        <f>0+CT5</f>
        <v/>
      </c>
      <c r="CV5" s="0">
        <f>(CG5)/0.3</f>
        <v/>
      </c>
      <c r="CW5" s="0">
        <f>(CM5)/1</f>
        <v/>
      </c>
      <c r="CX5" s="0">
        <f>(CQ5)/6</f>
        <v/>
      </c>
      <c r="CY5" s="0">
        <f>ROUNDDOWN(MIN(I5,CE5,CV5,CW5,CX5),0)</f>
        <v/>
      </c>
      <c r="CZ5" s="0">
        <f>'Lotes_Pipeline_sim3'!U5</f>
        <v/>
      </c>
      <c r="DA5" s="0">
        <f>DB5+DD5+DF5</f>
        <v/>
      </c>
      <c r="DB5" s="0">
        <f>'Lotes_Pipeline_sim3'!X5</f>
        <v/>
      </c>
      <c r="DC5" s="0">
        <f>CG5-DB5</f>
        <v/>
      </c>
      <c r="DD5" s="0">
        <f>'Lotes_Pipeline_sim3'!AA5</f>
        <v/>
      </c>
      <c r="DE5" s="0">
        <f>CI5-DD5</f>
        <v/>
      </c>
      <c r="DF5" s="0">
        <f>'Lotes_Pipeline_sim3'!AD5</f>
        <v/>
      </c>
      <c r="DG5" s="0">
        <f>CK5-DF5</f>
        <v/>
      </c>
      <c r="DH5" s="0">
        <f>DI5+DK5</f>
        <v/>
      </c>
      <c r="DI5" s="0">
        <f>'Lotes_Pipeline_sim3'!AG5</f>
        <v/>
      </c>
      <c r="DJ5" s="0">
        <f>CM5-DI5</f>
        <v/>
      </c>
      <c r="DK5" s="0">
        <f>'Lotes_Pipeline_sim3'!AJ5</f>
        <v/>
      </c>
      <c r="DL5" s="0">
        <f>CO5-DK5</f>
        <v/>
      </c>
      <c r="DM5" s="0">
        <f>DN5+DP5+DR5</f>
        <v/>
      </c>
      <c r="DN5" s="0">
        <f>'Lotes_Pipeline_sim3'!AM5</f>
        <v/>
      </c>
      <c r="DO5" s="0">
        <f>CQ5-DN5</f>
        <v/>
      </c>
      <c r="DP5" s="0">
        <f>'Lotes_Pipeline_sim3'!AP5</f>
        <v/>
      </c>
      <c r="DQ5" s="0">
        <f>CS5-DP5</f>
        <v/>
      </c>
      <c r="DR5" s="0">
        <f>'Lotes_Pipeline_sim3'!AS5</f>
        <v/>
      </c>
      <c r="DS5" s="0">
        <f>CU5-DR5</f>
        <v/>
      </c>
      <c r="DT5" s="0">
        <f>((AV5+AW5+AX5)*IF(M5="NO_MYPE",'Costos De Producción'!V11,'Costos De Producción'!U11)+(AY5+AZ5+BA5)*IF(M5="NO_MYPE",'Costos De Producción'!V20,'Costos De Producción'!U20)+(BB5+BC5+BD5)*IF(M5="NO_MYPE",'Costos De Producción'!V29,'Costos De Producción'!U29)+(BF5+BG5+BH5)*IF(M5="NO_MYPE",'Costos De Producción'!Z11,'Costos De Producción'!Y11)+(BI5+BJ5+BK5)*IF(M5="NO_MYPE",'Costos De Producción'!Z20,'Costos De Producción'!Y20)+(BL5+BM5+BN5)*IF(M5="NO_MYPE",'Costos De Producción'!Z29,'Costos De Producción'!Y29)+(BP5+BQ5+BR5)*IF(M5="NO_MYPE",'Costos De Producción'!AD11,'Costos De Producción'!AC11)+(BS5+BT5+BU5)*IF(M5="NO_MYPE",'Costos De Producción'!AD20,'Costos De Producción'!AC20)+(BV5+BW5+BX5)*IF(M5="NO_MYPE",'Costos De Producción'!AD29,'Costos De Producción'!AC29)+K5*IF(M5="NO_MYPE",'Costos De Producción'!V39,'Costos De Producción'!U39)+IF(M5="NO_MYPE",'Costos De Producción'!Z39,'Costos De Producción'!Y39)+'Costos De Producción'!AC33)*1</f>
        <v/>
      </c>
      <c r="DU5" s="0">
        <f>(DB5*25+DD5*45+DF5*80+DI5*4+DK5*9+DN5*2+DP5*4+DR5*7)*0.8096</f>
        <v/>
      </c>
      <c r="DV5" s="0">
        <f>1*2500*0.05/12*1+1*3500*0.05/12*1+1*1200*0.05/12*1+1*300*0.05/12*1+200</f>
        <v/>
      </c>
      <c r="DW5" s="0">
        <f>1*(2375.0/10/12*1)+1*(3325.0/10/12*1)+1*(1140.0/8/12*1)+1*(285.0/5/12*1)</f>
        <v/>
      </c>
      <c r="DX5" s="0">
        <f>IFERROR((0)/CZ5,0)*10+IFERROR(CA5/BZ5,0)*10+(IFERROR(DF5/(DB5+DD5+DF5),0)+IFERROR(DK5/(DI5+DK5),0)+IFERROR(DR5/(DP5+DR5),0))/3*10+L5/10000*10</f>
        <v/>
      </c>
      <c r="DY5" s="0">
        <f>DX5+AJ5</f>
        <v/>
      </c>
      <c r="DZ5" s="0">
        <f>0+CZ5</f>
        <v/>
      </c>
      <c r="EA5" s="0" t="n">
        <v>40</v>
      </c>
      <c r="EB5" s="0" t="n">
        <v>0</v>
      </c>
      <c r="EC5" s="0">
        <f>'Lotes_Pipeline_sim3'!AY5</f>
        <v/>
      </c>
      <c r="ED5" s="0">
        <f>IF(D5="SEG-01",IFERROR(100*(_xlfn.MAXIFS($J$2:$J$13,$C$2:$C$13,C5)-J5)/(_xlfn.MAXIFS($J$2:$J$13,$C$2:$C$13,C5)-_xlfn.MINIFS($J$2:$J$13,$C$2:$C$13,C5)),100),100-ABS(J5-EB5)/EB5*100)</f>
        <v/>
      </c>
      <c r="EE5" s="0">
        <f>ROUND(MIN(100,AI5*10),0)</f>
        <v/>
      </c>
      <c r="EF5" s="0">
        <f>0.7*ED5+0.2*DY5*10+0.1*EE5</f>
        <v/>
      </c>
      <c r="EG5" s="0">
        <f>IFERROR(EF5/SUMIF($C$2:$C$13,C5,$EF$2:$EF$13),0)</f>
        <v/>
      </c>
      <c r="EH5" s="0">
        <f>'Mercados_Pipeline_sim3'!J5</f>
        <v/>
      </c>
      <c r="EI5" s="0">
        <f>'Mercados_Pipeline_sim3'!I5</f>
        <v/>
      </c>
      <c r="EJ5" s="0">
        <f>'Lotes_Pipeline_sim3'!AW5</f>
        <v/>
      </c>
      <c r="EK5" s="0">
        <f>'Lotes_Pipeline_sim3'!AX5</f>
        <v/>
      </c>
      <c r="EL5" s="0">
        <f>EC5*2</f>
        <v/>
      </c>
      <c r="EM5" s="0">
        <f>IF(I5&gt;CE5,0.25*DT5*IFERROR(MIN(1,(I5-CE5)/CE5),1),0)</f>
        <v/>
      </c>
      <c r="EN5" s="0">
        <f>0</f>
        <v/>
      </c>
      <c r="EO5" s="0">
        <f>(IFERROR(INDEX('Catalogo_Numerico_sim3'!$G$2:$G$69,MATCH("COM-01C",'Catalogo_Numerico_sim3'!$A$2:$A$69,0)),0)+IFERROR(INDEX('Catalogo_Numerico_sim3'!$G$2:$G$69,MATCH("INV-01B",'Catalogo_Numerico_sim3'!$A$2:$A$69,0)),0))*1</f>
        <v/>
      </c>
      <c r="EP5" s="0">
        <f>0</f>
        <v/>
      </c>
      <c r="EQ5" s="0" t="n">
        <v>5000</v>
      </c>
      <c r="ER5" s="0">
        <f>DT5+DU5+DV5+DW5+L5+EL5+EM5+EN5+EO5+EP5+EQ5</f>
        <v/>
      </c>
      <c r="ES5" s="0">
        <f>EK5-ER5</f>
        <v/>
      </c>
      <c r="ET5" s="0">
        <f>OR(AND('Lotes_Pipeline_sim3'!C5="SEG-03",'Lotes_Pipeline_sim3'!H5&gt;0,'Lotes_Pipeline_sim3'!J5&lt;4))</f>
        <v/>
      </c>
      <c r="EU5" s="0">
        <f>OR(AND('Lotes_Pipeline_sim3'!C5="SEG-03",'Lotes_Pipeline_sim3'!H5&gt;0,'Lotes_Pipeline_sim3'!J5&gt;=7))</f>
        <v/>
      </c>
      <c r="EV5" s="0">
        <f>AF5&lt;4</f>
        <v/>
      </c>
      <c r="EW5" s="0">
        <f>AM5&gt;=2</f>
        <v/>
      </c>
      <c r="EX5" s="0">
        <f>AH5&lt;3</f>
        <v/>
      </c>
      <c r="EY5" s="0">
        <f>I5&gt;CE5</f>
        <v/>
      </c>
      <c r="EZ5" s="0">
        <f>CZ5&gt;EJ5</f>
        <v/>
      </c>
      <c r="FA5" s="0">
        <f>AND(K5=0,AF5&lt;5)</f>
        <v/>
      </c>
      <c r="FB5" t="n">
        <v>1000000</v>
      </c>
      <c r="FC5">
        <f>1*2500*(1+0.03+0.02)+1*3500*(1+0.03+0.02)+1*1200*(1+0.03+0.02)+1*300*(1+0+0.01)</f>
        <v/>
      </c>
      <c r="FD5">
        <f>1*2500+1*3500+1*1200+1*300</f>
        <v/>
      </c>
      <c r="FE5">
        <f>(CF5*25+CH5*45+CJ5*80+CL5*4+CN5*9+CP5*2+CR5*4+CT5*7)*0.8096</f>
        <v/>
      </c>
      <c r="FF5">
        <f>(DC5*25+DE5*45+DG5*80+DJ5*4+DL5*9+DO5*2+DQ5*4+DS5*7)*0.8096</f>
        <v/>
      </c>
      <c r="FG5">
        <f>FB5</f>
        <v/>
      </c>
      <c r="FH5">
        <f>(1+AR5/100)^(1/12)-1</f>
        <v/>
      </c>
      <c r="FI5">
        <f>0*0+AP5*FH5</f>
        <v/>
      </c>
      <c r="FJ5">
        <f>IFERROR(FI5/(0+AP5),0)</f>
        <v/>
      </c>
      <c r="FK5">
        <f>FI5*1</f>
        <v/>
      </c>
      <c r="FL5">
        <f>ER5-DW5-DU5+FE5+FK5</f>
        <v/>
      </c>
      <c r="FM5">
        <f>FG5+EK5+AP5-FL5-FC5</f>
        <v/>
      </c>
      <c r="FN5">
        <f>0+DW5</f>
        <v/>
      </c>
      <c r="FO5">
        <f>0+FD5</f>
        <v/>
      </c>
      <c r="FP5">
        <f>FO5-FN5</f>
        <v/>
      </c>
      <c r="FQ5">
        <f>EK5</f>
        <v/>
      </c>
      <c r="FR5">
        <f>EK5</f>
        <v/>
      </c>
      <c r="FS5">
        <f>ER5+FK5</f>
        <v/>
      </c>
      <c r="FT5">
        <f>ES5-FK5</f>
        <v/>
      </c>
      <c r="FU5">
        <f>DW5</f>
        <v/>
      </c>
      <c r="FV5">
        <f>FK5</f>
        <v/>
      </c>
      <c r="FW5">
        <f>ER5</f>
        <v/>
      </c>
      <c r="FX5">
        <f>FG5</f>
        <v/>
      </c>
      <c r="FY5">
        <f>EK5+AP5</f>
        <v/>
      </c>
      <c r="FZ5">
        <f>FL5+FC5</f>
        <v/>
      </c>
      <c r="GA5">
        <f>FM5</f>
        <v/>
      </c>
      <c r="GB5">
        <f>FG5</f>
        <v/>
      </c>
      <c r="GC5">
        <f>EK5</f>
        <v/>
      </c>
      <c r="GD5">
        <f>FL5</f>
        <v/>
      </c>
      <c r="GE5">
        <f>FC5</f>
        <v/>
      </c>
      <c r="GF5">
        <f>AP5</f>
        <v/>
      </c>
      <c r="GG5">
        <f>EK5-FL5</f>
        <v/>
      </c>
      <c r="GH5">
        <f>-FC5</f>
        <v/>
      </c>
      <c r="GI5">
        <f>FM5-FG5</f>
        <v/>
      </c>
      <c r="GJ5">
        <f>FM5</f>
        <v/>
      </c>
      <c r="GK5">
        <f>FM5</f>
        <v/>
      </c>
      <c r="GL5">
        <f>FP5</f>
        <v/>
      </c>
      <c r="GM5">
        <f>FF5</f>
        <v/>
      </c>
      <c r="GN5">
        <f>FM5+FP5+FF5</f>
        <v/>
      </c>
      <c r="GO5">
        <f>AS5</f>
        <v/>
      </c>
      <c r="GP5">
        <f>FM5+FP5+FF5-AS5</f>
        <v/>
      </c>
      <c r="GQ5">
        <f>FM5+FP5+FF5</f>
        <v/>
      </c>
      <c r="GR5">
        <f>AP5</f>
        <v/>
      </c>
      <c r="GS5">
        <f>AR5</f>
        <v/>
      </c>
      <c r="GT5">
        <f>AS5</f>
        <v/>
      </c>
      <c r="GU5">
        <f>AT5</f>
        <v/>
      </c>
      <c r="GV5">
        <f>FJ5</f>
        <v/>
      </c>
      <c r="GW5">
        <f>FK5</f>
        <v/>
      </c>
    </row>
    <row r="6">
      <c r="A6" s="0" t="n">
        <v>2</v>
      </c>
      <c r="B6" s="0" t="inlineStr">
        <is>
          <t>A</t>
        </is>
      </c>
      <c r="C6" s="0" t="inlineStr">
        <is>
          <t>2|SEG-01</t>
        </is>
      </c>
      <c r="D6" s="0" t="inlineStr">
        <is>
          <t>SEG-01</t>
        </is>
      </c>
      <c r="E6" s="0" t="inlineStr">
        <is>
          <t>INF-08</t>
        </is>
      </c>
      <c r="F6" s="0" t="inlineStr">
        <is>
          <t>INS-01</t>
        </is>
      </c>
      <c r="G6" s="0" t="inlineStr">
        <is>
          <t>INS-04</t>
        </is>
      </c>
      <c r="H6" s="0" t="inlineStr">
        <is>
          <t>INS-06</t>
        </is>
      </c>
      <c r="I6" s="0" t="n">
        <v>200</v>
      </c>
      <c r="J6" s="0" t="n">
        <v>40</v>
      </c>
      <c r="K6" s="0" t="n">
        <v>1</v>
      </c>
      <c r="L6" s="0" t="n">
        <v>0</v>
      </c>
      <c r="M6" s="0" t="inlineStr">
        <is>
          <t>MYPE</t>
        </is>
      </c>
      <c r="N6" s="0" t="inlineStr">
        <is>
          <t>INF-03</t>
        </is>
      </c>
      <c r="O6" s="0" t="inlineStr">
        <is>
          <t>INF-06</t>
        </is>
      </c>
      <c r="P6" s="0" t="inlineStr">
        <is>
          <t>INF-09</t>
        </is>
      </c>
      <c r="Q6" s="0" t="inlineStr">
        <is>
          <t>RH-02</t>
        </is>
      </c>
      <c r="R6" s="0" t="inlineStr">
        <is>
          <t>RH-05</t>
        </is>
      </c>
      <c r="S6" s="0" t="inlineStr">
        <is>
          <t>RH-08</t>
        </is>
      </c>
      <c r="T6" s="0" t="inlineStr">
        <is>
          <t>RH-10A</t>
        </is>
      </c>
      <c r="U6" s="0" t="inlineStr">
        <is>
          <t>COM-01C</t>
        </is>
      </c>
      <c r="V6" s="0" t="inlineStr">
        <is>
          <t>FIN-01B</t>
        </is>
      </c>
      <c r="W6" s="0" t="inlineStr">
        <is>
          <t>COM-06B</t>
        </is>
      </c>
      <c r="X6" s="0" t="inlineStr"/>
      <c r="Y6" s="0" t="inlineStr"/>
      <c r="Z6" s="0" t="inlineStr"/>
      <c r="AA6" s="0" t="inlineStr"/>
      <c r="AB6" s="0" t="inlineStr"/>
      <c r="AC6" s="0" t="inlineStr"/>
      <c r="AD6" s="0" t="inlineStr"/>
      <c r="AE6" s="0" t="inlineStr"/>
      <c r="AF6" s="0">
        <f>IFERROR(INDEX('Catalogo_Numerico_sim3'!$I$2:$I$69,MATCH(N6,'Catalogo_Numerico_sim3'!$A$2:$A$69,0)),0)+IFERROR(INDEX('Catalogo_Numerico_sim3'!$I$2:$I$69,MATCH(O6,'Catalogo_Numerico_sim3'!$A$2:$A$69,0)),0)+IFERROR(INDEX('Catalogo_Numerico_sim3'!$I$2:$I$69,MATCH(P6,'Catalogo_Numerico_sim3'!$A$2:$A$69,0)),0)+IFERROR(INDEX('Catalogo_Numerico_sim3'!$I$2:$I$69,MATCH(Q6,'Catalogo_Numerico_sim3'!$A$2:$A$69,0)),0)+IFERROR(INDEX('Catalogo_Numerico_sim3'!$I$2:$I$69,MATCH(R6,'Catalogo_Numerico_sim3'!$A$2:$A$69,0)),0)+IFERROR(INDEX('Catalogo_Numerico_sim3'!$I$2:$I$69,MATCH(S6,'Catalogo_Numerico_sim3'!$A$2:$A$69,0)),0)+IFERROR(INDEX('Catalogo_Numerico_sim3'!$I$2:$I$69,MATCH(T6,'Catalogo_Numerico_sim3'!$A$2:$A$69,0)),0)+IFERROR(INDEX('Catalogo_Numerico_sim3'!$I$2:$I$69,MATCH(U6,'Catalogo_Numerico_sim3'!$A$2:$A$69,0)),0)+IFERROR(INDEX('Catalogo_Numerico_sim3'!$I$2:$I$69,MATCH(V6,'Catalogo_Numerico_sim3'!$A$2:$A$69,0)),0)+IFERROR(INDEX('Catalogo_Numerico_sim3'!$I$2:$I$69,MATCH(W6,'Catalogo_Numerico_sim3'!$A$2:$A$69,0)),0)</f>
        <v/>
      </c>
      <c r="AG6" s="0">
        <f>IFERROR(INDEX('Catalogo_Numerico_sim3'!$J$2:$J$69,MATCH(N6,'Catalogo_Numerico_sim3'!$A$2:$A$69,0)),0)+IFERROR(INDEX('Catalogo_Numerico_sim3'!$J$2:$J$69,MATCH(O6,'Catalogo_Numerico_sim3'!$A$2:$A$69,0)),0)+IFERROR(INDEX('Catalogo_Numerico_sim3'!$J$2:$J$69,MATCH(P6,'Catalogo_Numerico_sim3'!$A$2:$A$69,0)),0)+IFERROR(INDEX('Catalogo_Numerico_sim3'!$J$2:$J$69,MATCH(Q6,'Catalogo_Numerico_sim3'!$A$2:$A$69,0)),0)+IFERROR(INDEX('Catalogo_Numerico_sim3'!$J$2:$J$69,MATCH(R6,'Catalogo_Numerico_sim3'!$A$2:$A$69,0)),0)+IFERROR(INDEX('Catalogo_Numerico_sim3'!$J$2:$J$69,MATCH(S6,'Catalogo_Numerico_sim3'!$A$2:$A$69,0)),0)+IFERROR(INDEX('Catalogo_Numerico_sim3'!$J$2:$J$69,MATCH(T6,'Catalogo_Numerico_sim3'!$A$2:$A$69,0)),0)+IFERROR(INDEX('Catalogo_Numerico_sim3'!$J$2:$J$69,MATCH(U6,'Catalogo_Numerico_sim3'!$A$2:$A$69,0)),0)+IFERROR(INDEX('Catalogo_Numerico_sim3'!$J$2:$J$69,MATCH(V6,'Catalogo_Numerico_sim3'!$A$2:$A$69,0)),0)+IFERROR(INDEX('Catalogo_Numerico_sim3'!$J$2:$J$69,MATCH(W6,'Catalogo_Numerico_sim3'!$A$2:$A$69,0)),0)</f>
        <v/>
      </c>
      <c r="AH6" s="0">
        <f>IFERROR(INDEX('Catalogo_Numerico_sim3'!$K$2:$K$69,MATCH(N6,'Catalogo_Numerico_sim3'!$A$2:$A$69,0)),0)+IFERROR(INDEX('Catalogo_Numerico_sim3'!$K$2:$K$69,MATCH(O6,'Catalogo_Numerico_sim3'!$A$2:$A$69,0)),0)+IFERROR(INDEX('Catalogo_Numerico_sim3'!$K$2:$K$69,MATCH(P6,'Catalogo_Numerico_sim3'!$A$2:$A$69,0)),0)+IFERROR(INDEX('Catalogo_Numerico_sim3'!$K$2:$K$69,MATCH(Q6,'Catalogo_Numerico_sim3'!$A$2:$A$69,0)),0)+IFERROR(INDEX('Catalogo_Numerico_sim3'!$K$2:$K$69,MATCH(R6,'Catalogo_Numerico_sim3'!$A$2:$A$69,0)),0)+IFERROR(INDEX('Catalogo_Numerico_sim3'!$K$2:$K$69,MATCH(S6,'Catalogo_Numerico_sim3'!$A$2:$A$69,0)),0)+IFERROR(INDEX('Catalogo_Numerico_sim3'!$K$2:$K$69,MATCH(T6,'Catalogo_Numerico_sim3'!$A$2:$A$69,0)),0)+IFERROR(INDEX('Catalogo_Numerico_sim3'!$K$2:$K$69,MATCH(U6,'Catalogo_Numerico_sim3'!$A$2:$A$69,0)),0)+IFERROR(INDEX('Catalogo_Numerico_sim3'!$K$2:$K$69,MATCH(V6,'Catalogo_Numerico_sim3'!$A$2:$A$69,0)),0)+IFERROR(INDEX('Catalogo_Numerico_sim3'!$K$2:$K$69,MATCH(W6,'Catalogo_Numerico_sim3'!$A$2:$A$69,0)),0)</f>
        <v/>
      </c>
      <c r="AI6" s="0">
        <f>IFERROR(('Lotes_Pipeline_sim3'!H6*'Lotes_Pipeline_sim3'!J6)/I6,0)</f>
        <v/>
      </c>
      <c r="AJ6" s="0">
        <f>IF(OR(AND('Lotes_Pipeline_sim3'!C6="SEG-03",'Lotes_Pipeline_sim3'!H6&gt;0,'Lotes_Pipeline_sim3'!J6&lt;4)),-2,0)+IF(OR(AND('Lotes_Pipeline_sim3'!C6="SEG-03",'Lotes_Pipeline_sim3'!H6&gt;0,'Lotes_Pipeline_sim3'!J6&gt;=7)),2,0)</f>
        <v/>
      </c>
      <c r="AK6" s="0">
        <f>IF(AND(D6="SEG-03",I6&gt;0),IF(AI6&lt;4,0.65,IF(AI6&gt;=7,1.4,1)),1)</f>
        <v/>
      </c>
      <c r="AL6" s="0">
        <f>AG6+AJ6</f>
        <v/>
      </c>
      <c r="AM6" s="0">
        <f>IF(AL6&lt;3,AM2+1,0)</f>
        <v/>
      </c>
      <c r="AN6" s="0">
        <f>IF(AM6&gt;=2,0.8,1)</f>
        <v/>
      </c>
      <c r="AO6" s="0">
        <f>IF(AH6&lt;3,3,0)</f>
        <v/>
      </c>
      <c r="AP6" s="0" t="n">
        <v>0</v>
      </c>
      <c r="AQ6" s="0" t="n">
        <v>20</v>
      </c>
      <c r="AR6" s="0">
        <f>AQ6+AT2</f>
        <v/>
      </c>
      <c r="AS6" s="0">
        <f>AS2+AP6</f>
        <v/>
      </c>
      <c r="AT6" s="0">
        <f>IF(AP6&gt;0,AO6,MAX(AT2,AO6))</f>
        <v/>
      </c>
      <c r="AU6" s="0">
        <f>IF(AF6&lt;4,0.7,1)*IF(AND(K6=0,AF6&lt;5),0.95,1)</f>
        <v/>
      </c>
      <c r="AV6" s="0" t="n">
        <v>1</v>
      </c>
      <c r="AW6" s="0" t="n">
        <v>0</v>
      </c>
      <c r="AX6" s="0" t="n">
        <v>0</v>
      </c>
      <c r="AY6" s="0" t="n">
        <v>0</v>
      </c>
      <c r="AZ6" s="0" t="n">
        <v>0</v>
      </c>
      <c r="BA6" s="0" t="n">
        <v>0</v>
      </c>
      <c r="BB6" s="0" t="n">
        <v>0</v>
      </c>
      <c r="BC6" s="0" t="n">
        <v>0</v>
      </c>
      <c r="BD6" s="0" t="n">
        <v>0</v>
      </c>
      <c r="BE6" s="0">
        <f>AV6*5*1+AY6*7*1+BB6*9*1</f>
        <v/>
      </c>
      <c r="BF6" s="0" t="n">
        <v>1</v>
      </c>
      <c r="BG6" s="0" t="n">
        <v>0</v>
      </c>
      <c r="BH6" s="0" t="n">
        <v>0</v>
      </c>
      <c r="BI6" s="0" t="n">
        <v>0</v>
      </c>
      <c r="BJ6" s="0" t="n">
        <v>0</v>
      </c>
      <c r="BK6" s="0" t="n">
        <v>0</v>
      </c>
      <c r="BL6" s="0" t="n">
        <v>0</v>
      </c>
      <c r="BM6" s="0" t="n">
        <v>0</v>
      </c>
      <c r="BN6" s="0" t="n">
        <v>0</v>
      </c>
      <c r="BO6" s="0">
        <f>BF6*6*1+BG6*6*1.2+BH6*6*1.5+BI6*8*1+BJ6*8*1.2+BK6*8*1.5+BL6*12*1+BM6*12*1.2+BN6*12*1.5</f>
        <v/>
      </c>
      <c r="BP6" s="0" t="n">
        <v>1</v>
      </c>
      <c r="BQ6" s="0" t="n">
        <v>0</v>
      </c>
      <c r="BR6" s="0" t="n">
        <v>0</v>
      </c>
      <c r="BS6" s="0" t="n">
        <v>0</v>
      </c>
      <c r="BT6" s="0" t="n">
        <v>0</v>
      </c>
      <c r="BU6" s="0" t="n">
        <v>0</v>
      </c>
      <c r="BV6" s="0" t="n">
        <v>0</v>
      </c>
      <c r="BW6" s="0" t="n">
        <v>0</v>
      </c>
      <c r="BX6" s="0" t="n">
        <v>0</v>
      </c>
      <c r="BY6" s="0">
        <f>BP6*6*1+BQ6*6*1.2+BR6*6*1.5+BS6*7*1+BT6*7*1.2+BU6*7*1.5+BV6*10*1+BW6*10*1.2+BX6*10*1.5</f>
        <v/>
      </c>
      <c r="BZ6" s="0">
        <f>AV6+AY6+BB6+BF6+BG6+BH6+BI6+BJ6+BK6+BL6+BM6+BN6+BP6+BQ6+BR6+BS6+BT6+BU6+BV6+BW6+BX6</f>
        <v/>
      </c>
      <c r="CA6" s="0">
        <f>BB6+BL6+BM6+BN6+BV6+BW6+BX6</f>
        <v/>
      </c>
      <c r="CB6" s="0">
        <f>0.9+(BB6+BL6+BV6)*0.01+K6*0.04</f>
        <v/>
      </c>
      <c r="CC6" s="0">
        <f>MIN(BE6,BO6,BY6)</f>
        <v/>
      </c>
      <c r="CD6" s="0">
        <f>CC6*24*1</f>
        <v/>
      </c>
      <c r="CE6" s="0">
        <f>ROUND(CD6*CB6,0)</f>
        <v/>
      </c>
      <c r="CF6" s="0" t="n">
        <v>300</v>
      </c>
      <c r="CG6" s="0">
        <f>DC2+CF6</f>
        <v/>
      </c>
      <c r="CH6" s="0" t="n">
        <v>0</v>
      </c>
      <c r="CI6" s="0">
        <f>DE2+CH6</f>
        <v/>
      </c>
      <c r="CJ6" s="0" t="n">
        <v>0</v>
      </c>
      <c r="CK6" s="0">
        <f>DG2+CJ6</f>
        <v/>
      </c>
      <c r="CL6" s="0" t="n">
        <v>1000</v>
      </c>
      <c r="CM6" s="0">
        <f>DJ2+CL6</f>
        <v/>
      </c>
      <c r="CN6" s="0" t="n">
        <v>0</v>
      </c>
      <c r="CO6" s="0">
        <f>DL2+CN6</f>
        <v/>
      </c>
      <c r="CP6" s="0" t="n">
        <v>6000</v>
      </c>
      <c r="CQ6" s="0">
        <f>DO2+CP6</f>
        <v/>
      </c>
      <c r="CR6" s="0" t="n">
        <v>0</v>
      </c>
      <c r="CS6" s="0">
        <f>DQ2+CR6</f>
        <v/>
      </c>
      <c r="CT6" s="0" t="n">
        <v>0</v>
      </c>
      <c r="CU6" s="0">
        <f>DS2+CT6</f>
        <v/>
      </c>
      <c r="CV6" s="0">
        <f>(CG6)/0.3</f>
        <v/>
      </c>
      <c r="CW6" s="0">
        <f>(CM6)/1</f>
        <v/>
      </c>
      <c r="CX6" s="0">
        <f>(CQ6)/6</f>
        <v/>
      </c>
      <c r="CY6" s="0">
        <f>ROUNDDOWN(MIN(I6,CE6,CV6,CW6,CX6),0)</f>
        <v/>
      </c>
      <c r="CZ6" s="0">
        <f>'Lotes_Pipeline_sim3'!U6</f>
        <v/>
      </c>
      <c r="DA6" s="0">
        <f>DB6+DD6+DF6</f>
        <v/>
      </c>
      <c r="DB6" s="0">
        <f>'Lotes_Pipeline_sim3'!X6</f>
        <v/>
      </c>
      <c r="DC6" s="0">
        <f>CG6-DB6</f>
        <v/>
      </c>
      <c r="DD6" s="0">
        <f>'Lotes_Pipeline_sim3'!AA6</f>
        <v/>
      </c>
      <c r="DE6" s="0">
        <f>CI6-DD6</f>
        <v/>
      </c>
      <c r="DF6" s="0">
        <f>'Lotes_Pipeline_sim3'!AD6</f>
        <v/>
      </c>
      <c r="DG6" s="0">
        <f>CK6-DF6</f>
        <v/>
      </c>
      <c r="DH6" s="0">
        <f>DI6+DK6</f>
        <v/>
      </c>
      <c r="DI6" s="0">
        <f>'Lotes_Pipeline_sim3'!AG6</f>
        <v/>
      </c>
      <c r="DJ6" s="0">
        <f>CM6-DI6</f>
        <v/>
      </c>
      <c r="DK6" s="0">
        <f>'Lotes_Pipeline_sim3'!AJ6</f>
        <v/>
      </c>
      <c r="DL6" s="0">
        <f>CO6-DK6</f>
        <v/>
      </c>
      <c r="DM6" s="0">
        <f>DN6+DP6+DR6</f>
        <v/>
      </c>
      <c r="DN6" s="0">
        <f>'Lotes_Pipeline_sim3'!AM6</f>
        <v/>
      </c>
      <c r="DO6" s="0">
        <f>CQ6-DN6</f>
        <v/>
      </c>
      <c r="DP6" s="0">
        <f>'Lotes_Pipeline_sim3'!AP6</f>
        <v/>
      </c>
      <c r="DQ6" s="0">
        <f>CS6-DP6</f>
        <v/>
      </c>
      <c r="DR6" s="0">
        <f>'Lotes_Pipeline_sim3'!AS6</f>
        <v/>
      </c>
      <c r="DS6" s="0">
        <f>CU6-DR6</f>
        <v/>
      </c>
      <c r="DT6" s="0">
        <f>((AV6+AW6+AX6)*IF(M6="NO_MYPE",'Costos De Producción'!V11,'Costos De Producción'!U11)+(AY6+AZ6+BA6)*IF(M6="NO_MYPE",'Costos De Producción'!V20,'Costos De Producción'!U20)+(BB6+BC6+BD6)*IF(M6="NO_MYPE",'Costos De Producción'!V29,'Costos De Producción'!U29)+(BF6+BG6+BH6)*IF(M6="NO_MYPE",'Costos De Producción'!Z11,'Costos De Producción'!Y11)+(BI6+BJ6+BK6)*IF(M6="NO_MYPE",'Costos De Producción'!Z20,'Costos De Producción'!Y20)+(BL6+BM6+BN6)*IF(M6="NO_MYPE",'Costos De Producción'!Z29,'Costos De Producción'!Y29)+(BP6+BQ6+BR6)*IF(M6="NO_MYPE",'Costos De Producción'!AD11,'Costos De Producción'!AC11)+(BS6+BT6+BU6)*IF(M6="NO_MYPE",'Costos De Producción'!AD20,'Costos De Producción'!AC20)+(BV6+BW6+BX6)*IF(M6="NO_MYPE",'Costos De Producción'!AD29,'Costos De Producción'!AC29)+K6*IF(M6="NO_MYPE",'Costos De Producción'!V39,'Costos De Producción'!U39)+IF(M6="NO_MYPE",'Costos De Producción'!Z39,'Costos De Producción'!Y39)+'Costos De Producción'!AC33)*1</f>
        <v/>
      </c>
      <c r="DU6" s="0">
        <f>(DB6*25+DD6*45+DF6*80+DI6*4+DK6*9+DN6*2+DP6*4+DR6*7)*0.92</f>
        <v/>
      </c>
      <c r="DV6" s="0">
        <f>1*2500*0.05/12*1+1*3500*0.05/12*1+1*1200*0.05/12*1+1*300*0.05/12*1</f>
        <v/>
      </c>
      <c r="DW6" s="0">
        <f>1*(2375.0/10/12*1)+1*(3325.0/10/12*1)+1*(1140.0/8/12*1)+1*(285.0/5/12*1)</f>
        <v/>
      </c>
      <c r="DX6" s="0">
        <f>IFERROR((0)/CZ6,0)*10+IFERROR(CA6/BZ6,0)*10+(IFERROR(DF6/(DB6+DD6+DF6),0)+IFERROR(DK6/(DI6+DK6),0)+IFERROR(DR6/(DP6+DR6),0))/3*10+L6/10000*10</f>
        <v/>
      </c>
      <c r="DY6" s="0">
        <f>DX6+AJ6</f>
        <v/>
      </c>
      <c r="DZ6" s="0">
        <f>EC2+CZ6</f>
        <v/>
      </c>
      <c r="EA6" s="0" t="n">
        <v>40</v>
      </c>
      <c r="EB6" s="0" t="n">
        <v>0</v>
      </c>
      <c r="EC6" s="0">
        <f>'Lotes_Pipeline_sim3'!AY6</f>
        <v/>
      </c>
      <c r="ED6" s="0">
        <f>IF(D6="SEG-01",IFERROR(100*(_xlfn.MAXIFS($J$2:$J$13,$C$2:$C$13,C6)-J6)/(_xlfn.MAXIFS($J$2:$J$13,$C$2:$C$13,C6)-_xlfn.MINIFS($J$2:$J$13,$C$2:$C$13,C6)),100),100-ABS(J6-EB6)/EB6*100)</f>
        <v/>
      </c>
      <c r="EE6" s="0">
        <f>ROUND(MIN(100,AI6*10),0)</f>
        <v/>
      </c>
      <c r="EF6" s="0">
        <f>0.7*ED6+0.2*DY6*10+0.1*EE6</f>
        <v/>
      </c>
      <c r="EG6" s="0">
        <f>IFERROR(EF6/SUMIF($C$2:$C$13,C6,$EF$2:$EF$13),0)</f>
        <v/>
      </c>
      <c r="EH6" s="0">
        <f>'Mercados_Pipeline_sim3'!J6</f>
        <v/>
      </c>
      <c r="EI6" s="0">
        <f>'Mercados_Pipeline_sim3'!I6</f>
        <v/>
      </c>
      <c r="EJ6" s="0">
        <f>'Lotes_Pipeline_sim3'!AW6</f>
        <v/>
      </c>
      <c r="EK6" s="0">
        <f>'Lotes_Pipeline_sim3'!AX6</f>
        <v/>
      </c>
      <c r="EL6" s="0">
        <f>EC6*2</f>
        <v/>
      </c>
      <c r="EM6" s="0">
        <f>IF(I6&gt;CE6,0.25*DT6*IFERROR(MIN(1,(I6-CE6)/CE6),1),0)</f>
        <v/>
      </c>
      <c r="EN6" s="0">
        <f>0</f>
        <v/>
      </c>
      <c r="EO6" s="0">
        <f>(IFERROR(INDEX('Catalogo_Numerico_sim3'!$G$2:$G$69,MATCH("COM-01C",'Catalogo_Numerico_sim3'!$A$2:$A$69,0)),0))*1</f>
        <v/>
      </c>
      <c r="EP6" s="0">
        <f>0</f>
        <v/>
      </c>
      <c r="EQ6" s="0" t="n">
        <v>0</v>
      </c>
      <c r="ER6" s="0">
        <f>DT6+DU6+DV6+DW6+L6+EL6+EM6+EN6+EO6+EP6+EQ6</f>
        <v/>
      </c>
      <c r="ES6" s="0">
        <f>EK6-ER6</f>
        <v/>
      </c>
      <c r="ET6" s="0">
        <f>OR(AND('Lotes_Pipeline_sim3'!C6="SEG-03",'Lotes_Pipeline_sim3'!H6&gt;0,'Lotes_Pipeline_sim3'!J6&lt;4))</f>
        <v/>
      </c>
      <c r="EU6" s="0">
        <f>OR(AND('Lotes_Pipeline_sim3'!C6="SEG-03",'Lotes_Pipeline_sim3'!H6&gt;0,'Lotes_Pipeline_sim3'!J6&gt;=7))</f>
        <v/>
      </c>
      <c r="EV6" s="0">
        <f>AF6&lt;4</f>
        <v/>
      </c>
      <c r="EW6" s="0">
        <f>AM6&gt;=2</f>
        <v/>
      </c>
      <c r="EX6" s="0">
        <f>AH6&lt;3</f>
        <v/>
      </c>
      <c r="EY6" s="0">
        <f>I6&gt;CE6</f>
        <v/>
      </c>
      <c r="EZ6" s="0">
        <f>CZ6&gt;EJ6</f>
        <v/>
      </c>
      <c r="FA6" s="0">
        <f>AND(K6=0,AF6&lt;5)</f>
        <v/>
      </c>
      <c r="FB6" t="n">
        <v>1000000</v>
      </c>
      <c r="FC6">
        <f>0*2500*(1+0.03+0.02)+0*3500*(1+0.03+0.02)+0*1200*(1+0.03+0.02)+0*300*(1+0+0.01)</f>
        <v/>
      </c>
      <c r="FD6">
        <f>0*2500+0*3500+0*1200+0*300</f>
        <v/>
      </c>
      <c r="FE6">
        <f>(CF6*25+CH6*45+CJ6*80+CL6*4+CN6*9+CP6*2+CR6*4+CT6*7)*0.92</f>
        <v/>
      </c>
      <c r="FF6">
        <f>(DC6*25+DE6*45+DG6*80+DJ6*4+DL6*9+DO6*2+DQ6*4+DS6*7)*0.92</f>
        <v/>
      </c>
      <c r="FG6">
        <f>FM2</f>
        <v/>
      </c>
      <c r="FH6">
        <f>(1+AR6/100)^(1/12)-1</f>
        <v/>
      </c>
      <c r="FI6">
        <f>AS2*FJ2+AP6*FH6</f>
        <v/>
      </c>
      <c r="FJ6">
        <f>IFERROR(FI6/(AS2+AP6),0)</f>
        <v/>
      </c>
      <c r="FK6">
        <f>FI6*1</f>
        <v/>
      </c>
      <c r="FL6">
        <f>ER6-DW6-DU6+FE6+FK6</f>
        <v/>
      </c>
      <c r="FM6">
        <f>FG6+EK6+AP6-FL6-FC6</f>
        <v/>
      </c>
      <c r="FN6">
        <f>FN2+DW6</f>
        <v/>
      </c>
      <c r="FO6">
        <f>FO2+FD6</f>
        <v/>
      </c>
      <c r="FP6">
        <f>FO6-FN6</f>
        <v/>
      </c>
      <c r="FQ6">
        <f>EK6</f>
        <v/>
      </c>
      <c r="FR6">
        <f>EK6</f>
        <v/>
      </c>
      <c r="FS6">
        <f>ER6+FK6</f>
        <v/>
      </c>
      <c r="FT6">
        <f>ES6-FK6</f>
        <v/>
      </c>
      <c r="FU6">
        <f>DW6</f>
        <v/>
      </c>
      <c r="FV6">
        <f>FK6</f>
        <v/>
      </c>
      <c r="FW6">
        <f>ER6</f>
        <v/>
      </c>
      <c r="FX6">
        <f>FG6</f>
        <v/>
      </c>
      <c r="FY6">
        <f>EK6+AP6</f>
        <v/>
      </c>
      <c r="FZ6">
        <f>FL6+FC6</f>
        <v/>
      </c>
      <c r="GA6">
        <f>FM6</f>
        <v/>
      </c>
      <c r="GB6">
        <f>FG6</f>
        <v/>
      </c>
      <c r="GC6">
        <f>EK6</f>
        <v/>
      </c>
      <c r="GD6">
        <f>FL6</f>
        <v/>
      </c>
      <c r="GE6">
        <f>FC6</f>
        <v/>
      </c>
      <c r="GF6">
        <f>AP6</f>
        <v/>
      </c>
      <c r="GG6">
        <f>EK6-FL6</f>
        <v/>
      </c>
      <c r="GH6">
        <f>-FC6</f>
        <v/>
      </c>
      <c r="GI6">
        <f>FM6-FG6</f>
        <v/>
      </c>
      <c r="GJ6">
        <f>FM6</f>
        <v/>
      </c>
      <c r="GK6">
        <f>FM6</f>
        <v/>
      </c>
      <c r="GL6">
        <f>FP6</f>
        <v/>
      </c>
      <c r="GM6">
        <f>FF6</f>
        <v/>
      </c>
      <c r="GN6">
        <f>FM6+FP6+FF6</f>
        <v/>
      </c>
      <c r="GO6">
        <f>AS6</f>
        <v/>
      </c>
      <c r="GP6">
        <f>FM6+FP6+FF6-AS6</f>
        <v/>
      </c>
      <c r="GQ6">
        <f>FM6+FP6+FF6</f>
        <v/>
      </c>
      <c r="GR6">
        <f>AP6</f>
        <v/>
      </c>
      <c r="GS6">
        <f>AR6</f>
        <v/>
      </c>
      <c r="GT6">
        <f>AS6</f>
        <v/>
      </c>
      <c r="GU6">
        <f>AT6</f>
        <v/>
      </c>
      <c r="GV6">
        <f>FJ6</f>
        <v/>
      </c>
      <c r="GW6">
        <f>FK6</f>
        <v/>
      </c>
    </row>
    <row r="7">
      <c r="A7" s="0" t="n">
        <v>2</v>
      </c>
      <c r="B7" s="0" t="inlineStr">
        <is>
          <t>B</t>
        </is>
      </c>
      <c r="C7" s="0" t="inlineStr">
        <is>
          <t>2|SEG-02</t>
        </is>
      </c>
      <c r="D7" s="0" t="inlineStr">
        <is>
          <t>SEG-02</t>
        </is>
      </c>
      <c r="E7" s="0" t="inlineStr">
        <is>
          <t>INF-09</t>
        </is>
      </c>
      <c r="F7" s="0" t="inlineStr">
        <is>
          <t>INS-02</t>
        </is>
      </c>
      <c r="G7" s="0" t="inlineStr">
        <is>
          <t>INS-04</t>
        </is>
      </c>
      <c r="H7" s="0" t="inlineStr">
        <is>
          <t>INS-07</t>
        </is>
      </c>
      <c r="I7" s="0" t="n">
        <v>200</v>
      </c>
      <c r="J7" s="0" t="n">
        <v>110</v>
      </c>
      <c r="K7" s="0" t="n">
        <v>1</v>
      </c>
      <c r="L7" s="0" t="n">
        <v>6000</v>
      </c>
      <c r="M7" s="0" t="inlineStr">
        <is>
          <t>MYPE</t>
        </is>
      </c>
      <c r="N7" s="0" t="inlineStr">
        <is>
          <t>INF-03</t>
        </is>
      </c>
      <c r="O7" s="0" t="inlineStr">
        <is>
          <t>INF-06</t>
        </is>
      </c>
      <c r="P7" s="0" t="inlineStr">
        <is>
          <t>INF-09</t>
        </is>
      </c>
      <c r="Q7" s="0" t="inlineStr">
        <is>
          <t>RH-02</t>
        </is>
      </c>
      <c r="R7" s="0" t="inlineStr">
        <is>
          <t>RH-05</t>
        </is>
      </c>
      <c r="S7" s="0" t="inlineStr">
        <is>
          <t>RH-08</t>
        </is>
      </c>
      <c r="T7" s="0" t="inlineStr">
        <is>
          <t>RH-10A</t>
        </is>
      </c>
      <c r="U7" s="0" t="inlineStr">
        <is>
          <t>COM-01C</t>
        </is>
      </c>
      <c r="V7" s="0" t="inlineStr">
        <is>
          <t>FIN-01B</t>
        </is>
      </c>
      <c r="W7" s="0" t="inlineStr">
        <is>
          <t>INV-01B</t>
        </is>
      </c>
      <c r="X7" s="0" t="inlineStr">
        <is>
          <t>COM-06B</t>
        </is>
      </c>
      <c r="Y7" s="0" t="inlineStr">
        <is>
          <t>INV-02B</t>
        </is>
      </c>
      <c r="Z7" s="0" t="inlineStr"/>
      <c r="AA7" s="0" t="inlineStr"/>
      <c r="AB7" s="0" t="inlineStr"/>
      <c r="AC7" s="0" t="inlineStr"/>
      <c r="AD7" s="0" t="inlineStr"/>
      <c r="AE7" s="0" t="inlineStr"/>
      <c r="AF7" s="0">
        <f>IFERROR(INDEX('Catalogo_Numerico_sim3'!$I$2:$I$69,MATCH(N7,'Catalogo_Numerico_sim3'!$A$2:$A$69,0)),0)+IFERROR(INDEX('Catalogo_Numerico_sim3'!$I$2:$I$69,MATCH(O7,'Catalogo_Numerico_sim3'!$A$2:$A$69,0)),0)+IFERROR(INDEX('Catalogo_Numerico_sim3'!$I$2:$I$69,MATCH(P7,'Catalogo_Numerico_sim3'!$A$2:$A$69,0)),0)+IFERROR(INDEX('Catalogo_Numerico_sim3'!$I$2:$I$69,MATCH(Q7,'Catalogo_Numerico_sim3'!$A$2:$A$69,0)),0)+IFERROR(INDEX('Catalogo_Numerico_sim3'!$I$2:$I$69,MATCH(R7,'Catalogo_Numerico_sim3'!$A$2:$A$69,0)),0)+IFERROR(INDEX('Catalogo_Numerico_sim3'!$I$2:$I$69,MATCH(S7,'Catalogo_Numerico_sim3'!$A$2:$A$69,0)),0)+IFERROR(INDEX('Catalogo_Numerico_sim3'!$I$2:$I$69,MATCH(T7,'Catalogo_Numerico_sim3'!$A$2:$A$69,0)),0)+IFERROR(INDEX('Catalogo_Numerico_sim3'!$I$2:$I$69,MATCH(U7,'Catalogo_Numerico_sim3'!$A$2:$A$69,0)),0)+IFERROR(INDEX('Catalogo_Numerico_sim3'!$I$2:$I$69,MATCH(V7,'Catalogo_Numerico_sim3'!$A$2:$A$69,0)),0)+IFERROR(INDEX('Catalogo_Numerico_sim3'!$I$2:$I$69,MATCH(W7,'Catalogo_Numerico_sim3'!$A$2:$A$69,0)),0)+IFERROR(INDEX('Catalogo_Numerico_sim3'!$I$2:$I$69,MATCH(X7,'Catalogo_Numerico_sim3'!$A$2:$A$69,0)),0)+IFERROR(INDEX('Catalogo_Numerico_sim3'!$I$2:$I$69,MATCH(Y7,'Catalogo_Numerico_sim3'!$A$2:$A$69,0)),0)</f>
        <v/>
      </c>
      <c r="AG7" s="0">
        <f>IFERROR(INDEX('Catalogo_Numerico_sim3'!$J$2:$J$69,MATCH(N7,'Catalogo_Numerico_sim3'!$A$2:$A$69,0)),0)+IFERROR(INDEX('Catalogo_Numerico_sim3'!$J$2:$J$69,MATCH(O7,'Catalogo_Numerico_sim3'!$A$2:$A$69,0)),0)+IFERROR(INDEX('Catalogo_Numerico_sim3'!$J$2:$J$69,MATCH(P7,'Catalogo_Numerico_sim3'!$A$2:$A$69,0)),0)+IFERROR(INDEX('Catalogo_Numerico_sim3'!$J$2:$J$69,MATCH(Q7,'Catalogo_Numerico_sim3'!$A$2:$A$69,0)),0)+IFERROR(INDEX('Catalogo_Numerico_sim3'!$J$2:$J$69,MATCH(R7,'Catalogo_Numerico_sim3'!$A$2:$A$69,0)),0)+IFERROR(INDEX('Catalogo_Numerico_sim3'!$J$2:$J$69,MATCH(S7,'Catalogo_Numerico_sim3'!$A$2:$A$69,0)),0)+IFERROR(INDEX('Catalogo_Numerico_sim3'!$J$2:$J$69,MATCH(T7,'Catalogo_Numerico_sim3'!$A$2:$A$69,0)),0)+IFERROR(INDEX('Catalogo_Numerico_sim3'!$J$2:$J$69,MATCH(U7,'Catalogo_Numerico_sim3'!$A$2:$A$69,0)),0)+IFERROR(INDEX('Catalogo_Numerico_sim3'!$J$2:$J$69,MATCH(V7,'Catalogo_Numerico_sim3'!$A$2:$A$69,0)),0)+IFERROR(INDEX('Catalogo_Numerico_sim3'!$J$2:$J$69,MATCH(W7,'Catalogo_Numerico_sim3'!$A$2:$A$69,0)),0)+IFERROR(INDEX('Catalogo_Numerico_sim3'!$J$2:$J$69,MATCH(X7,'Catalogo_Numerico_sim3'!$A$2:$A$69,0)),0)+IFERROR(INDEX('Catalogo_Numerico_sim3'!$J$2:$J$69,MATCH(Y7,'Catalogo_Numerico_sim3'!$A$2:$A$69,0)),0)</f>
        <v/>
      </c>
      <c r="AH7" s="0">
        <f>IFERROR(INDEX('Catalogo_Numerico_sim3'!$K$2:$K$69,MATCH(N7,'Catalogo_Numerico_sim3'!$A$2:$A$69,0)),0)+IFERROR(INDEX('Catalogo_Numerico_sim3'!$K$2:$K$69,MATCH(O7,'Catalogo_Numerico_sim3'!$A$2:$A$69,0)),0)+IFERROR(INDEX('Catalogo_Numerico_sim3'!$K$2:$K$69,MATCH(P7,'Catalogo_Numerico_sim3'!$A$2:$A$69,0)),0)+IFERROR(INDEX('Catalogo_Numerico_sim3'!$K$2:$K$69,MATCH(Q7,'Catalogo_Numerico_sim3'!$A$2:$A$69,0)),0)+IFERROR(INDEX('Catalogo_Numerico_sim3'!$K$2:$K$69,MATCH(R7,'Catalogo_Numerico_sim3'!$A$2:$A$69,0)),0)+IFERROR(INDEX('Catalogo_Numerico_sim3'!$K$2:$K$69,MATCH(S7,'Catalogo_Numerico_sim3'!$A$2:$A$69,0)),0)+IFERROR(INDEX('Catalogo_Numerico_sim3'!$K$2:$K$69,MATCH(T7,'Catalogo_Numerico_sim3'!$A$2:$A$69,0)),0)+IFERROR(INDEX('Catalogo_Numerico_sim3'!$K$2:$K$69,MATCH(U7,'Catalogo_Numerico_sim3'!$A$2:$A$69,0)),0)+IFERROR(INDEX('Catalogo_Numerico_sim3'!$K$2:$K$69,MATCH(V7,'Catalogo_Numerico_sim3'!$A$2:$A$69,0)),0)+IFERROR(INDEX('Catalogo_Numerico_sim3'!$K$2:$K$69,MATCH(W7,'Catalogo_Numerico_sim3'!$A$2:$A$69,0)),0)+IFERROR(INDEX('Catalogo_Numerico_sim3'!$K$2:$K$69,MATCH(X7,'Catalogo_Numerico_sim3'!$A$2:$A$69,0)),0)+IFERROR(INDEX('Catalogo_Numerico_sim3'!$K$2:$K$69,MATCH(Y7,'Catalogo_Numerico_sim3'!$A$2:$A$69,0)),0)</f>
        <v/>
      </c>
      <c r="AI7" s="0">
        <f>IFERROR(('Lotes_Pipeline_sim3'!H7*'Lotes_Pipeline_sim3'!J7)/I7,0)</f>
        <v/>
      </c>
      <c r="AJ7" s="0">
        <f>IF(OR(AND('Lotes_Pipeline_sim3'!C7="SEG-03",'Lotes_Pipeline_sim3'!H7&gt;0,'Lotes_Pipeline_sim3'!J7&lt;4)),-2,0)+IF(OR(AND('Lotes_Pipeline_sim3'!C7="SEG-03",'Lotes_Pipeline_sim3'!H7&gt;0,'Lotes_Pipeline_sim3'!J7&gt;=7)),2,0)</f>
        <v/>
      </c>
      <c r="AK7" s="0">
        <f>IF(AND(D7="SEG-03",I7&gt;0),IF(AI7&lt;4,0.65,IF(AI7&gt;=7,1.4,1)),1)</f>
        <v/>
      </c>
      <c r="AL7" s="0">
        <f>AG7+AJ7</f>
        <v/>
      </c>
      <c r="AM7" s="0">
        <f>IF(AL7&lt;3,AM3+1,0)</f>
        <v/>
      </c>
      <c r="AN7" s="0">
        <f>IF(AM7&gt;=2,0.8,1)</f>
        <v/>
      </c>
      <c r="AO7" s="0">
        <f>IF(AH7&lt;3,3,0)</f>
        <v/>
      </c>
      <c r="AP7" s="0" t="n">
        <v>0</v>
      </c>
      <c r="AQ7" s="0" t="n">
        <v>20</v>
      </c>
      <c r="AR7" s="0">
        <f>AQ7+AT3</f>
        <v/>
      </c>
      <c r="AS7" s="0">
        <f>AS3+AP7</f>
        <v/>
      </c>
      <c r="AT7" s="0">
        <f>IF(AP7&gt;0,AO7,MAX(AT3,AO7))</f>
        <v/>
      </c>
      <c r="AU7" s="0">
        <f>IF(AF7&lt;4,0.7,1)*IF(AND(K7=0,AF7&lt;5),0.95,1)</f>
        <v/>
      </c>
      <c r="AV7" s="0" t="n">
        <v>1</v>
      </c>
      <c r="AW7" s="0" t="n">
        <v>0</v>
      </c>
      <c r="AX7" s="0" t="n">
        <v>0</v>
      </c>
      <c r="AY7" s="0" t="n">
        <v>0</v>
      </c>
      <c r="AZ7" s="0" t="n">
        <v>0</v>
      </c>
      <c r="BA7" s="0" t="n">
        <v>0</v>
      </c>
      <c r="BB7" s="0" t="n">
        <v>0</v>
      </c>
      <c r="BC7" s="0" t="n">
        <v>0</v>
      </c>
      <c r="BD7" s="0" t="n">
        <v>0</v>
      </c>
      <c r="BE7" s="0">
        <f>AV7*5*1+AY7*7*1+BB7*9*1</f>
        <v/>
      </c>
      <c r="BF7" s="0" t="n">
        <v>1</v>
      </c>
      <c r="BG7" s="0" t="n">
        <v>0</v>
      </c>
      <c r="BH7" s="0" t="n">
        <v>0</v>
      </c>
      <c r="BI7" s="0" t="n">
        <v>0</v>
      </c>
      <c r="BJ7" s="0" t="n">
        <v>0</v>
      </c>
      <c r="BK7" s="0" t="n">
        <v>0</v>
      </c>
      <c r="BL7" s="0" t="n">
        <v>0</v>
      </c>
      <c r="BM7" s="0" t="n">
        <v>0</v>
      </c>
      <c r="BN7" s="0" t="n">
        <v>0</v>
      </c>
      <c r="BO7" s="0">
        <f>BF7*6*1+BG7*6*1.2+BH7*6*1.5+BI7*8*1+BJ7*8*1.2+BK7*8*1.5+BL7*12*1+BM7*12*1.2+BN7*12*1.5</f>
        <v/>
      </c>
      <c r="BP7" s="0" t="n">
        <v>1</v>
      </c>
      <c r="BQ7" s="0" t="n">
        <v>0</v>
      </c>
      <c r="BR7" s="0" t="n">
        <v>0</v>
      </c>
      <c r="BS7" s="0" t="n">
        <v>0</v>
      </c>
      <c r="BT7" s="0" t="n">
        <v>0</v>
      </c>
      <c r="BU7" s="0" t="n">
        <v>0</v>
      </c>
      <c r="BV7" s="0" t="n">
        <v>0</v>
      </c>
      <c r="BW7" s="0" t="n">
        <v>0</v>
      </c>
      <c r="BX7" s="0" t="n">
        <v>0</v>
      </c>
      <c r="BY7" s="0">
        <f>BP7*6*1+BQ7*6*1.2+BR7*6*1.5+BS7*7*1+BT7*7*1.2+BU7*7*1.5+BV7*10*1+BW7*10*1.2+BX7*10*1.5</f>
        <v/>
      </c>
      <c r="BZ7" s="0">
        <f>AV7+AY7+BB7+BF7+BG7+BH7+BI7+BJ7+BK7+BL7+BM7+BN7+BP7+BQ7+BR7+BS7+BT7+BU7+BV7+BW7+BX7</f>
        <v/>
      </c>
      <c r="CA7" s="0">
        <f>BB7+BL7+BM7+BN7+BV7+BW7+BX7</f>
        <v/>
      </c>
      <c r="CB7" s="0">
        <f>0.9+(BB7+BL7+BV7)*0.01+K7*0.04</f>
        <v/>
      </c>
      <c r="CC7" s="0">
        <f>MIN(BE7,BO7,BY7)</f>
        <v/>
      </c>
      <c r="CD7" s="0">
        <f>CC7*24*1.08</f>
        <v/>
      </c>
      <c r="CE7" s="0">
        <f>ROUND(CD7*CB7,0)</f>
        <v/>
      </c>
      <c r="CF7" s="0" t="n">
        <v>0</v>
      </c>
      <c r="CG7" s="0">
        <f>DC3+CF7</f>
        <v/>
      </c>
      <c r="CH7" s="0" t="n">
        <v>300</v>
      </c>
      <c r="CI7" s="0">
        <f>DE3+CH7</f>
        <v/>
      </c>
      <c r="CJ7" s="0" t="n">
        <v>0</v>
      </c>
      <c r="CK7" s="0">
        <f>DG3+CJ7</f>
        <v/>
      </c>
      <c r="CL7" s="0" t="n">
        <v>1000</v>
      </c>
      <c r="CM7" s="0">
        <f>DJ3+CL7</f>
        <v/>
      </c>
      <c r="CN7" s="0" t="n">
        <v>0</v>
      </c>
      <c r="CO7" s="0">
        <f>DL3+CN7</f>
        <v/>
      </c>
      <c r="CP7" s="0" t="n">
        <v>0</v>
      </c>
      <c r="CQ7" s="0">
        <f>DO3+CP7</f>
        <v/>
      </c>
      <c r="CR7" s="0" t="n">
        <v>6000</v>
      </c>
      <c r="CS7" s="0">
        <f>DQ3+CR7</f>
        <v/>
      </c>
      <c r="CT7" s="0" t="n">
        <v>0</v>
      </c>
      <c r="CU7" s="0">
        <f>DS3+CT7</f>
        <v/>
      </c>
      <c r="CV7" s="0">
        <f>(CI7)/0.4</f>
        <v/>
      </c>
      <c r="CW7" s="0">
        <f>(CM7)/1</f>
        <v/>
      </c>
      <c r="CX7" s="0">
        <f>(CS7)/7</f>
        <v/>
      </c>
      <c r="CY7" s="0">
        <f>ROUNDDOWN(MIN(I7,CE7,CV7,CW7,CX7),0)</f>
        <v/>
      </c>
      <c r="CZ7" s="0">
        <f>'Lotes_Pipeline_sim3'!U7</f>
        <v/>
      </c>
      <c r="DA7" s="0">
        <f>DB7+DD7+DF7</f>
        <v/>
      </c>
      <c r="DB7" s="0">
        <f>'Lotes_Pipeline_sim3'!X7</f>
        <v/>
      </c>
      <c r="DC7" s="0">
        <f>CG7-DB7</f>
        <v/>
      </c>
      <c r="DD7" s="0">
        <f>'Lotes_Pipeline_sim3'!AA7</f>
        <v/>
      </c>
      <c r="DE7" s="0">
        <f>CI7-DD7</f>
        <v/>
      </c>
      <c r="DF7" s="0">
        <f>'Lotes_Pipeline_sim3'!AD7</f>
        <v/>
      </c>
      <c r="DG7" s="0">
        <f>CK7-DF7</f>
        <v/>
      </c>
      <c r="DH7" s="0">
        <f>DI7+DK7</f>
        <v/>
      </c>
      <c r="DI7" s="0">
        <f>'Lotes_Pipeline_sim3'!AG7</f>
        <v/>
      </c>
      <c r="DJ7" s="0">
        <f>CM7-DI7</f>
        <v/>
      </c>
      <c r="DK7" s="0">
        <f>'Lotes_Pipeline_sim3'!AJ7</f>
        <v/>
      </c>
      <c r="DL7" s="0">
        <f>CO7-DK7</f>
        <v/>
      </c>
      <c r="DM7" s="0">
        <f>DN7+DP7+DR7</f>
        <v/>
      </c>
      <c r="DN7" s="0">
        <f>'Lotes_Pipeline_sim3'!AM7</f>
        <v/>
      </c>
      <c r="DO7" s="0">
        <f>CQ7-DN7</f>
        <v/>
      </c>
      <c r="DP7" s="0">
        <f>'Lotes_Pipeline_sim3'!AP7</f>
        <v/>
      </c>
      <c r="DQ7" s="0">
        <f>CS7-DP7</f>
        <v/>
      </c>
      <c r="DR7" s="0">
        <f>'Lotes_Pipeline_sim3'!AS7</f>
        <v/>
      </c>
      <c r="DS7" s="0">
        <f>CU7-DR7</f>
        <v/>
      </c>
      <c r="DT7" s="0">
        <f>((AV7+AW7+AX7)*IF(M7="NO_MYPE",'Costos De Producción'!V11,'Costos De Producción'!U11)+(AY7+AZ7+BA7)*IF(M7="NO_MYPE",'Costos De Producción'!V20,'Costos De Producción'!U20)+(BB7+BC7+BD7)*IF(M7="NO_MYPE",'Costos De Producción'!V29,'Costos De Producción'!U29)+(BF7+BG7+BH7)*IF(M7="NO_MYPE",'Costos De Producción'!Z11,'Costos De Producción'!Y11)+(BI7+BJ7+BK7)*IF(M7="NO_MYPE",'Costos De Producción'!Z20,'Costos De Producción'!Y20)+(BL7+BM7+BN7)*IF(M7="NO_MYPE",'Costos De Producción'!Z29,'Costos De Producción'!Y29)+(BP7+BQ7+BR7)*IF(M7="NO_MYPE",'Costos De Producción'!AD11,'Costos De Producción'!AC11)+(BS7+BT7+BU7)*IF(M7="NO_MYPE",'Costos De Producción'!AD20,'Costos De Producción'!AC20)+(BV7+BW7+BX7)*IF(M7="NO_MYPE",'Costos De Producción'!AD29,'Costos De Producción'!AC29)+K7*IF(M7="NO_MYPE",'Costos De Producción'!V39,'Costos De Producción'!U39)+IF(M7="NO_MYPE",'Costos De Producción'!Z39,'Costos De Producción'!Y39)+'Costos De Producción'!AC33)*1</f>
        <v/>
      </c>
      <c r="DU7" s="0">
        <f>(DB7*25+DD7*45+DF7*80+DI7*4+DK7*9+DN7*2+DP7*4+DR7*7)*0.92</f>
        <v/>
      </c>
      <c r="DV7" s="0">
        <f>1*2500*0.05/12*1+1*3500*0.05/12*1+1*1200*0.05/12*1+1*300*0.05/12*1</f>
        <v/>
      </c>
      <c r="DW7" s="0">
        <f>1*(2375.0/10/12*1)+1*(3325.0/10/12*1)+1*(1140.0/8/12*1)+1*(285.0/5/12*1)</f>
        <v/>
      </c>
      <c r="DX7" s="0">
        <f>IFERROR((0)/CZ7,0)*10+IFERROR(CA7/BZ7,0)*10+(IFERROR(DF7/(DB7+DD7+DF7),0)+IFERROR(DK7/(DI7+DK7),0)+IFERROR(DR7/(DP7+DR7),0))/3*10+L7/10000*10</f>
        <v/>
      </c>
      <c r="DY7" s="0">
        <f>DX7+AJ7</f>
        <v/>
      </c>
      <c r="DZ7" s="0">
        <f>EC3+CZ7</f>
        <v/>
      </c>
      <c r="EA7" s="0" t="n">
        <v>40</v>
      </c>
      <c r="EB7" s="0" t="n">
        <v>100</v>
      </c>
      <c r="EC7" s="0">
        <f>'Lotes_Pipeline_sim3'!AY7</f>
        <v/>
      </c>
      <c r="ED7" s="0">
        <f>IF(D7="SEG-01",IFERROR(100*(_xlfn.MAXIFS($J$2:$J$13,$C$2:$C$13,C7)-J7)/(_xlfn.MAXIFS($J$2:$J$13,$C$2:$C$13,C7)-_xlfn.MINIFS($J$2:$J$13,$C$2:$C$13,C7)),100),100-ABS(J7-EB7)/EB7*100)</f>
        <v/>
      </c>
      <c r="EE7" s="0">
        <f>ROUND(MIN(100,AI7*10),0)</f>
        <v/>
      </c>
      <c r="EF7" s="0">
        <f>0.4*ED7+0.35*DY7*10+0.25*EE7</f>
        <v/>
      </c>
      <c r="EG7" s="0">
        <f>IFERROR(EF7/SUMIF($C$2:$C$13,C7,$EF$2:$EF$13),0)</f>
        <v/>
      </c>
      <c r="EH7" s="0">
        <f>'Mercados_Pipeline_sim3'!J7</f>
        <v/>
      </c>
      <c r="EI7" s="0">
        <f>'Mercados_Pipeline_sim3'!I7</f>
        <v/>
      </c>
      <c r="EJ7" s="0">
        <f>'Lotes_Pipeline_sim3'!AW7</f>
        <v/>
      </c>
      <c r="EK7" s="0">
        <f>'Lotes_Pipeline_sim3'!AX7</f>
        <v/>
      </c>
      <c r="EL7" s="0">
        <f>EC7*2</f>
        <v/>
      </c>
      <c r="EM7" s="0">
        <f>IF(I7&gt;CE7,0.25*DT7*IFERROR(MIN(1,(I7-CE7)/CE7),1),0)</f>
        <v/>
      </c>
      <c r="EN7" s="0">
        <f>0</f>
        <v/>
      </c>
      <c r="EO7" s="0">
        <f>(IFERROR(INDEX('Catalogo_Numerico_sim3'!$G$2:$G$69,MATCH("COM-01C",'Catalogo_Numerico_sim3'!$A$2:$A$69,0)),0)+IFERROR(INDEX('Catalogo_Numerico_sim3'!$G$2:$G$69,MATCH("INV-01B",'Catalogo_Numerico_sim3'!$A$2:$A$69,0)),0))*1</f>
        <v/>
      </c>
      <c r="EP7" s="0">
        <f>0</f>
        <v/>
      </c>
      <c r="EQ7" s="0" t="n">
        <v>0</v>
      </c>
      <c r="ER7" s="0">
        <f>DT7+DU7+DV7+DW7+L7+EL7+EM7+EN7+EO7+EP7+EQ7</f>
        <v/>
      </c>
      <c r="ES7" s="0">
        <f>EK7-ER7</f>
        <v/>
      </c>
      <c r="ET7" s="0">
        <f>OR(AND('Lotes_Pipeline_sim3'!C7="SEG-03",'Lotes_Pipeline_sim3'!H7&gt;0,'Lotes_Pipeline_sim3'!J7&lt;4))</f>
        <v/>
      </c>
      <c r="EU7" s="0">
        <f>OR(AND('Lotes_Pipeline_sim3'!C7="SEG-03",'Lotes_Pipeline_sim3'!H7&gt;0,'Lotes_Pipeline_sim3'!J7&gt;=7))</f>
        <v/>
      </c>
      <c r="EV7" s="0">
        <f>AF7&lt;4</f>
        <v/>
      </c>
      <c r="EW7" s="0">
        <f>AM7&gt;=2</f>
        <v/>
      </c>
      <c r="EX7" s="0">
        <f>AH7&lt;3</f>
        <v/>
      </c>
      <c r="EY7" s="0">
        <f>I7&gt;CE7</f>
        <v/>
      </c>
      <c r="EZ7" s="0">
        <f>CZ7&gt;EJ7</f>
        <v/>
      </c>
      <c r="FA7" s="0">
        <f>AND(K7=0,AF7&lt;5)</f>
        <v/>
      </c>
      <c r="FB7" t="n">
        <v>1000000</v>
      </c>
      <c r="FC7">
        <f>0*2500*(1+0.03+0.02)+0*3500*(1+0.03+0.02)+0*1200*(1+0.03+0.02)+0*300*(1+0+0.01)</f>
        <v/>
      </c>
      <c r="FD7">
        <f>0*2500+0*3500+0*1200+0*300</f>
        <v/>
      </c>
      <c r="FE7">
        <f>(CF7*25+CH7*45+CJ7*80+CL7*4+CN7*9+CP7*2+CR7*4+CT7*7)*0.92</f>
        <v/>
      </c>
      <c r="FF7">
        <f>(DC7*25+DE7*45+DG7*80+DJ7*4+DL7*9+DO7*2+DQ7*4+DS7*7)*0.92</f>
        <v/>
      </c>
      <c r="FG7">
        <f>FM3</f>
        <v/>
      </c>
      <c r="FH7">
        <f>(1+AR7/100)^(1/12)-1</f>
        <v/>
      </c>
      <c r="FI7">
        <f>AS3*FJ3+AP7*FH7</f>
        <v/>
      </c>
      <c r="FJ7">
        <f>IFERROR(FI7/(AS3+AP7),0)</f>
        <v/>
      </c>
      <c r="FK7">
        <f>FI7*1</f>
        <v/>
      </c>
      <c r="FL7">
        <f>ER7-DW7-DU7+FE7+FK7</f>
        <v/>
      </c>
      <c r="FM7">
        <f>FG7+EK7+AP7-FL7-FC7</f>
        <v/>
      </c>
      <c r="FN7">
        <f>FN3+DW7</f>
        <v/>
      </c>
      <c r="FO7">
        <f>FO3+FD7</f>
        <v/>
      </c>
      <c r="FP7">
        <f>FO7-FN7</f>
        <v/>
      </c>
      <c r="FQ7">
        <f>EK7</f>
        <v/>
      </c>
      <c r="FR7">
        <f>EK7</f>
        <v/>
      </c>
      <c r="FS7">
        <f>ER7+FK7</f>
        <v/>
      </c>
      <c r="FT7">
        <f>ES7-FK7</f>
        <v/>
      </c>
      <c r="FU7">
        <f>DW7</f>
        <v/>
      </c>
      <c r="FV7">
        <f>FK7</f>
        <v/>
      </c>
      <c r="FW7">
        <f>ER7</f>
        <v/>
      </c>
      <c r="FX7">
        <f>FG7</f>
        <v/>
      </c>
      <c r="FY7">
        <f>EK7+AP7</f>
        <v/>
      </c>
      <c r="FZ7">
        <f>FL7+FC7</f>
        <v/>
      </c>
      <c r="GA7">
        <f>FM7</f>
        <v/>
      </c>
      <c r="GB7">
        <f>FG7</f>
        <v/>
      </c>
      <c r="GC7">
        <f>EK7</f>
        <v/>
      </c>
      <c r="GD7">
        <f>FL7</f>
        <v/>
      </c>
      <c r="GE7">
        <f>FC7</f>
        <v/>
      </c>
      <c r="GF7">
        <f>AP7</f>
        <v/>
      </c>
      <c r="GG7">
        <f>EK7-FL7</f>
        <v/>
      </c>
      <c r="GH7">
        <f>-FC7</f>
        <v/>
      </c>
      <c r="GI7">
        <f>FM7-FG7</f>
        <v/>
      </c>
      <c r="GJ7">
        <f>FM7</f>
        <v/>
      </c>
      <c r="GK7">
        <f>FM7</f>
        <v/>
      </c>
      <c r="GL7">
        <f>FP7</f>
        <v/>
      </c>
      <c r="GM7">
        <f>FF7</f>
        <v/>
      </c>
      <c r="GN7">
        <f>FM7+FP7+FF7</f>
        <v/>
      </c>
      <c r="GO7">
        <f>AS7</f>
        <v/>
      </c>
      <c r="GP7">
        <f>FM7+FP7+FF7-AS7</f>
        <v/>
      </c>
      <c r="GQ7">
        <f>FM7+FP7+FF7</f>
        <v/>
      </c>
      <c r="GR7">
        <f>AP7</f>
        <v/>
      </c>
      <c r="GS7">
        <f>AR7</f>
        <v/>
      </c>
      <c r="GT7">
        <f>AS7</f>
        <v/>
      </c>
      <c r="GU7">
        <f>AT7</f>
        <v/>
      </c>
      <c r="GV7">
        <f>FJ7</f>
        <v/>
      </c>
      <c r="GW7">
        <f>FK7</f>
        <v/>
      </c>
    </row>
    <row r="8">
      <c r="A8" s="0" t="n">
        <v>2</v>
      </c>
      <c r="B8" s="0" t="inlineStr">
        <is>
          <t>C</t>
        </is>
      </c>
      <c r="C8" s="0" t="inlineStr">
        <is>
          <t>2|SEG-03</t>
        </is>
      </c>
      <c r="D8" s="0" t="inlineStr">
        <is>
          <t>SEG-03</t>
        </is>
      </c>
      <c r="E8" s="0" t="inlineStr">
        <is>
          <t>INF-10</t>
        </is>
      </c>
      <c r="F8" s="0" t="inlineStr">
        <is>
          <t>INS-03</t>
        </is>
      </c>
      <c r="G8" s="0" t="inlineStr">
        <is>
          <t>INS-05</t>
        </is>
      </c>
      <c r="H8" s="0" t="inlineStr">
        <is>
          <t>INS-08</t>
        </is>
      </c>
      <c r="I8" s="0" t="n">
        <v>200</v>
      </c>
      <c r="J8" s="0" t="n">
        <v>260</v>
      </c>
      <c r="K8" s="0" t="n">
        <v>1</v>
      </c>
      <c r="L8" s="0" t="n">
        <v>6000</v>
      </c>
      <c r="M8" s="0" t="inlineStr">
        <is>
          <t>NO_MYPE</t>
        </is>
      </c>
      <c r="N8" s="0" t="inlineStr">
        <is>
          <t>INF-03</t>
        </is>
      </c>
      <c r="O8" s="0" t="inlineStr">
        <is>
          <t>INF-06</t>
        </is>
      </c>
      <c r="P8" s="0" t="inlineStr">
        <is>
          <t>INF-09</t>
        </is>
      </c>
      <c r="Q8" s="0" t="inlineStr">
        <is>
          <t>RH-02</t>
        </is>
      </c>
      <c r="R8" s="0" t="inlineStr">
        <is>
          <t>RH-05</t>
        </is>
      </c>
      <c r="S8" s="0" t="inlineStr">
        <is>
          <t>RH-08</t>
        </is>
      </c>
      <c r="T8" s="0" t="inlineStr">
        <is>
          <t>RH-10A</t>
        </is>
      </c>
      <c r="U8" s="0" t="inlineStr">
        <is>
          <t>COM-01C</t>
        </is>
      </c>
      <c r="V8" s="0" t="inlineStr">
        <is>
          <t>FIN-01B</t>
        </is>
      </c>
      <c r="W8" s="0" t="inlineStr">
        <is>
          <t>INV-01B</t>
        </is>
      </c>
      <c r="X8" s="0" t="inlineStr">
        <is>
          <t>COM-06C</t>
        </is>
      </c>
      <c r="Y8" s="0" t="inlineStr">
        <is>
          <t>INV-02B</t>
        </is>
      </c>
      <c r="Z8" s="0" t="inlineStr"/>
      <c r="AA8" s="0" t="inlineStr"/>
      <c r="AB8" s="0" t="inlineStr"/>
      <c r="AC8" s="0" t="inlineStr"/>
      <c r="AD8" s="0" t="inlineStr"/>
      <c r="AE8" s="0" t="inlineStr"/>
      <c r="AF8" s="0">
        <f>IFERROR(INDEX('Catalogo_Numerico_sim3'!$I$2:$I$69,MATCH(N8,'Catalogo_Numerico_sim3'!$A$2:$A$69,0)),0)+IFERROR(INDEX('Catalogo_Numerico_sim3'!$I$2:$I$69,MATCH(O8,'Catalogo_Numerico_sim3'!$A$2:$A$69,0)),0)+IFERROR(INDEX('Catalogo_Numerico_sim3'!$I$2:$I$69,MATCH(P8,'Catalogo_Numerico_sim3'!$A$2:$A$69,0)),0)+IFERROR(INDEX('Catalogo_Numerico_sim3'!$I$2:$I$69,MATCH(Q8,'Catalogo_Numerico_sim3'!$A$2:$A$69,0)),0)+IFERROR(INDEX('Catalogo_Numerico_sim3'!$I$2:$I$69,MATCH(R8,'Catalogo_Numerico_sim3'!$A$2:$A$69,0)),0)+IFERROR(INDEX('Catalogo_Numerico_sim3'!$I$2:$I$69,MATCH(S8,'Catalogo_Numerico_sim3'!$A$2:$A$69,0)),0)+IFERROR(INDEX('Catalogo_Numerico_sim3'!$I$2:$I$69,MATCH(T8,'Catalogo_Numerico_sim3'!$A$2:$A$69,0)),0)+IFERROR(INDEX('Catalogo_Numerico_sim3'!$I$2:$I$69,MATCH(U8,'Catalogo_Numerico_sim3'!$A$2:$A$69,0)),0)+IFERROR(INDEX('Catalogo_Numerico_sim3'!$I$2:$I$69,MATCH(V8,'Catalogo_Numerico_sim3'!$A$2:$A$69,0)),0)+IFERROR(INDEX('Catalogo_Numerico_sim3'!$I$2:$I$69,MATCH(W8,'Catalogo_Numerico_sim3'!$A$2:$A$69,0)),0)+IFERROR(INDEX('Catalogo_Numerico_sim3'!$I$2:$I$69,MATCH(X8,'Catalogo_Numerico_sim3'!$A$2:$A$69,0)),0)+IFERROR(INDEX('Catalogo_Numerico_sim3'!$I$2:$I$69,MATCH(Y8,'Catalogo_Numerico_sim3'!$A$2:$A$69,0)),0)</f>
        <v/>
      </c>
      <c r="AG8" s="0">
        <f>IFERROR(INDEX('Catalogo_Numerico_sim3'!$J$2:$J$69,MATCH(N8,'Catalogo_Numerico_sim3'!$A$2:$A$69,0)),0)+IFERROR(INDEX('Catalogo_Numerico_sim3'!$J$2:$J$69,MATCH(O8,'Catalogo_Numerico_sim3'!$A$2:$A$69,0)),0)+IFERROR(INDEX('Catalogo_Numerico_sim3'!$J$2:$J$69,MATCH(P8,'Catalogo_Numerico_sim3'!$A$2:$A$69,0)),0)+IFERROR(INDEX('Catalogo_Numerico_sim3'!$J$2:$J$69,MATCH(Q8,'Catalogo_Numerico_sim3'!$A$2:$A$69,0)),0)+IFERROR(INDEX('Catalogo_Numerico_sim3'!$J$2:$J$69,MATCH(R8,'Catalogo_Numerico_sim3'!$A$2:$A$69,0)),0)+IFERROR(INDEX('Catalogo_Numerico_sim3'!$J$2:$J$69,MATCH(S8,'Catalogo_Numerico_sim3'!$A$2:$A$69,0)),0)+IFERROR(INDEX('Catalogo_Numerico_sim3'!$J$2:$J$69,MATCH(T8,'Catalogo_Numerico_sim3'!$A$2:$A$69,0)),0)+IFERROR(INDEX('Catalogo_Numerico_sim3'!$J$2:$J$69,MATCH(U8,'Catalogo_Numerico_sim3'!$A$2:$A$69,0)),0)+IFERROR(INDEX('Catalogo_Numerico_sim3'!$J$2:$J$69,MATCH(V8,'Catalogo_Numerico_sim3'!$A$2:$A$69,0)),0)+IFERROR(INDEX('Catalogo_Numerico_sim3'!$J$2:$J$69,MATCH(W8,'Catalogo_Numerico_sim3'!$A$2:$A$69,0)),0)+IFERROR(INDEX('Catalogo_Numerico_sim3'!$J$2:$J$69,MATCH(X8,'Catalogo_Numerico_sim3'!$A$2:$A$69,0)),0)+IFERROR(INDEX('Catalogo_Numerico_sim3'!$J$2:$J$69,MATCH(Y8,'Catalogo_Numerico_sim3'!$A$2:$A$69,0)),0)</f>
        <v/>
      </c>
      <c r="AH8" s="0">
        <f>IFERROR(INDEX('Catalogo_Numerico_sim3'!$K$2:$K$69,MATCH(N8,'Catalogo_Numerico_sim3'!$A$2:$A$69,0)),0)+IFERROR(INDEX('Catalogo_Numerico_sim3'!$K$2:$K$69,MATCH(O8,'Catalogo_Numerico_sim3'!$A$2:$A$69,0)),0)+IFERROR(INDEX('Catalogo_Numerico_sim3'!$K$2:$K$69,MATCH(P8,'Catalogo_Numerico_sim3'!$A$2:$A$69,0)),0)+IFERROR(INDEX('Catalogo_Numerico_sim3'!$K$2:$K$69,MATCH(Q8,'Catalogo_Numerico_sim3'!$A$2:$A$69,0)),0)+IFERROR(INDEX('Catalogo_Numerico_sim3'!$K$2:$K$69,MATCH(R8,'Catalogo_Numerico_sim3'!$A$2:$A$69,0)),0)+IFERROR(INDEX('Catalogo_Numerico_sim3'!$K$2:$K$69,MATCH(S8,'Catalogo_Numerico_sim3'!$A$2:$A$69,0)),0)+IFERROR(INDEX('Catalogo_Numerico_sim3'!$K$2:$K$69,MATCH(T8,'Catalogo_Numerico_sim3'!$A$2:$A$69,0)),0)+IFERROR(INDEX('Catalogo_Numerico_sim3'!$K$2:$K$69,MATCH(U8,'Catalogo_Numerico_sim3'!$A$2:$A$69,0)),0)+IFERROR(INDEX('Catalogo_Numerico_sim3'!$K$2:$K$69,MATCH(V8,'Catalogo_Numerico_sim3'!$A$2:$A$69,0)),0)+IFERROR(INDEX('Catalogo_Numerico_sim3'!$K$2:$K$69,MATCH(W8,'Catalogo_Numerico_sim3'!$A$2:$A$69,0)),0)+IFERROR(INDEX('Catalogo_Numerico_sim3'!$K$2:$K$69,MATCH(X8,'Catalogo_Numerico_sim3'!$A$2:$A$69,0)),0)+IFERROR(INDEX('Catalogo_Numerico_sim3'!$K$2:$K$69,MATCH(Y8,'Catalogo_Numerico_sim3'!$A$2:$A$69,0)),0)</f>
        <v/>
      </c>
      <c r="AI8" s="0">
        <f>IFERROR(('Lotes_Pipeline_sim3'!H8*'Lotes_Pipeline_sim3'!J8)/I8,0)</f>
        <v/>
      </c>
      <c r="AJ8" s="0">
        <f>IF(OR(AND('Lotes_Pipeline_sim3'!C8="SEG-03",'Lotes_Pipeline_sim3'!H8&gt;0,'Lotes_Pipeline_sim3'!J8&lt;4)),-2,0)+IF(OR(AND('Lotes_Pipeline_sim3'!C8="SEG-03",'Lotes_Pipeline_sim3'!H8&gt;0,'Lotes_Pipeline_sim3'!J8&gt;=7)),2,0)</f>
        <v/>
      </c>
      <c r="AK8" s="0">
        <f>IF(AND(D8="SEG-03",I8&gt;0),IF(AI8&lt;4,0.65,IF(AI8&gt;=7,1.4,1)),1)</f>
        <v/>
      </c>
      <c r="AL8" s="0">
        <f>AG8+AJ8</f>
        <v/>
      </c>
      <c r="AM8" s="0">
        <f>IF(AL8&lt;3,AM4+1,0)</f>
        <v/>
      </c>
      <c r="AN8" s="0">
        <f>IF(AM8&gt;=2,0.8,1)</f>
        <v/>
      </c>
      <c r="AO8" s="0">
        <f>IF(AH8&lt;3,3,0)</f>
        <v/>
      </c>
      <c r="AP8" s="0" t="n">
        <v>0</v>
      </c>
      <c r="AQ8" s="0" t="n">
        <v>20</v>
      </c>
      <c r="AR8" s="0">
        <f>AQ8+AT4</f>
        <v/>
      </c>
      <c r="AS8" s="0">
        <f>AS4+AP8</f>
        <v/>
      </c>
      <c r="AT8" s="0">
        <f>IF(AP8&gt;0,AO8,MAX(AT4,AO8))</f>
        <v/>
      </c>
      <c r="AU8" s="0">
        <f>IF(AF8&lt;4,0.7,1)*IF(AND(K8=0,AF8&lt;5),0.95,1)</f>
        <v/>
      </c>
      <c r="AV8" s="0" t="n">
        <v>1</v>
      </c>
      <c r="AW8" s="0" t="n">
        <v>0</v>
      </c>
      <c r="AX8" s="0" t="n">
        <v>0</v>
      </c>
      <c r="AY8" s="0" t="n">
        <v>0</v>
      </c>
      <c r="AZ8" s="0" t="n">
        <v>0</v>
      </c>
      <c r="BA8" s="0" t="n">
        <v>0</v>
      </c>
      <c r="BB8" s="0" t="n">
        <v>0</v>
      </c>
      <c r="BC8" s="0" t="n">
        <v>0</v>
      </c>
      <c r="BD8" s="0" t="n">
        <v>0</v>
      </c>
      <c r="BE8" s="0">
        <f>AV8*5*1+AY8*7*1+BB8*9*1</f>
        <v/>
      </c>
      <c r="BF8" s="0" t="n">
        <v>1</v>
      </c>
      <c r="BG8" s="0" t="n">
        <v>0</v>
      </c>
      <c r="BH8" s="0" t="n">
        <v>0</v>
      </c>
      <c r="BI8" s="0" t="n">
        <v>0</v>
      </c>
      <c r="BJ8" s="0" t="n">
        <v>0</v>
      </c>
      <c r="BK8" s="0" t="n">
        <v>0</v>
      </c>
      <c r="BL8" s="0" t="n">
        <v>0</v>
      </c>
      <c r="BM8" s="0" t="n">
        <v>0</v>
      </c>
      <c r="BN8" s="0" t="n">
        <v>0</v>
      </c>
      <c r="BO8" s="0">
        <f>BF8*6*1+BG8*6*1.2+BH8*6*1.5+BI8*8*1+BJ8*8*1.2+BK8*8*1.5+BL8*12*1+BM8*12*1.2+BN8*12*1.5</f>
        <v/>
      </c>
      <c r="BP8" s="0" t="n">
        <v>1</v>
      </c>
      <c r="BQ8" s="0" t="n">
        <v>0</v>
      </c>
      <c r="BR8" s="0" t="n">
        <v>0</v>
      </c>
      <c r="BS8" s="0" t="n">
        <v>0</v>
      </c>
      <c r="BT8" s="0" t="n">
        <v>0</v>
      </c>
      <c r="BU8" s="0" t="n">
        <v>0</v>
      </c>
      <c r="BV8" s="0" t="n">
        <v>0</v>
      </c>
      <c r="BW8" s="0" t="n">
        <v>0</v>
      </c>
      <c r="BX8" s="0" t="n">
        <v>0</v>
      </c>
      <c r="BY8" s="0">
        <f>BP8*6*1+BQ8*6*1.2+BR8*6*1.5+BS8*7*1+BT8*7*1.2+BU8*7*1.5+BV8*10*1+BW8*10*1.2+BX8*10*1.5</f>
        <v/>
      </c>
      <c r="BZ8" s="0">
        <f>AV8+AY8+BB8+BF8+BG8+BH8+BI8+BJ8+BK8+BL8+BM8+BN8+BP8+BQ8+BR8+BS8+BT8+BU8+BV8+BW8+BX8</f>
        <v/>
      </c>
      <c r="CA8" s="0">
        <f>BB8+BL8+BM8+BN8+BV8+BW8+BX8</f>
        <v/>
      </c>
      <c r="CB8" s="0">
        <f>0.9+(BB8+BL8+BV8)*0.01+K8*0.04</f>
        <v/>
      </c>
      <c r="CC8" s="0">
        <f>MIN(BE8,BO8,BY8)</f>
        <v/>
      </c>
      <c r="CD8" s="0">
        <f>CC8*24*1.08</f>
        <v/>
      </c>
      <c r="CE8" s="0">
        <f>ROUND(CD8*CB8,0)</f>
        <v/>
      </c>
      <c r="CF8" s="0" t="n">
        <v>0</v>
      </c>
      <c r="CG8" s="0">
        <f>DC4+CF8</f>
        <v/>
      </c>
      <c r="CH8" s="0" t="n">
        <v>0</v>
      </c>
      <c r="CI8" s="0">
        <f>DE4+CH8</f>
        <v/>
      </c>
      <c r="CJ8" s="0" t="n">
        <v>300</v>
      </c>
      <c r="CK8" s="0">
        <f>DG4+CJ8</f>
        <v/>
      </c>
      <c r="CL8" s="0" t="n">
        <v>0</v>
      </c>
      <c r="CM8" s="0">
        <f>DJ4+CL8</f>
        <v/>
      </c>
      <c r="CN8" s="0" t="n">
        <v>1000</v>
      </c>
      <c r="CO8" s="0">
        <f>DL4+CN8</f>
        <v/>
      </c>
      <c r="CP8" s="0" t="n">
        <v>0</v>
      </c>
      <c r="CQ8" s="0">
        <f>DO4+CP8</f>
        <v/>
      </c>
      <c r="CR8" s="0" t="n">
        <v>0</v>
      </c>
      <c r="CS8" s="0">
        <f>DQ4+CR8</f>
        <v/>
      </c>
      <c r="CT8" s="0" t="n">
        <v>6000</v>
      </c>
      <c r="CU8" s="0">
        <f>DS4+CT8</f>
        <v/>
      </c>
      <c r="CV8" s="0">
        <f>(CK8)/0.7</f>
        <v/>
      </c>
      <c r="CW8" s="0">
        <f>(CO8)/1</f>
        <v/>
      </c>
      <c r="CX8" s="0">
        <f>(CU8)/13</f>
        <v/>
      </c>
      <c r="CY8" s="0">
        <f>ROUNDDOWN(MIN(I8,CE8,CV8,CW8,CX8),0)</f>
        <v/>
      </c>
      <c r="CZ8" s="0">
        <f>'Lotes_Pipeline_sim3'!U8</f>
        <v/>
      </c>
      <c r="DA8" s="0">
        <f>DB8+DD8+DF8</f>
        <v/>
      </c>
      <c r="DB8" s="0">
        <f>'Lotes_Pipeline_sim3'!X8</f>
        <v/>
      </c>
      <c r="DC8" s="0">
        <f>CG8-DB8</f>
        <v/>
      </c>
      <c r="DD8" s="0">
        <f>'Lotes_Pipeline_sim3'!AA8</f>
        <v/>
      </c>
      <c r="DE8" s="0">
        <f>CI8-DD8</f>
        <v/>
      </c>
      <c r="DF8" s="0">
        <f>'Lotes_Pipeline_sim3'!AD8</f>
        <v/>
      </c>
      <c r="DG8" s="0">
        <f>CK8-DF8</f>
        <v/>
      </c>
      <c r="DH8" s="0">
        <f>DI8+DK8</f>
        <v/>
      </c>
      <c r="DI8" s="0">
        <f>'Lotes_Pipeline_sim3'!AG8</f>
        <v/>
      </c>
      <c r="DJ8" s="0">
        <f>CM8-DI8</f>
        <v/>
      </c>
      <c r="DK8" s="0">
        <f>'Lotes_Pipeline_sim3'!AJ8</f>
        <v/>
      </c>
      <c r="DL8" s="0">
        <f>CO8-DK8</f>
        <v/>
      </c>
      <c r="DM8" s="0">
        <f>DN8+DP8+DR8</f>
        <v/>
      </c>
      <c r="DN8" s="0">
        <f>'Lotes_Pipeline_sim3'!AM8</f>
        <v/>
      </c>
      <c r="DO8" s="0">
        <f>CQ8-DN8</f>
        <v/>
      </c>
      <c r="DP8" s="0">
        <f>'Lotes_Pipeline_sim3'!AP8</f>
        <v/>
      </c>
      <c r="DQ8" s="0">
        <f>CS8-DP8</f>
        <v/>
      </c>
      <c r="DR8" s="0">
        <f>'Lotes_Pipeline_sim3'!AS8</f>
        <v/>
      </c>
      <c r="DS8" s="0">
        <f>CU8-DR8</f>
        <v/>
      </c>
      <c r="DT8" s="0">
        <f>((AV8+AW8+AX8)*IF(M8="NO_MYPE",'Costos De Producción'!V11,'Costos De Producción'!U11)+(AY8+AZ8+BA8)*IF(M8="NO_MYPE",'Costos De Producción'!V20,'Costos De Producción'!U20)+(BB8+BC8+BD8)*IF(M8="NO_MYPE",'Costos De Producción'!V29,'Costos De Producción'!U29)+(BF8+BG8+BH8)*IF(M8="NO_MYPE",'Costos De Producción'!Z11,'Costos De Producción'!Y11)+(BI8+BJ8+BK8)*IF(M8="NO_MYPE",'Costos De Producción'!Z20,'Costos De Producción'!Y20)+(BL8+BM8+BN8)*IF(M8="NO_MYPE",'Costos De Producción'!Z29,'Costos De Producción'!Y29)+(BP8+BQ8+BR8)*IF(M8="NO_MYPE",'Costos De Producción'!AD11,'Costos De Producción'!AC11)+(BS8+BT8+BU8)*IF(M8="NO_MYPE",'Costos De Producción'!AD20,'Costos De Producción'!AC20)+(BV8+BW8+BX8)*IF(M8="NO_MYPE",'Costos De Producción'!AD29,'Costos De Producción'!AC29)+K8*IF(M8="NO_MYPE",'Costos De Producción'!V39,'Costos De Producción'!U39)+IF(M8="NO_MYPE",'Costos De Producción'!Z39,'Costos De Producción'!Y39)+'Costos De Producción'!AC33)*1</f>
        <v/>
      </c>
      <c r="DU8" s="0">
        <f>(DB8*25+DD8*45+DF8*80+DI8*4+DK8*9+DN8*2+DP8*4+DR8*7)*0.92</f>
        <v/>
      </c>
      <c r="DV8" s="0">
        <f>1*2500*0.08/12*1+1*3500*0.08/12*1+1*1200*0.08/12*1+1*300*0.08/12*1</f>
        <v/>
      </c>
      <c r="DW8" s="0">
        <f>1*(2250.0/10/12*1)+1*(3150.0/10/12*1)+1*(1080.0/8/12*1)+1*(270.0/5/12*1)</f>
        <v/>
      </c>
      <c r="DX8" s="0">
        <f>IFERROR(('Lotes_Pipeline_sim3'!U8)/CZ8,0)*10+IFERROR(CA8/BZ8,0)*10+(IFERROR(DF8/(DB8+DD8+DF8),0)+IFERROR(DK8/(DI8+DK8),0)+IFERROR(DR8/(DP8+DR8),0))/3*10+L8/10000*10</f>
        <v/>
      </c>
      <c r="DY8" s="0">
        <f>DX8+AJ8</f>
        <v/>
      </c>
      <c r="DZ8" s="0">
        <f>EC4+CZ8</f>
        <v/>
      </c>
      <c r="EA8" s="0" t="n">
        <v>40</v>
      </c>
      <c r="EB8" s="0" t="n">
        <v>250</v>
      </c>
      <c r="EC8" s="0">
        <f>'Lotes_Pipeline_sim3'!AY8</f>
        <v/>
      </c>
      <c r="ED8" s="0">
        <f>IF(D8="SEG-01",IFERROR(100*(_xlfn.MAXIFS($J$2:$J$13,$C$2:$C$13,C8)-J8)/(_xlfn.MAXIFS($J$2:$J$13,$C$2:$C$13,C8)-_xlfn.MINIFS($J$2:$J$13,$C$2:$C$13,C8)),100),100-ABS(J8-EB8)/EB8*100)</f>
        <v/>
      </c>
      <c r="EE8" s="0">
        <f>ROUND(MIN(100,AI8*10),0)</f>
        <v/>
      </c>
      <c r="EF8" s="0">
        <f>0.1*ED8+0.5*DY8*10+0.4*EE8</f>
        <v/>
      </c>
      <c r="EG8" s="0">
        <f>IFERROR(EF8/SUMIF($C$2:$C$13,C8,$EF$2:$EF$13),0)</f>
        <v/>
      </c>
      <c r="EH8" s="0">
        <f>'Mercados_Pipeline_sim3'!J8</f>
        <v/>
      </c>
      <c r="EI8" s="0">
        <f>'Mercados_Pipeline_sim3'!I8</f>
        <v/>
      </c>
      <c r="EJ8" s="0">
        <f>'Lotes_Pipeline_sim3'!AW8</f>
        <v/>
      </c>
      <c r="EK8" s="0">
        <f>'Lotes_Pipeline_sim3'!AX8</f>
        <v/>
      </c>
      <c r="EL8" s="0">
        <f>EC8*2</f>
        <v/>
      </c>
      <c r="EM8" s="0">
        <f>IF(I8&gt;CE8,0.25*DT8*IFERROR(MIN(1,(I8-CE8)/CE8),1),0)</f>
        <v/>
      </c>
      <c r="EN8" s="0">
        <f>0</f>
        <v/>
      </c>
      <c r="EO8" s="0">
        <f>(IFERROR(INDEX('Catalogo_Numerico_sim3'!$G$2:$G$69,MATCH("COM-01C",'Catalogo_Numerico_sim3'!$A$2:$A$69,0)),0)+IFERROR(INDEX('Catalogo_Numerico_sim3'!$G$2:$G$69,MATCH("INV-01B",'Catalogo_Numerico_sim3'!$A$2:$A$69,0)),0))*1</f>
        <v/>
      </c>
      <c r="EP8" s="0">
        <f>0</f>
        <v/>
      </c>
      <c r="EQ8" s="0" t="n">
        <v>0</v>
      </c>
      <c r="ER8" s="0">
        <f>DT8+DU8+DV8+DW8+L8+EL8+EM8+EN8+EO8+EP8+EQ8</f>
        <v/>
      </c>
      <c r="ES8" s="0">
        <f>EK8-ER8</f>
        <v/>
      </c>
      <c r="ET8" s="0">
        <f>OR(AND('Lotes_Pipeline_sim3'!C8="SEG-03",'Lotes_Pipeline_sim3'!H8&gt;0,'Lotes_Pipeline_sim3'!J8&lt;4))</f>
        <v/>
      </c>
      <c r="EU8" s="0">
        <f>OR(AND('Lotes_Pipeline_sim3'!C8="SEG-03",'Lotes_Pipeline_sim3'!H8&gt;0,'Lotes_Pipeline_sim3'!J8&gt;=7))</f>
        <v/>
      </c>
      <c r="EV8" s="0">
        <f>AF8&lt;4</f>
        <v/>
      </c>
      <c r="EW8" s="0">
        <f>AM8&gt;=2</f>
        <v/>
      </c>
      <c r="EX8" s="0">
        <f>AH8&lt;3</f>
        <v/>
      </c>
      <c r="EY8" s="0">
        <f>I8&gt;CE8</f>
        <v/>
      </c>
      <c r="EZ8" s="0">
        <f>CZ8&gt;EJ8</f>
        <v/>
      </c>
      <c r="FA8" s="0">
        <f>AND(K8=0,AF8&lt;5)</f>
        <v/>
      </c>
      <c r="FB8" t="n">
        <v>1000000</v>
      </c>
      <c r="FC8">
        <f>0*2500*(1+0.05+0.03)+0*3500*(1+0.05+0.03)+0*1200*(1+0.05+0.03)+0*300*(1+0+0.02)</f>
        <v/>
      </c>
      <c r="FD8">
        <f>0*2500+0*3500+0*1200+0*300</f>
        <v/>
      </c>
      <c r="FE8">
        <f>(CF8*25+CH8*45+CJ8*80+CL8*4+CN8*9+CP8*2+CR8*4+CT8*7)*0.92</f>
        <v/>
      </c>
      <c r="FF8">
        <f>(DC8*25+DE8*45+DG8*80+DJ8*4+DL8*9+DO8*2+DQ8*4+DS8*7)*0.92</f>
        <v/>
      </c>
      <c r="FG8">
        <f>FM4</f>
        <v/>
      </c>
      <c r="FH8">
        <f>(1+AR8/100)^(1/12)-1</f>
        <v/>
      </c>
      <c r="FI8">
        <f>AS4*FJ4+AP8*FH8</f>
        <v/>
      </c>
      <c r="FJ8">
        <f>IFERROR(FI8/(AS4+AP8),0)</f>
        <v/>
      </c>
      <c r="FK8">
        <f>FI8*1</f>
        <v/>
      </c>
      <c r="FL8">
        <f>ER8-DW8-DU8+FE8+FK8</f>
        <v/>
      </c>
      <c r="FM8">
        <f>FG8+EK8+AP8-FL8-FC8</f>
        <v/>
      </c>
      <c r="FN8">
        <f>FN4+DW8</f>
        <v/>
      </c>
      <c r="FO8">
        <f>FO4+FD8</f>
        <v/>
      </c>
      <c r="FP8">
        <f>FO8-FN8</f>
        <v/>
      </c>
      <c r="FQ8">
        <f>EK8</f>
        <v/>
      </c>
      <c r="FR8">
        <f>EK8</f>
        <v/>
      </c>
      <c r="FS8">
        <f>ER8+FK8</f>
        <v/>
      </c>
      <c r="FT8">
        <f>ES8-FK8</f>
        <v/>
      </c>
      <c r="FU8">
        <f>DW8</f>
        <v/>
      </c>
      <c r="FV8">
        <f>FK8</f>
        <v/>
      </c>
      <c r="FW8">
        <f>ER8</f>
        <v/>
      </c>
      <c r="FX8">
        <f>FG8</f>
        <v/>
      </c>
      <c r="FY8">
        <f>EK8+AP8</f>
        <v/>
      </c>
      <c r="FZ8">
        <f>FL8+FC8</f>
        <v/>
      </c>
      <c r="GA8">
        <f>FM8</f>
        <v/>
      </c>
      <c r="GB8">
        <f>FG8</f>
        <v/>
      </c>
      <c r="GC8">
        <f>EK8</f>
        <v/>
      </c>
      <c r="GD8">
        <f>FL8</f>
        <v/>
      </c>
      <c r="GE8">
        <f>FC8</f>
        <v/>
      </c>
      <c r="GF8">
        <f>AP8</f>
        <v/>
      </c>
      <c r="GG8">
        <f>EK8-FL8</f>
        <v/>
      </c>
      <c r="GH8">
        <f>-FC8</f>
        <v/>
      </c>
      <c r="GI8">
        <f>FM8-FG8</f>
        <v/>
      </c>
      <c r="GJ8">
        <f>FM8</f>
        <v/>
      </c>
      <c r="GK8">
        <f>FM8</f>
        <v/>
      </c>
      <c r="GL8">
        <f>FP8</f>
        <v/>
      </c>
      <c r="GM8">
        <f>FF8</f>
        <v/>
      </c>
      <c r="GN8">
        <f>FM8+FP8+FF8</f>
        <v/>
      </c>
      <c r="GO8">
        <f>AS8</f>
        <v/>
      </c>
      <c r="GP8">
        <f>FM8+FP8+FF8-AS8</f>
        <v/>
      </c>
      <c r="GQ8">
        <f>FM8+FP8+FF8</f>
        <v/>
      </c>
      <c r="GR8">
        <f>AP8</f>
        <v/>
      </c>
      <c r="GS8">
        <f>AR8</f>
        <v/>
      </c>
      <c r="GT8">
        <f>AS8</f>
        <v/>
      </c>
      <c r="GU8">
        <f>AT8</f>
        <v/>
      </c>
      <c r="GV8">
        <f>FJ8</f>
        <v/>
      </c>
      <c r="GW8">
        <f>FK8</f>
        <v/>
      </c>
    </row>
    <row r="9">
      <c r="A9" s="0" t="n">
        <v>2</v>
      </c>
      <c r="B9" s="0" t="inlineStr">
        <is>
          <t>D</t>
        </is>
      </c>
      <c r="C9" s="0" t="inlineStr">
        <is>
          <t>2|SEG-01</t>
        </is>
      </c>
      <c r="D9" s="0" t="inlineStr">
        <is>
          <t>SEG-01</t>
        </is>
      </c>
      <c r="E9" s="0" t="inlineStr">
        <is>
          <t>INF-08</t>
        </is>
      </c>
      <c r="F9" s="0" t="inlineStr">
        <is>
          <t>INS-01</t>
        </is>
      </c>
      <c r="G9" s="0" t="inlineStr">
        <is>
          <t>INS-04</t>
        </is>
      </c>
      <c r="H9" s="0" t="inlineStr">
        <is>
          <t>INS-06</t>
        </is>
      </c>
      <c r="I9" s="0" t="n">
        <v>200</v>
      </c>
      <c r="J9" s="0" t="n">
        <v>45</v>
      </c>
      <c r="K9" s="0" t="n">
        <v>1</v>
      </c>
      <c r="L9" s="0" t="n">
        <v>6000</v>
      </c>
      <c r="M9" s="0" t="inlineStr">
        <is>
          <t>MYPE</t>
        </is>
      </c>
      <c r="N9" s="0" t="inlineStr">
        <is>
          <t>INF-03</t>
        </is>
      </c>
      <c r="O9" s="0" t="inlineStr">
        <is>
          <t>INF-06</t>
        </is>
      </c>
      <c r="P9" s="0" t="inlineStr">
        <is>
          <t>INF-09</t>
        </is>
      </c>
      <c r="Q9" s="0" t="inlineStr">
        <is>
          <t>RH-02</t>
        </is>
      </c>
      <c r="R9" s="0" t="inlineStr">
        <is>
          <t>RH-05</t>
        </is>
      </c>
      <c r="S9" s="0" t="inlineStr">
        <is>
          <t>RH-08</t>
        </is>
      </c>
      <c r="T9" s="0" t="inlineStr">
        <is>
          <t>RH-10A</t>
        </is>
      </c>
      <c r="U9" s="0" t="inlineStr">
        <is>
          <t>COM-01C</t>
        </is>
      </c>
      <c r="V9" s="0" t="inlineStr">
        <is>
          <t>FIN-01B</t>
        </is>
      </c>
      <c r="W9" s="0" t="inlineStr">
        <is>
          <t>INV-01B</t>
        </is>
      </c>
      <c r="X9" s="0" t="inlineStr">
        <is>
          <t>INV-02B</t>
        </is>
      </c>
      <c r="Y9" s="0" t="inlineStr"/>
      <c r="Z9" s="0" t="inlineStr"/>
      <c r="AA9" s="0" t="inlineStr"/>
      <c r="AB9" s="0" t="inlineStr"/>
      <c r="AC9" s="0" t="inlineStr"/>
      <c r="AD9" s="0" t="inlineStr"/>
      <c r="AE9" s="0" t="inlineStr"/>
      <c r="AF9" s="0">
        <f>IFERROR(INDEX('Catalogo_Numerico_sim3'!$I$2:$I$69,MATCH(N9,'Catalogo_Numerico_sim3'!$A$2:$A$69,0)),0)+IFERROR(INDEX('Catalogo_Numerico_sim3'!$I$2:$I$69,MATCH(O9,'Catalogo_Numerico_sim3'!$A$2:$A$69,0)),0)+IFERROR(INDEX('Catalogo_Numerico_sim3'!$I$2:$I$69,MATCH(P9,'Catalogo_Numerico_sim3'!$A$2:$A$69,0)),0)+IFERROR(INDEX('Catalogo_Numerico_sim3'!$I$2:$I$69,MATCH(Q9,'Catalogo_Numerico_sim3'!$A$2:$A$69,0)),0)+IFERROR(INDEX('Catalogo_Numerico_sim3'!$I$2:$I$69,MATCH(R9,'Catalogo_Numerico_sim3'!$A$2:$A$69,0)),0)+IFERROR(INDEX('Catalogo_Numerico_sim3'!$I$2:$I$69,MATCH(S9,'Catalogo_Numerico_sim3'!$A$2:$A$69,0)),0)+IFERROR(INDEX('Catalogo_Numerico_sim3'!$I$2:$I$69,MATCH(T9,'Catalogo_Numerico_sim3'!$A$2:$A$69,0)),0)+IFERROR(INDEX('Catalogo_Numerico_sim3'!$I$2:$I$69,MATCH(U9,'Catalogo_Numerico_sim3'!$A$2:$A$69,0)),0)+IFERROR(INDEX('Catalogo_Numerico_sim3'!$I$2:$I$69,MATCH(V9,'Catalogo_Numerico_sim3'!$A$2:$A$69,0)),0)+IFERROR(INDEX('Catalogo_Numerico_sim3'!$I$2:$I$69,MATCH(W9,'Catalogo_Numerico_sim3'!$A$2:$A$69,0)),0)+IFERROR(INDEX('Catalogo_Numerico_sim3'!$I$2:$I$69,MATCH(X9,'Catalogo_Numerico_sim3'!$A$2:$A$69,0)),0)</f>
        <v/>
      </c>
      <c r="AG9" s="0">
        <f>IFERROR(INDEX('Catalogo_Numerico_sim3'!$J$2:$J$69,MATCH(N9,'Catalogo_Numerico_sim3'!$A$2:$A$69,0)),0)+IFERROR(INDEX('Catalogo_Numerico_sim3'!$J$2:$J$69,MATCH(O9,'Catalogo_Numerico_sim3'!$A$2:$A$69,0)),0)+IFERROR(INDEX('Catalogo_Numerico_sim3'!$J$2:$J$69,MATCH(P9,'Catalogo_Numerico_sim3'!$A$2:$A$69,0)),0)+IFERROR(INDEX('Catalogo_Numerico_sim3'!$J$2:$J$69,MATCH(Q9,'Catalogo_Numerico_sim3'!$A$2:$A$69,0)),0)+IFERROR(INDEX('Catalogo_Numerico_sim3'!$J$2:$J$69,MATCH(R9,'Catalogo_Numerico_sim3'!$A$2:$A$69,0)),0)+IFERROR(INDEX('Catalogo_Numerico_sim3'!$J$2:$J$69,MATCH(S9,'Catalogo_Numerico_sim3'!$A$2:$A$69,0)),0)+IFERROR(INDEX('Catalogo_Numerico_sim3'!$J$2:$J$69,MATCH(T9,'Catalogo_Numerico_sim3'!$A$2:$A$69,0)),0)+IFERROR(INDEX('Catalogo_Numerico_sim3'!$J$2:$J$69,MATCH(U9,'Catalogo_Numerico_sim3'!$A$2:$A$69,0)),0)+IFERROR(INDEX('Catalogo_Numerico_sim3'!$J$2:$J$69,MATCH(V9,'Catalogo_Numerico_sim3'!$A$2:$A$69,0)),0)+IFERROR(INDEX('Catalogo_Numerico_sim3'!$J$2:$J$69,MATCH(W9,'Catalogo_Numerico_sim3'!$A$2:$A$69,0)),0)+IFERROR(INDEX('Catalogo_Numerico_sim3'!$J$2:$J$69,MATCH(X9,'Catalogo_Numerico_sim3'!$A$2:$A$69,0)),0)</f>
        <v/>
      </c>
      <c r="AH9" s="0">
        <f>IFERROR(INDEX('Catalogo_Numerico_sim3'!$K$2:$K$69,MATCH(N9,'Catalogo_Numerico_sim3'!$A$2:$A$69,0)),0)+IFERROR(INDEX('Catalogo_Numerico_sim3'!$K$2:$K$69,MATCH(O9,'Catalogo_Numerico_sim3'!$A$2:$A$69,0)),0)+IFERROR(INDEX('Catalogo_Numerico_sim3'!$K$2:$K$69,MATCH(P9,'Catalogo_Numerico_sim3'!$A$2:$A$69,0)),0)+IFERROR(INDEX('Catalogo_Numerico_sim3'!$K$2:$K$69,MATCH(Q9,'Catalogo_Numerico_sim3'!$A$2:$A$69,0)),0)+IFERROR(INDEX('Catalogo_Numerico_sim3'!$K$2:$K$69,MATCH(R9,'Catalogo_Numerico_sim3'!$A$2:$A$69,0)),0)+IFERROR(INDEX('Catalogo_Numerico_sim3'!$K$2:$K$69,MATCH(S9,'Catalogo_Numerico_sim3'!$A$2:$A$69,0)),0)+IFERROR(INDEX('Catalogo_Numerico_sim3'!$K$2:$K$69,MATCH(T9,'Catalogo_Numerico_sim3'!$A$2:$A$69,0)),0)+IFERROR(INDEX('Catalogo_Numerico_sim3'!$K$2:$K$69,MATCH(U9,'Catalogo_Numerico_sim3'!$A$2:$A$69,0)),0)+IFERROR(INDEX('Catalogo_Numerico_sim3'!$K$2:$K$69,MATCH(V9,'Catalogo_Numerico_sim3'!$A$2:$A$69,0)),0)+IFERROR(INDEX('Catalogo_Numerico_sim3'!$K$2:$K$69,MATCH(W9,'Catalogo_Numerico_sim3'!$A$2:$A$69,0)),0)+IFERROR(INDEX('Catalogo_Numerico_sim3'!$K$2:$K$69,MATCH(X9,'Catalogo_Numerico_sim3'!$A$2:$A$69,0)),0)</f>
        <v/>
      </c>
      <c r="AI9" s="0">
        <f>IFERROR(('Lotes_Pipeline_sim3'!H9*'Lotes_Pipeline_sim3'!J9)/I9,0)</f>
        <v/>
      </c>
      <c r="AJ9" s="0">
        <f>IF(OR(AND('Lotes_Pipeline_sim3'!C9="SEG-03",'Lotes_Pipeline_sim3'!H9&gt;0,'Lotes_Pipeline_sim3'!J9&lt;4)),-2,0)+IF(OR(AND('Lotes_Pipeline_sim3'!C9="SEG-03",'Lotes_Pipeline_sim3'!H9&gt;0,'Lotes_Pipeline_sim3'!J9&gt;=7)),2,0)</f>
        <v/>
      </c>
      <c r="AK9" s="0">
        <f>IF(AND(D9="SEG-03",I9&gt;0),IF(AI9&lt;4,0.65,IF(AI9&gt;=7,1.4,1)),1)</f>
        <v/>
      </c>
      <c r="AL9" s="0">
        <f>AG9+AJ9</f>
        <v/>
      </c>
      <c r="AM9" s="0">
        <f>IF(AL9&lt;3,AM5+1,0)</f>
        <v/>
      </c>
      <c r="AN9" s="0">
        <f>IF(AM9&gt;=2,0.8,1)</f>
        <v/>
      </c>
      <c r="AO9" s="0">
        <f>IF(AH9&lt;3,3,0)</f>
        <v/>
      </c>
      <c r="AP9" s="0" t="n">
        <v>0</v>
      </c>
      <c r="AQ9" s="0" t="n">
        <v>20</v>
      </c>
      <c r="AR9" s="0">
        <f>AQ9+AT5</f>
        <v/>
      </c>
      <c r="AS9" s="0">
        <f>AS5+AP9</f>
        <v/>
      </c>
      <c r="AT9" s="0">
        <f>IF(AP9&gt;0,AO9,MAX(AT5,AO9))</f>
        <v/>
      </c>
      <c r="AU9" s="0">
        <f>IF(AF9&lt;4,0.7,1)*IF(AND(K9=0,AF9&lt;5),0.95,1)</f>
        <v/>
      </c>
      <c r="AV9" s="0" t="n">
        <v>1</v>
      </c>
      <c r="AW9" s="0" t="n">
        <v>0</v>
      </c>
      <c r="AX9" s="0" t="n">
        <v>0</v>
      </c>
      <c r="AY9" s="0" t="n">
        <v>0</v>
      </c>
      <c r="AZ9" s="0" t="n">
        <v>0</v>
      </c>
      <c r="BA9" s="0" t="n">
        <v>0</v>
      </c>
      <c r="BB9" s="0" t="n">
        <v>0</v>
      </c>
      <c r="BC9" s="0" t="n">
        <v>0</v>
      </c>
      <c r="BD9" s="0" t="n">
        <v>0</v>
      </c>
      <c r="BE9" s="0">
        <f>AV9*5*1+AY9*7*1+BB9*9*1</f>
        <v/>
      </c>
      <c r="BF9" s="0" t="n">
        <v>1</v>
      </c>
      <c r="BG9" s="0" t="n">
        <v>0</v>
      </c>
      <c r="BH9" s="0" t="n">
        <v>0</v>
      </c>
      <c r="BI9" s="0" t="n">
        <v>0</v>
      </c>
      <c r="BJ9" s="0" t="n">
        <v>0</v>
      </c>
      <c r="BK9" s="0" t="n">
        <v>0</v>
      </c>
      <c r="BL9" s="0" t="n">
        <v>0</v>
      </c>
      <c r="BM9" s="0" t="n">
        <v>0</v>
      </c>
      <c r="BN9" s="0" t="n">
        <v>0</v>
      </c>
      <c r="BO9" s="0">
        <f>BF9*6*1+BG9*6*1.2+BH9*6*1.5+BI9*8*1+BJ9*8*1.2+BK9*8*1.5+BL9*12*1+BM9*12*1.2+BN9*12*1.5</f>
        <v/>
      </c>
      <c r="BP9" s="0" t="n">
        <v>1</v>
      </c>
      <c r="BQ9" s="0" t="n">
        <v>0</v>
      </c>
      <c r="BR9" s="0" t="n">
        <v>0</v>
      </c>
      <c r="BS9" s="0" t="n">
        <v>0</v>
      </c>
      <c r="BT9" s="0" t="n">
        <v>0</v>
      </c>
      <c r="BU9" s="0" t="n">
        <v>0</v>
      </c>
      <c r="BV9" s="0" t="n">
        <v>0</v>
      </c>
      <c r="BW9" s="0" t="n">
        <v>0</v>
      </c>
      <c r="BX9" s="0" t="n">
        <v>0</v>
      </c>
      <c r="BY9" s="0">
        <f>BP9*6*1+BQ9*6*1.2+BR9*6*1.5+BS9*7*1+BT9*7*1.2+BU9*7*1.5+BV9*10*1+BW9*10*1.2+BX9*10*1.5</f>
        <v/>
      </c>
      <c r="BZ9" s="0">
        <f>AV9+AY9+BB9+BF9+BG9+BH9+BI9+BJ9+BK9+BL9+BM9+BN9+BP9+BQ9+BR9+BS9+BT9+BU9+BV9+BW9+BX9</f>
        <v/>
      </c>
      <c r="CA9" s="0">
        <f>BB9+BL9+BM9+BN9+BV9+BW9+BX9</f>
        <v/>
      </c>
      <c r="CB9" s="0">
        <f>0.9+(BB9+BL9+BV9)*0.01+K9*0.04</f>
        <v/>
      </c>
      <c r="CC9" s="0">
        <f>MIN(BE9,BO9,BY9)</f>
        <v/>
      </c>
      <c r="CD9" s="0">
        <f>CC9*24*1.08</f>
        <v/>
      </c>
      <c r="CE9" s="0">
        <f>ROUND(CD9*CB9,0)</f>
        <v/>
      </c>
      <c r="CF9" s="0" t="n">
        <v>300</v>
      </c>
      <c r="CG9" s="0">
        <f>DC5+CF9</f>
        <v/>
      </c>
      <c r="CH9" s="0" t="n">
        <v>0</v>
      </c>
      <c r="CI9" s="0">
        <f>DE5+CH9</f>
        <v/>
      </c>
      <c r="CJ9" s="0" t="n">
        <v>0</v>
      </c>
      <c r="CK9" s="0">
        <f>DG5+CJ9</f>
        <v/>
      </c>
      <c r="CL9" s="0" t="n">
        <v>1000</v>
      </c>
      <c r="CM9" s="0">
        <f>DJ5+CL9</f>
        <v/>
      </c>
      <c r="CN9" s="0" t="n">
        <v>0</v>
      </c>
      <c r="CO9" s="0">
        <f>DL5+CN9</f>
        <v/>
      </c>
      <c r="CP9" s="0" t="n">
        <v>6000</v>
      </c>
      <c r="CQ9" s="0">
        <f>DO5+CP9</f>
        <v/>
      </c>
      <c r="CR9" s="0" t="n">
        <v>0</v>
      </c>
      <c r="CS9" s="0">
        <f>DQ5+CR9</f>
        <v/>
      </c>
      <c r="CT9" s="0" t="n">
        <v>0</v>
      </c>
      <c r="CU9" s="0">
        <f>DS5+CT9</f>
        <v/>
      </c>
      <c r="CV9" s="0">
        <f>(CG9)/0.3</f>
        <v/>
      </c>
      <c r="CW9" s="0">
        <f>(CM9)/1</f>
        <v/>
      </c>
      <c r="CX9" s="0">
        <f>(CQ9)/6</f>
        <v/>
      </c>
      <c r="CY9" s="0">
        <f>ROUNDDOWN(MIN(I9,CE9,CV9,CW9,CX9),0)</f>
        <v/>
      </c>
      <c r="CZ9" s="0">
        <f>'Lotes_Pipeline_sim3'!U9</f>
        <v/>
      </c>
      <c r="DA9" s="0">
        <f>DB9+DD9+DF9</f>
        <v/>
      </c>
      <c r="DB9" s="0">
        <f>'Lotes_Pipeline_sim3'!X9</f>
        <v/>
      </c>
      <c r="DC9" s="0">
        <f>CG9-DB9</f>
        <v/>
      </c>
      <c r="DD9" s="0">
        <f>'Lotes_Pipeline_sim3'!AA9</f>
        <v/>
      </c>
      <c r="DE9" s="0">
        <f>CI9-DD9</f>
        <v/>
      </c>
      <c r="DF9" s="0">
        <f>'Lotes_Pipeline_sim3'!AD9</f>
        <v/>
      </c>
      <c r="DG9" s="0">
        <f>CK9-DF9</f>
        <v/>
      </c>
      <c r="DH9" s="0">
        <f>DI9+DK9</f>
        <v/>
      </c>
      <c r="DI9" s="0">
        <f>'Lotes_Pipeline_sim3'!AG9</f>
        <v/>
      </c>
      <c r="DJ9" s="0">
        <f>CM9-DI9</f>
        <v/>
      </c>
      <c r="DK9" s="0">
        <f>'Lotes_Pipeline_sim3'!AJ9</f>
        <v/>
      </c>
      <c r="DL9" s="0">
        <f>CO9-DK9</f>
        <v/>
      </c>
      <c r="DM9" s="0">
        <f>DN9+DP9+DR9</f>
        <v/>
      </c>
      <c r="DN9" s="0">
        <f>'Lotes_Pipeline_sim3'!AM9</f>
        <v/>
      </c>
      <c r="DO9" s="0">
        <f>CQ9-DN9</f>
        <v/>
      </c>
      <c r="DP9" s="0">
        <f>'Lotes_Pipeline_sim3'!AP9</f>
        <v/>
      </c>
      <c r="DQ9" s="0">
        <f>CS9-DP9</f>
        <v/>
      </c>
      <c r="DR9" s="0">
        <f>'Lotes_Pipeline_sim3'!AS9</f>
        <v/>
      </c>
      <c r="DS9" s="0">
        <f>CU9-DR9</f>
        <v/>
      </c>
      <c r="DT9" s="0">
        <f>((AV9+AW9+AX9)*IF(M9="NO_MYPE",'Costos De Producción'!V11,'Costos De Producción'!U11)+(AY9+AZ9+BA9)*IF(M9="NO_MYPE",'Costos De Producción'!V20,'Costos De Producción'!U20)+(BB9+BC9+BD9)*IF(M9="NO_MYPE",'Costos De Producción'!V29,'Costos De Producción'!U29)+(BF9+BG9+BH9)*IF(M9="NO_MYPE",'Costos De Producción'!Z11,'Costos De Producción'!Y11)+(BI9+BJ9+BK9)*IF(M9="NO_MYPE",'Costos De Producción'!Z20,'Costos De Producción'!Y20)+(BL9+BM9+BN9)*IF(M9="NO_MYPE",'Costos De Producción'!Z29,'Costos De Producción'!Y29)+(BP9+BQ9+BR9)*IF(M9="NO_MYPE",'Costos De Producción'!AD11,'Costos De Producción'!AC11)+(BS9+BT9+BU9)*IF(M9="NO_MYPE",'Costos De Producción'!AD20,'Costos De Producción'!AC20)+(BV9+BW9+BX9)*IF(M9="NO_MYPE",'Costos De Producción'!AD29,'Costos De Producción'!AC29)+K9*IF(M9="NO_MYPE",'Costos De Producción'!V39,'Costos De Producción'!U39)+IF(M9="NO_MYPE",'Costos De Producción'!Z39,'Costos De Producción'!Y39)+'Costos De Producción'!AC33)*1</f>
        <v/>
      </c>
      <c r="DU9" s="0">
        <f>(DB9*25+DD9*45+DF9*80+DI9*4+DK9*9+DN9*2+DP9*4+DR9*7)*0.8280000000000001</f>
        <v/>
      </c>
      <c r="DV9" s="0">
        <f>1*2500*0.05/12*1+1*3500*0.05/12*1+1*1200*0.05/12*1+1*300*0.05/12*1+200</f>
        <v/>
      </c>
      <c r="DW9" s="0">
        <f>1*(2375.0/10/12*1)+1*(3325.0/10/12*1)+1*(1140.0/8/12*1)+1*(285.0/5/12*1)</f>
        <v/>
      </c>
      <c r="DX9" s="0">
        <f>IFERROR((0)/CZ9,0)*10+IFERROR(CA9/BZ9,0)*10+(IFERROR(DF9/(DB9+DD9+DF9),0)+IFERROR(DK9/(DI9+DK9),0)+IFERROR(DR9/(DP9+DR9),0))/3*10+L9/10000*10</f>
        <v/>
      </c>
      <c r="DY9" s="0">
        <f>DX9+AJ9</f>
        <v/>
      </c>
      <c r="DZ9" s="0">
        <f>EC5+CZ9</f>
        <v/>
      </c>
      <c r="EA9" s="0" t="n">
        <v>40</v>
      </c>
      <c r="EB9" s="0" t="n">
        <v>0</v>
      </c>
      <c r="EC9" s="0">
        <f>'Lotes_Pipeline_sim3'!AY9</f>
        <v/>
      </c>
      <c r="ED9" s="0">
        <f>IF(D9="SEG-01",IFERROR(100*(_xlfn.MAXIFS($J$2:$J$13,$C$2:$C$13,C9)-J9)/(_xlfn.MAXIFS($J$2:$J$13,$C$2:$C$13,C9)-_xlfn.MINIFS($J$2:$J$13,$C$2:$C$13,C9)),100),100-ABS(J9-EB9)/EB9*100)</f>
        <v/>
      </c>
      <c r="EE9" s="0">
        <f>ROUND(MIN(100,AI9*10),0)</f>
        <v/>
      </c>
      <c r="EF9" s="0">
        <f>0.7*ED9+0.2*DY9*10+0.1*EE9</f>
        <v/>
      </c>
      <c r="EG9" s="0">
        <f>IFERROR(EF9/SUMIF($C$2:$C$13,C9,$EF$2:$EF$13),0)</f>
        <v/>
      </c>
      <c r="EH9" s="0">
        <f>'Mercados_Pipeline_sim3'!J9</f>
        <v/>
      </c>
      <c r="EI9" s="0">
        <f>'Mercados_Pipeline_sim3'!I9</f>
        <v/>
      </c>
      <c r="EJ9" s="0">
        <f>'Lotes_Pipeline_sim3'!AW9</f>
        <v/>
      </c>
      <c r="EK9" s="0">
        <f>'Lotes_Pipeline_sim3'!AX9</f>
        <v/>
      </c>
      <c r="EL9" s="0">
        <f>EC9*2</f>
        <v/>
      </c>
      <c r="EM9" s="0">
        <f>IF(I9&gt;CE9,0.25*DT9*IFERROR(MIN(1,(I9-CE9)/CE9),1),0)</f>
        <v/>
      </c>
      <c r="EN9" s="0">
        <f>0</f>
        <v/>
      </c>
      <c r="EO9" s="0">
        <f>(IFERROR(INDEX('Catalogo_Numerico_sim3'!$G$2:$G$69,MATCH("COM-01C",'Catalogo_Numerico_sim3'!$A$2:$A$69,0)),0)+IFERROR(INDEX('Catalogo_Numerico_sim3'!$G$2:$G$69,MATCH("INV-01B",'Catalogo_Numerico_sim3'!$A$2:$A$69,0)),0))*1</f>
        <v/>
      </c>
      <c r="EP9" s="0">
        <f>0</f>
        <v/>
      </c>
      <c r="EQ9" s="0" t="n">
        <v>5000</v>
      </c>
      <c r="ER9" s="0">
        <f>DT9+DU9+DV9+DW9+L9+EL9+EM9+EN9+EO9+EP9+EQ9</f>
        <v/>
      </c>
      <c r="ES9" s="0">
        <f>EK9-ER9</f>
        <v/>
      </c>
      <c r="ET9" s="0">
        <f>OR(AND('Lotes_Pipeline_sim3'!C9="SEG-03",'Lotes_Pipeline_sim3'!H9&gt;0,'Lotes_Pipeline_sim3'!J9&lt;4))</f>
        <v/>
      </c>
      <c r="EU9" s="0">
        <f>OR(AND('Lotes_Pipeline_sim3'!C9="SEG-03",'Lotes_Pipeline_sim3'!H9&gt;0,'Lotes_Pipeline_sim3'!J9&gt;=7))</f>
        <v/>
      </c>
      <c r="EV9" s="0">
        <f>AF9&lt;4</f>
        <v/>
      </c>
      <c r="EW9" s="0">
        <f>AM9&gt;=2</f>
        <v/>
      </c>
      <c r="EX9" s="0">
        <f>AH9&lt;3</f>
        <v/>
      </c>
      <c r="EY9" s="0">
        <f>I9&gt;CE9</f>
        <v/>
      </c>
      <c r="EZ9" s="0">
        <f>CZ9&gt;EJ9</f>
        <v/>
      </c>
      <c r="FA9" s="0">
        <f>AND(K9=0,AF9&lt;5)</f>
        <v/>
      </c>
      <c r="FB9" t="n">
        <v>1000000</v>
      </c>
      <c r="FC9">
        <f>0*2500*(1+0.03+0.02)+0*3500*(1+0.03+0.02)+0*1200*(1+0.03+0.02)+0*300*(1+0+0.01)</f>
        <v/>
      </c>
      <c r="FD9">
        <f>0*2500+0*3500+0*1200+0*300</f>
        <v/>
      </c>
      <c r="FE9">
        <f>(CF9*25+CH9*45+CJ9*80+CL9*4+CN9*9+CP9*2+CR9*4+CT9*7)*0.8280000000000001</f>
        <v/>
      </c>
      <c r="FF9">
        <f>(DC9*25+DE9*45+DG9*80+DJ9*4+DL9*9+DO9*2+DQ9*4+DS9*7)*0.8280000000000001</f>
        <v/>
      </c>
      <c r="FG9">
        <f>FM5</f>
        <v/>
      </c>
      <c r="FH9">
        <f>(1+AR9/100)^(1/12)-1</f>
        <v/>
      </c>
      <c r="FI9">
        <f>AS5*FJ5+AP9*FH9</f>
        <v/>
      </c>
      <c r="FJ9">
        <f>IFERROR(FI9/(AS5+AP9),0)</f>
        <v/>
      </c>
      <c r="FK9">
        <f>FI9*1</f>
        <v/>
      </c>
      <c r="FL9">
        <f>ER9-DW9-DU9+FE9+FK9</f>
        <v/>
      </c>
      <c r="FM9">
        <f>FG9+EK9+AP9-FL9-FC9</f>
        <v/>
      </c>
      <c r="FN9">
        <f>FN5+DW9</f>
        <v/>
      </c>
      <c r="FO9">
        <f>FO5+FD9</f>
        <v/>
      </c>
      <c r="FP9">
        <f>FO9-FN9</f>
        <v/>
      </c>
      <c r="FQ9">
        <f>EK9</f>
        <v/>
      </c>
      <c r="FR9">
        <f>EK9</f>
        <v/>
      </c>
      <c r="FS9">
        <f>ER9+FK9</f>
        <v/>
      </c>
      <c r="FT9">
        <f>ES9-FK9</f>
        <v/>
      </c>
      <c r="FU9">
        <f>DW9</f>
        <v/>
      </c>
      <c r="FV9">
        <f>FK9</f>
        <v/>
      </c>
      <c r="FW9">
        <f>ER9</f>
        <v/>
      </c>
      <c r="FX9">
        <f>FG9</f>
        <v/>
      </c>
      <c r="FY9">
        <f>EK9+AP9</f>
        <v/>
      </c>
      <c r="FZ9">
        <f>FL9+FC9</f>
        <v/>
      </c>
      <c r="GA9">
        <f>FM9</f>
        <v/>
      </c>
      <c r="GB9">
        <f>FG9</f>
        <v/>
      </c>
      <c r="GC9">
        <f>EK9</f>
        <v/>
      </c>
      <c r="GD9">
        <f>FL9</f>
        <v/>
      </c>
      <c r="GE9">
        <f>FC9</f>
        <v/>
      </c>
      <c r="GF9">
        <f>AP9</f>
        <v/>
      </c>
      <c r="GG9">
        <f>EK9-FL9</f>
        <v/>
      </c>
      <c r="GH9">
        <f>-FC9</f>
        <v/>
      </c>
      <c r="GI9">
        <f>FM9-FG9</f>
        <v/>
      </c>
      <c r="GJ9">
        <f>FM9</f>
        <v/>
      </c>
      <c r="GK9">
        <f>FM9</f>
        <v/>
      </c>
      <c r="GL9">
        <f>FP9</f>
        <v/>
      </c>
      <c r="GM9">
        <f>FF9</f>
        <v/>
      </c>
      <c r="GN9">
        <f>FM9+FP9+FF9</f>
        <v/>
      </c>
      <c r="GO9">
        <f>AS9</f>
        <v/>
      </c>
      <c r="GP9">
        <f>FM9+FP9+FF9-AS9</f>
        <v/>
      </c>
      <c r="GQ9">
        <f>FM9+FP9+FF9</f>
        <v/>
      </c>
      <c r="GR9">
        <f>AP9</f>
        <v/>
      </c>
      <c r="GS9">
        <f>AR9</f>
        <v/>
      </c>
      <c r="GT9">
        <f>AS9</f>
        <v/>
      </c>
      <c r="GU9">
        <f>AT9</f>
        <v/>
      </c>
      <c r="GV9">
        <f>FJ9</f>
        <v/>
      </c>
      <c r="GW9">
        <f>FK9</f>
        <v/>
      </c>
    </row>
    <row r="10">
      <c r="A10" s="0" t="n">
        <v>3</v>
      </c>
      <c r="B10" s="0" t="inlineStr">
        <is>
          <t>A</t>
        </is>
      </c>
      <c r="C10" s="0" t="inlineStr">
        <is>
          <t>3|SEG-01</t>
        </is>
      </c>
      <c r="D10" s="0" t="inlineStr">
        <is>
          <t>SEG-01</t>
        </is>
      </c>
      <c r="E10" s="0" t="inlineStr">
        <is>
          <t>INF-08</t>
        </is>
      </c>
      <c r="F10" s="0" t="inlineStr">
        <is>
          <t>INS-01</t>
        </is>
      </c>
      <c r="G10" s="0" t="inlineStr">
        <is>
          <t>INS-04</t>
        </is>
      </c>
      <c r="H10" s="0" t="inlineStr">
        <is>
          <t>INS-06</t>
        </is>
      </c>
      <c r="I10" s="0" t="n">
        <v>200</v>
      </c>
      <c r="J10" s="0" t="n">
        <v>40</v>
      </c>
      <c r="K10" s="0" t="n">
        <v>1</v>
      </c>
      <c r="L10" s="0" t="n">
        <v>0</v>
      </c>
      <c r="M10" s="0" t="inlineStr">
        <is>
          <t>MYPE</t>
        </is>
      </c>
      <c r="N10" s="0" t="inlineStr">
        <is>
          <t>INF-03</t>
        </is>
      </c>
      <c r="O10" s="0" t="inlineStr">
        <is>
          <t>INF-06</t>
        </is>
      </c>
      <c r="P10" s="0" t="inlineStr">
        <is>
          <t>INF-09</t>
        </is>
      </c>
      <c r="Q10" s="0" t="inlineStr">
        <is>
          <t>RH-02</t>
        </is>
      </c>
      <c r="R10" s="0" t="inlineStr">
        <is>
          <t>RH-05</t>
        </is>
      </c>
      <c r="S10" s="0" t="inlineStr">
        <is>
          <t>RH-08</t>
        </is>
      </c>
      <c r="T10" s="0" t="inlineStr">
        <is>
          <t>RH-10A</t>
        </is>
      </c>
      <c r="U10" s="0" t="inlineStr">
        <is>
          <t>COM-01C</t>
        </is>
      </c>
      <c r="V10" s="0" t="inlineStr">
        <is>
          <t>FIN-01B</t>
        </is>
      </c>
      <c r="W10" s="0" t="inlineStr">
        <is>
          <t>COM-06B</t>
        </is>
      </c>
      <c r="X10" s="0" t="inlineStr"/>
      <c r="Y10" s="0" t="inlineStr"/>
      <c r="Z10" s="0" t="inlineStr"/>
      <c r="AA10" s="0" t="inlineStr"/>
      <c r="AB10" s="0" t="inlineStr"/>
      <c r="AC10" s="0" t="inlineStr"/>
      <c r="AD10" s="0" t="inlineStr"/>
      <c r="AE10" s="0" t="inlineStr"/>
      <c r="AF10" s="0">
        <f>IFERROR(INDEX('Catalogo_Numerico_sim3'!$I$2:$I$69,MATCH(N10,'Catalogo_Numerico_sim3'!$A$2:$A$69,0)),0)+IFERROR(INDEX('Catalogo_Numerico_sim3'!$I$2:$I$69,MATCH(O10,'Catalogo_Numerico_sim3'!$A$2:$A$69,0)),0)+IFERROR(INDEX('Catalogo_Numerico_sim3'!$I$2:$I$69,MATCH(P10,'Catalogo_Numerico_sim3'!$A$2:$A$69,0)),0)+IFERROR(INDEX('Catalogo_Numerico_sim3'!$I$2:$I$69,MATCH(Q10,'Catalogo_Numerico_sim3'!$A$2:$A$69,0)),0)+IFERROR(INDEX('Catalogo_Numerico_sim3'!$I$2:$I$69,MATCH(R10,'Catalogo_Numerico_sim3'!$A$2:$A$69,0)),0)+IFERROR(INDEX('Catalogo_Numerico_sim3'!$I$2:$I$69,MATCH(S10,'Catalogo_Numerico_sim3'!$A$2:$A$69,0)),0)+IFERROR(INDEX('Catalogo_Numerico_sim3'!$I$2:$I$69,MATCH(T10,'Catalogo_Numerico_sim3'!$A$2:$A$69,0)),0)+IFERROR(INDEX('Catalogo_Numerico_sim3'!$I$2:$I$69,MATCH(U10,'Catalogo_Numerico_sim3'!$A$2:$A$69,0)),0)+IFERROR(INDEX('Catalogo_Numerico_sim3'!$I$2:$I$69,MATCH(V10,'Catalogo_Numerico_sim3'!$A$2:$A$69,0)),0)+IFERROR(INDEX('Catalogo_Numerico_sim3'!$I$2:$I$69,MATCH(W10,'Catalogo_Numerico_sim3'!$A$2:$A$69,0)),0)</f>
        <v/>
      </c>
      <c r="AG10" s="0">
        <f>IFERROR(INDEX('Catalogo_Numerico_sim3'!$J$2:$J$69,MATCH(N10,'Catalogo_Numerico_sim3'!$A$2:$A$69,0)),0)+IFERROR(INDEX('Catalogo_Numerico_sim3'!$J$2:$J$69,MATCH(O10,'Catalogo_Numerico_sim3'!$A$2:$A$69,0)),0)+IFERROR(INDEX('Catalogo_Numerico_sim3'!$J$2:$J$69,MATCH(P10,'Catalogo_Numerico_sim3'!$A$2:$A$69,0)),0)+IFERROR(INDEX('Catalogo_Numerico_sim3'!$J$2:$J$69,MATCH(Q10,'Catalogo_Numerico_sim3'!$A$2:$A$69,0)),0)+IFERROR(INDEX('Catalogo_Numerico_sim3'!$J$2:$J$69,MATCH(R10,'Catalogo_Numerico_sim3'!$A$2:$A$69,0)),0)+IFERROR(INDEX('Catalogo_Numerico_sim3'!$J$2:$J$69,MATCH(S10,'Catalogo_Numerico_sim3'!$A$2:$A$69,0)),0)+IFERROR(INDEX('Catalogo_Numerico_sim3'!$J$2:$J$69,MATCH(T10,'Catalogo_Numerico_sim3'!$A$2:$A$69,0)),0)+IFERROR(INDEX('Catalogo_Numerico_sim3'!$J$2:$J$69,MATCH(U10,'Catalogo_Numerico_sim3'!$A$2:$A$69,0)),0)+IFERROR(INDEX('Catalogo_Numerico_sim3'!$J$2:$J$69,MATCH(V10,'Catalogo_Numerico_sim3'!$A$2:$A$69,0)),0)+IFERROR(INDEX('Catalogo_Numerico_sim3'!$J$2:$J$69,MATCH(W10,'Catalogo_Numerico_sim3'!$A$2:$A$69,0)),0)</f>
        <v/>
      </c>
      <c r="AH10" s="0">
        <f>IFERROR(INDEX('Catalogo_Numerico_sim3'!$K$2:$K$69,MATCH(N10,'Catalogo_Numerico_sim3'!$A$2:$A$69,0)),0)+IFERROR(INDEX('Catalogo_Numerico_sim3'!$K$2:$K$69,MATCH(O10,'Catalogo_Numerico_sim3'!$A$2:$A$69,0)),0)+IFERROR(INDEX('Catalogo_Numerico_sim3'!$K$2:$K$69,MATCH(P10,'Catalogo_Numerico_sim3'!$A$2:$A$69,0)),0)+IFERROR(INDEX('Catalogo_Numerico_sim3'!$K$2:$K$69,MATCH(Q10,'Catalogo_Numerico_sim3'!$A$2:$A$69,0)),0)+IFERROR(INDEX('Catalogo_Numerico_sim3'!$K$2:$K$69,MATCH(R10,'Catalogo_Numerico_sim3'!$A$2:$A$69,0)),0)+IFERROR(INDEX('Catalogo_Numerico_sim3'!$K$2:$K$69,MATCH(S10,'Catalogo_Numerico_sim3'!$A$2:$A$69,0)),0)+IFERROR(INDEX('Catalogo_Numerico_sim3'!$K$2:$K$69,MATCH(T10,'Catalogo_Numerico_sim3'!$A$2:$A$69,0)),0)+IFERROR(INDEX('Catalogo_Numerico_sim3'!$K$2:$K$69,MATCH(U10,'Catalogo_Numerico_sim3'!$A$2:$A$69,0)),0)+IFERROR(INDEX('Catalogo_Numerico_sim3'!$K$2:$K$69,MATCH(V10,'Catalogo_Numerico_sim3'!$A$2:$A$69,0)),0)+IFERROR(INDEX('Catalogo_Numerico_sim3'!$K$2:$K$69,MATCH(W10,'Catalogo_Numerico_sim3'!$A$2:$A$69,0)),0)</f>
        <v/>
      </c>
      <c r="AI10" s="0">
        <f>IFERROR(('Lotes_Pipeline_sim3'!H10*'Lotes_Pipeline_sim3'!J10)/I10,0)</f>
        <v/>
      </c>
      <c r="AJ10" s="0">
        <f>IF(OR(AND('Lotes_Pipeline_sim3'!C10="SEG-03",'Lotes_Pipeline_sim3'!H10&gt;0,'Lotes_Pipeline_sim3'!J10&lt;4)),-2,0)+IF(OR(AND('Lotes_Pipeline_sim3'!C10="SEG-03",'Lotes_Pipeline_sim3'!H10&gt;0,'Lotes_Pipeline_sim3'!J10&gt;=7)),2,0)</f>
        <v/>
      </c>
      <c r="AK10" s="0">
        <f>IF(AND(D10="SEG-03",I10&gt;0),IF(AI10&lt;4,0.65,IF(AI10&gt;=7,1.4,1)),1)</f>
        <v/>
      </c>
      <c r="AL10" s="0">
        <f>AG10+AJ10</f>
        <v/>
      </c>
      <c r="AM10" s="0">
        <f>IF(AL10&lt;3,AM6+1,0)</f>
        <v/>
      </c>
      <c r="AN10" s="0">
        <f>IF(AM10&gt;=2,0.8,1)</f>
        <v/>
      </c>
      <c r="AO10" s="0">
        <f>IF(AH10&lt;3,3,0)</f>
        <v/>
      </c>
      <c r="AP10" s="0" t="n">
        <v>0</v>
      </c>
      <c r="AQ10" s="0" t="n">
        <v>20</v>
      </c>
      <c r="AR10" s="0">
        <f>AQ10+AT6</f>
        <v/>
      </c>
      <c r="AS10" s="0">
        <f>AS6+AP10</f>
        <v/>
      </c>
      <c r="AT10" s="0">
        <f>IF(AP10&gt;0,AO10,MAX(AT6,AO10))</f>
        <v/>
      </c>
      <c r="AU10" s="0">
        <f>IF(AF10&lt;4,0.7,1)*IF(AND(K10=0,AF10&lt;5),0.95,1)</f>
        <v/>
      </c>
      <c r="AV10" s="0" t="n">
        <v>1</v>
      </c>
      <c r="AW10" s="0" t="n">
        <v>0</v>
      </c>
      <c r="AX10" s="0" t="n">
        <v>0</v>
      </c>
      <c r="AY10" s="0" t="n">
        <v>0</v>
      </c>
      <c r="AZ10" s="0" t="n">
        <v>0</v>
      </c>
      <c r="BA10" s="0" t="n">
        <v>0</v>
      </c>
      <c r="BB10" s="0" t="n">
        <v>0</v>
      </c>
      <c r="BC10" s="0" t="n">
        <v>0</v>
      </c>
      <c r="BD10" s="0" t="n">
        <v>0</v>
      </c>
      <c r="BE10" s="0">
        <f>AV10*5*1+AY10*7*1+BB10*9*1</f>
        <v/>
      </c>
      <c r="BF10" s="0" t="n">
        <v>1</v>
      </c>
      <c r="BG10" s="0" t="n">
        <v>0</v>
      </c>
      <c r="BH10" s="0" t="n">
        <v>0</v>
      </c>
      <c r="BI10" s="0" t="n">
        <v>0</v>
      </c>
      <c r="BJ10" s="0" t="n">
        <v>0</v>
      </c>
      <c r="BK10" s="0" t="n">
        <v>0</v>
      </c>
      <c r="BL10" s="0" t="n">
        <v>0</v>
      </c>
      <c r="BM10" s="0" t="n">
        <v>0</v>
      </c>
      <c r="BN10" s="0" t="n">
        <v>0</v>
      </c>
      <c r="BO10" s="0">
        <f>BF10*6*1+BG10*6*1.2+BH10*6*1.5+BI10*8*1+BJ10*8*1.2+BK10*8*1.5+BL10*12*1+BM10*12*1.2+BN10*12*1.5</f>
        <v/>
      </c>
      <c r="BP10" s="0" t="n">
        <v>1</v>
      </c>
      <c r="BQ10" s="0" t="n">
        <v>0</v>
      </c>
      <c r="BR10" s="0" t="n">
        <v>0</v>
      </c>
      <c r="BS10" s="0" t="n">
        <v>0</v>
      </c>
      <c r="BT10" s="0" t="n">
        <v>0</v>
      </c>
      <c r="BU10" s="0" t="n">
        <v>0</v>
      </c>
      <c r="BV10" s="0" t="n">
        <v>0</v>
      </c>
      <c r="BW10" s="0" t="n">
        <v>0</v>
      </c>
      <c r="BX10" s="0" t="n">
        <v>0</v>
      </c>
      <c r="BY10" s="0">
        <f>BP10*6*1+BQ10*6*1.2+BR10*6*1.5+BS10*7*1+BT10*7*1.2+BU10*7*1.5+BV10*10*1+BW10*10*1.2+BX10*10*1.5</f>
        <v/>
      </c>
      <c r="BZ10" s="0">
        <f>AV10+AY10+BB10+BF10+BG10+BH10+BI10+BJ10+BK10+BL10+BM10+BN10+BP10+BQ10+BR10+BS10+BT10+BU10+BV10+BW10+BX10</f>
        <v/>
      </c>
      <c r="CA10" s="0">
        <f>BB10+BL10+BM10+BN10+BV10+BW10+BX10</f>
        <v/>
      </c>
      <c r="CB10" s="0">
        <f>0.9+(BB10+BL10+BV10)*0.01+K10*0.04</f>
        <v/>
      </c>
      <c r="CC10" s="0">
        <f>MIN(BE10,BO10,BY10)</f>
        <v/>
      </c>
      <c r="CD10" s="0">
        <f>CC10*24*1</f>
        <v/>
      </c>
      <c r="CE10" s="0">
        <f>ROUND(CD10*CB10,0)</f>
        <v/>
      </c>
      <c r="CF10" s="0" t="n">
        <v>300</v>
      </c>
      <c r="CG10" s="0">
        <f>DC6+CF10</f>
        <v/>
      </c>
      <c r="CH10" s="0" t="n">
        <v>0</v>
      </c>
      <c r="CI10" s="0">
        <f>DE6+CH10</f>
        <v/>
      </c>
      <c r="CJ10" s="0" t="n">
        <v>0</v>
      </c>
      <c r="CK10" s="0">
        <f>DG6+CJ10</f>
        <v/>
      </c>
      <c r="CL10" s="0" t="n">
        <v>1000</v>
      </c>
      <c r="CM10" s="0">
        <f>DJ6+CL10</f>
        <v/>
      </c>
      <c r="CN10" s="0" t="n">
        <v>0</v>
      </c>
      <c r="CO10" s="0">
        <f>DL6+CN10</f>
        <v/>
      </c>
      <c r="CP10" s="0" t="n">
        <v>6000</v>
      </c>
      <c r="CQ10" s="0">
        <f>DO6+CP10</f>
        <v/>
      </c>
      <c r="CR10" s="0" t="n">
        <v>0</v>
      </c>
      <c r="CS10" s="0">
        <f>DQ6+CR10</f>
        <v/>
      </c>
      <c r="CT10" s="0" t="n">
        <v>0</v>
      </c>
      <c r="CU10" s="0">
        <f>DS6+CT10</f>
        <v/>
      </c>
      <c r="CV10" s="0">
        <f>(CG10)/0.3</f>
        <v/>
      </c>
      <c r="CW10" s="0">
        <f>(CM10)/1</f>
        <v/>
      </c>
      <c r="CX10" s="0">
        <f>(CQ10)/6</f>
        <v/>
      </c>
      <c r="CY10" s="0">
        <f>ROUNDDOWN(MIN(I10,CE10,CV10,CW10,CX10),0)</f>
        <v/>
      </c>
      <c r="CZ10" s="0">
        <f>'Lotes_Pipeline_sim3'!U10</f>
        <v/>
      </c>
      <c r="DA10" s="0">
        <f>DB10+DD10+DF10</f>
        <v/>
      </c>
      <c r="DB10" s="0">
        <f>'Lotes_Pipeline_sim3'!X10</f>
        <v/>
      </c>
      <c r="DC10" s="0">
        <f>CG10-DB10</f>
        <v/>
      </c>
      <c r="DD10" s="0">
        <f>'Lotes_Pipeline_sim3'!AA10</f>
        <v/>
      </c>
      <c r="DE10" s="0">
        <f>CI10-DD10</f>
        <v/>
      </c>
      <c r="DF10" s="0">
        <f>'Lotes_Pipeline_sim3'!AD10</f>
        <v/>
      </c>
      <c r="DG10" s="0">
        <f>CK10-DF10</f>
        <v/>
      </c>
      <c r="DH10" s="0">
        <f>DI10+DK10</f>
        <v/>
      </c>
      <c r="DI10" s="0">
        <f>'Lotes_Pipeline_sim3'!AG10</f>
        <v/>
      </c>
      <c r="DJ10" s="0">
        <f>CM10-DI10</f>
        <v/>
      </c>
      <c r="DK10" s="0">
        <f>'Lotes_Pipeline_sim3'!AJ10</f>
        <v/>
      </c>
      <c r="DL10" s="0">
        <f>CO10-DK10</f>
        <v/>
      </c>
      <c r="DM10" s="0">
        <f>DN10+DP10+DR10</f>
        <v/>
      </c>
      <c r="DN10" s="0">
        <f>'Lotes_Pipeline_sim3'!AM10</f>
        <v/>
      </c>
      <c r="DO10" s="0">
        <f>CQ10-DN10</f>
        <v/>
      </c>
      <c r="DP10" s="0">
        <f>'Lotes_Pipeline_sim3'!AP10</f>
        <v/>
      </c>
      <c r="DQ10" s="0">
        <f>CS10-DP10</f>
        <v/>
      </c>
      <c r="DR10" s="0">
        <f>'Lotes_Pipeline_sim3'!AS10</f>
        <v/>
      </c>
      <c r="DS10" s="0">
        <f>CU10-DR10</f>
        <v/>
      </c>
      <c r="DT10" s="0">
        <f>((AV10+AW10+AX10)*IF(M10="NO_MYPE",'Costos De Producción'!V11,'Costos De Producción'!U11)+(AY10+AZ10+BA10)*IF(M10="NO_MYPE",'Costos De Producción'!V20,'Costos De Producción'!U20)+(BB10+BC10+BD10)*IF(M10="NO_MYPE",'Costos De Producción'!V29,'Costos De Producción'!U29)+(BF10+BG10+BH10)*IF(M10="NO_MYPE",'Costos De Producción'!Z11,'Costos De Producción'!Y11)+(BI10+BJ10+BK10)*IF(M10="NO_MYPE",'Costos De Producción'!Z20,'Costos De Producción'!Y20)+(BL10+BM10+BN10)*IF(M10="NO_MYPE",'Costos De Producción'!Z29,'Costos De Producción'!Y29)+(BP10+BQ10+BR10)*IF(M10="NO_MYPE",'Costos De Producción'!AD11,'Costos De Producción'!AC11)+(BS10+BT10+BU10)*IF(M10="NO_MYPE",'Costos De Producción'!AD20,'Costos De Producción'!AC20)+(BV10+BW10+BX10)*IF(M10="NO_MYPE",'Costos De Producción'!AD29,'Costos De Producción'!AC29)+K10*IF(M10="NO_MYPE",'Costos De Producción'!V39,'Costos De Producción'!U39)+IF(M10="NO_MYPE",'Costos De Producción'!Z39,'Costos De Producción'!Y39)+'Costos De Producción'!AC33)*1</f>
        <v/>
      </c>
      <c r="DU10" s="0">
        <f>(DB10*25+DD10*45+DF10*80+DI10*4+DK10*9+DN10*2+DP10*4+DR10*7)*0.92</f>
        <v/>
      </c>
      <c r="DV10" s="0">
        <f>1*2500*0.05/12*1+1*3500*0.05/12*1+1*1200*0.05/12*1+1*300*0.05/12*1</f>
        <v/>
      </c>
      <c r="DW10" s="0">
        <f>1*(2375.0/10/12*1)+1*(3325.0/10/12*1)+1*(1140.0/8/12*1)+1*(285.0/5/12*1)</f>
        <v/>
      </c>
      <c r="DX10" s="0">
        <f>IFERROR((0)/CZ10,0)*10+IFERROR(CA10/BZ10,0)*10+(IFERROR(DF10/(DB10+DD10+DF10),0)+IFERROR(DK10/(DI10+DK10),0)+IFERROR(DR10/(DP10+DR10),0))/3*10+L10/10000*10</f>
        <v/>
      </c>
      <c r="DY10" s="0">
        <f>DX10+AJ10</f>
        <v/>
      </c>
      <c r="DZ10" s="0">
        <f>EC6+CZ10</f>
        <v/>
      </c>
      <c r="EA10" s="0" t="n">
        <v>40</v>
      </c>
      <c r="EB10" s="0" t="n">
        <v>0</v>
      </c>
      <c r="EC10" s="0">
        <f>'Lotes_Pipeline_sim3'!AY10</f>
        <v/>
      </c>
      <c r="ED10" s="0">
        <f>IF(D10="SEG-01",IFERROR(100*(_xlfn.MAXIFS($J$2:$J$13,$C$2:$C$13,C10)-J10)/(_xlfn.MAXIFS($J$2:$J$13,$C$2:$C$13,C10)-_xlfn.MINIFS($J$2:$J$13,$C$2:$C$13,C10)),100),100-ABS(J10-EB10)/EB10*100)</f>
        <v/>
      </c>
      <c r="EE10" s="0">
        <f>ROUND(MIN(100,AI10*10),0)</f>
        <v/>
      </c>
      <c r="EF10" s="0">
        <f>0.7*ED10+0.2*DY10*10+0.1*EE10</f>
        <v/>
      </c>
      <c r="EG10" s="0">
        <f>IFERROR(EF10/SUMIF($C$2:$C$13,C10,$EF$2:$EF$13),0)</f>
        <v/>
      </c>
      <c r="EH10" s="0">
        <f>'Mercados_Pipeline_sim3'!J10</f>
        <v/>
      </c>
      <c r="EI10" s="0">
        <f>'Mercados_Pipeline_sim3'!I10</f>
        <v/>
      </c>
      <c r="EJ10" s="0">
        <f>'Lotes_Pipeline_sim3'!AW10</f>
        <v/>
      </c>
      <c r="EK10" s="0">
        <f>'Lotes_Pipeline_sim3'!AX10</f>
        <v/>
      </c>
      <c r="EL10" s="0">
        <f>EC10*2</f>
        <v/>
      </c>
      <c r="EM10" s="0">
        <f>IF(I10&gt;CE10,0.25*DT10*IFERROR(MIN(1,(I10-CE10)/CE10),1),0)</f>
        <v/>
      </c>
      <c r="EN10" s="0">
        <f>0</f>
        <v/>
      </c>
      <c r="EO10" s="0">
        <f>(IFERROR(INDEX('Catalogo_Numerico_sim3'!$G$2:$G$69,MATCH("COM-01C",'Catalogo_Numerico_sim3'!$A$2:$A$69,0)),0))*1</f>
        <v/>
      </c>
      <c r="EP10" s="0">
        <f>0</f>
        <v/>
      </c>
      <c r="EQ10" s="0" t="n">
        <v>0</v>
      </c>
      <c r="ER10" s="0">
        <f>DT10+DU10+DV10+DW10+L10+EL10+EM10+EN10+EO10+EP10+EQ10</f>
        <v/>
      </c>
      <c r="ES10" s="0">
        <f>EK10-ER10</f>
        <v/>
      </c>
      <c r="ET10" s="0">
        <f>OR(AND('Lotes_Pipeline_sim3'!C10="SEG-03",'Lotes_Pipeline_sim3'!H10&gt;0,'Lotes_Pipeline_sim3'!J10&lt;4))</f>
        <v/>
      </c>
      <c r="EU10" s="0">
        <f>OR(AND('Lotes_Pipeline_sim3'!C10="SEG-03",'Lotes_Pipeline_sim3'!H10&gt;0,'Lotes_Pipeline_sim3'!J10&gt;=7))</f>
        <v/>
      </c>
      <c r="EV10" s="0">
        <f>AF10&lt;4</f>
        <v/>
      </c>
      <c r="EW10" s="0">
        <f>AM10&gt;=2</f>
        <v/>
      </c>
      <c r="EX10" s="0">
        <f>AH10&lt;3</f>
        <v/>
      </c>
      <c r="EY10" s="0">
        <f>I10&gt;CE10</f>
        <v/>
      </c>
      <c r="EZ10" s="0">
        <f>CZ10&gt;EJ10</f>
        <v/>
      </c>
      <c r="FA10" s="0">
        <f>AND(K10=0,AF10&lt;5)</f>
        <v/>
      </c>
      <c r="FB10" t="n">
        <v>1000000</v>
      </c>
      <c r="FC10">
        <f>0*2500*(1+0.03+0.02)+0*3500*(1+0.03+0.02)+0*1200*(1+0.03+0.02)+0*300*(1+0+0.01)</f>
        <v/>
      </c>
      <c r="FD10">
        <f>0*2500+0*3500+0*1200+0*300</f>
        <v/>
      </c>
      <c r="FE10">
        <f>(CF10*25+CH10*45+CJ10*80+CL10*4+CN10*9+CP10*2+CR10*4+CT10*7)*0.92</f>
        <v/>
      </c>
      <c r="FF10">
        <f>(DC10*25+DE10*45+DG10*80+DJ10*4+DL10*9+DO10*2+DQ10*4+DS10*7)*0.92</f>
        <v/>
      </c>
      <c r="FG10">
        <f>FM6</f>
        <v/>
      </c>
      <c r="FH10">
        <f>(1+AR10/100)^(1/12)-1</f>
        <v/>
      </c>
      <c r="FI10">
        <f>AS6*FJ6+AP10*FH10</f>
        <v/>
      </c>
      <c r="FJ10">
        <f>IFERROR(FI10/(AS6+AP10),0)</f>
        <v/>
      </c>
      <c r="FK10">
        <f>FI10*1</f>
        <v/>
      </c>
      <c r="FL10">
        <f>ER10-DW10-DU10+FE10+FK10</f>
        <v/>
      </c>
      <c r="FM10">
        <f>FG10+EK10+AP10-FL10-FC10</f>
        <v/>
      </c>
      <c r="FN10">
        <f>FN6+DW10</f>
        <v/>
      </c>
      <c r="FO10">
        <f>FO6+FD10</f>
        <v/>
      </c>
      <c r="FP10">
        <f>FO10-FN10</f>
        <v/>
      </c>
      <c r="FQ10">
        <f>EK10</f>
        <v/>
      </c>
      <c r="FR10">
        <f>EK10</f>
        <v/>
      </c>
      <c r="FS10">
        <f>ER10+FK10</f>
        <v/>
      </c>
      <c r="FT10">
        <f>ES10-FK10</f>
        <v/>
      </c>
      <c r="FU10">
        <f>DW10</f>
        <v/>
      </c>
      <c r="FV10">
        <f>FK10</f>
        <v/>
      </c>
      <c r="FW10">
        <f>ER10</f>
        <v/>
      </c>
      <c r="FX10">
        <f>FG10</f>
        <v/>
      </c>
      <c r="FY10">
        <f>EK10+AP10</f>
        <v/>
      </c>
      <c r="FZ10">
        <f>FL10+FC10</f>
        <v/>
      </c>
      <c r="GA10">
        <f>FM10</f>
        <v/>
      </c>
      <c r="GB10">
        <f>FG10</f>
        <v/>
      </c>
      <c r="GC10">
        <f>EK10</f>
        <v/>
      </c>
      <c r="GD10">
        <f>FL10</f>
        <v/>
      </c>
      <c r="GE10">
        <f>FC10</f>
        <v/>
      </c>
      <c r="GF10">
        <f>AP10</f>
        <v/>
      </c>
      <c r="GG10">
        <f>EK10-FL10</f>
        <v/>
      </c>
      <c r="GH10">
        <f>-FC10</f>
        <v/>
      </c>
      <c r="GI10">
        <f>FM10-FG10</f>
        <v/>
      </c>
      <c r="GJ10">
        <f>FM10</f>
        <v/>
      </c>
      <c r="GK10">
        <f>FM10</f>
        <v/>
      </c>
      <c r="GL10">
        <f>FP10</f>
        <v/>
      </c>
      <c r="GM10">
        <f>FF10</f>
        <v/>
      </c>
      <c r="GN10">
        <f>FM10+FP10+FF10</f>
        <v/>
      </c>
      <c r="GO10">
        <f>AS10</f>
        <v/>
      </c>
      <c r="GP10">
        <f>FM10+FP10+FF10-AS10</f>
        <v/>
      </c>
      <c r="GQ10">
        <f>FM10+FP10+FF10</f>
        <v/>
      </c>
      <c r="GR10">
        <f>AP10</f>
        <v/>
      </c>
      <c r="GS10">
        <f>AR10</f>
        <v/>
      </c>
      <c r="GT10">
        <f>AS10</f>
        <v/>
      </c>
      <c r="GU10">
        <f>AT10</f>
        <v/>
      </c>
      <c r="GV10">
        <f>FJ10</f>
        <v/>
      </c>
      <c r="GW10">
        <f>FK10</f>
        <v/>
      </c>
    </row>
    <row r="11">
      <c r="A11" s="0" t="n">
        <v>3</v>
      </c>
      <c r="B11" s="0" t="inlineStr">
        <is>
          <t>B</t>
        </is>
      </c>
      <c r="C11" s="0" t="inlineStr">
        <is>
          <t>3|SEG-02</t>
        </is>
      </c>
      <c r="D11" s="0" t="inlineStr">
        <is>
          <t>SEG-02</t>
        </is>
      </c>
      <c r="E11" s="0" t="inlineStr">
        <is>
          <t>INF-09</t>
        </is>
      </c>
      <c r="F11" s="0" t="inlineStr">
        <is>
          <t>INS-02</t>
        </is>
      </c>
      <c r="G11" s="0" t="inlineStr">
        <is>
          <t>INS-04</t>
        </is>
      </c>
      <c r="H11" s="0" t="inlineStr">
        <is>
          <t>INS-07</t>
        </is>
      </c>
      <c r="I11" s="0" t="n">
        <v>200</v>
      </c>
      <c r="J11" s="0" t="n">
        <v>110</v>
      </c>
      <c r="K11" s="0" t="n">
        <v>1</v>
      </c>
      <c r="L11" s="0" t="n">
        <v>6000</v>
      </c>
      <c r="M11" s="0" t="inlineStr">
        <is>
          <t>MYPE</t>
        </is>
      </c>
      <c r="N11" s="0" t="inlineStr">
        <is>
          <t>INF-03</t>
        </is>
      </c>
      <c r="O11" s="0" t="inlineStr">
        <is>
          <t>INF-06</t>
        </is>
      </c>
      <c r="P11" s="0" t="inlineStr">
        <is>
          <t>INF-09</t>
        </is>
      </c>
      <c r="Q11" s="0" t="inlineStr">
        <is>
          <t>RH-02</t>
        </is>
      </c>
      <c r="R11" s="0" t="inlineStr">
        <is>
          <t>RH-05</t>
        </is>
      </c>
      <c r="S11" s="0" t="inlineStr">
        <is>
          <t>RH-08</t>
        </is>
      </c>
      <c r="T11" s="0" t="inlineStr">
        <is>
          <t>RH-10A</t>
        </is>
      </c>
      <c r="U11" s="0" t="inlineStr">
        <is>
          <t>COM-01C</t>
        </is>
      </c>
      <c r="V11" s="0" t="inlineStr">
        <is>
          <t>FIN-01B</t>
        </is>
      </c>
      <c r="W11" s="0" t="inlineStr">
        <is>
          <t>INV-01B</t>
        </is>
      </c>
      <c r="X11" s="0" t="inlineStr">
        <is>
          <t>COM-06B</t>
        </is>
      </c>
      <c r="Y11" s="0" t="inlineStr">
        <is>
          <t>INV-02B</t>
        </is>
      </c>
      <c r="Z11" s="0" t="inlineStr"/>
      <c r="AA11" s="0" t="inlineStr"/>
      <c r="AB11" s="0" t="inlineStr"/>
      <c r="AC11" s="0" t="inlineStr"/>
      <c r="AD11" s="0" t="inlineStr"/>
      <c r="AE11" s="0" t="inlineStr"/>
      <c r="AF11" s="0">
        <f>IFERROR(INDEX('Catalogo_Numerico_sim3'!$I$2:$I$69,MATCH(N11,'Catalogo_Numerico_sim3'!$A$2:$A$69,0)),0)+IFERROR(INDEX('Catalogo_Numerico_sim3'!$I$2:$I$69,MATCH(O11,'Catalogo_Numerico_sim3'!$A$2:$A$69,0)),0)+IFERROR(INDEX('Catalogo_Numerico_sim3'!$I$2:$I$69,MATCH(P11,'Catalogo_Numerico_sim3'!$A$2:$A$69,0)),0)+IFERROR(INDEX('Catalogo_Numerico_sim3'!$I$2:$I$69,MATCH(Q11,'Catalogo_Numerico_sim3'!$A$2:$A$69,0)),0)+IFERROR(INDEX('Catalogo_Numerico_sim3'!$I$2:$I$69,MATCH(R11,'Catalogo_Numerico_sim3'!$A$2:$A$69,0)),0)+IFERROR(INDEX('Catalogo_Numerico_sim3'!$I$2:$I$69,MATCH(S11,'Catalogo_Numerico_sim3'!$A$2:$A$69,0)),0)+IFERROR(INDEX('Catalogo_Numerico_sim3'!$I$2:$I$69,MATCH(T11,'Catalogo_Numerico_sim3'!$A$2:$A$69,0)),0)+IFERROR(INDEX('Catalogo_Numerico_sim3'!$I$2:$I$69,MATCH(U11,'Catalogo_Numerico_sim3'!$A$2:$A$69,0)),0)+IFERROR(INDEX('Catalogo_Numerico_sim3'!$I$2:$I$69,MATCH(V11,'Catalogo_Numerico_sim3'!$A$2:$A$69,0)),0)+IFERROR(INDEX('Catalogo_Numerico_sim3'!$I$2:$I$69,MATCH(W11,'Catalogo_Numerico_sim3'!$A$2:$A$69,0)),0)+IFERROR(INDEX('Catalogo_Numerico_sim3'!$I$2:$I$69,MATCH(X11,'Catalogo_Numerico_sim3'!$A$2:$A$69,0)),0)+IFERROR(INDEX('Catalogo_Numerico_sim3'!$I$2:$I$69,MATCH(Y11,'Catalogo_Numerico_sim3'!$A$2:$A$69,0)),0)</f>
        <v/>
      </c>
      <c r="AG11" s="0">
        <f>IFERROR(INDEX('Catalogo_Numerico_sim3'!$J$2:$J$69,MATCH(N11,'Catalogo_Numerico_sim3'!$A$2:$A$69,0)),0)+IFERROR(INDEX('Catalogo_Numerico_sim3'!$J$2:$J$69,MATCH(O11,'Catalogo_Numerico_sim3'!$A$2:$A$69,0)),0)+IFERROR(INDEX('Catalogo_Numerico_sim3'!$J$2:$J$69,MATCH(P11,'Catalogo_Numerico_sim3'!$A$2:$A$69,0)),0)+IFERROR(INDEX('Catalogo_Numerico_sim3'!$J$2:$J$69,MATCH(Q11,'Catalogo_Numerico_sim3'!$A$2:$A$69,0)),0)+IFERROR(INDEX('Catalogo_Numerico_sim3'!$J$2:$J$69,MATCH(R11,'Catalogo_Numerico_sim3'!$A$2:$A$69,0)),0)+IFERROR(INDEX('Catalogo_Numerico_sim3'!$J$2:$J$69,MATCH(S11,'Catalogo_Numerico_sim3'!$A$2:$A$69,0)),0)+IFERROR(INDEX('Catalogo_Numerico_sim3'!$J$2:$J$69,MATCH(T11,'Catalogo_Numerico_sim3'!$A$2:$A$69,0)),0)+IFERROR(INDEX('Catalogo_Numerico_sim3'!$J$2:$J$69,MATCH(U11,'Catalogo_Numerico_sim3'!$A$2:$A$69,0)),0)+IFERROR(INDEX('Catalogo_Numerico_sim3'!$J$2:$J$69,MATCH(V11,'Catalogo_Numerico_sim3'!$A$2:$A$69,0)),0)+IFERROR(INDEX('Catalogo_Numerico_sim3'!$J$2:$J$69,MATCH(W11,'Catalogo_Numerico_sim3'!$A$2:$A$69,0)),0)+IFERROR(INDEX('Catalogo_Numerico_sim3'!$J$2:$J$69,MATCH(X11,'Catalogo_Numerico_sim3'!$A$2:$A$69,0)),0)+IFERROR(INDEX('Catalogo_Numerico_sim3'!$J$2:$J$69,MATCH(Y11,'Catalogo_Numerico_sim3'!$A$2:$A$69,0)),0)</f>
        <v/>
      </c>
      <c r="AH11" s="0">
        <f>IFERROR(INDEX('Catalogo_Numerico_sim3'!$K$2:$K$69,MATCH(N11,'Catalogo_Numerico_sim3'!$A$2:$A$69,0)),0)+IFERROR(INDEX('Catalogo_Numerico_sim3'!$K$2:$K$69,MATCH(O11,'Catalogo_Numerico_sim3'!$A$2:$A$69,0)),0)+IFERROR(INDEX('Catalogo_Numerico_sim3'!$K$2:$K$69,MATCH(P11,'Catalogo_Numerico_sim3'!$A$2:$A$69,0)),0)+IFERROR(INDEX('Catalogo_Numerico_sim3'!$K$2:$K$69,MATCH(Q11,'Catalogo_Numerico_sim3'!$A$2:$A$69,0)),0)+IFERROR(INDEX('Catalogo_Numerico_sim3'!$K$2:$K$69,MATCH(R11,'Catalogo_Numerico_sim3'!$A$2:$A$69,0)),0)+IFERROR(INDEX('Catalogo_Numerico_sim3'!$K$2:$K$69,MATCH(S11,'Catalogo_Numerico_sim3'!$A$2:$A$69,0)),0)+IFERROR(INDEX('Catalogo_Numerico_sim3'!$K$2:$K$69,MATCH(T11,'Catalogo_Numerico_sim3'!$A$2:$A$69,0)),0)+IFERROR(INDEX('Catalogo_Numerico_sim3'!$K$2:$K$69,MATCH(U11,'Catalogo_Numerico_sim3'!$A$2:$A$69,0)),0)+IFERROR(INDEX('Catalogo_Numerico_sim3'!$K$2:$K$69,MATCH(V11,'Catalogo_Numerico_sim3'!$A$2:$A$69,0)),0)+IFERROR(INDEX('Catalogo_Numerico_sim3'!$K$2:$K$69,MATCH(W11,'Catalogo_Numerico_sim3'!$A$2:$A$69,0)),0)+IFERROR(INDEX('Catalogo_Numerico_sim3'!$K$2:$K$69,MATCH(X11,'Catalogo_Numerico_sim3'!$A$2:$A$69,0)),0)+IFERROR(INDEX('Catalogo_Numerico_sim3'!$K$2:$K$69,MATCH(Y11,'Catalogo_Numerico_sim3'!$A$2:$A$69,0)),0)</f>
        <v/>
      </c>
      <c r="AI11" s="0">
        <f>IFERROR(('Lotes_Pipeline_sim3'!H11*'Lotes_Pipeline_sim3'!J11)/I11,0)</f>
        <v/>
      </c>
      <c r="AJ11" s="0">
        <f>IF(OR(AND('Lotes_Pipeline_sim3'!C11="SEG-03",'Lotes_Pipeline_sim3'!H11&gt;0,'Lotes_Pipeline_sim3'!J11&lt;4)),-2,0)+IF(OR(AND('Lotes_Pipeline_sim3'!C11="SEG-03",'Lotes_Pipeline_sim3'!H11&gt;0,'Lotes_Pipeline_sim3'!J11&gt;=7)),2,0)</f>
        <v/>
      </c>
      <c r="AK11" s="0">
        <f>IF(AND(D11="SEG-03",I11&gt;0),IF(AI11&lt;4,0.65,IF(AI11&gt;=7,1.4,1)),1)</f>
        <v/>
      </c>
      <c r="AL11" s="0">
        <f>AG11+AJ11</f>
        <v/>
      </c>
      <c r="AM11" s="0">
        <f>IF(AL11&lt;3,AM7+1,0)</f>
        <v/>
      </c>
      <c r="AN11" s="0">
        <f>IF(AM11&gt;=2,0.8,1)</f>
        <v/>
      </c>
      <c r="AO11" s="0">
        <f>IF(AH11&lt;3,3,0)</f>
        <v/>
      </c>
      <c r="AP11" s="0" t="n">
        <v>0</v>
      </c>
      <c r="AQ11" s="0" t="n">
        <v>20</v>
      </c>
      <c r="AR11" s="0">
        <f>AQ11+AT7</f>
        <v/>
      </c>
      <c r="AS11" s="0">
        <f>AS7+AP11</f>
        <v/>
      </c>
      <c r="AT11" s="0">
        <f>IF(AP11&gt;0,AO11,MAX(AT7,AO11))</f>
        <v/>
      </c>
      <c r="AU11" s="0">
        <f>IF(AF11&lt;4,0.7,1)*IF(AND(K11=0,AF11&lt;5),0.95,1)</f>
        <v/>
      </c>
      <c r="AV11" s="0" t="n">
        <v>1</v>
      </c>
      <c r="AW11" s="0" t="n">
        <v>0</v>
      </c>
      <c r="AX11" s="0" t="n">
        <v>0</v>
      </c>
      <c r="AY11" s="0" t="n">
        <v>0</v>
      </c>
      <c r="AZ11" s="0" t="n">
        <v>0</v>
      </c>
      <c r="BA11" s="0" t="n">
        <v>0</v>
      </c>
      <c r="BB11" s="0" t="n">
        <v>0</v>
      </c>
      <c r="BC11" s="0" t="n">
        <v>0</v>
      </c>
      <c r="BD11" s="0" t="n">
        <v>0</v>
      </c>
      <c r="BE11" s="0">
        <f>AV11*5*1+AY11*7*1+BB11*9*1</f>
        <v/>
      </c>
      <c r="BF11" s="0" t="n">
        <v>1</v>
      </c>
      <c r="BG11" s="0" t="n">
        <v>0</v>
      </c>
      <c r="BH11" s="0" t="n">
        <v>0</v>
      </c>
      <c r="BI11" s="0" t="n">
        <v>0</v>
      </c>
      <c r="BJ11" s="0" t="n">
        <v>0</v>
      </c>
      <c r="BK11" s="0" t="n">
        <v>0</v>
      </c>
      <c r="BL11" s="0" t="n">
        <v>0</v>
      </c>
      <c r="BM11" s="0" t="n">
        <v>0</v>
      </c>
      <c r="BN11" s="0" t="n">
        <v>0</v>
      </c>
      <c r="BO11" s="0">
        <f>BF11*6*1+BG11*6*1.2+BH11*6*1.5+BI11*8*1+BJ11*8*1.2+BK11*8*1.5+BL11*12*1+BM11*12*1.2+BN11*12*1.5</f>
        <v/>
      </c>
      <c r="BP11" s="0" t="n">
        <v>1</v>
      </c>
      <c r="BQ11" s="0" t="n">
        <v>0</v>
      </c>
      <c r="BR11" s="0" t="n">
        <v>0</v>
      </c>
      <c r="BS11" s="0" t="n">
        <v>0</v>
      </c>
      <c r="BT11" s="0" t="n">
        <v>0</v>
      </c>
      <c r="BU11" s="0" t="n">
        <v>0</v>
      </c>
      <c r="BV11" s="0" t="n">
        <v>0</v>
      </c>
      <c r="BW11" s="0" t="n">
        <v>0</v>
      </c>
      <c r="BX11" s="0" t="n">
        <v>0</v>
      </c>
      <c r="BY11" s="0">
        <f>BP11*6*1+BQ11*6*1.2+BR11*6*1.5+BS11*7*1+BT11*7*1.2+BU11*7*1.5+BV11*10*1+BW11*10*1.2+BX11*10*1.5</f>
        <v/>
      </c>
      <c r="BZ11" s="0">
        <f>AV11+AY11+BB11+BF11+BG11+BH11+BI11+BJ11+BK11+BL11+BM11+BN11+BP11+BQ11+BR11+BS11+BT11+BU11+BV11+BW11+BX11</f>
        <v/>
      </c>
      <c r="CA11" s="0">
        <f>BB11+BL11+BM11+BN11+BV11+BW11+BX11</f>
        <v/>
      </c>
      <c r="CB11" s="0">
        <f>0.9+(BB11+BL11+BV11)*0.01+K11*0.04</f>
        <v/>
      </c>
      <c r="CC11" s="0">
        <f>MIN(BE11,BO11,BY11)</f>
        <v/>
      </c>
      <c r="CD11" s="0">
        <f>CC11*24*1.08</f>
        <v/>
      </c>
      <c r="CE11" s="0">
        <f>ROUND(CD11*CB11,0)</f>
        <v/>
      </c>
      <c r="CF11" s="0" t="n">
        <v>0</v>
      </c>
      <c r="CG11" s="0">
        <f>DC7+CF11</f>
        <v/>
      </c>
      <c r="CH11" s="0" t="n">
        <v>300</v>
      </c>
      <c r="CI11" s="0">
        <f>DE7+CH11</f>
        <v/>
      </c>
      <c r="CJ11" s="0" t="n">
        <v>0</v>
      </c>
      <c r="CK11" s="0">
        <f>DG7+CJ11</f>
        <v/>
      </c>
      <c r="CL11" s="0" t="n">
        <v>1000</v>
      </c>
      <c r="CM11" s="0">
        <f>DJ7+CL11</f>
        <v/>
      </c>
      <c r="CN11" s="0" t="n">
        <v>0</v>
      </c>
      <c r="CO11" s="0">
        <f>DL7+CN11</f>
        <v/>
      </c>
      <c r="CP11" s="0" t="n">
        <v>0</v>
      </c>
      <c r="CQ11" s="0">
        <f>DO7+CP11</f>
        <v/>
      </c>
      <c r="CR11" s="0" t="n">
        <v>6000</v>
      </c>
      <c r="CS11" s="0">
        <f>DQ7+CR11</f>
        <v/>
      </c>
      <c r="CT11" s="0" t="n">
        <v>0</v>
      </c>
      <c r="CU11" s="0">
        <f>DS7+CT11</f>
        <v/>
      </c>
      <c r="CV11" s="0">
        <f>(CI11)/0.4</f>
        <v/>
      </c>
      <c r="CW11" s="0">
        <f>(CM11)/1</f>
        <v/>
      </c>
      <c r="CX11" s="0">
        <f>(CS11)/7</f>
        <v/>
      </c>
      <c r="CY11" s="0">
        <f>ROUNDDOWN(MIN(I11,CE11,CV11,CW11,CX11),0)</f>
        <v/>
      </c>
      <c r="CZ11" s="0">
        <f>'Lotes_Pipeline_sim3'!U11</f>
        <v/>
      </c>
      <c r="DA11" s="0">
        <f>DB11+DD11+DF11</f>
        <v/>
      </c>
      <c r="DB11" s="0">
        <f>'Lotes_Pipeline_sim3'!X11</f>
        <v/>
      </c>
      <c r="DC11" s="0">
        <f>CG11-DB11</f>
        <v/>
      </c>
      <c r="DD11" s="0">
        <f>'Lotes_Pipeline_sim3'!AA11</f>
        <v/>
      </c>
      <c r="DE11" s="0">
        <f>CI11-DD11</f>
        <v/>
      </c>
      <c r="DF11" s="0">
        <f>'Lotes_Pipeline_sim3'!AD11</f>
        <v/>
      </c>
      <c r="DG11" s="0">
        <f>CK11-DF11</f>
        <v/>
      </c>
      <c r="DH11" s="0">
        <f>DI11+DK11</f>
        <v/>
      </c>
      <c r="DI11" s="0">
        <f>'Lotes_Pipeline_sim3'!AG11</f>
        <v/>
      </c>
      <c r="DJ11" s="0">
        <f>CM11-DI11</f>
        <v/>
      </c>
      <c r="DK11" s="0">
        <f>'Lotes_Pipeline_sim3'!AJ11</f>
        <v/>
      </c>
      <c r="DL11" s="0">
        <f>CO11-DK11</f>
        <v/>
      </c>
      <c r="DM11" s="0">
        <f>DN11+DP11+DR11</f>
        <v/>
      </c>
      <c r="DN11" s="0">
        <f>'Lotes_Pipeline_sim3'!AM11</f>
        <v/>
      </c>
      <c r="DO11" s="0">
        <f>CQ11-DN11</f>
        <v/>
      </c>
      <c r="DP11" s="0">
        <f>'Lotes_Pipeline_sim3'!AP11</f>
        <v/>
      </c>
      <c r="DQ11" s="0">
        <f>CS11-DP11</f>
        <v/>
      </c>
      <c r="DR11" s="0">
        <f>'Lotes_Pipeline_sim3'!AS11</f>
        <v/>
      </c>
      <c r="DS11" s="0">
        <f>CU11-DR11</f>
        <v/>
      </c>
      <c r="DT11" s="0">
        <f>((AV11+AW11+AX11)*IF(M11="NO_MYPE",'Costos De Producción'!V11,'Costos De Producción'!U11)+(AY11+AZ11+BA11)*IF(M11="NO_MYPE",'Costos De Producción'!V20,'Costos De Producción'!U20)+(BB11+BC11+BD11)*IF(M11="NO_MYPE",'Costos De Producción'!V29,'Costos De Producción'!U29)+(BF11+BG11+BH11)*IF(M11="NO_MYPE",'Costos De Producción'!Z11,'Costos De Producción'!Y11)+(BI11+BJ11+BK11)*IF(M11="NO_MYPE",'Costos De Producción'!Z20,'Costos De Producción'!Y20)+(BL11+BM11+BN11)*IF(M11="NO_MYPE",'Costos De Producción'!Z29,'Costos De Producción'!Y29)+(BP11+BQ11+BR11)*IF(M11="NO_MYPE",'Costos De Producción'!AD11,'Costos De Producción'!AC11)+(BS11+BT11+BU11)*IF(M11="NO_MYPE",'Costos De Producción'!AD20,'Costos De Producción'!AC20)+(BV11+BW11+BX11)*IF(M11="NO_MYPE",'Costos De Producción'!AD29,'Costos De Producción'!AC29)+K11*IF(M11="NO_MYPE",'Costos De Producción'!V39,'Costos De Producción'!U39)+IF(M11="NO_MYPE",'Costos De Producción'!Z39,'Costos De Producción'!Y39)+'Costos De Producción'!AC33)*1</f>
        <v/>
      </c>
      <c r="DU11" s="0">
        <f>(DB11*25+DD11*45+DF11*80+DI11*4+DK11*9+DN11*2+DP11*4+DR11*7)*0.92</f>
        <v/>
      </c>
      <c r="DV11" s="0">
        <f>1*2500*0.05/12*1+1*3500*0.05/12*1+1*1200*0.05/12*1+1*300*0.05/12*1</f>
        <v/>
      </c>
      <c r="DW11" s="0">
        <f>1*(2375.0/10/12*1)+1*(3325.0/10/12*1)+1*(1140.0/8/12*1)+1*(285.0/5/12*1)</f>
        <v/>
      </c>
      <c r="DX11" s="0">
        <f>IFERROR((0)/CZ11,0)*10+IFERROR(CA11/BZ11,0)*10+(IFERROR(DF11/(DB11+DD11+DF11),0)+IFERROR(DK11/(DI11+DK11),0)+IFERROR(DR11/(DP11+DR11),0))/3*10+L11/10000*10</f>
        <v/>
      </c>
      <c r="DY11" s="0">
        <f>DX11+AJ11</f>
        <v/>
      </c>
      <c r="DZ11" s="0">
        <f>EC7+CZ11</f>
        <v/>
      </c>
      <c r="EA11" s="0" t="n">
        <v>40</v>
      </c>
      <c r="EB11" s="0" t="n">
        <v>100</v>
      </c>
      <c r="EC11" s="0">
        <f>'Lotes_Pipeline_sim3'!AY11</f>
        <v/>
      </c>
      <c r="ED11" s="0">
        <f>IF(D11="SEG-01",IFERROR(100*(_xlfn.MAXIFS($J$2:$J$13,$C$2:$C$13,C11)-J11)/(_xlfn.MAXIFS($J$2:$J$13,$C$2:$C$13,C11)-_xlfn.MINIFS($J$2:$J$13,$C$2:$C$13,C11)),100),100-ABS(J11-EB11)/EB11*100)</f>
        <v/>
      </c>
      <c r="EE11" s="0">
        <f>ROUND(MIN(100,AI11*10),0)</f>
        <v/>
      </c>
      <c r="EF11" s="0">
        <f>0.4*ED11+0.35*DY11*10+0.25*EE11</f>
        <v/>
      </c>
      <c r="EG11" s="0">
        <f>IFERROR(EF11/SUMIF($C$2:$C$13,C11,$EF$2:$EF$13),0)</f>
        <v/>
      </c>
      <c r="EH11" s="0">
        <f>'Mercados_Pipeline_sim3'!J11</f>
        <v/>
      </c>
      <c r="EI11" s="0">
        <f>'Mercados_Pipeline_sim3'!I11</f>
        <v/>
      </c>
      <c r="EJ11" s="0">
        <f>'Lotes_Pipeline_sim3'!AW11</f>
        <v/>
      </c>
      <c r="EK11" s="0">
        <f>'Lotes_Pipeline_sim3'!AX11</f>
        <v/>
      </c>
      <c r="EL11" s="0">
        <f>EC11*2</f>
        <v/>
      </c>
      <c r="EM11" s="0">
        <f>IF(I11&gt;CE11,0.25*DT11*IFERROR(MIN(1,(I11-CE11)/CE11),1),0)</f>
        <v/>
      </c>
      <c r="EN11" s="0">
        <f>0</f>
        <v/>
      </c>
      <c r="EO11" s="0">
        <f>(IFERROR(INDEX('Catalogo_Numerico_sim3'!$G$2:$G$69,MATCH("COM-01C",'Catalogo_Numerico_sim3'!$A$2:$A$69,0)),0)+IFERROR(INDEX('Catalogo_Numerico_sim3'!$G$2:$G$69,MATCH("INV-01B",'Catalogo_Numerico_sim3'!$A$2:$A$69,0)),0))*1</f>
        <v/>
      </c>
      <c r="EP11" s="0">
        <f>0</f>
        <v/>
      </c>
      <c r="EQ11" s="0" t="n">
        <v>0</v>
      </c>
      <c r="ER11" s="0">
        <f>DT11+DU11+DV11+DW11+L11+EL11+EM11+EN11+EO11+EP11+EQ11</f>
        <v/>
      </c>
      <c r="ES11" s="0">
        <f>EK11-ER11</f>
        <v/>
      </c>
      <c r="ET11" s="0">
        <f>OR(AND('Lotes_Pipeline_sim3'!C11="SEG-03",'Lotes_Pipeline_sim3'!H11&gt;0,'Lotes_Pipeline_sim3'!J11&lt;4))</f>
        <v/>
      </c>
      <c r="EU11" s="0">
        <f>OR(AND('Lotes_Pipeline_sim3'!C11="SEG-03",'Lotes_Pipeline_sim3'!H11&gt;0,'Lotes_Pipeline_sim3'!J11&gt;=7))</f>
        <v/>
      </c>
      <c r="EV11" s="0">
        <f>AF11&lt;4</f>
        <v/>
      </c>
      <c r="EW11" s="0">
        <f>AM11&gt;=2</f>
        <v/>
      </c>
      <c r="EX11" s="0">
        <f>AH11&lt;3</f>
        <v/>
      </c>
      <c r="EY11" s="0">
        <f>I11&gt;CE11</f>
        <v/>
      </c>
      <c r="EZ11" s="0">
        <f>CZ11&gt;EJ11</f>
        <v/>
      </c>
      <c r="FA11" s="0">
        <f>AND(K11=0,AF11&lt;5)</f>
        <v/>
      </c>
      <c r="FB11" t="n">
        <v>1000000</v>
      </c>
      <c r="FC11">
        <f>0*2500*(1+0.03+0.02)+0*3500*(1+0.03+0.02)+0*1200*(1+0.03+0.02)+0*300*(1+0+0.01)</f>
        <v/>
      </c>
      <c r="FD11">
        <f>0*2500+0*3500+0*1200+0*300</f>
        <v/>
      </c>
      <c r="FE11">
        <f>(CF11*25+CH11*45+CJ11*80+CL11*4+CN11*9+CP11*2+CR11*4+CT11*7)*0.92</f>
        <v/>
      </c>
      <c r="FF11">
        <f>(DC11*25+DE11*45+DG11*80+DJ11*4+DL11*9+DO11*2+DQ11*4+DS11*7)*0.92</f>
        <v/>
      </c>
      <c r="FG11">
        <f>FM7</f>
        <v/>
      </c>
      <c r="FH11">
        <f>(1+AR11/100)^(1/12)-1</f>
        <v/>
      </c>
      <c r="FI11">
        <f>AS7*FJ7+AP11*FH11</f>
        <v/>
      </c>
      <c r="FJ11">
        <f>IFERROR(FI11/(AS7+AP11),0)</f>
        <v/>
      </c>
      <c r="FK11">
        <f>FI11*1</f>
        <v/>
      </c>
      <c r="FL11">
        <f>ER11-DW11-DU11+FE11+FK11</f>
        <v/>
      </c>
      <c r="FM11">
        <f>FG11+EK11+AP11-FL11-FC11</f>
        <v/>
      </c>
      <c r="FN11">
        <f>FN7+DW11</f>
        <v/>
      </c>
      <c r="FO11">
        <f>FO7+FD11</f>
        <v/>
      </c>
      <c r="FP11">
        <f>FO11-FN11</f>
        <v/>
      </c>
      <c r="FQ11">
        <f>EK11</f>
        <v/>
      </c>
      <c r="FR11">
        <f>EK11</f>
        <v/>
      </c>
      <c r="FS11">
        <f>ER11+FK11</f>
        <v/>
      </c>
      <c r="FT11">
        <f>ES11-FK11</f>
        <v/>
      </c>
      <c r="FU11">
        <f>DW11</f>
        <v/>
      </c>
      <c r="FV11">
        <f>FK11</f>
        <v/>
      </c>
      <c r="FW11">
        <f>ER11</f>
        <v/>
      </c>
      <c r="FX11">
        <f>FG11</f>
        <v/>
      </c>
      <c r="FY11">
        <f>EK11+AP11</f>
        <v/>
      </c>
      <c r="FZ11">
        <f>FL11+FC11</f>
        <v/>
      </c>
      <c r="GA11">
        <f>FM11</f>
        <v/>
      </c>
      <c r="GB11">
        <f>FG11</f>
        <v/>
      </c>
      <c r="GC11">
        <f>EK11</f>
        <v/>
      </c>
      <c r="GD11">
        <f>FL11</f>
        <v/>
      </c>
      <c r="GE11">
        <f>FC11</f>
        <v/>
      </c>
      <c r="GF11">
        <f>AP11</f>
        <v/>
      </c>
      <c r="GG11">
        <f>EK11-FL11</f>
        <v/>
      </c>
      <c r="GH11">
        <f>-FC11</f>
        <v/>
      </c>
      <c r="GI11">
        <f>FM11-FG11</f>
        <v/>
      </c>
      <c r="GJ11">
        <f>FM11</f>
        <v/>
      </c>
      <c r="GK11">
        <f>FM11</f>
        <v/>
      </c>
      <c r="GL11">
        <f>FP11</f>
        <v/>
      </c>
      <c r="GM11">
        <f>FF11</f>
        <v/>
      </c>
      <c r="GN11">
        <f>FM11+FP11+FF11</f>
        <v/>
      </c>
      <c r="GO11">
        <f>AS11</f>
        <v/>
      </c>
      <c r="GP11">
        <f>FM11+FP11+FF11-AS11</f>
        <v/>
      </c>
      <c r="GQ11">
        <f>FM11+FP11+FF11</f>
        <v/>
      </c>
      <c r="GR11">
        <f>AP11</f>
        <v/>
      </c>
      <c r="GS11">
        <f>AR11</f>
        <v/>
      </c>
      <c r="GT11">
        <f>AS11</f>
        <v/>
      </c>
      <c r="GU11">
        <f>AT11</f>
        <v/>
      </c>
      <c r="GV11">
        <f>FJ11</f>
        <v/>
      </c>
      <c r="GW11">
        <f>FK11</f>
        <v/>
      </c>
    </row>
    <row r="12">
      <c r="A12" s="0" t="n">
        <v>3</v>
      </c>
      <c r="B12" s="0" t="inlineStr">
        <is>
          <t>C</t>
        </is>
      </c>
      <c r="C12" s="0" t="inlineStr">
        <is>
          <t>3|SEG-03</t>
        </is>
      </c>
      <c r="D12" s="0" t="inlineStr">
        <is>
          <t>SEG-03</t>
        </is>
      </c>
      <c r="E12" s="0" t="inlineStr">
        <is>
          <t>INF-10</t>
        </is>
      </c>
      <c r="F12" s="0" t="inlineStr">
        <is>
          <t>INS-03</t>
        </is>
      </c>
      <c r="G12" s="0" t="inlineStr">
        <is>
          <t>INS-05</t>
        </is>
      </c>
      <c r="H12" s="0" t="inlineStr">
        <is>
          <t>INS-08</t>
        </is>
      </c>
      <c r="I12" s="0" t="n">
        <v>200</v>
      </c>
      <c r="J12" s="0" t="n">
        <v>260</v>
      </c>
      <c r="K12" s="0" t="n">
        <v>1</v>
      </c>
      <c r="L12" s="0" t="n">
        <v>6000</v>
      </c>
      <c r="M12" s="0" t="inlineStr">
        <is>
          <t>NO_MYPE</t>
        </is>
      </c>
      <c r="N12" s="0" t="inlineStr">
        <is>
          <t>INF-03</t>
        </is>
      </c>
      <c r="O12" s="0" t="inlineStr">
        <is>
          <t>INF-06</t>
        </is>
      </c>
      <c r="P12" s="0" t="inlineStr">
        <is>
          <t>INF-09</t>
        </is>
      </c>
      <c r="Q12" s="0" t="inlineStr">
        <is>
          <t>RH-02</t>
        </is>
      </c>
      <c r="R12" s="0" t="inlineStr">
        <is>
          <t>RH-05</t>
        </is>
      </c>
      <c r="S12" s="0" t="inlineStr">
        <is>
          <t>RH-08</t>
        </is>
      </c>
      <c r="T12" s="0" t="inlineStr">
        <is>
          <t>RH-10A</t>
        </is>
      </c>
      <c r="U12" s="0" t="inlineStr">
        <is>
          <t>COM-01C</t>
        </is>
      </c>
      <c r="V12" s="0" t="inlineStr">
        <is>
          <t>FIN-01B</t>
        </is>
      </c>
      <c r="W12" s="0" t="inlineStr">
        <is>
          <t>INV-01B</t>
        </is>
      </c>
      <c r="X12" s="0" t="inlineStr">
        <is>
          <t>COM-06C</t>
        </is>
      </c>
      <c r="Y12" s="0" t="inlineStr">
        <is>
          <t>INV-02B</t>
        </is>
      </c>
      <c r="Z12" s="0" t="inlineStr"/>
      <c r="AA12" s="0" t="inlineStr"/>
      <c r="AB12" s="0" t="inlineStr"/>
      <c r="AC12" s="0" t="inlineStr"/>
      <c r="AD12" s="0" t="inlineStr"/>
      <c r="AE12" s="0" t="inlineStr"/>
      <c r="AF12" s="0">
        <f>IFERROR(INDEX('Catalogo_Numerico_sim3'!$I$2:$I$69,MATCH(N12,'Catalogo_Numerico_sim3'!$A$2:$A$69,0)),0)+IFERROR(INDEX('Catalogo_Numerico_sim3'!$I$2:$I$69,MATCH(O12,'Catalogo_Numerico_sim3'!$A$2:$A$69,0)),0)+IFERROR(INDEX('Catalogo_Numerico_sim3'!$I$2:$I$69,MATCH(P12,'Catalogo_Numerico_sim3'!$A$2:$A$69,0)),0)+IFERROR(INDEX('Catalogo_Numerico_sim3'!$I$2:$I$69,MATCH(Q12,'Catalogo_Numerico_sim3'!$A$2:$A$69,0)),0)+IFERROR(INDEX('Catalogo_Numerico_sim3'!$I$2:$I$69,MATCH(R12,'Catalogo_Numerico_sim3'!$A$2:$A$69,0)),0)+IFERROR(INDEX('Catalogo_Numerico_sim3'!$I$2:$I$69,MATCH(S12,'Catalogo_Numerico_sim3'!$A$2:$A$69,0)),0)+IFERROR(INDEX('Catalogo_Numerico_sim3'!$I$2:$I$69,MATCH(T12,'Catalogo_Numerico_sim3'!$A$2:$A$69,0)),0)+IFERROR(INDEX('Catalogo_Numerico_sim3'!$I$2:$I$69,MATCH(U12,'Catalogo_Numerico_sim3'!$A$2:$A$69,0)),0)+IFERROR(INDEX('Catalogo_Numerico_sim3'!$I$2:$I$69,MATCH(V12,'Catalogo_Numerico_sim3'!$A$2:$A$69,0)),0)+IFERROR(INDEX('Catalogo_Numerico_sim3'!$I$2:$I$69,MATCH(W12,'Catalogo_Numerico_sim3'!$A$2:$A$69,0)),0)+IFERROR(INDEX('Catalogo_Numerico_sim3'!$I$2:$I$69,MATCH(X12,'Catalogo_Numerico_sim3'!$A$2:$A$69,0)),0)+IFERROR(INDEX('Catalogo_Numerico_sim3'!$I$2:$I$69,MATCH(Y12,'Catalogo_Numerico_sim3'!$A$2:$A$69,0)),0)</f>
        <v/>
      </c>
      <c r="AG12" s="0">
        <f>IFERROR(INDEX('Catalogo_Numerico_sim3'!$J$2:$J$69,MATCH(N12,'Catalogo_Numerico_sim3'!$A$2:$A$69,0)),0)+IFERROR(INDEX('Catalogo_Numerico_sim3'!$J$2:$J$69,MATCH(O12,'Catalogo_Numerico_sim3'!$A$2:$A$69,0)),0)+IFERROR(INDEX('Catalogo_Numerico_sim3'!$J$2:$J$69,MATCH(P12,'Catalogo_Numerico_sim3'!$A$2:$A$69,0)),0)+IFERROR(INDEX('Catalogo_Numerico_sim3'!$J$2:$J$69,MATCH(Q12,'Catalogo_Numerico_sim3'!$A$2:$A$69,0)),0)+IFERROR(INDEX('Catalogo_Numerico_sim3'!$J$2:$J$69,MATCH(R12,'Catalogo_Numerico_sim3'!$A$2:$A$69,0)),0)+IFERROR(INDEX('Catalogo_Numerico_sim3'!$J$2:$J$69,MATCH(S12,'Catalogo_Numerico_sim3'!$A$2:$A$69,0)),0)+IFERROR(INDEX('Catalogo_Numerico_sim3'!$J$2:$J$69,MATCH(T12,'Catalogo_Numerico_sim3'!$A$2:$A$69,0)),0)+IFERROR(INDEX('Catalogo_Numerico_sim3'!$J$2:$J$69,MATCH(U12,'Catalogo_Numerico_sim3'!$A$2:$A$69,0)),0)+IFERROR(INDEX('Catalogo_Numerico_sim3'!$J$2:$J$69,MATCH(V12,'Catalogo_Numerico_sim3'!$A$2:$A$69,0)),0)+IFERROR(INDEX('Catalogo_Numerico_sim3'!$J$2:$J$69,MATCH(W12,'Catalogo_Numerico_sim3'!$A$2:$A$69,0)),0)+IFERROR(INDEX('Catalogo_Numerico_sim3'!$J$2:$J$69,MATCH(X12,'Catalogo_Numerico_sim3'!$A$2:$A$69,0)),0)+IFERROR(INDEX('Catalogo_Numerico_sim3'!$J$2:$J$69,MATCH(Y12,'Catalogo_Numerico_sim3'!$A$2:$A$69,0)),0)</f>
        <v/>
      </c>
      <c r="AH12" s="0">
        <f>IFERROR(INDEX('Catalogo_Numerico_sim3'!$K$2:$K$69,MATCH(N12,'Catalogo_Numerico_sim3'!$A$2:$A$69,0)),0)+IFERROR(INDEX('Catalogo_Numerico_sim3'!$K$2:$K$69,MATCH(O12,'Catalogo_Numerico_sim3'!$A$2:$A$69,0)),0)+IFERROR(INDEX('Catalogo_Numerico_sim3'!$K$2:$K$69,MATCH(P12,'Catalogo_Numerico_sim3'!$A$2:$A$69,0)),0)+IFERROR(INDEX('Catalogo_Numerico_sim3'!$K$2:$K$69,MATCH(Q12,'Catalogo_Numerico_sim3'!$A$2:$A$69,0)),0)+IFERROR(INDEX('Catalogo_Numerico_sim3'!$K$2:$K$69,MATCH(R12,'Catalogo_Numerico_sim3'!$A$2:$A$69,0)),0)+IFERROR(INDEX('Catalogo_Numerico_sim3'!$K$2:$K$69,MATCH(S12,'Catalogo_Numerico_sim3'!$A$2:$A$69,0)),0)+IFERROR(INDEX('Catalogo_Numerico_sim3'!$K$2:$K$69,MATCH(T12,'Catalogo_Numerico_sim3'!$A$2:$A$69,0)),0)+IFERROR(INDEX('Catalogo_Numerico_sim3'!$K$2:$K$69,MATCH(U12,'Catalogo_Numerico_sim3'!$A$2:$A$69,0)),0)+IFERROR(INDEX('Catalogo_Numerico_sim3'!$K$2:$K$69,MATCH(V12,'Catalogo_Numerico_sim3'!$A$2:$A$69,0)),0)+IFERROR(INDEX('Catalogo_Numerico_sim3'!$K$2:$K$69,MATCH(W12,'Catalogo_Numerico_sim3'!$A$2:$A$69,0)),0)+IFERROR(INDEX('Catalogo_Numerico_sim3'!$K$2:$K$69,MATCH(X12,'Catalogo_Numerico_sim3'!$A$2:$A$69,0)),0)+IFERROR(INDEX('Catalogo_Numerico_sim3'!$K$2:$K$69,MATCH(Y12,'Catalogo_Numerico_sim3'!$A$2:$A$69,0)),0)</f>
        <v/>
      </c>
      <c r="AI12" s="0">
        <f>IFERROR(('Lotes_Pipeline_sim3'!H12*'Lotes_Pipeline_sim3'!J12)/I12,0)</f>
        <v/>
      </c>
      <c r="AJ12" s="0">
        <f>IF(OR(AND('Lotes_Pipeline_sim3'!C12="SEG-03",'Lotes_Pipeline_sim3'!H12&gt;0,'Lotes_Pipeline_sim3'!J12&lt;4)),-2,0)+IF(OR(AND('Lotes_Pipeline_sim3'!C12="SEG-03",'Lotes_Pipeline_sim3'!H12&gt;0,'Lotes_Pipeline_sim3'!J12&gt;=7)),2,0)</f>
        <v/>
      </c>
      <c r="AK12" s="0">
        <f>IF(AND(D12="SEG-03",I12&gt;0),IF(AI12&lt;4,0.65,IF(AI12&gt;=7,1.4,1)),1)</f>
        <v/>
      </c>
      <c r="AL12" s="0">
        <f>AG12+AJ12</f>
        <v/>
      </c>
      <c r="AM12" s="0">
        <f>IF(AL12&lt;3,AM8+1,0)</f>
        <v/>
      </c>
      <c r="AN12" s="0">
        <f>IF(AM12&gt;=2,0.8,1)</f>
        <v/>
      </c>
      <c r="AO12" s="0">
        <f>IF(AH12&lt;3,3,0)</f>
        <v/>
      </c>
      <c r="AP12" s="0" t="n">
        <v>0</v>
      </c>
      <c r="AQ12" s="0" t="n">
        <v>20</v>
      </c>
      <c r="AR12" s="0">
        <f>AQ12+AT8</f>
        <v/>
      </c>
      <c r="AS12" s="0">
        <f>AS8+AP12</f>
        <v/>
      </c>
      <c r="AT12" s="0">
        <f>IF(AP12&gt;0,AO12,MAX(AT8,AO12))</f>
        <v/>
      </c>
      <c r="AU12" s="0">
        <f>IF(AF12&lt;4,0.7,1)*IF(AND(K12=0,AF12&lt;5),0.95,1)</f>
        <v/>
      </c>
      <c r="AV12" s="0" t="n">
        <v>1</v>
      </c>
      <c r="AW12" s="0" t="n">
        <v>0</v>
      </c>
      <c r="AX12" s="0" t="n">
        <v>0</v>
      </c>
      <c r="AY12" s="0" t="n">
        <v>0</v>
      </c>
      <c r="AZ12" s="0" t="n">
        <v>0</v>
      </c>
      <c r="BA12" s="0" t="n">
        <v>0</v>
      </c>
      <c r="BB12" s="0" t="n">
        <v>0</v>
      </c>
      <c r="BC12" s="0" t="n">
        <v>0</v>
      </c>
      <c r="BD12" s="0" t="n">
        <v>0</v>
      </c>
      <c r="BE12" s="0">
        <f>AV12*5*1+AY12*7*1+BB12*9*1</f>
        <v/>
      </c>
      <c r="BF12" s="0" t="n">
        <v>1</v>
      </c>
      <c r="BG12" s="0" t="n">
        <v>0</v>
      </c>
      <c r="BH12" s="0" t="n">
        <v>0</v>
      </c>
      <c r="BI12" s="0" t="n">
        <v>0</v>
      </c>
      <c r="BJ12" s="0" t="n">
        <v>0</v>
      </c>
      <c r="BK12" s="0" t="n">
        <v>0</v>
      </c>
      <c r="BL12" s="0" t="n">
        <v>0</v>
      </c>
      <c r="BM12" s="0" t="n">
        <v>0</v>
      </c>
      <c r="BN12" s="0" t="n">
        <v>0</v>
      </c>
      <c r="BO12" s="0">
        <f>BF12*6*1+BG12*6*1.2+BH12*6*1.5+BI12*8*1+BJ12*8*1.2+BK12*8*1.5+BL12*12*1+BM12*12*1.2+BN12*12*1.5</f>
        <v/>
      </c>
      <c r="BP12" s="0" t="n">
        <v>1</v>
      </c>
      <c r="BQ12" s="0" t="n">
        <v>0</v>
      </c>
      <c r="BR12" s="0" t="n">
        <v>0</v>
      </c>
      <c r="BS12" s="0" t="n">
        <v>0</v>
      </c>
      <c r="BT12" s="0" t="n">
        <v>0</v>
      </c>
      <c r="BU12" s="0" t="n">
        <v>0</v>
      </c>
      <c r="BV12" s="0" t="n">
        <v>0</v>
      </c>
      <c r="BW12" s="0" t="n">
        <v>0</v>
      </c>
      <c r="BX12" s="0" t="n">
        <v>0</v>
      </c>
      <c r="BY12" s="0">
        <f>BP12*6*1+BQ12*6*1.2+BR12*6*1.5+BS12*7*1+BT12*7*1.2+BU12*7*1.5+BV12*10*1+BW12*10*1.2+BX12*10*1.5</f>
        <v/>
      </c>
      <c r="BZ12" s="0">
        <f>AV12+AY12+BB12+BF12+BG12+BH12+BI12+BJ12+BK12+BL12+BM12+BN12+BP12+BQ12+BR12+BS12+BT12+BU12+BV12+BW12+BX12</f>
        <v/>
      </c>
      <c r="CA12" s="0">
        <f>BB12+BL12+BM12+BN12+BV12+BW12+BX12</f>
        <v/>
      </c>
      <c r="CB12" s="0">
        <f>0.9+(BB12+BL12+BV12)*0.01+K12*0.04</f>
        <v/>
      </c>
      <c r="CC12" s="0">
        <f>MIN(BE12,BO12,BY12)</f>
        <v/>
      </c>
      <c r="CD12" s="0">
        <f>CC12*24*1.08</f>
        <v/>
      </c>
      <c r="CE12" s="0">
        <f>ROUND(CD12*CB12,0)</f>
        <v/>
      </c>
      <c r="CF12" s="0" t="n">
        <v>0</v>
      </c>
      <c r="CG12" s="0">
        <f>DC8+CF12</f>
        <v/>
      </c>
      <c r="CH12" s="0" t="n">
        <v>0</v>
      </c>
      <c r="CI12" s="0">
        <f>DE8+CH12</f>
        <v/>
      </c>
      <c r="CJ12" s="0" t="n">
        <v>300</v>
      </c>
      <c r="CK12" s="0">
        <f>DG8+CJ12</f>
        <v/>
      </c>
      <c r="CL12" s="0" t="n">
        <v>0</v>
      </c>
      <c r="CM12" s="0">
        <f>DJ8+CL12</f>
        <v/>
      </c>
      <c r="CN12" s="0" t="n">
        <v>1000</v>
      </c>
      <c r="CO12" s="0">
        <f>DL8+CN12</f>
        <v/>
      </c>
      <c r="CP12" s="0" t="n">
        <v>0</v>
      </c>
      <c r="CQ12" s="0">
        <f>DO8+CP12</f>
        <v/>
      </c>
      <c r="CR12" s="0" t="n">
        <v>0</v>
      </c>
      <c r="CS12" s="0">
        <f>DQ8+CR12</f>
        <v/>
      </c>
      <c r="CT12" s="0" t="n">
        <v>6000</v>
      </c>
      <c r="CU12" s="0">
        <f>DS8+CT12</f>
        <v/>
      </c>
      <c r="CV12" s="0">
        <f>(CK12)/0.7</f>
        <v/>
      </c>
      <c r="CW12" s="0">
        <f>(CO12)/1</f>
        <v/>
      </c>
      <c r="CX12" s="0">
        <f>(CU12)/13</f>
        <v/>
      </c>
      <c r="CY12" s="0">
        <f>ROUNDDOWN(MIN(I12,CE12,CV12,CW12,CX12),0)</f>
        <v/>
      </c>
      <c r="CZ12" s="0">
        <f>'Lotes_Pipeline_sim3'!U12</f>
        <v/>
      </c>
      <c r="DA12" s="0">
        <f>DB12+DD12+DF12</f>
        <v/>
      </c>
      <c r="DB12" s="0">
        <f>'Lotes_Pipeline_sim3'!X12</f>
        <v/>
      </c>
      <c r="DC12" s="0">
        <f>CG12-DB12</f>
        <v/>
      </c>
      <c r="DD12" s="0">
        <f>'Lotes_Pipeline_sim3'!AA12</f>
        <v/>
      </c>
      <c r="DE12" s="0">
        <f>CI12-DD12</f>
        <v/>
      </c>
      <c r="DF12" s="0">
        <f>'Lotes_Pipeline_sim3'!AD12</f>
        <v/>
      </c>
      <c r="DG12" s="0">
        <f>CK12-DF12</f>
        <v/>
      </c>
      <c r="DH12" s="0">
        <f>DI12+DK12</f>
        <v/>
      </c>
      <c r="DI12" s="0">
        <f>'Lotes_Pipeline_sim3'!AG12</f>
        <v/>
      </c>
      <c r="DJ12" s="0">
        <f>CM12-DI12</f>
        <v/>
      </c>
      <c r="DK12" s="0">
        <f>'Lotes_Pipeline_sim3'!AJ12</f>
        <v/>
      </c>
      <c r="DL12" s="0">
        <f>CO12-DK12</f>
        <v/>
      </c>
      <c r="DM12" s="0">
        <f>DN12+DP12+DR12</f>
        <v/>
      </c>
      <c r="DN12" s="0">
        <f>'Lotes_Pipeline_sim3'!AM12</f>
        <v/>
      </c>
      <c r="DO12" s="0">
        <f>CQ12-DN12</f>
        <v/>
      </c>
      <c r="DP12" s="0">
        <f>'Lotes_Pipeline_sim3'!AP12</f>
        <v/>
      </c>
      <c r="DQ12" s="0">
        <f>CS12-DP12</f>
        <v/>
      </c>
      <c r="DR12" s="0">
        <f>'Lotes_Pipeline_sim3'!AS12</f>
        <v/>
      </c>
      <c r="DS12" s="0">
        <f>CU12-DR12</f>
        <v/>
      </c>
      <c r="DT12" s="0">
        <f>((AV12+AW12+AX12)*IF(M12="NO_MYPE",'Costos De Producción'!V11,'Costos De Producción'!U11)+(AY12+AZ12+BA12)*IF(M12="NO_MYPE",'Costos De Producción'!V20,'Costos De Producción'!U20)+(BB12+BC12+BD12)*IF(M12="NO_MYPE",'Costos De Producción'!V29,'Costos De Producción'!U29)+(BF12+BG12+BH12)*IF(M12="NO_MYPE",'Costos De Producción'!Z11,'Costos De Producción'!Y11)+(BI12+BJ12+BK12)*IF(M12="NO_MYPE",'Costos De Producción'!Z20,'Costos De Producción'!Y20)+(BL12+BM12+BN12)*IF(M12="NO_MYPE",'Costos De Producción'!Z29,'Costos De Producción'!Y29)+(BP12+BQ12+BR12)*IF(M12="NO_MYPE",'Costos De Producción'!AD11,'Costos De Producción'!AC11)+(BS12+BT12+BU12)*IF(M12="NO_MYPE",'Costos De Producción'!AD20,'Costos De Producción'!AC20)+(BV12+BW12+BX12)*IF(M12="NO_MYPE",'Costos De Producción'!AD29,'Costos De Producción'!AC29)+K12*IF(M12="NO_MYPE",'Costos De Producción'!V39,'Costos De Producción'!U39)+IF(M12="NO_MYPE",'Costos De Producción'!Z39,'Costos De Producción'!Y39)+'Costos De Producción'!AC33)*1</f>
        <v/>
      </c>
      <c r="DU12" s="0">
        <f>(DB12*25+DD12*45+DF12*80+DI12*4+DK12*9+DN12*2+DP12*4+DR12*7)*0.92</f>
        <v/>
      </c>
      <c r="DV12" s="0">
        <f>1*2500*0.08/12*1+1*3500*0.08/12*1+1*1200*0.08/12*1+1*300*0.08/12*1</f>
        <v/>
      </c>
      <c r="DW12" s="0">
        <f>1*(2250.0/10/12*1)+1*(3150.0/10/12*1)+1*(1080.0/8/12*1)+1*(270.0/5/12*1)</f>
        <v/>
      </c>
      <c r="DX12" s="0">
        <f>IFERROR(('Lotes_Pipeline_sim3'!U12)/CZ12,0)*10+IFERROR(CA12/BZ12,0)*10+(IFERROR(DF12/(DB12+DD12+DF12),0)+IFERROR(DK12/(DI12+DK12),0)+IFERROR(DR12/(DP12+DR12),0))/3*10+L12/10000*10</f>
        <v/>
      </c>
      <c r="DY12" s="0">
        <f>DX12+AJ12</f>
        <v/>
      </c>
      <c r="DZ12" s="0">
        <f>EC8+CZ12</f>
        <v/>
      </c>
      <c r="EA12" s="0" t="n">
        <v>40</v>
      </c>
      <c r="EB12" s="0" t="n">
        <v>250</v>
      </c>
      <c r="EC12" s="0">
        <f>'Lotes_Pipeline_sim3'!AY12</f>
        <v/>
      </c>
      <c r="ED12" s="0">
        <f>IF(D12="SEG-01",IFERROR(100*(_xlfn.MAXIFS($J$2:$J$13,$C$2:$C$13,C12)-J12)/(_xlfn.MAXIFS($J$2:$J$13,$C$2:$C$13,C12)-_xlfn.MINIFS($J$2:$J$13,$C$2:$C$13,C12)),100),100-ABS(J12-EB12)/EB12*100)</f>
        <v/>
      </c>
      <c r="EE12" s="0">
        <f>ROUND(MIN(100,AI12*10),0)</f>
        <v/>
      </c>
      <c r="EF12" s="0">
        <f>0.1*ED12+0.5*DY12*10+0.4*EE12</f>
        <v/>
      </c>
      <c r="EG12" s="0">
        <f>IFERROR(EF12/SUMIF($C$2:$C$13,C12,$EF$2:$EF$13),0)</f>
        <v/>
      </c>
      <c r="EH12" s="0">
        <f>'Mercados_Pipeline_sim3'!J12</f>
        <v/>
      </c>
      <c r="EI12" s="0">
        <f>'Mercados_Pipeline_sim3'!I12</f>
        <v/>
      </c>
      <c r="EJ12" s="0">
        <f>'Lotes_Pipeline_sim3'!AW12</f>
        <v/>
      </c>
      <c r="EK12" s="0">
        <f>'Lotes_Pipeline_sim3'!AX12</f>
        <v/>
      </c>
      <c r="EL12" s="0">
        <f>EC12*2</f>
        <v/>
      </c>
      <c r="EM12" s="0">
        <f>IF(I12&gt;CE12,0.25*DT12*IFERROR(MIN(1,(I12-CE12)/CE12),1),0)</f>
        <v/>
      </c>
      <c r="EN12" s="0">
        <f>0</f>
        <v/>
      </c>
      <c r="EO12" s="0">
        <f>(IFERROR(INDEX('Catalogo_Numerico_sim3'!$G$2:$G$69,MATCH("COM-01C",'Catalogo_Numerico_sim3'!$A$2:$A$69,0)),0)+IFERROR(INDEX('Catalogo_Numerico_sim3'!$G$2:$G$69,MATCH("INV-01B",'Catalogo_Numerico_sim3'!$A$2:$A$69,0)),0))*1</f>
        <v/>
      </c>
      <c r="EP12" s="0">
        <f>0</f>
        <v/>
      </c>
      <c r="EQ12" s="0" t="n">
        <v>0</v>
      </c>
      <c r="ER12" s="0">
        <f>DT12+DU12+DV12+DW12+L12+EL12+EM12+EN12+EO12+EP12+EQ12</f>
        <v/>
      </c>
      <c r="ES12" s="0">
        <f>EK12-ER12</f>
        <v/>
      </c>
      <c r="ET12" s="0">
        <f>OR(AND('Lotes_Pipeline_sim3'!C12="SEG-03",'Lotes_Pipeline_sim3'!H12&gt;0,'Lotes_Pipeline_sim3'!J12&lt;4))</f>
        <v/>
      </c>
      <c r="EU12" s="0">
        <f>OR(AND('Lotes_Pipeline_sim3'!C12="SEG-03",'Lotes_Pipeline_sim3'!H12&gt;0,'Lotes_Pipeline_sim3'!J12&gt;=7))</f>
        <v/>
      </c>
      <c r="EV12" s="0">
        <f>AF12&lt;4</f>
        <v/>
      </c>
      <c r="EW12" s="0">
        <f>AM12&gt;=2</f>
        <v/>
      </c>
      <c r="EX12" s="0">
        <f>AH12&lt;3</f>
        <v/>
      </c>
      <c r="EY12" s="0">
        <f>I12&gt;CE12</f>
        <v/>
      </c>
      <c r="EZ12" s="0">
        <f>CZ12&gt;EJ12</f>
        <v/>
      </c>
      <c r="FA12" s="0">
        <f>AND(K12=0,AF12&lt;5)</f>
        <v/>
      </c>
      <c r="FB12" t="n">
        <v>1000000</v>
      </c>
      <c r="FC12">
        <f>0*2500*(1+0.05+0.03)+0*3500*(1+0.05+0.03)+0*1200*(1+0.05+0.03)+0*300*(1+0+0.02)</f>
        <v/>
      </c>
      <c r="FD12">
        <f>0*2500+0*3500+0*1200+0*300</f>
        <v/>
      </c>
      <c r="FE12">
        <f>(CF12*25+CH12*45+CJ12*80+CL12*4+CN12*9+CP12*2+CR12*4+CT12*7)*0.92</f>
        <v/>
      </c>
      <c r="FF12">
        <f>(DC12*25+DE12*45+DG12*80+DJ12*4+DL12*9+DO12*2+DQ12*4+DS12*7)*0.92</f>
        <v/>
      </c>
      <c r="FG12">
        <f>FM8</f>
        <v/>
      </c>
      <c r="FH12">
        <f>(1+AR12/100)^(1/12)-1</f>
        <v/>
      </c>
      <c r="FI12">
        <f>AS8*FJ8+AP12*FH12</f>
        <v/>
      </c>
      <c r="FJ12">
        <f>IFERROR(FI12/(AS8+AP12),0)</f>
        <v/>
      </c>
      <c r="FK12">
        <f>FI12*1</f>
        <v/>
      </c>
      <c r="FL12">
        <f>ER12-DW12-DU12+FE12+FK12</f>
        <v/>
      </c>
      <c r="FM12">
        <f>FG12+EK12+AP12-FL12-FC12</f>
        <v/>
      </c>
      <c r="FN12">
        <f>FN8+DW12</f>
        <v/>
      </c>
      <c r="FO12">
        <f>FO8+FD12</f>
        <v/>
      </c>
      <c r="FP12">
        <f>FO12-FN12</f>
        <v/>
      </c>
      <c r="FQ12">
        <f>EK12</f>
        <v/>
      </c>
      <c r="FR12">
        <f>EK12</f>
        <v/>
      </c>
      <c r="FS12">
        <f>ER12+FK12</f>
        <v/>
      </c>
      <c r="FT12">
        <f>ES12-FK12</f>
        <v/>
      </c>
      <c r="FU12">
        <f>DW12</f>
        <v/>
      </c>
      <c r="FV12">
        <f>FK12</f>
        <v/>
      </c>
      <c r="FW12">
        <f>ER12</f>
        <v/>
      </c>
      <c r="FX12">
        <f>FG12</f>
        <v/>
      </c>
      <c r="FY12">
        <f>EK12+AP12</f>
        <v/>
      </c>
      <c r="FZ12">
        <f>FL12+FC12</f>
        <v/>
      </c>
      <c r="GA12">
        <f>FM12</f>
        <v/>
      </c>
      <c r="GB12">
        <f>FG12</f>
        <v/>
      </c>
      <c r="GC12">
        <f>EK12</f>
        <v/>
      </c>
      <c r="GD12">
        <f>FL12</f>
        <v/>
      </c>
      <c r="GE12">
        <f>FC12</f>
        <v/>
      </c>
      <c r="GF12">
        <f>AP12</f>
        <v/>
      </c>
      <c r="GG12">
        <f>EK12-FL12</f>
        <v/>
      </c>
      <c r="GH12">
        <f>-FC12</f>
        <v/>
      </c>
      <c r="GI12">
        <f>FM12-FG12</f>
        <v/>
      </c>
      <c r="GJ12">
        <f>FM12</f>
        <v/>
      </c>
      <c r="GK12">
        <f>FM12</f>
        <v/>
      </c>
      <c r="GL12">
        <f>FP12</f>
        <v/>
      </c>
      <c r="GM12">
        <f>FF12</f>
        <v/>
      </c>
      <c r="GN12">
        <f>FM12+FP12+FF12</f>
        <v/>
      </c>
      <c r="GO12">
        <f>AS12</f>
        <v/>
      </c>
      <c r="GP12">
        <f>FM12+FP12+FF12-AS12</f>
        <v/>
      </c>
      <c r="GQ12">
        <f>FM12+FP12+FF12</f>
        <v/>
      </c>
      <c r="GR12">
        <f>AP12</f>
        <v/>
      </c>
      <c r="GS12">
        <f>AR12</f>
        <v/>
      </c>
      <c r="GT12">
        <f>AS12</f>
        <v/>
      </c>
      <c r="GU12">
        <f>AT12</f>
        <v/>
      </c>
      <c r="GV12">
        <f>FJ12</f>
        <v/>
      </c>
      <c r="GW12">
        <f>FK12</f>
        <v/>
      </c>
    </row>
    <row r="13">
      <c r="A13" s="0" t="n">
        <v>3</v>
      </c>
      <c r="B13" s="0" t="inlineStr">
        <is>
          <t>D</t>
        </is>
      </c>
      <c r="C13" s="0" t="inlineStr">
        <is>
          <t>3|SEG-01</t>
        </is>
      </c>
      <c r="D13" s="0" t="inlineStr">
        <is>
          <t>SEG-01</t>
        </is>
      </c>
      <c r="E13" s="0" t="inlineStr">
        <is>
          <t>INF-08</t>
        </is>
      </c>
      <c r="F13" s="0" t="inlineStr">
        <is>
          <t>INS-01</t>
        </is>
      </c>
      <c r="G13" s="0" t="inlineStr">
        <is>
          <t>INS-04</t>
        </is>
      </c>
      <c r="H13" s="0" t="inlineStr">
        <is>
          <t>INS-06</t>
        </is>
      </c>
      <c r="I13" s="0" t="n">
        <v>200</v>
      </c>
      <c r="J13" s="0" t="n">
        <v>45</v>
      </c>
      <c r="K13" s="0" t="n">
        <v>1</v>
      </c>
      <c r="L13" s="0" t="n">
        <v>6000</v>
      </c>
      <c r="M13" s="0" t="inlineStr">
        <is>
          <t>MYPE</t>
        </is>
      </c>
      <c r="N13" s="0" t="inlineStr">
        <is>
          <t>INF-03</t>
        </is>
      </c>
      <c r="O13" s="0" t="inlineStr">
        <is>
          <t>INF-06</t>
        </is>
      </c>
      <c r="P13" s="0" t="inlineStr">
        <is>
          <t>INF-09</t>
        </is>
      </c>
      <c r="Q13" s="0" t="inlineStr">
        <is>
          <t>RH-02</t>
        </is>
      </c>
      <c r="R13" s="0" t="inlineStr">
        <is>
          <t>RH-05</t>
        </is>
      </c>
      <c r="S13" s="0" t="inlineStr">
        <is>
          <t>RH-08</t>
        </is>
      </c>
      <c r="T13" s="0" t="inlineStr">
        <is>
          <t>RH-10A</t>
        </is>
      </c>
      <c r="U13" s="0" t="inlineStr">
        <is>
          <t>COM-01C</t>
        </is>
      </c>
      <c r="V13" s="0" t="inlineStr">
        <is>
          <t>FIN-01B</t>
        </is>
      </c>
      <c r="W13" s="0" t="inlineStr">
        <is>
          <t>INV-01B</t>
        </is>
      </c>
      <c r="X13" s="0" t="inlineStr">
        <is>
          <t>INV-02B</t>
        </is>
      </c>
      <c r="Y13" s="0" t="inlineStr"/>
      <c r="Z13" s="0" t="inlineStr"/>
      <c r="AA13" s="0" t="inlineStr"/>
      <c r="AB13" s="0" t="inlineStr"/>
      <c r="AC13" s="0" t="inlineStr"/>
      <c r="AD13" s="0" t="inlineStr"/>
      <c r="AE13" s="0" t="inlineStr"/>
      <c r="AF13" s="0">
        <f>IFERROR(INDEX('Catalogo_Numerico_sim3'!$I$2:$I$69,MATCH(N13,'Catalogo_Numerico_sim3'!$A$2:$A$69,0)),0)+IFERROR(INDEX('Catalogo_Numerico_sim3'!$I$2:$I$69,MATCH(O13,'Catalogo_Numerico_sim3'!$A$2:$A$69,0)),0)+IFERROR(INDEX('Catalogo_Numerico_sim3'!$I$2:$I$69,MATCH(P13,'Catalogo_Numerico_sim3'!$A$2:$A$69,0)),0)+IFERROR(INDEX('Catalogo_Numerico_sim3'!$I$2:$I$69,MATCH(Q13,'Catalogo_Numerico_sim3'!$A$2:$A$69,0)),0)+IFERROR(INDEX('Catalogo_Numerico_sim3'!$I$2:$I$69,MATCH(R13,'Catalogo_Numerico_sim3'!$A$2:$A$69,0)),0)+IFERROR(INDEX('Catalogo_Numerico_sim3'!$I$2:$I$69,MATCH(S13,'Catalogo_Numerico_sim3'!$A$2:$A$69,0)),0)+IFERROR(INDEX('Catalogo_Numerico_sim3'!$I$2:$I$69,MATCH(T13,'Catalogo_Numerico_sim3'!$A$2:$A$69,0)),0)+IFERROR(INDEX('Catalogo_Numerico_sim3'!$I$2:$I$69,MATCH(U13,'Catalogo_Numerico_sim3'!$A$2:$A$69,0)),0)+IFERROR(INDEX('Catalogo_Numerico_sim3'!$I$2:$I$69,MATCH(V13,'Catalogo_Numerico_sim3'!$A$2:$A$69,0)),0)+IFERROR(INDEX('Catalogo_Numerico_sim3'!$I$2:$I$69,MATCH(W13,'Catalogo_Numerico_sim3'!$A$2:$A$69,0)),0)+IFERROR(INDEX('Catalogo_Numerico_sim3'!$I$2:$I$69,MATCH(X13,'Catalogo_Numerico_sim3'!$A$2:$A$69,0)),0)</f>
        <v/>
      </c>
      <c r="AG13" s="0">
        <f>IFERROR(INDEX('Catalogo_Numerico_sim3'!$J$2:$J$69,MATCH(N13,'Catalogo_Numerico_sim3'!$A$2:$A$69,0)),0)+IFERROR(INDEX('Catalogo_Numerico_sim3'!$J$2:$J$69,MATCH(O13,'Catalogo_Numerico_sim3'!$A$2:$A$69,0)),0)+IFERROR(INDEX('Catalogo_Numerico_sim3'!$J$2:$J$69,MATCH(P13,'Catalogo_Numerico_sim3'!$A$2:$A$69,0)),0)+IFERROR(INDEX('Catalogo_Numerico_sim3'!$J$2:$J$69,MATCH(Q13,'Catalogo_Numerico_sim3'!$A$2:$A$69,0)),0)+IFERROR(INDEX('Catalogo_Numerico_sim3'!$J$2:$J$69,MATCH(R13,'Catalogo_Numerico_sim3'!$A$2:$A$69,0)),0)+IFERROR(INDEX('Catalogo_Numerico_sim3'!$J$2:$J$69,MATCH(S13,'Catalogo_Numerico_sim3'!$A$2:$A$69,0)),0)+IFERROR(INDEX('Catalogo_Numerico_sim3'!$J$2:$J$69,MATCH(T13,'Catalogo_Numerico_sim3'!$A$2:$A$69,0)),0)+IFERROR(INDEX('Catalogo_Numerico_sim3'!$J$2:$J$69,MATCH(U13,'Catalogo_Numerico_sim3'!$A$2:$A$69,0)),0)+IFERROR(INDEX('Catalogo_Numerico_sim3'!$J$2:$J$69,MATCH(V13,'Catalogo_Numerico_sim3'!$A$2:$A$69,0)),0)+IFERROR(INDEX('Catalogo_Numerico_sim3'!$J$2:$J$69,MATCH(W13,'Catalogo_Numerico_sim3'!$A$2:$A$69,0)),0)+IFERROR(INDEX('Catalogo_Numerico_sim3'!$J$2:$J$69,MATCH(X13,'Catalogo_Numerico_sim3'!$A$2:$A$69,0)),0)</f>
        <v/>
      </c>
      <c r="AH13" s="0">
        <f>IFERROR(INDEX('Catalogo_Numerico_sim3'!$K$2:$K$69,MATCH(N13,'Catalogo_Numerico_sim3'!$A$2:$A$69,0)),0)+IFERROR(INDEX('Catalogo_Numerico_sim3'!$K$2:$K$69,MATCH(O13,'Catalogo_Numerico_sim3'!$A$2:$A$69,0)),0)+IFERROR(INDEX('Catalogo_Numerico_sim3'!$K$2:$K$69,MATCH(P13,'Catalogo_Numerico_sim3'!$A$2:$A$69,0)),0)+IFERROR(INDEX('Catalogo_Numerico_sim3'!$K$2:$K$69,MATCH(Q13,'Catalogo_Numerico_sim3'!$A$2:$A$69,0)),0)+IFERROR(INDEX('Catalogo_Numerico_sim3'!$K$2:$K$69,MATCH(R13,'Catalogo_Numerico_sim3'!$A$2:$A$69,0)),0)+IFERROR(INDEX('Catalogo_Numerico_sim3'!$K$2:$K$69,MATCH(S13,'Catalogo_Numerico_sim3'!$A$2:$A$69,0)),0)+IFERROR(INDEX('Catalogo_Numerico_sim3'!$K$2:$K$69,MATCH(T13,'Catalogo_Numerico_sim3'!$A$2:$A$69,0)),0)+IFERROR(INDEX('Catalogo_Numerico_sim3'!$K$2:$K$69,MATCH(U13,'Catalogo_Numerico_sim3'!$A$2:$A$69,0)),0)+IFERROR(INDEX('Catalogo_Numerico_sim3'!$K$2:$K$69,MATCH(V13,'Catalogo_Numerico_sim3'!$A$2:$A$69,0)),0)+IFERROR(INDEX('Catalogo_Numerico_sim3'!$K$2:$K$69,MATCH(W13,'Catalogo_Numerico_sim3'!$A$2:$A$69,0)),0)+IFERROR(INDEX('Catalogo_Numerico_sim3'!$K$2:$K$69,MATCH(X13,'Catalogo_Numerico_sim3'!$A$2:$A$69,0)),0)</f>
        <v/>
      </c>
      <c r="AI13" s="0">
        <f>IFERROR(('Lotes_Pipeline_sim3'!H13*'Lotes_Pipeline_sim3'!J13)/I13,0)</f>
        <v/>
      </c>
      <c r="AJ13" s="0">
        <f>IF(OR(AND('Lotes_Pipeline_sim3'!C13="SEG-03",'Lotes_Pipeline_sim3'!H13&gt;0,'Lotes_Pipeline_sim3'!J13&lt;4)),-2,0)+IF(OR(AND('Lotes_Pipeline_sim3'!C13="SEG-03",'Lotes_Pipeline_sim3'!H13&gt;0,'Lotes_Pipeline_sim3'!J13&gt;=7)),2,0)</f>
        <v/>
      </c>
      <c r="AK13" s="0">
        <f>IF(AND(D13="SEG-03",I13&gt;0),IF(AI13&lt;4,0.65,IF(AI13&gt;=7,1.4,1)),1)</f>
        <v/>
      </c>
      <c r="AL13" s="0">
        <f>AG13+AJ13</f>
        <v/>
      </c>
      <c r="AM13" s="0">
        <f>IF(AL13&lt;3,AM9+1,0)</f>
        <v/>
      </c>
      <c r="AN13" s="0">
        <f>IF(AM13&gt;=2,0.8,1)</f>
        <v/>
      </c>
      <c r="AO13" s="0">
        <f>IF(AH13&lt;3,3,0)</f>
        <v/>
      </c>
      <c r="AP13" s="0" t="n">
        <v>0</v>
      </c>
      <c r="AQ13" s="0" t="n">
        <v>20</v>
      </c>
      <c r="AR13" s="0">
        <f>AQ13+AT9</f>
        <v/>
      </c>
      <c r="AS13" s="0">
        <f>AS9+AP13</f>
        <v/>
      </c>
      <c r="AT13" s="0">
        <f>IF(AP13&gt;0,AO13,MAX(AT9,AO13))</f>
        <v/>
      </c>
      <c r="AU13" s="0">
        <f>IF(AF13&lt;4,0.7,1)*IF(AND(K13=0,AF13&lt;5),0.95,1)</f>
        <v/>
      </c>
      <c r="AV13" s="0" t="n">
        <v>1</v>
      </c>
      <c r="AW13" s="0" t="n">
        <v>0</v>
      </c>
      <c r="AX13" s="0" t="n">
        <v>0</v>
      </c>
      <c r="AY13" s="0" t="n">
        <v>0</v>
      </c>
      <c r="AZ13" s="0" t="n">
        <v>0</v>
      </c>
      <c r="BA13" s="0" t="n">
        <v>0</v>
      </c>
      <c r="BB13" s="0" t="n">
        <v>0</v>
      </c>
      <c r="BC13" s="0" t="n">
        <v>0</v>
      </c>
      <c r="BD13" s="0" t="n">
        <v>0</v>
      </c>
      <c r="BE13" s="0">
        <f>AV13*5*1+AY13*7*1+BB13*9*1</f>
        <v/>
      </c>
      <c r="BF13" s="0" t="n">
        <v>1</v>
      </c>
      <c r="BG13" s="0" t="n">
        <v>0</v>
      </c>
      <c r="BH13" s="0" t="n">
        <v>0</v>
      </c>
      <c r="BI13" s="0" t="n">
        <v>0</v>
      </c>
      <c r="BJ13" s="0" t="n">
        <v>0</v>
      </c>
      <c r="BK13" s="0" t="n">
        <v>0</v>
      </c>
      <c r="BL13" s="0" t="n">
        <v>0</v>
      </c>
      <c r="BM13" s="0" t="n">
        <v>0</v>
      </c>
      <c r="BN13" s="0" t="n">
        <v>0</v>
      </c>
      <c r="BO13" s="0">
        <f>BF13*6*1+BG13*6*1.2+BH13*6*1.5+BI13*8*1+BJ13*8*1.2+BK13*8*1.5+BL13*12*1+BM13*12*1.2+BN13*12*1.5</f>
        <v/>
      </c>
      <c r="BP13" s="0" t="n">
        <v>1</v>
      </c>
      <c r="BQ13" s="0" t="n">
        <v>0</v>
      </c>
      <c r="BR13" s="0" t="n">
        <v>0</v>
      </c>
      <c r="BS13" s="0" t="n">
        <v>0</v>
      </c>
      <c r="BT13" s="0" t="n">
        <v>0</v>
      </c>
      <c r="BU13" s="0" t="n">
        <v>0</v>
      </c>
      <c r="BV13" s="0" t="n">
        <v>0</v>
      </c>
      <c r="BW13" s="0" t="n">
        <v>0</v>
      </c>
      <c r="BX13" s="0" t="n">
        <v>0</v>
      </c>
      <c r="BY13" s="0">
        <f>BP13*6*1+BQ13*6*1.2+BR13*6*1.5+BS13*7*1+BT13*7*1.2+BU13*7*1.5+BV13*10*1+BW13*10*1.2+BX13*10*1.5</f>
        <v/>
      </c>
      <c r="BZ13" s="0">
        <f>AV13+AY13+BB13+BF13+BG13+BH13+BI13+BJ13+BK13+BL13+BM13+BN13+BP13+BQ13+BR13+BS13+BT13+BU13+BV13+BW13+BX13</f>
        <v/>
      </c>
      <c r="CA13" s="0">
        <f>BB13+BL13+BM13+BN13+BV13+BW13+BX13</f>
        <v/>
      </c>
      <c r="CB13" s="0">
        <f>0.9+(BB13+BL13+BV13)*0.01+K13*0.04</f>
        <v/>
      </c>
      <c r="CC13" s="0">
        <f>MIN(BE13,BO13,BY13)</f>
        <v/>
      </c>
      <c r="CD13" s="0">
        <f>CC13*24*1.08</f>
        <v/>
      </c>
      <c r="CE13" s="0">
        <f>ROUND(CD13*CB13,0)</f>
        <v/>
      </c>
      <c r="CF13" s="0" t="n">
        <v>300</v>
      </c>
      <c r="CG13" s="0">
        <f>DC9+CF13</f>
        <v/>
      </c>
      <c r="CH13" s="0" t="n">
        <v>0</v>
      </c>
      <c r="CI13" s="0">
        <f>DE9+CH13</f>
        <v/>
      </c>
      <c r="CJ13" s="0" t="n">
        <v>0</v>
      </c>
      <c r="CK13" s="0">
        <f>DG9+CJ13</f>
        <v/>
      </c>
      <c r="CL13" s="0" t="n">
        <v>1000</v>
      </c>
      <c r="CM13" s="0">
        <f>DJ9+CL13</f>
        <v/>
      </c>
      <c r="CN13" s="0" t="n">
        <v>0</v>
      </c>
      <c r="CO13" s="0">
        <f>DL9+CN13</f>
        <v/>
      </c>
      <c r="CP13" s="0" t="n">
        <v>6000</v>
      </c>
      <c r="CQ13" s="0">
        <f>DO9+CP13</f>
        <v/>
      </c>
      <c r="CR13" s="0" t="n">
        <v>0</v>
      </c>
      <c r="CS13" s="0">
        <f>DQ9+CR13</f>
        <v/>
      </c>
      <c r="CT13" s="0" t="n">
        <v>0</v>
      </c>
      <c r="CU13" s="0">
        <f>DS9+CT13</f>
        <v/>
      </c>
      <c r="CV13" s="0">
        <f>(CG13)/0.3</f>
        <v/>
      </c>
      <c r="CW13" s="0">
        <f>(CM13)/1</f>
        <v/>
      </c>
      <c r="CX13" s="0">
        <f>(CQ13)/6</f>
        <v/>
      </c>
      <c r="CY13" s="0">
        <f>ROUNDDOWN(MIN(I13,CE13,CV13,CW13,CX13),0)</f>
        <v/>
      </c>
      <c r="CZ13" s="0">
        <f>'Lotes_Pipeline_sim3'!U13</f>
        <v/>
      </c>
      <c r="DA13" s="0">
        <f>DB13+DD13+DF13</f>
        <v/>
      </c>
      <c r="DB13" s="0">
        <f>'Lotes_Pipeline_sim3'!X13</f>
        <v/>
      </c>
      <c r="DC13" s="0">
        <f>CG13-DB13</f>
        <v/>
      </c>
      <c r="DD13" s="0">
        <f>'Lotes_Pipeline_sim3'!AA13</f>
        <v/>
      </c>
      <c r="DE13" s="0">
        <f>CI13-DD13</f>
        <v/>
      </c>
      <c r="DF13" s="0">
        <f>'Lotes_Pipeline_sim3'!AD13</f>
        <v/>
      </c>
      <c r="DG13" s="0">
        <f>CK13-DF13</f>
        <v/>
      </c>
      <c r="DH13" s="0">
        <f>DI13+DK13</f>
        <v/>
      </c>
      <c r="DI13" s="0">
        <f>'Lotes_Pipeline_sim3'!AG13</f>
        <v/>
      </c>
      <c r="DJ13" s="0">
        <f>CM13-DI13</f>
        <v/>
      </c>
      <c r="DK13" s="0">
        <f>'Lotes_Pipeline_sim3'!AJ13</f>
        <v/>
      </c>
      <c r="DL13" s="0">
        <f>CO13-DK13</f>
        <v/>
      </c>
      <c r="DM13" s="0">
        <f>DN13+DP13+DR13</f>
        <v/>
      </c>
      <c r="DN13" s="0">
        <f>'Lotes_Pipeline_sim3'!AM13</f>
        <v/>
      </c>
      <c r="DO13" s="0">
        <f>CQ13-DN13</f>
        <v/>
      </c>
      <c r="DP13" s="0">
        <f>'Lotes_Pipeline_sim3'!AP13</f>
        <v/>
      </c>
      <c r="DQ13" s="0">
        <f>CS13-DP13</f>
        <v/>
      </c>
      <c r="DR13" s="0">
        <f>'Lotes_Pipeline_sim3'!AS13</f>
        <v/>
      </c>
      <c r="DS13" s="0">
        <f>CU13-DR13</f>
        <v/>
      </c>
      <c r="DT13" s="0">
        <f>((AV13+AW13+AX13)*IF(M13="NO_MYPE",'Costos De Producción'!V11,'Costos De Producción'!U11)+(AY13+AZ13+BA13)*IF(M13="NO_MYPE",'Costos De Producción'!V20,'Costos De Producción'!U20)+(BB13+BC13+BD13)*IF(M13="NO_MYPE",'Costos De Producción'!V29,'Costos De Producción'!U29)+(BF13+BG13+BH13)*IF(M13="NO_MYPE",'Costos De Producción'!Z11,'Costos De Producción'!Y11)+(BI13+BJ13+BK13)*IF(M13="NO_MYPE",'Costos De Producción'!Z20,'Costos De Producción'!Y20)+(BL13+BM13+BN13)*IF(M13="NO_MYPE",'Costos De Producción'!Z29,'Costos De Producción'!Y29)+(BP13+BQ13+BR13)*IF(M13="NO_MYPE",'Costos De Producción'!AD11,'Costos De Producción'!AC11)+(BS13+BT13+BU13)*IF(M13="NO_MYPE",'Costos De Producción'!AD20,'Costos De Producción'!AC20)+(BV13+BW13+BX13)*IF(M13="NO_MYPE",'Costos De Producción'!AD29,'Costos De Producción'!AC29)+K13*IF(M13="NO_MYPE",'Costos De Producción'!V39,'Costos De Producción'!U39)+IF(M13="NO_MYPE",'Costos De Producción'!Z39,'Costos De Producción'!Y39)+'Costos De Producción'!AC33)*1</f>
        <v/>
      </c>
      <c r="DU13" s="0">
        <f>(DB13*25+DD13*45+DF13*80+DI13*4+DK13*9+DN13*2+DP13*4+DR13*7)*0.8464</f>
        <v/>
      </c>
      <c r="DV13" s="0">
        <f>1*2500*0.05/12*1+1*3500*0.05/12*1+1*1200*0.05/12*1+1*300*0.05/12*1+200</f>
        <v/>
      </c>
      <c r="DW13" s="0">
        <f>1*(2375.0/10/12*1)+1*(3325.0/10/12*1)+1*(1140.0/8/12*1)+1*(285.0/5/12*1)</f>
        <v/>
      </c>
      <c r="DX13" s="0">
        <f>IFERROR((0)/CZ13,0)*10+IFERROR(CA13/BZ13,0)*10+(IFERROR(DF13/(DB13+DD13+DF13),0)+IFERROR(DK13/(DI13+DK13),0)+IFERROR(DR13/(DP13+DR13),0))/3*10+L13/10000*10</f>
        <v/>
      </c>
      <c r="DY13" s="0">
        <f>DX13+AJ13</f>
        <v/>
      </c>
      <c r="DZ13" s="0">
        <f>EC9+CZ13</f>
        <v/>
      </c>
      <c r="EA13" s="0" t="n">
        <v>40</v>
      </c>
      <c r="EB13" s="0" t="n">
        <v>0</v>
      </c>
      <c r="EC13" s="0">
        <f>'Lotes_Pipeline_sim3'!AY13</f>
        <v/>
      </c>
      <c r="ED13" s="0">
        <f>IF(D13="SEG-01",IFERROR(100*(_xlfn.MAXIFS($J$2:$J$13,$C$2:$C$13,C13)-J13)/(_xlfn.MAXIFS($J$2:$J$13,$C$2:$C$13,C13)-_xlfn.MINIFS($J$2:$J$13,$C$2:$C$13,C13)),100),100-ABS(J13-EB13)/EB13*100)</f>
        <v/>
      </c>
      <c r="EE13" s="0">
        <f>ROUND(MIN(100,AI13*10),0)</f>
        <v/>
      </c>
      <c r="EF13" s="0">
        <f>0.7*ED13+0.2*DY13*10+0.1*EE13</f>
        <v/>
      </c>
      <c r="EG13" s="0">
        <f>IFERROR(EF13/SUMIF($C$2:$C$13,C13,$EF$2:$EF$13),0)</f>
        <v/>
      </c>
      <c r="EH13" s="0">
        <f>'Mercados_Pipeline_sim3'!J13</f>
        <v/>
      </c>
      <c r="EI13" s="0">
        <f>'Mercados_Pipeline_sim3'!I13</f>
        <v/>
      </c>
      <c r="EJ13" s="0">
        <f>'Lotes_Pipeline_sim3'!AW13</f>
        <v/>
      </c>
      <c r="EK13" s="0">
        <f>'Lotes_Pipeline_sim3'!AX13</f>
        <v/>
      </c>
      <c r="EL13" s="0">
        <f>EC13*2</f>
        <v/>
      </c>
      <c r="EM13" s="0">
        <f>IF(I13&gt;CE13,0.25*DT13*IFERROR(MIN(1,(I13-CE13)/CE13),1),0)</f>
        <v/>
      </c>
      <c r="EN13" s="0">
        <f>0</f>
        <v/>
      </c>
      <c r="EO13" s="0">
        <f>(IFERROR(INDEX('Catalogo_Numerico_sim3'!$G$2:$G$69,MATCH("COM-01C",'Catalogo_Numerico_sim3'!$A$2:$A$69,0)),0)+IFERROR(INDEX('Catalogo_Numerico_sim3'!$G$2:$G$69,MATCH("INV-01B",'Catalogo_Numerico_sim3'!$A$2:$A$69,0)),0))*1</f>
        <v/>
      </c>
      <c r="EP13" s="0">
        <f>0</f>
        <v/>
      </c>
      <c r="EQ13" s="0" t="n">
        <v>5000</v>
      </c>
      <c r="ER13" s="0">
        <f>DT13+DU13+DV13+DW13+L13+EL13+EM13+EN13+EO13+EP13+EQ13</f>
        <v/>
      </c>
      <c r="ES13" s="0">
        <f>EK13-ER13</f>
        <v/>
      </c>
      <c r="ET13" s="0">
        <f>OR(AND('Lotes_Pipeline_sim3'!C13="SEG-03",'Lotes_Pipeline_sim3'!H13&gt;0,'Lotes_Pipeline_sim3'!J13&lt;4))</f>
        <v/>
      </c>
      <c r="EU13" s="0">
        <f>OR(AND('Lotes_Pipeline_sim3'!C13="SEG-03",'Lotes_Pipeline_sim3'!H13&gt;0,'Lotes_Pipeline_sim3'!J13&gt;=7))</f>
        <v/>
      </c>
      <c r="EV13" s="0">
        <f>AF13&lt;4</f>
        <v/>
      </c>
      <c r="EW13" s="0">
        <f>AM13&gt;=2</f>
        <v/>
      </c>
      <c r="EX13" s="0">
        <f>AH13&lt;3</f>
        <v/>
      </c>
      <c r="EY13" s="0">
        <f>I13&gt;CE13</f>
        <v/>
      </c>
      <c r="EZ13" s="0">
        <f>CZ13&gt;EJ13</f>
        <v/>
      </c>
      <c r="FA13" s="0">
        <f>AND(K13=0,AF13&lt;5)</f>
        <v/>
      </c>
      <c r="FB13" t="n">
        <v>1000000</v>
      </c>
      <c r="FC13">
        <f>0*2500*(1+0.03+0.02)+0*3500*(1+0.03+0.02)+0*1200*(1+0.03+0.02)+0*300*(1+0+0.01)</f>
        <v/>
      </c>
      <c r="FD13">
        <f>0*2500+0*3500+0*1200+0*300</f>
        <v/>
      </c>
      <c r="FE13">
        <f>(CF13*25+CH13*45+CJ13*80+CL13*4+CN13*9+CP13*2+CR13*4+CT13*7)*0.8464</f>
        <v/>
      </c>
      <c r="FF13">
        <f>(DC13*25+DE13*45+DG13*80+DJ13*4+DL13*9+DO13*2+DQ13*4+DS13*7)*0.8464</f>
        <v/>
      </c>
      <c r="FG13">
        <f>FM9</f>
        <v/>
      </c>
      <c r="FH13">
        <f>(1+AR13/100)^(1/12)-1</f>
        <v/>
      </c>
      <c r="FI13">
        <f>AS9*FJ9+AP13*FH13</f>
        <v/>
      </c>
      <c r="FJ13">
        <f>IFERROR(FI13/(AS9+AP13),0)</f>
        <v/>
      </c>
      <c r="FK13">
        <f>FI13*1</f>
        <v/>
      </c>
      <c r="FL13">
        <f>ER13-DW13-DU13+FE13+FK13</f>
        <v/>
      </c>
      <c r="FM13">
        <f>FG13+EK13+AP13-FL13-FC13</f>
        <v/>
      </c>
      <c r="FN13">
        <f>FN9+DW13</f>
        <v/>
      </c>
      <c r="FO13">
        <f>FO9+FD13</f>
        <v/>
      </c>
      <c r="FP13">
        <f>FO13-FN13</f>
        <v/>
      </c>
      <c r="FQ13">
        <f>EK13</f>
        <v/>
      </c>
      <c r="FR13">
        <f>EK13</f>
        <v/>
      </c>
      <c r="FS13">
        <f>ER13+FK13</f>
        <v/>
      </c>
      <c r="FT13">
        <f>ES13-FK13</f>
        <v/>
      </c>
      <c r="FU13">
        <f>DW13</f>
        <v/>
      </c>
      <c r="FV13">
        <f>FK13</f>
        <v/>
      </c>
      <c r="FW13">
        <f>ER13</f>
        <v/>
      </c>
      <c r="FX13">
        <f>FG13</f>
        <v/>
      </c>
      <c r="FY13">
        <f>EK13+AP13</f>
        <v/>
      </c>
      <c r="FZ13">
        <f>FL13+FC13</f>
        <v/>
      </c>
      <c r="GA13">
        <f>FM13</f>
        <v/>
      </c>
      <c r="GB13">
        <f>FG13</f>
        <v/>
      </c>
      <c r="GC13">
        <f>EK13</f>
        <v/>
      </c>
      <c r="GD13">
        <f>FL13</f>
        <v/>
      </c>
      <c r="GE13">
        <f>FC13</f>
        <v/>
      </c>
      <c r="GF13">
        <f>AP13</f>
        <v/>
      </c>
      <c r="GG13">
        <f>EK13-FL13</f>
        <v/>
      </c>
      <c r="GH13">
        <f>-FC13</f>
        <v/>
      </c>
      <c r="GI13">
        <f>FM13-FG13</f>
        <v/>
      </c>
      <c r="GJ13">
        <f>FM13</f>
        <v/>
      </c>
      <c r="GK13">
        <f>FM13</f>
        <v/>
      </c>
      <c r="GL13">
        <f>FP13</f>
        <v/>
      </c>
      <c r="GM13">
        <f>FF13</f>
        <v/>
      </c>
      <c r="GN13">
        <f>FM13+FP13+FF13</f>
        <v/>
      </c>
      <c r="GO13">
        <f>AS13</f>
        <v/>
      </c>
      <c r="GP13">
        <f>FM13+FP13+FF13-AS13</f>
        <v/>
      </c>
      <c r="GQ13">
        <f>FM13+FP13+FF13</f>
        <v/>
      </c>
      <c r="GR13">
        <f>AP13</f>
        <v/>
      </c>
      <c r="GS13">
        <f>AR13</f>
        <v/>
      </c>
      <c r="GT13">
        <f>AS13</f>
        <v/>
      </c>
      <c r="GU13">
        <f>AT13</f>
        <v/>
      </c>
      <c r="GV13">
        <f>FJ13</f>
        <v/>
      </c>
      <c r="GW13">
        <f>FK13</f>
        <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69"/>
  <sheetViews>
    <sheetView workbookViewId="0">
      <selection activeCell="A1" sqref="A1"/>
    </sheetView>
  </sheetViews>
  <sheetFormatPr baseColWidth="8" defaultRowHeight="15"/>
  <sheetData>
    <row r="1">
      <c r="A1" s="0">
        <f>'Catalogo_Decisiones'!A1</f>
        <v/>
      </c>
      <c r="B1" s="0">
        <f>'Catalogo_Decisiones'!B1</f>
        <v/>
      </c>
      <c r="C1" s="0">
        <f>'Catalogo_Decisiones'!C1</f>
        <v/>
      </c>
      <c r="D1" s="0">
        <f>'Catalogo_Decisiones'!D1</f>
        <v/>
      </c>
      <c r="E1" s="0">
        <f>'Catalogo_Decisiones'!E1</f>
        <v/>
      </c>
      <c r="F1" s="0">
        <f>'Catalogo_Decisiones'!F1</f>
        <v/>
      </c>
      <c r="G1" s="0">
        <f>'Catalogo_Decisiones'!G1</f>
        <v/>
      </c>
      <c r="H1" s="0">
        <f>'Catalogo_Decisiones'!H1</f>
        <v/>
      </c>
      <c r="I1" s="0">
        <f>'Catalogo_Decisiones'!I1</f>
        <v/>
      </c>
      <c r="J1" s="0">
        <f>'Catalogo_Decisiones'!J1</f>
        <v/>
      </c>
      <c r="K1" s="0">
        <f>'Catalogo_Decisiones'!K1</f>
        <v/>
      </c>
      <c r="L1" s="0">
        <f>'Catalogo_Decisiones'!L1</f>
        <v/>
      </c>
    </row>
    <row r="2">
      <c r="A2" s="0">
        <f>'Catalogo_Decisiones'!A2</f>
        <v/>
      </c>
      <c r="B2" s="0">
        <f>'Catalogo_Decisiones'!B2</f>
        <v/>
      </c>
      <c r="C2" s="0">
        <f>'Catalogo_Decisiones'!C2</f>
        <v/>
      </c>
      <c r="D2" s="0">
        <f>'Catalogo_Decisiones'!D2</f>
        <v/>
      </c>
      <c r="E2" s="0">
        <f>'Catalogo_Decisiones'!E2</f>
        <v/>
      </c>
      <c r="F2" s="0">
        <f>'Catalogo_Decisiones'!F2</f>
        <v/>
      </c>
      <c r="G2" s="0">
        <f>IFERROR(VALUE(SUBSTITUTE(SUBSTITUTE(Catalogo_Decisiones!G2,"S/",""),",","")),0)</f>
        <v/>
      </c>
      <c r="H2" s="0">
        <f>'Catalogo_Decisiones'!H2</f>
        <v/>
      </c>
      <c r="I2" s="0">
        <f>'Catalogo_Decisiones'!I2</f>
        <v/>
      </c>
      <c r="J2" s="0">
        <f>'Catalogo_Decisiones'!J2</f>
        <v/>
      </c>
      <c r="K2" s="0">
        <f>'Catalogo_Decisiones'!K2</f>
        <v/>
      </c>
      <c r="L2" s="0">
        <f>'Catalogo_Decisiones'!L2</f>
        <v/>
      </c>
    </row>
    <row r="3">
      <c r="A3" s="0">
        <f>'Catalogo_Decisiones'!A3</f>
        <v/>
      </c>
      <c r="B3" s="0">
        <f>'Catalogo_Decisiones'!B3</f>
        <v/>
      </c>
      <c r="C3" s="0">
        <f>'Catalogo_Decisiones'!C3</f>
        <v/>
      </c>
      <c r="D3" s="0">
        <f>'Catalogo_Decisiones'!D3</f>
        <v/>
      </c>
      <c r="E3" s="0">
        <f>'Catalogo_Decisiones'!E3</f>
        <v/>
      </c>
      <c r="F3" s="0">
        <f>'Catalogo_Decisiones'!F3</f>
        <v/>
      </c>
      <c r="G3" s="0">
        <f>IFERROR(VALUE(SUBSTITUTE(SUBSTITUTE(Catalogo_Decisiones!G3,"S/",""),",","")),0)</f>
        <v/>
      </c>
      <c r="H3" s="0">
        <f>'Catalogo_Decisiones'!H3</f>
        <v/>
      </c>
      <c r="I3" s="0">
        <f>'Catalogo_Decisiones'!I3</f>
        <v/>
      </c>
      <c r="J3" s="0">
        <f>'Catalogo_Decisiones'!J3</f>
        <v/>
      </c>
      <c r="K3" s="0">
        <f>'Catalogo_Decisiones'!K3</f>
        <v/>
      </c>
      <c r="L3" s="0">
        <f>'Catalogo_Decisiones'!L3</f>
        <v/>
      </c>
    </row>
    <row r="4">
      <c r="A4" s="0">
        <f>'Catalogo_Decisiones'!A4</f>
        <v/>
      </c>
      <c r="B4" s="0">
        <f>'Catalogo_Decisiones'!B4</f>
        <v/>
      </c>
      <c r="C4" s="0">
        <f>'Catalogo_Decisiones'!C4</f>
        <v/>
      </c>
      <c r="D4" s="0">
        <f>'Catalogo_Decisiones'!D4</f>
        <v/>
      </c>
      <c r="E4" s="0">
        <f>'Catalogo_Decisiones'!E4</f>
        <v/>
      </c>
      <c r="F4" s="0">
        <f>'Catalogo_Decisiones'!F4</f>
        <v/>
      </c>
      <c r="G4" s="0">
        <f>IFERROR(VALUE(SUBSTITUTE(SUBSTITUTE(Catalogo_Decisiones!G4,"S/",""),",","")),0)</f>
        <v/>
      </c>
      <c r="H4" s="0">
        <f>'Catalogo_Decisiones'!H4</f>
        <v/>
      </c>
      <c r="I4" s="0">
        <f>'Catalogo_Decisiones'!I4</f>
        <v/>
      </c>
      <c r="J4" s="0">
        <f>'Catalogo_Decisiones'!J4</f>
        <v/>
      </c>
      <c r="K4" s="0">
        <f>'Catalogo_Decisiones'!K4</f>
        <v/>
      </c>
      <c r="L4" s="0">
        <f>'Catalogo_Decisiones'!L4</f>
        <v/>
      </c>
    </row>
    <row r="5">
      <c r="A5" s="0">
        <f>'Catalogo_Decisiones'!A5</f>
        <v/>
      </c>
      <c r="B5" s="0">
        <f>'Catalogo_Decisiones'!B5</f>
        <v/>
      </c>
      <c r="C5" s="0">
        <f>'Catalogo_Decisiones'!C5</f>
        <v/>
      </c>
      <c r="D5" s="0">
        <f>'Catalogo_Decisiones'!D5</f>
        <v/>
      </c>
      <c r="E5" s="0">
        <f>'Catalogo_Decisiones'!E5</f>
        <v/>
      </c>
      <c r="F5" s="0">
        <f>'Catalogo_Decisiones'!F5</f>
        <v/>
      </c>
      <c r="G5" s="0">
        <f>IFERROR(VALUE(SUBSTITUTE(SUBSTITUTE(Catalogo_Decisiones!G5,"S/",""),",","")),0)</f>
        <v/>
      </c>
      <c r="H5" s="0">
        <f>'Catalogo_Decisiones'!H5</f>
        <v/>
      </c>
      <c r="I5" s="0">
        <f>'Catalogo_Decisiones'!I5</f>
        <v/>
      </c>
      <c r="J5" s="0">
        <f>'Catalogo_Decisiones'!J5</f>
        <v/>
      </c>
      <c r="K5" s="0">
        <f>'Catalogo_Decisiones'!K5</f>
        <v/>
      </c>
      <c r="L5" s="0">
        <f>'Catalogo_Decisiones'!L5</f>
        <v/>
      </c>
    </row>
    <row r="6">
      <c r="A6" s="0">
        <f>'Catalogo_Decisiones'!A6</f>
        <v/>
      </c>
      <c r="B6" s="0">
        <f>'Catalogo_Decisiones'!B6</f>
        <v/>
      </c>
      <c r="C6" s="0">
        <f>'Catalogo_Decisiones'!C6</f>
        <v/>
      </c>
      <c r="D6" s="0">
        <f>'Catalogo_Decisiones'!D6</f>
        <v/>
      </c>
      <c r="E6" s="0">
        <f>'Catalogo_Decisiones'!E6</f>
        <v/>
      </c>
      <c r="F6" s="0">
        <f>'Catalogo_Decisiones'!F6</f>
        <v/>
      </c>
      <c r="G6" s="0">
        <f>IFERROR(VALUE(SUBSTITUTE(SUBSTITUTE(Catalogo_Decisiones!G6,"S/",""),",","")),0)</f>
        <v/>
      </c>
      <c r="H6" s="0">
        <f>'Catalogo_Decisiones'!H6</f>
        <v/>
      </c>
      <c r="I6" s="0">
        <f>'Catalogo_Decisiones'!I6</f>
        <v/>
      </c>
      <c r="J6" s="0">
        <f>'Catalogo_Decisiones'!J6</f>
        <v/>
      </c>
      <c r="K6" s="0">
        <f>'Catalogo_Decisiones'!K6</f>
        <v/>
      </c>
      <c r="L6" s="0">
        <f>'Catalogo_Decisiones'!L6</f>
        <v/>
      </c>
    </row>
    <row r="7">
      <c r="A7" s="0">
        <f>'Catalogo_Decisiones'!A7</f>
        <v/>
      </c>
      <c r="B7" s="0">
        <f>'Catalogo_Decisiones'!B7</f>
        <v/>
      </c>
      <c r="C7" s="0">
        <f>'Catalogo_Decisiones'!C7</f>
        <v/>
      </c>
      <c r="D7" s="0">
        <f>'Catalogo_Decisiones'!D7</f>
        <v/>
      </c>
      <c r="E7" s="0">
        <f>'Catalogo_Decisiones'!E7</f>
        <v/>
      </c>
      <c r="F7" s="0">
        <f>'Catalogo_Decisiones'!F7</f>
        <v/>
      </c>
      <c r="G7" s="0">
        <f>IFERROR(VALUE(SUBSTITUTE(SUBSTITUTE(Catalogo_Decisiones!G7,"S/",""),",","")),0)</f>
        <v/>
      </c>
      <c r="H7" s="0">
        <f>'Catalogo_Decisiones'!H7</f>
        <v/>
      </c>
      <c r="I7" s="0">
        <f>'Catalogo_Decisiones'!I7</f>
        <v/>
      </c>
      <c r="J7" s="0">
        <f>'Catalogo_Decisiones'!J7</f>
        <v/>
      </c>
      <c r="K7" s="0">
        <f>'Catalogo_Decisiones'!K7</f>
        <v/>
      </c>
      <c r="L7" s="0">
        <f>'Catalogo_Decisiones'!L7</f>
        <v/>
      </c>
    </row>
    <row r="8">
      <c r="A8" s="0">
        <f>'Catalogo_Decisiones'!A8</f>
        <v/>
      </c>
      <c r="B8" s="0">
        <f>'Catalogo_Decisiones'!B8</f>
        <v/>
      </c>
      <c r="C8" s="0">
        <f>'Catalogo_Decisiones'!C8</f>
        <v/>
      </c>
      <c r="D8" s="0">
        <f>'Catalogo_Decisiones'!D8</f>
        <v/>
      </c>
      <c r="E8" s="0">
        <f>'Catalogo_Decisiones'!E8</f>
        <v/>
      </c>
      <c r="F8" s="0">
        <f>'Catalogo_Decisiones'!F8</f>
        <v/>
      </c>
      <c r="G8" s="0">
        <f>IFERROR(VALUE(SUBSTITUTE(SUBSTITUTE(Catalogo_Decisiones!G8,"S/",""),",","")),0)</f>
        <v/>
      </c>
      <c r="H8" s="0">
        <f>'Catalogo_Decisiones'!H8</f>
        <v/>
      </c>
      <c r="I8" s="0">
        <f>'Catalogo_Decisiones'!I8</f>
        <v/>
      </c>
      <c r="J8" s="0">
        <f>'Catalogo_Decisiones'!J8</f>
        <v/>
      </c>
      <c r="K8" s="0">
        <f>'Catalogo_Decisiones'!K8</f>
        <v/>
      </c>
      <c r="L8" s="0">
        <f>'Catalogo_Decisiones'!L8</f>
        <v/>
      </c>
    </row>
    <row r="9">
      <c r="A9" s="0">
        <f>'Catalogo_Decisiones'!A9</f>
        <v/>
      </c>
      <c r="B9" s="0">
        <f>'Catalogo_Decisiones'!B9</f>
        <v/>
      </c>
      <c r="C9" s="0">
        <f>'Catalogo_Decisiones'!C9</f>
        <v/>
      </c>
      <c r="D9" s="0">
        <f>'Catalogo_Decisiones'!D9</f>
        <v/>
      </c>
      <c r="E9" s="0">
        <f>'Catalogo_Decisiones'!E9</f>
        <v/>
      </c>
      <c r="F9" s="0">
        <f>'Catalogo_Decisiones'!F9</f>
        <v/>
      </c>
      <c r="G9" s="0">
        <f>IFERROR(VALUE(SUBSTITUTE(SUBSTITUTE(Catalogo_Decisiones!G9,"S/",""),",","")),0)</f>
        <v/>
      </c>
      <c r="H9" s="0">
        <f>'Catalogo_Decisiones'!H9</f>
        <v/>
      </c>
      <c r="I9" s="0">
        <f>'Catalogo_Decisiones'!I9</f>
        <v/>
      </c>
      <c r="J9" s="0">
        <f>'Catalogo_Decisiones'!J9</f>
        <v/>
      </c>
      <c r="K9" s="0">
        <f>'Catalogo_Decisiones'!K9</f>
        <v/>
      </c>
      <c r="L9" s="0">
        <f>'Catalogo_Decisiones'!L9</f>
        <v/>
      </c>
    </row>
    <row r="10">
      <c r="A10" s="0">
        <f>'Catalogo_Decisiones'!A10</f>
        <v/>
      </c>
      <c r="B10" s="0">
        <f>'Catalogo_Decisiones'!B10</f>
        <v/>
      </c>
      <c r="C10" s="0">
        <f>'Catalogo_Decisiones'!C10</f>
        <v/>
      </c>
      <c r="D10" s="0">
        <f>'Catalogo_Decisiones'!D10</f>
        <v/>
      </c>
      <c r="E10" s="0">
        <f>'Catalogo_Decisiones'!E10</f>
        <v/>
      </c>
      <c r="F10" s="0">
        <f>'Catalogo_Decisiones'!F10</f>
        <v/>
      </c>
      <c r="G10" s="0">
        <f>IFERROR(VALUE(SUBSTITUTE(SUBSTITUTE(Catalogo_Decisiones!G10,"S/",""),",","")),0)</f>
        <v/>
      </c>
      <c r="H10" s="0">
        <f>'Catalogo_Decisiones'!H10</f>
        <v/>
      </c>
      <c r="I10" s="0">
        <f>'Catalogo_Decisiones'!I10</f>
        <v/>
      </c>
      <c r="J10" s="0">
        <f>'Catalogo_Decisiones'!J10</f>
        <v/>
      </c>
      <c r="K10" s="0">
        <f>'Catalogo_Decisiones'!K10</f>
        <v/>
      </c>
      <c r="L10" s="0">
        <f>'Catalogo_Decisiones'!L10</f>
        <v/>
      </c>
    </row>
    <row r="11">
      <c r="A11" s="0">
        <f>'Catalogo_Decisiones'!A11</f>
        <v/>
      </c>
      <c r="B11" s="0">
        <f>'Catalogo_Decisiones'!B11</f>
        <v/>
      </c>
      <c r="C11" s="0">
        <f>'Catalogo_Decisiones'!C11</f>
        <v/>
      </c>
      <c r="D11" s="0">
        <f>'Catalogo_Decisiones'!D11</f>
        <v/>
      </c>
      <c r="E11" s="0">
        <f>'Catalogo_Decisiones'!E11</f>
        <v/>
      </c>
      <c r="F11" s="0">
        <f>'Catalogo_Decisiones'!F11</f>
        <v/>
      </c>
      <c r="G11" s="0">
        <f>IFERROR(VALUE(SUBSTITUTE(SUBSTITUTE(Catalogo_Decisiones!G11,"S/",""),",","")),0)</f>
        <v/>
      </c>
      <c r="H11" s="0">
        <f>'Catalogo_Decisiones'!H11</f>
        <v/>
      </c>
      <c r="I11" s="0">
        <f>'Catalogo_Decisiones'!I11</f>
        <v/>
      </c>
      <c r="J11" s="0">
        <f>'Catalogo_Decisiones'!J11</f>
        <v/>
      </c>
      <c r="K11" s="0">
        <f>'Catalogo_Decisiones'!K11</f>
        <v/>
      </c>
      <c r="L11" s="0">
        <f>'Catalogo_Decisiones'!L11</f>
        <v/>
      </c>
    </row>
    <row r="12">
      <c r="A12" s="0">
        <f>'Catalogo_Decisiones'!A12</f>
        <v/>
      </c>
      <c r="B12" s="0">
        <f>'Catalogo_Decisiones'!B12</f>
        <v/>
      </c>
      <c r="C12" s="0">
        <f>'Catalogo_Decisiones'!C12</f>
        <v/>
      </c>
      <c r="D12" s="0">
        <f>'Catalogo_Decisiones'!D12</f>
        <v/>
      </c>
      <c r="E12" s="0">
        <f>'Catalogo_Decisiones'!E12</f>
        <v/>
      </c>
      <c r="F12" s="0">
        <f>'Catalogo_Decisiones'!F12</f>
        <v/>
      </c>
      <c r="G12" s="0">
        <f>IFERROR(VALUE(SUBSTITUTE(SUBSTITUTE(Catalogo_Decisiones!G12,"S/",""),",","")),0)</f>
        <v/>
      </c>
      <c r="H12" s="0">
        <f>'Catalogo_Decisiones'!H12</f>
        <v/>
      </c>
      <c r="I12" s="0">
        <f>'Catalogo_Decisiones'!I12</f>
        <v/>
      </c>
      <c r="J12" s="0">
        <f>'Catalogo_Decisiones'!J12</f>
        <v/>
      </c>
      <c r="K12" s="0">
        <f>'Catalogo_Decisiones'!K12</f>
        <v/>
      </c>
      <c r="L12" s="0">
        <f>'Catalogo_Decisiones'!L12</f>
        <v/>
      </c>
    </row>
    <row r="13">
      <c r="A13" s="0">
        <f>'Catalogo_Decisiones'!A13</f>
        <v/>
      </c>
      <c r="B13" s="0">
        <f>'Catalogo_Decisiones'!B13</f>
        <v/>
      </c>
      <c r="C13" s="0">
        <f>'Catalogo_Decisiones'!C13</f>
        <v/>
      </c>
      <c r="D13" s="0">
        <f>'Catalogo_Decisiones'!D13</f>
        <v/>
      </c>
      <c r="E13" s="0">
        <f>'Catalogo_Decisiones'!E13</f>
        <v/>
      </c>
      <c r="F13" s="0">
        <f>'Catalogo_Decisiones'!F13</f>
        <v/>
      </c>
      <c r="G13" s="0">
        <f>IFERROR(VALUE(SUBSTITUTE(SUBSTITUTE(Catalogo_Decisiones!G13,"S/",""),",","")),0)</f>
        <v/>
      </c>
      <c r="H13" s="0">
        <f>'Catalogo_Decisiones'!H13</f>
        <v/>
      </c>
      <c r="I13" s="0">
        <f>'Catalogo_Decisiones'!I13</f>
        <v/>
      </c>
      <c r="J13" s="0">
        <f>'Catalogo_Decisiones'!J13</f>
        <v/>
      </c>
      <c r="K13" s="0">
        <f>'Catalogo_Decisiones'!K13</f>
        <v/>
      </c>
      <c r="L13" s="0">
        <f>'Catalogo_Decisiones'!L13</f>
        <v/>
      </c>
    </row>
    <row r="14">
      <c r="A14" s="0">
        <f>'Catalogo_Decisiones'!A14</f>
        <v/>
      </c>
      <c r="B14" s="0">
        <f>'Catalogo_Decisiones'!B14</f>
        <v/>
      </c>
      <c r="C14" s="0">
        <f>'Catalogo_Decisiones'!C14</f>
        <v/>
      </c>
      <c r="D14" s="0">
        <f>'Catalogo_Decisiones'!D14</f>
        <v/>
      </c>
      <c r="E14" s="0">
        <f>'Catalogo_Decisiones'!E14</f>
        <v/>
      </c>
      <c r="F14" s="0">
        <f>'Catalogo_Decisiones'!F14</f>
        <v/>
      </c>
      <c r="G14" s="0">
        <f>IFERROR(VALUE(SUBSTITUTE(SUBSTITUTE(Catalogo_Decisiones!G14,"S/",""),",","")),0)</f>
        <v/>
      </c>
      <c r="H14" s="0">
        <f>'Catalogo_Decisiones'!H14</f>
        <v/>
      </c>
      <c r="I14" s="0">
        <f>'Catalogo_Decisiones'!I14</f>
        <v/>
      </c>
      <c r="J14" s="0">
        <f>'Catalogo_Decisiones'!J14</f>
        <v/>
      </c>
      <c r="K14" s="0">
        <f>'Catalogo_Decisiones'!K14</f>
        <v/>
      </c>
      <c r="L14" s="0">
        <f>'Catalogo_Decisiones'!L14</f>
        <v/>
      </c>
    </row>
    <row r="15">
      <c r="A15" s="0">
        <f>'Catalogo_Decisiones'!A15</f>
        <v/>
      </c>
      <c r="B15" s="0">
        <f>'Catalogo_Decisiones'!B15</f>
        <v/>
      </c>
      <c r="C15" s="0">
        <f>'Catalogo_Decisiones'!C15</f>
        <v/>
      </c>
      <c r="D15" s="0">
        <f>'Catalogo_Decisiones'!D15</f>
        <v/>
      </c>
      <c r="E15" s="0">
        <f>'Catalogo_Decisiones'!E15</f>
        <v/>
      </c>
      <c r="F15" s="0">
        <f>'Catalogo_Decisiones'!F15</f>
        <v/>
      </c>
      <c r="G15" s="0">
        <f>IFERROR(VALUE(SUBSTITUTE(SUBSTITUTE(Catalogo_Decisiones!G15,"S/",""),",","")),0)</f>
        <v/>
      </c>
      <c r="H15" s="0">
        <f>'Catalogo_Decisiones'!H15</f>
        <v/>
      </c>
      <c r="I15" s="0">
        <f>'Catalogo_Decisiones'!I15</f>
        <v/>
      </c>
      <c r="J15" s="0">
        <f>'Catalogo_Decisiones'!J15</f>
        <v/>
      </c>
      <c r="K15" s="0">
        <f>'Catalogo_Decisiones'!K15</f>
        <v/>
      </c>
      <c r="L15" s="0">
        <f>'Catalogo_Decisiones'!L15</f>
        <v/>
      </c>
    </row>
    <row r="16">
      <c r="A16" s="0">
        <f>'Catalogo_Decisiones'!A16</f>
        <v/>
      </c>
      <c r="B16" s="0">
        <f>'Catalogo_Decisiones'!B16</f>
        <v/>
      </c>
      <c r="C16" s="0">
        <f>'Catalogo_Decisiones'!C16</f>
        <v/>
      </c>
      <c r="D16" s="0">
        <f>'Catalogo_Decisiones'!D16</f>
        <v/>
      </c>
      <c r="E16" s="0">
        <f>'Catalogo_Decisiones'!E16</f>
        <v/>
      </c>
      <c r="F16" s="0">
        <f>'Catalogo_Decisiones'!F16</f>
        <v/>
      </c>
      <c r="G16" s="0">
        <f>IFERROR(VALUE(SUBSTITUTE(SUBSTITUTE(Catalogo_Decisiones!G16,"S/",""),",","")),0)</f>
        <v/>
      </c>
      <c r="H16" s="0">
        <f>'Catalogo_Decisiones'!H16</f>
        <v/>
      </c>
      <c r="I16" s="0">
        <f>'Catalogo_Decisiones'!I16</f>
        <v/>
      </c>
      <c r="J16" s="0">
        <f>'Catalogo_Decisiones'!J16</f>
        <v/>
      </c>
      <c r="K16" s="0">
        <f>'Catalogo_Decisiones'!K16</f>
        <v/>
      </c>
      <c r="L16" s="0">
        <f>'Catalogo_Decisiones'!L16</f>
        <v/>
      </c>
    </row>
    <row r="17">
      <c r="A17" s="0">
        <f>'Catalogo_Decisiones'!A17</f>
        <v/>
      </c>
      <c r="B17" s="0">
        <f>'Catalogo_Decisiones'!B17</f>
        <v/>
      </c>
      <c r="C17" s="0">
        <f>'Catalogo_Decisiones'!C17</f>
        <v/>
      </c>
      <c r="D17" s="0">
        <f>'Catalogo_Decisiones'!D17</f>
        <v/>
      </c>
      <c r="E17" s="0">
        <f>'Catalogo_Decisiones'!E17</f>
        <v/>
      </c>
      <c r="F17" s="0">
        <f>'Catalogo_Decisiones'!F17</f>
        <v/>
      </c>
      <c r="G17" s="0">
        <f>IFERROR(VALUE(SUBSTITUTE(SUBSTITUTE(Catalogo_Decisiones!G17,"S/",""),",","")),0)</f>
        <v/>
      </c>
      <c r="H17" s="0">
        <f>'Catalogo_Decisiones'!H17</f>
        <v/>
      </c>
      <c r="I17" s="0">
        <f>'Catalogo_Decisiones'!I17</f>
        <v/>
      </c>
      <c r="J17" s="0">
        <f>'Catalogo_Decisiones'!J17</f>
        <v/>
      </c>
      <c r="K17" s="0">
        <f>'Catalogo_Decisiones'!K17</f>
        <v/>
      </c>
      <c r="L17" s="0">
        <f>'Catalogo_Decisiones'!L17</f>
        <v/>
      </c>
    </row>
    <row r="18">
      <c r="A18" s="0">
        <f>'Catalogo_Decisiones'!A18</f>
        <v/>
      </c>
      <c r="B18" s="0">
        <f>'Catalogo_Decisiones'!B18</f>
        <v/>
      </c>
      <c r="C18" s="0">
        <f>'Catalogo_Decisiones'!C18</f>
        <v/>
      </c>
      <c r="D18" s="0">
        <f>'Catalogo_Decisiones'!D18</f>
        <v/>
      </c>
      <c r="E18" s="0">
        <f>'Catalogo_Decisiones'!E18</f>
        <v/>
      </c>
      <c r="F18" s="0">
        <f>'Catalogo_Decisiones'!F18</f>
        <v/>
      </c>
      <c r="G18" s="0">
        <f>IFERROR(VALUE(SUBSTITUTE(SUBSTITUTE(Catalogo_Decisiones!G18,"S/",""),",","")),0)</f>
        <v/>
      </c>
      <c r="H18" s="0">
        <f>'Catalogo_Decisiones'!H18</f>
        <v/>
      </c>
      <c r="I18" s="0">
        <f>'Catalogo_Decisiones'!I18</f>
        <v/>
      </c>
      <c r="J18" s="0">
        <f>'Catalogo_Decisiones'!J18</f>
        <v/>
      </c>
      <c r="K18" s="0">
        <f>'Catalogo_Decisiones'!K18</f>
        <v/>
      </c>
      <c r="L18" s="0">
        <f>'Catalogo_Decisiones'!L18</f>
        <v/>
      </c>
    </row>
    <row r="19">
      <c r="A19" s="0">
        <f>'Catalogo_Decisiones'!A19</f>
        <v/>
      </c>
      <c r="B19" s="0">
        <f>'Catalogo_Decisiones'!B19</f>
        <v/>
      </c>
      <c r="C19" s="0">
        <f>'Catalogo_Decisiones'!C19</f>
        <v/>
      </c>
      <c r="D19" s="0">
        <f>'Catalogo_Decisiones'!D19</f>
        <v/>
      </c>
      <c r="E19" s="0">
        <f>'Catalogo_Decisiones'!E19</f>
        <v/>
      </c>
      <c r="F19" s="0">
        <f>'Catalogo_Decisiones'!F19</f>
        <v/>
      </c>
      <c r="G19" s="0">
        <f>IFERROR(VALUE(SUBSTITUTE(SUBSTITUTE(Catalogo_Decisiones!G19,"S/",""),",","")),0)</f>
        <v/>
      </c>
      <c r="H19" s="0">
        <f>'Catalogo_Decisiones'!H19</f>
        <v/>
      </c>
      <c r="I19" s="0">
        <f>'Catalogo_Decisiones'!I19</f>
        <v/>
      </c>
      <c r="J19" s="0">
        <f>'Catalogo_Decisiones'!J19</f>
        <v/>
      </c>
      <c r="K19" s="0">
        <f>'Catalogo_Decisiones'!K19</f>
        <v/>
      </c>
      <c r="L19" s="0">
        <f>'Catalogo_Decisiones'!L19</f>
        <v/>
      </c>
    </row>
    <row r="20">
      <c r="A20" s="0">
        <f>'Catalogo_Decisiones'!A20</f>
        <v/>
      </c>
      <c r="B20" s="0">
        <f>'Catalogo_Decisiones'!B20</f>
        <v/>
      </c>
      <c r="C20" s="0">
        <f>'Catalogo_Decisiones'!C20</f>
        <v/>
      </c>
      <c r="D20" s="0">
        <f>'Catalogo_Decisiones'!D20</f>
        <v/>
      </c>
      <c r="E20" s="0">
        <f>'Catalogo_Decisiones'!E20</f>
        <v/>
      </c>
      <c r="F20" s="0">
        <f>'Catalogo_Decisiones'!F20</f>
        <v/>
      </c>
      <c r="G20" s="0">
        <f>IFERROR(VALUE(SUBSTITUTE(SUBSTITUTE(Catalogo_Decisiones!G20,"S/",""),",","")),0)</f>
        <v/>
      </c>
      <c r="H20" s="0">
        <f>'Catalogo_Decisiones'!H20</f>
        <v/>
      </c>
      <c r="I20" s="0">
        <f>'Catalogo_Decisiones'!I20</f>
        <v/>
      </c>
      <c r="J20" s="0">
        <f>'Catalogo_Decisiones'!J20</f>
        <v/>
      </c>
      <c r="K20" s="0">
        <f>'Catalogo_Decisiones'!K20</f>
        <v/>
      </c>
      <c r="L20" s="0">
        <f>'Catalogo_Decisiones'!L20</f>
        <v/>
      </c>
    </row>
    <row r="21">
      <c r="A21" s="0">
        <f>'Catalogo_Decisiones'!A21</f>
        <v/>
      </c>
      <c r="B21" s="0">
        <f>'Catalogo_Decisiones'!B21</f>
        <v/>
      </c>
      <c r="C21" s="0">
        <f>'Catalogo_Decisiones'!C21</f>
        <v/>
      </c>
      <c r="D21" s="0">
        <f>'Catalogo_Decisiones'!D21</f>
        <v/>
      </c>
      <c r="E21" s="0">
        <f>'Catalogo_Decisiones'!E21</f>
        <v/>
      </c>
      <c r="F21" s="0">
        <f>'Catalogo_Decisiones'!F21</f>
        <v/>
      </c>
      <c r="G21" s="0">
        <f>IFERROR(VALUE(SUBSTITUTE(SUBSTITUTE(Catalogo_Decisiones!G21,"S/",""),",","")),0)</f>
        <v/>
      </c>
      <c r="H21" s="0">
        <f>'Catalogo_Decisiones'!H21</f>
        <v/>
      </c>
      <c r="I21" s="0">
        <f>'Catalogo_Decisiones'!I21</f>
        <v/>
      </c>
      <c r="J21" s="0">
        <f>'Catalogo_Decisiones'!J21</f>
        <v/>
      </c>
      <c r="K21" s="0">
        <f>'Catalogo_Decisiones'!K21</f>
        <v/>
      </c>
      <c r="L21" s="0">
        <f>'Catalogo_Decisiones'!L21</f>
        <v/>
      </c>
    </row>
    <row r="22">
      <c r="A22" s="0">
        <f>'Catalogo_Decisiones'!A22</f>
        <v/>
      </c>
      <c r="B22" s="0">
        <f>'Catalogo_Decisiones'!B22</f>
        <v/>
      </c>
      <c r="C22" s="0">
        <f>'Catalogo_Decisiones'!C22</f>
        <v/>
      </c>
      <c r="D22" s="0">
        <f>'Catalogo_Decisiones'!D22</f>
        <v/>
      </c>
      <c r="E22" s="0">
        <f>'Catalogo_Decisiones'!E22</f>
        <v/>
      </c>
      <c r="F22" s="0">
        <f>'Catalogo_Decisiones'!F22</f>
        <v/>
      </c>
      <c r="G22" s="0">
        <f>IFERROR(VALUE(SUBSTITUTE(SUBSTITUTE(Catalogo_Decisiones!G22,"S/",""),",","")),0)</f>
        <v/>
      </c>
      <c r="H22" s="0">
        <f>'Catalogo_Decisiones'!H22</f>
        <v/>
      </c>
      <c r="I22" s="0">
        <f>'Catalogo_Decisiones'!I22</f>
        <v/>
      </c>
      <c r="J22" s="0">
        <f>'Catalogo_Decisiones'!J22</f>
        <v/>
      </c>
      <c r="K22" s="0">
        <f>'Catalogo_Decisiones'!K22</f>
        <v/>
      </c>
      <c r="L22" s="0">
        <f>'Catalogo_Decisiones'!L22</f>
        <v/>
      </c>
    </row>
    <row r="23">
      <c r="A23" s="0">
        <f>'Catalogo_Decisiones'!A23</f>
        <v/>
      </c>
      <c r="B23" s="0">
        <f>'Catalogo_Decisiones'!B23</f>
        <v/>
      </c>
      <c r="C23" s="0">
        <f>'Catalogo_Decisiones'!C23</f>
        <v/>
      </c>
      <c r="D23" s="0">
        <f>'Catalogo_Decisiones'!D23</f>
        <v/>
      </c>
      <c r="E23" s="0">
        <f>'Catalogo_Decisiones'!E23</f>
        <v/>
      </c>
      <c r="F23" s="0">
        <f>'Catalogo_Decisiones'!F23</f>
        <v/>
      </c>
      <c r="G23" s="0">
        <f>IFERROR(VALUE(SUBSTITUTE(SUBSTITUTE(Catalogo_Decisiones!G23,"S/",""),",","")),0)</f>
        <v/>
      </c>
      <c r="H23" s="0">
        <f>'Catalogo_Decisiones'!H23</f>
        <v/>
      </c>
      <c r="I23" s="0">
        <f>'Catalogo_Decisiones'!I23</f>
        <v/>
      </c>
      <c r="J23" s="0">
        <f>'Catalogo_Decisiones'!J23</f>
        <v/>
      </c>
      <c r="K23" s="0">
        <f>'Catalogo_Decisiones'!K23</f>
        <v/>
      </c>
      <c r="L23" s="0">
        <f>'Catalogo_Decisiones'!L23</f>
        <v/>
      </c>
    </row>
    <row r="24">
      <c r="A24" s="0">
        <f>'Catalogo_Decisiones'!A24</f>
        <v/>
      </c>
      <c r="B24" s="0">
        <f>'Catalogo_Decisiones'!B24</f>
        <v/>
      </c>
      <c r="C24" s="0">
        <f>'Catalogo_Decisiones'!C24</f>
        <v/>
      </c>
      <c r="D24" s="0">
        <f>'Catalogo_Decisiones'!D24</f>
        <v/>
      </c>
      <c r="E24" s="0">
        <f>'Catalogo_Decisiones'!E24</f>
        <v/>
      </c>
      <c r="F24" s="0">
        <f>'Catalogo_Decisiones'!F24</f>
        <v/>
      </c>
      <c r="G24" s="0">
        <f>IFERROR(VALUE(SUBSTITUTE(SUBSTITUTE(Catalogo_Decisiones!G24,"S/",""),",","")),0)</f>
        <v/>
      </c>
      <c r="H24" s="0">
        <f>'Catalogo_Decisiones'!H24</f>
        <v/>
      </c>
      <c r="I24" s="0">
        <f>'Catalogo_Decisiones'!I24</f>
        <v/>
      </c>
      <c r="J24" s="0">
        <f>'Catalogo_Decisiones'!J24</f>
        <v/>
      </c>
      <c r="K24" s="0">
        <f>'Catalogo_Decisiones'!K24</f>
        <v/>
      </c>
      <c r="L24" s="0">
        <f>'Catalogo_Decisiones'!L24</f>
        <v/>
      </c>
    </row>
    <row r="25">
      <c r="A25" s="0">
        <f>'Catalogo_Decisiones'!A25</f>
        <v/>
      </c>
      <c r="B25" s="0">
        <f>'Catalogo_Decisiones'!B25</f>
        <v/>
      </c>
      <c r="C25" s="0">
        <f>'Catalogo_Decisiones'!C25</f>
        <v/>
      </c>
      <c r="D25" s="0">
        <f>'Catalogo_Decisiones'!D25</f>
        <v/>
      </c>
      <c r="E25" s="0">
        <f>'Catalogo_Decisiones'!E25</f>
        <v/>
      </c>
      <c r="F25" s="0">
        <f>'Catalogo_Decisiones'!F25</f>
        <v/>
      </c>
      <c r="G25" s="0">
        <f>IFERROR(VALUE(SUBSTITUTE(SUBSTITUTE(Catalogo_Decisiones!G25,"S/",""),",","")),0)</f>
        <v/>
      </c>
      <c r="H25" s="0">
        <f>'Catalogo_Decisiones'!H25</f>
        <v/>
      </c>
      <c r="I25" s="0">
        <f>'Catalogo_Decisiones'!I25</f>
        <v/>
      </c>
      <c r="J25" s="0">
        <f>'Catalogo_Decisiones'!J25</f>
        <v/>
      </c>
      <c r="K25" s="0">
        <f>'Catalogo_Decisiones'!K25</f>
        <v/>
      </c>
      <c r="L25" s="0">
        <f>'Catalogo_Decisiones'!L25</f>
        <v/>
      </c>
    </row>
    <row r="26">
      <c r="A26" s="0">
        <f>'Catalogo_Decisiones'!A26</f>
        <v/>
      </c>
      <c r="B26" s="0">
        <f>'Catalogo_Decisiones'!B26</f>
        <v/>
      </c>
      <c r="C26" s="0">
        <f>'Catalogo_Decisiones'!C26</f>
        <v/>
      </c>
      <c r="D26" s="0">
        <f>'Catalogo_Decisiones'!D26</f>
        <v/>
      </c>
      <c r="E26" s="0">
        <f>'Catalogo_Decisiones'!E26</f>
        <v/>
      </c>
      <c r="F26" s="0">
        <f>'Catalogo_Decisiones'!F26</f>
        <v/>
      </c>
      <c r="G26" s="0">
        <f>IFERROR(VALUE(SUBSTITUTE(SUBSTITUTE(Catalogo_Decisiones!G26,"S/",""),",","")),0)</f>
        <v/>
      </c>
      <c r="H26" s="0">
        <f>'Catalogo_Decisiones'!H26</f>
        <v/>
      </c>
      <c r="I26" s="0">
        <f>'Catalogo_Decisiones'!I26</f>
        <v/>
      </c>
      <c r="J26" s="0">
        <f>'Catalogo_Decisiones'!J26</f>
        <v/>
      </c>
      <c r="K26" s="0">
        <f>'Catalogo_Decisiones'!K26</f>
        <v/>
      </c>
      <c r="L26" s="0">
        <f>'Catalogo_Decisiones'!L26</f>
        <v/>
      </c>
    </row>
    <row r="27">
      <c r="A27" s="0">
        <f>'Catalogo_Decisiones'!A27</f>
        <v/>
      </c>
      <c r="B27" s="0">
        <f>'Catalogo_Decisiones'!B27</f>
        <v/>
      </c>
      <c r="C27" s="0">
        <f>'Catalogo_Decisiones'!C27</f>
        <v/>
      </c>
      <c r="D27" s="0">
        <f>'Catalogo_Decisiones'!D27</f>
        <v/>
      </c>
      <c r="E27" s="0">
        <f>'Catalogo_Decisiones'!E27</f>
        <v/>
      </c>
      <c r="F27" s="0">
        <f>'Catalogo_Decisiones'!F27</f>
        <v/>
      </c>
      <c r="G27" s="0">
        <f>IFERROR(VALUE(SUBSTITUTE(SUBSTITUTE(Catalogo_Decisiones!G27,"S/",""),",","")),0)</f>
        <v/>
      </c>
      <c r="H27" s="0">
        <f>'Catalogo_Decisiones'!H27</f>
        <v/>
      </c>
      <c r="I27" s="0">
        <f>'Catalogo_Decisiones'!I27</f>
        <v/>
      </c>
      <c r="J27" s="0">
        <f>'Catalogo_Decisiones'!J27</f>
        <v/>
      </c>
      <c r="K27" s="0">
        <f>'Catalogo_Decisiones'!K27</f>
        <v/>
      </c>
      <c r="L27" s="0">
        <f>'Catalogo_Decisiones'!L27</f>
        <v/>
      </c>
    </row>
    <row r="28">
      <c r="A28" s="0">
        <f>'Catalogo_Decisiones'!A28</f>
        <v/>
      </c>
      <c r="B28" s="0">
        <f>'Catalogo_Decisiones'!B28</f>
        <v/>
      </c>
      <c r="C28" s="0">
        <f>'Catalogo_Decisiones'!C28</f>
        <v/>
      </c>
      <c r="D28" s="0">
        <f>'Catalogo_Decisiones'!D28</f>
        <v/>
      </c>
      <c r="E28" s="0">
        <f>'Catalogo_Decisiones'!E28</f>
        <v/>
      </c>
      <c r="F28" s="0">
        <f>'Catalogo_Decisiones'!F28</f>
        <v/>
      </c>
      <c r="G28" s="0">
        <f>IFERROR(VALUE(SUBSTITUTE(SUBSTITUTE(Catalogo_Decisiones!G28,"S/",""),",","")),0)</f>
        <v/>
      </c>
      <c r="H28" s="0">
        <f>'Catalogo_Decisiones'!H28</f>
        <v/>
      </c>
      <c r="I28" s="0">
        <f>'Catalogo_Decisiones'!I28</f>
        <v/>
      </c>
      <c r="J28" s="0">
        <f>'Catalogo_Decisiones'!J28</f>
        <v/>
      </c>
      <c r="K28" s="0">
        <f>'Catalogo_Decisiones'!K28</f>
        <v/>
      </c>
      <c r="L28" s="0">
        <f>'Catalogo_Decisiones'!L28</f>
        <v/>
      </c>
    </row>
    <row r="29">
      <c r="A29" s="0">
        <f>'Catalogo_Decisiones'!A29</f>
        <v/>
      </c>
      <c r="B29" s="0">
        <f>'Catalogo_Decisiones'!B29</f>
        <v/>
      </c>
      <c r="C29" s="0">
        <f>'Catalogo_Decisiones'!C29</f>
        <v/>
      </c>
      <c r="D29" s="0">
        <f>'Catalogo_Decisiones'!D29</f>
        <v/>
      </c>
      <c r="E29" s="0">
        <f>'Catalogo_Decisiones'!E29</f>
        <v/>
      </c>
      <c r="F29" s="0">
        <f>'Catalogo_Decisiones'!F29</f>
        <v/>
      </c>
      <c r="G29" s="0">
        <f>IFERROR(VALUE(SUBSTITUTE(SUBSTITUTE(Catalogo_Decisiones!G29,"S/",""),",","")),0)</f>
        <v/>
      </c>
      <c r="H29" s="0">
        <f>'Catalogo_Decisiones'!H29</f>
        <v/>
      </c>
      <c r="I29" s="0">
        <f>'Catalogo_Decisiones'!I29</f>
        <v/>
      </c>
      <c r="J29" s="0">
        <f>'Catalogo_Decisiones'!J29</f>
        <v/>
      </c>
      <c r="K29" s="0">
        <f>'Catalogo_Decisiones'!K29</f>
        <v/>
      </c>
      <c r="L29" s="0">
        <f>'Catalogo_Decisiones'!L29</f>
        <v/>
      </c>
    </row>
    <row r="30">
      <c r="A30" s="0">
        <f>'Catalogo_Decisiones'!A30</f>
        <v/>
      </c>
      <c r="B30" s="0">
        <f>'Catalogo_Decisiones'!B30</f>
        <v/>
      </c>
      <c r="C30" s="0">
        <f>'Catalogo_Decisiones'!C30</f>
        <v/>
      </c>
      <c r="D30" s="0">
        <f>'Catalogo_Decisiones'!D30</f>
        <v/>
      </c>
      <c r="E30" s="0">
        <f>'Catalogo_Decisiones'!E30</f>
        <v/>
      </c>
      <c r="F30" s="0">
        <f>'Catalogo_Decisiones'!F30</f>
        <v/>
      </c>
      <c r="G30" s="0">
        <f>IFERROR(VALUE(SUBSTITUTE(SUBSTITUTE(Catalogo_Decisiones!G30,"S/",""),",","")),0)</f>
        <v/>
      </c>
      <c r="H30" s="0">
        <f>'Catalogo_Decisiones'!H30</f>
        <v/>
      </c>
      <c r="I30" s="0">
        <f>'Catalogo_Decisiones'!I30</f>
        <v/>
      </c>
      <c r="J30" s="0">
        <f>'Catalogo_Decisiones'!J30</f>
        <v/>
      </c>
      <c r="K30" s="0">
        <f>'Catalogo_Decisiones'!K30</f>
        <v/>
      </c>
      <c r="L30" s="0">
        <f>'Catalogo_Decisiones'!L30</f>
        <v/>
      </c>
    </row>
    <row r="31">
      <c r="A31" s="0">
        <f>'Catalogo_Decisiones'!A31</f>
        <v/>
      </c>
      <c r="B31" s="0">
        <f>'Catalogo_Decisiones'!B31</f>
        <v/>
      </c>
      <c r="C31" s="0">
        <f>'Catalogo_Decisiones'!C31</f>
        <v/>
      </c>
      <c r="D31" s="0">
        <f>'Catalogo_Decisiones'!D31</f>
        <v/>
      </c>
      <c r="E31" s="0">
        <f>'Catalogo_Decisiones'!E31</f>
        <v/>
      </c>
      <c r="F31" s="0">
        <f>'Catalogo_Decisiones'!F31</f>
        <v/>
      </c>
      <c r="G31" s="0">
        <f>IFERROR(VALUE(SUBSTITUTE(SUBSTITUTE(Catalogo_Decisiones!G31,"S/",""),",","")),0)</f>
        <v/>
      </c>
      <c r="H31" s="0">
        <f>'Catalogo_Decisiones'!H31</f>
        <v/>
      </c>
      <c r="I31" s="0">
        <f>'Catalogo_Decisiones'!I31</f>
        <v/>
      </c>
      <c r="J31" s="0">
        <f>'Catalogo_Decisiones'!J31</f>
        <v/>
      </c>
      <c r="K31" s="0">
        <f>'Catalogo_Decisiones'!K31</f>
        <v/>
      </c>
      <c r="L31" s="0">
        <f>'Catalogo_Decisiones'!L31</f>
        <v/>
      </c>
    </row>
    <row r="32">
      <c r="A32" s="0">
        <f>'Catalogo_Decisiones'!A32</f>
        <v/>
      </c>
      <c r="B32" s="0">
        <f>'Catalogo_Decisiones'!B32</f>
        <v/>
      </c>
      <c r="C32" s="0">
        <f>'Catalogo_Decisiones'!C32</f>
        <v/>
      </c>
      <c r="D32" s="0">
        <f>'Catalogo_Decisiones'!D32</f>
        <v/>
      </c>
      <c r="E32" s="0">
        <f>'Catalogo_Decisiones'!E32</f>
        <v/>
      </c>
      <c r="F32" s="0">
        <f>'Catalogo_Decisiones'!F32</f>
        <v/>
      </c>
      <c r="G32" s="0">
        <f>IFERROR(VALUE(SUBSTITUTE(SUBSTITUTE(Catalogo_Decisiones!G32,"S/",""),",","")),0)</f>
        <v/>
      </c>
      <c r="H32" s="0">
        <f>'Catalogo_Decisiones'!H32</f>
        <v/>
      </c>
      <c r="I32" s="0">
        <f>'Catalogo_Decisiones'!I32</f>
        <v/>
      </c>
      <c r="J32" s="0">
        <f>'Catalogo_Decisiones'!J32</f>
        <v/>
      </c>
      <c r="K32" s="0">
        <f>'Catalogo_Decisiones'!K32</f>
        <v/>
      </c>
      <c r="L32" s="0">
        <f>'Catalogo_Decisiones'!L32</f>
        <v/>
      </c>
    </row>
    <row r="33">
      <c r="A33" s="0">
        <f>'Catalogo_Decisiones'!A33</f>
        <v/>
      </c>
      <c r="B33" s="0">
        <f>'Catalogo_Decisiones'!B33</f>
        <v/>
      </c>
      <c r="C33" s="0">
        <f>'Catalogo_Decisiones'!C33</f>
        <v/>
      </c>
      <c r="D33" s="0">
        <f>'Catalogo_Decisiones'!D33</f>
        <v/>
      </c>
      <c r="E33" s="0">
        <f>'Catalogo_Decisiones'!E33</f>
        <v/>
      </c>
      <c r="F33" s="0">
        <f>'Catalogo_Decisiones'!F33</f>
        <v/>
      </c>
      <c r="G33" s="0">
        <f>IFERROR(VALUE(SUBSTITUTE(SUBSTITUTE(Catalogo_Decisiones!G33,"S/",""),",","")),0)</f>
        <v/>
      </c>
      <c r="H33" s="0">
        <f>'Catalogo_Decisiones'!H33</f>
        <v/>
      </c>
      <c r="I33" s="0">
        <f>'Catalogo_Decisiones'!I33</f>
        <v/>
      </c>
      <c r="J33" s="0">
        <f>'Catalogo_Decisiones'!J33</f>
        <v/>
      </c>
      <c r="K33" s="0">
        <f>'Catalogo_Decisiones'!K33</f>
        <v/>
      </c>
      <c r="L33" s="0">
        <f>'Catalogo_Decisiones'!L33</f>
        <v/>
      </c>
    </row>
    <row r="34">
      <c r="A34" s="0">
        <f>'Catalogo_Decisiones'!A34</f>
        <v/>
      </c>
      <c r="B34" s="0">
        <f>'Catalogo_Decisiones'!B34</f>
        <v/>
      </c>
      <c r="C34" s="0">
        <f>'Catalogo_Decisiones'!C34</f>
        <v/>
      </c>
      <c r="D34" s="0">
        <f>'Catalogo_Decisiones'!D34</f>
        <v/>
      </c>
      <c r="E34" s="0">
        <f>'Catalogo_Decisiones'!E34</f>
        <v/>
      </c>
      <c r="F34" s="0">
        <f>'Catalogo_Decisiones'!F34</f>
        <v/>
      </c>
      <c r="G34" s="0">
        <f>IFERROR(VALUE(SUBSTITUTE(SUBSTITUTE(Catalogo_Decisiones!G34,"S/",""),",","")),0)</f>
        <v/>
      </c>
      <c r="H34" s="0">
        <f>'Catalogo_Decisiones'!H34</f>
        <v/>
      </c>
      <c r="I34" s="0">
        <f>'Catalogo_Decisiones'!I34</f>
        <v/>
      </c>
      <c r="J34" s="0">
        <f>'Catalogo_Decisiones'!J34</f>
        <v/>
      </c>
      <c r="K34" s="0">
        <f>'Catalogo_Decisiones'!K34</f>
        <v/>
      </c>
      <c r="L34" s="0">
        <f>'Catalogo_Decisiones'!L34</f>
        <v/>
      </c>
    </row>
    <row r="35">
      <c r="A35" s="0">
        <f>'Catalogo_Decisiones'!A35</f>
        <v/>
      </c>
      <c r="B35" s="0">
        <f>'Catalogo_Decisiones'!B35</f>
        <v/>
      </c>
      <c r="C35" s="0">
        <f>'Catalogo_Decisiones'!C35</f>
        <v/>
      </c>
      <c r="D35" s="0">
        <f>'Catalogo_Decisiones'!D35</f>
        <v/>
      </c>
      <c r="E35" s="0">
        <f>'Catalogo_Decisiones'!E35</f>
        <v/>
      </c>
      <c r="F35" s="0">
        <f>'Catalogo_Decisiones'!F35</f>
        <v/>
      </c>
      <c r="G35" s="0">
        <f>IFERROR(VALUE(SUBSTITUTE(SUBSTITUTE(Catalogo_Decisiones!G35,"S/",""),",","")),0)</f>
        <v/>
      </c>
      <c r="H35" s="0">
        <f>'Catalogo_Decisiones'!H35</f>
        <v/>
      </c>
      <c r="I35" s="0">
        <f>'Catalogo_Decisiones'!I35</f>
        <v/>
      </c>
      <c r="J35" s="0">
        <f>'Catalogo_Decisiones'!J35</f>
        <v/>
      </c>
      <c r="K35" s="0">
        <f>'Catalogo_Decisiones'!K35</f>
        <v/>
      </c>
      <c r="L35" s="0">
        <f>'Catalogo_Decisiones'!L35</f>
        <v/>
      </c>
    </row>
    <row r="36">
      <c r="A36" s="0">
        <f>'Catalogo_Decisiones'!A36</f>
        <v/>
      </c>
      <c r="B36" s="0">
        <f>'Catalogo_Decisiones'!B36</f>
        <v/>
      </c>
      <c r="C36" s="0">
        <f>'Catalogo_Decisiones'!C36</f>
        <v/>
      </c>
      <c r="D36" s="0">
        <f>'Catalogo_Decisiones'!D36</f>
        <v/>
      </c>
      <c r="E36" s="0">
        <f>'Catalogo_Decisiones'!E36</f>
        <v/>
      </c>
      <c r="F36" s="0">
        <f>'Catalogo_Decisiones'!F36</f>
        <v/>
      </c>
      <c r="G36" s="0">
        <f>IFERROR(VALUE(SUBSTITUTE(SUBSTITUTE(Catalogo_Decisiones!G36,"S/",""),",","")),0)</f>
        <v/>
      </c>
      <c r="H36" s="0">
        <f>'Catalogo_Decisiones'!H36</f>
        <v/>
      </c>
      <c r="I36" s="0">
        <f>'Catalogo_Decisiones'!I36</f>
        <v/>
      </c>
      <c r="J36" s="0">
        <f>'Catalogo_Decisiones'!J36</f>
        <v/>
      </c>
      <c r="K36" s="0">
        <f>'Catalogo_Decisiones'!K36</f>
        <v/>
      </c>
      <c r="L36" s="0">
        <f>'Catalogo_Decisiones'!L36</f>
        <v/>
      </c>
    </row>
    <row r="37">
      <c r="A37" s="0">
        <f>'Catalogo_Decisiones'!A37</f>
        <v/>
      </c>
      <c r="B37" s="0">
        <f>'Catalogo_Decisiones'!B37</f>
        <v/>
      </c>
      <c r="C37" s="0">
        <f>'Catalogo_Decisiones'!C37</f>
        <v/>
      </c>
      <c r="D37" s="0">
        <f>'Catalogo_Decisiones'!D37</f>
        <v/>
      </c>
      <c r="E37" s="0">
        <f>'Catalogo_Decisiones'!E37</f>
        <v/>
      </c>
      <c r="F37" s="0">
        <f>'Catalogo_Decisiones'!F37</f>
        <v/>
      </c>
      <c r="G37" s="0">
        <f>IFERROR(VALUE(SUBSTITUTE(SUBSTITUTE(Catalogo_Decisiones!G37,"S/",""),",","")),0)</f>
        <v/>
      </c>
      <c r="H37" s="0">
        <f>'Catalogo_Decisiones'!H37</f>
        <v/>
      </c>
      <c r="I37" s="0">
        <f>'Catalogo_Decisiones'!I37</f>
        <v/>
      </c>
      <c r="J37" s="0">
        <f>'Catalogo_Decisiones'!J37</f>
        <v/>
      </c>
      <c r="K37" s="0">
        <f>'Catalogo_Decisiones'!K37</f>
        <v/>
      </c>
      <c r="L37" s="0">
        <f>'Catalogo_Decisiones'!L37</f>
        <v/>
      </c>
    </row>
    <row r="38">
      <c r="A38" s="0">
        <f>'Catalogo_Decisiones'!A38</f>
        <v/>
      </c>
      <c r="B38" s="0">
        <f>'Catalogo_Decisiones'!B38</f>
        <v/>
      </c>
      <c r="C38" s="0">
        <f>'Catalogo_Decisiones'!C38</f>
        <v/>
      </c>
      <c r="D38" s="0">
        <f>'Catalogo_Decisiones'!D38</f>
        <v/>
      </c>
      <c r="E38" s="0">
        <f>'Catalogo_Decisiones'!E38</f>
        <v/>
      </c>
      <c r="F38" s="0">
        <f>'Catalogo_Decisiones'!F38</f>
        <v/>
      </c>
      <c r="G38" s="0">
        <f>IFERROR(VALUE(SUBSTITUTE(SUBSTITUTE(Catalogo_Decisiones!G38,"S/",""),",","")),0)</f>
        <v/>
      </c>
      <c r="H38" s="0">
        <f>'Catalogo_Decisiones'!H38</f>
        <v/>
      </c>
      <c r="I38" s="0">
        <f>'Catalogo_Decisiones'!I38</f>
        <v/>
      </c>
      <c r="J38" s="0">
        <f>'Catalogo_Decisiones'!J38</f>
        <v/>
      </c>
      <c r="K38" s="0">
        <f>'Catalogo_Decisiones'!K38</f>
        <v/>
      </c>
      <c r="L38" s="0">
        <f>'Catalogo_Decisiones'!L38</f>
        <v/>
      </c>
    </row>
    <row r="39">
      <c r="A39" s="0">
        <f>'Catalogo_Decisiones'!A39</f>
        <v/>
      </c>
      <c r="B39" s="0">
        <f>'Catalogo_Decisiones'!B39</f>
        <v/>
      </c>
      <c r="C39" s="0">
        <f>'Catalogo_Decisiones'!C39</f>
        <v/>
      </c>
      <c r="D39" s="0">
        <f>'Catalogo_Decisiones'!D39</f>
        <v/>
      </c>
      <c r="E39" s="0">
        <f>'Catalogo_Decisiones'!E39</f>
        <v/>
      </c>
      <c r="F39" s="0">
        <f>'Catalogo_Decisiones'!F39</f>
        <v/>
      </c>
      <c r="G39" s="0">
        <f>IFERROR(VALUE(SUBSTITUTE(SUBSTITUTE(Catalogo_Decisiones!G39,"S/",""),",","")),0)</f>
        <v/>
      </c>
      <c r="H39" s="0">
        <f>'Catalogo_Decisiones'!H39</f>
        <v/>
      </c>
      <c r="I39" s="0">
        <f>'Catalogo_Decisiones'!I39</f>
        <v/>
      </c>
      <c r="J39" s="0">
        <f>'Catalogo_Decisiones'!J39</f>
        <v/>
      </c>
      <c r="K39" s="0">
        <f>'Catalogo_Decisiones'!K39</f>
        <v/>
      </c>
      <c r="L39" s="0">
        <f>'Catalogo_Decisiones'!L39</f>
        <v/>
      </c>
    </row>
    <row r="40">
      <c r="A40" s="0">
        <f>'Catalogo_Decisiones'!A40</f>
        <v/>
      </c>
      <c r="B40" s="0">
        <f>'Catalogo_Decisiones'!B40</f>
        <v/>
      </c>
      <c r="C40" s="0">
        <f>'Catalogo_Decisiones'!C40</f>
        <v/>
      </c>
      <c r="D40" s="0">
        <f>'Catalogo_Decisiones'!D40</f>
        <v/>
      </c>
      <c r="E40" s="0">
        <f>'Catalogo_Decisiones'!E40</f>
        <v/>
      </c>
      <c r="F40" s="0">
        <f>'Catalogo_Decisiones'!F40</f>
        <v/>
      </c>
      <c r="G40" s="0">
        <f>IFERROR(VALUE(SUBSTITUTE(SUBSTITUTE(Catalogo_Decisiones!G40,"S/",""),",","")),0)</f>
        <v/>
      </c>
      <c r="H40" s="0">
        <f>'Catalogo_Decisiones'!H40</f>
        <v/>
      </c>
      <c r="I40" s="0">
        <f>'Catalogo_Decisiones'!I40</f>
        <v/>
      </c>
      <c r="J40" s="0">
        <f>'Catalogo_Decisiones'!J40</f>
        <v/>
      </c>
      <c r="K40" s="0">
        <f>'Catalogo_Decisiones'!K40</f>
        <v/>
      </c>
      <c r="L40" s="0">
        <f>'Catalogo_Decisiones'!L40</f>
        <v/>
      </c>
    </row>
    <row r="41">
      <c r="A41" s="0">
        <f>'Catalogo_Decisiones'!A41</f>
        <v/>
      </c>
      <c r="B41" s="0">
        <f>'Catalogo_Decisiones'!B41</f>
        <v/>
      </c>
      <c r="C41" s="0">
        <f>'Catalogo_Decisiones'!C41</f>
        <v/>
      </c>
      <c r="D41" s="0">
        <f>'Catalogo_Decisiones'!D41</f>
        <v/>
      </c>
      <c r="E41" s="0">
        <f>'Catalogo_Decisiones'!E41</f>
        <v/>
      </c>
      <c r="F41" s="0">
        <f>'Catalogo_Decisiones'!F41</f>
        <v/>
      </c>
      <c r="G41" s="0">
        <f>IFERROR(VALUE(SUBSTITUTE(SUBSTITUTE(Catalogo_Decisiones!G41,"S/",""),",","")),0)</f>
        <v/>
      </c>
      <c r="H41" s="0">
        <f>'Catalogo_Decisiones'!H41</f>
        <v/>
      </c>
      <c r="I41" s="0">
        <f>'Catalogo_Decisiones'!I41</f>
        <v/>
      </c>
      <c r="J41" s="0">
        <f>'Catalogo_Decisiones'!J41</f>
        <v/>
      </c>
      <c r="K41" s="0">
        <f>'Catalogo_Decisiones'!K41</f>
        <v/>
      </c>
      <c r="L41" s="0">
        <f>'Catalogo_Decisiones'!L41</f>
        <v/>
      </c>
    </row>
    <row r="42">
      <c r="A42" s="0">
        <f>'Catalogo_Decisiones'!A42</f>
        <v/>
      </c>
      <c r="B42" s="0">
        <f>'Catalogo_Decisiones'!B42</f>
        <v/>
      </c>
      <c r="C42" s="0">
        <f>'Catalogo_Decisiones'!C42</f>
        <v/>
      </c>
      <c r="D42" s="0">
        <f>'Catalogo_Decisiones'!D42</f>
        <v/>
      </c>
      <c r="E42" s="0">
        <f>'Catalogo_Decisiones'!E42</f>
        <v/>
      </c>
      <c r="F42" s="0">
        <f>'Catalogo_Decisiones'!F42</f>
        <v/>
      </c>
      <c r="G42" s="0">
        <f>IFERROR(VALUE(SUBSTITUTE(SUBSTITUTE(Catalogo_Decisiones!G42,"S/",""),",","")),0)</f>
        <v/>
      </c>
      <c r="H42" s="0">
        <f>'Catalogo_Decisiones'!H42</f>
        <v/>
      </c>
      <c r="I42" s="0">
        <f>'Catalogo_Decisiones'!I42</f>
        <v/>
      </c>
      <c r="J42" s="0">
        <f>'Catalogo_Decisiones'!J42</f>
        <v/>
      </c>
      <c r="K42" s="0">
        <f>'Catalogo_Decisiones'!K42</f>
        <v/>
      </c>
      <c r="L42" s="0">
        <f>'Catalogo_Decisiones'!L42</f>
        <v/>
      </c>
    </row>
    <row r="43">
      <c r="A43" s="0">
        <f>'Catalogo_Decisiones'!A43</f>
        <v/>
      </c>
      <c r="B43" s="0">
        <f>'Catalogo_Decisiones'!B43</f>
        <v/>
      </c>
      <c r="C43" s="0">
        <f>'Catalogo_Decisiones'!C43</f>
        <v/>
      </c>
      <c r="D43" s="0">
        <f>'Catalogo_Decisiones'!D43</f>
        <v/>
      </c>
      <c r="E43" s="0">
        <f>'Catalogo_Decisiones'!E43</f>
        <v/>
      </c>
      <c r="F43" s="0">
        <f>'Catalogo_Decisiones'!F43</f>
        <v/>
      </c>
      <c r="G43" s="0">
        <f>IFERROR(VALUE(SUBSTITUTE(SUBSTITUTE(Catalogo_Decisiones!G43,"S/",""),",","")),0)</f>
        <v/>
      </c>
      <c r="H43" s="0">
        <f>'Catalogo_Decisiones'!H43</f>
        <v/>
      </c>
      <c r="I43" s="0">
        <f>'Catalogo_Decisiones'!I43</f>
        <v/>
      </c>
      <c r="J43" s="0">
        <f>'Catalogo_Decisiones'!J43</f>
        <v/>
      </c>
      <c r="K43" s="0">
        <f>'Catalogo_Decisiones'!K43</f>
        <v/>
      </c>
      <c r="L43" s="0">
        <f>'Catalogo_Decisiones'!L43</f>
        <v/>
      </c>
    </row>
    <row r="44">
      <c r="A44" s="0">
        <f>'Catalogo_Decisiones'!A44</f>
        <v/>
      </c>
      <c r="B44" s="0">
        <f>'Catalogo_Decisiones'!B44</f>
        <v/>
      </c>
      <c r="C44" s="0">
        <f>'Catalogo_Decisiones'!C44</f>
        <v/>
      </c>
      <c r="D44" s="0">
        <f>'Catalogo_Decisiones'!D44</f>
        <v/>
      </c>
      <c r="E44" s="0">
        <f>'Catalogo_Decisiones'!E44</f>
        <v/>
      </c>
      <c r="F44" s="0">
        <f>'Catalogo_Decisiones'!F44</f>
        <v/>
      </c>
      <c r="G44" s="0">
        <f>IFERROR(VALUE(SUBSTITUTE(SUBSTITUTE(Catalogo_Decisiones!G44,"S/",""),",","")),0)</f>
        <v/>
      </c>
      <c r="H44" s="0">
        <f>'Catalogo_Decisiones'!H44</f>
        <v/>
      </c>
      <c r="I44" s="0">
        <f>'Catalogo_Decisiones'!I44</f>
        <v/>
      </c>
      <c r="J44" s="0">
        <f>'Catalogo_Decisiones'!J44</f>
        <v/>
      </c>
      <c r="K44" s="0">
        <f>'Catalogo_Decisiones'!K44</f>
        <v/>
      </c>
      <c r="L44" s="0">
        <f>'Catalogo_Decisiones'!L44</f>
        <v/>
      </c>
    </row>
    <row r="45">
      <c r="A45" s="0">
        <f>'Catalogo_Decisiones'!A45</f>
        <v/>
      </c>
      <c r="B45" s="0">
        <f>'Catalogo_Decisiones'!B45</f>
        <v/>
      </c>
      <c r="C45" s="0">
        <f>'Catalogo_Decisiones'!C45</f>
        <v/>
      </c>
      <c r="D45" s="0">
        <f>'Catalogo_Decisiones'!D45</f>
        <v/>
      </c>
      <c r="E45" s="0">
        <f>'Catalogo_Decisiones'!E45</f>
        <v/>
      </c>
      <c r="F45" s="0">
        <f>'Catalogo_Decisiones'!F45</f>
        <v/>
      </c>
      <c r="G45" s="0">
        <f>IFERROR(VALUE(SUBSTITUTE(SUBSTITUTE(Catalogo_Decisiones!G45,"S/",""),",","")),0)</f>
        <v/>
      </c>
      <c r="H45" s="0">
        <f>'Catalogo_Decisiones'!H45</f>
        <v/>
      </c>
      <c r="I45" s="0">
        <f>'Catalogo_Decisiones'!I45</f>
        <v/>
      </c>
      <c r="J45" s="0">
        <f>'Catalogo_Decisiones'!J45</f>
        <v/>
      </c>
      <c r="K45" s="0">
        <f>'Catalogo_Decisiones'!K45</f>
        <v/>
      </c>
      <c r="L45" s="0">
        <f>'Catalogo_Decisiones'!L45</f>
        <v/>
      </c>
    </row>
    <row r="46">
      <c r="A46" s="0">
        <f>'Catalogo_Decisiones'!A46</f>
        <v/>
      </c>
      <c r="B46" s="0">
        <f>'Catalogo_Decisiones'!B46</f>
        <v/>
      </c>
      <c r="C46" s="0">
        <f>'Catalogo_Decisiones'!C46</f>
        <v/>
      </c>
      <c r="D46" s="0">
        <f>'Catalogo_Decisiones'!D46</f>
        <v/>
      </c>
      <c r="E46" s="0">
        <f>'Catalogo_Decisiones'!E46</f>
        <v/>
      </c>
      <c r="F46" s="0">
        <f>'Catalogo_Decisiones'!F46</f>
        <v/>
      </c>
      <c r="G46" s="0">
        <f>IFERROR(VALUE(SUBSTITUTE(SUBSTITUTE(Catalogo_Decisiones!G46,"S/",""),",","")),0)</f>
        <v/>
      </c>
      <c r="H46" s="0">
        <f>'Catalogo_Decisiones'!H46</f>
        <v/>
      </c>
      <c r="I46" s="0">
        <f>'Catalogo_Decisiones'!I46</f>
        <v/>
      </c>
      <c r="J46" s="0">
        <f>'Catalogo_Decisiones'!J46</f>
        <v/>
      </c>
      <c r="K46" s="0">
        <f>'Catalogo_Decisiones'!K46</f>
        <v/>
      </c>
      <c r="L46" s="0">
        <f>'Catalogo_Decisiones'!L46</f>
        <v/>
      </c>
    </row>
    <row r="47">
      <c r="A47" s="0">
        <f>'Catalogo_Decisiones'!A47</f>
        <v/>
      </c>
      <c r="B47" s="0">
        <f>'Catalogo_Decisiones'!B47</f>
        <v/>
      </c>
      <c r="C47" s="0">
        <f>'Catalogo_Decisiones'!C47</f>
        <v/>
      </c>
      <c r="D47" s="0">
        <f>'Catalogo_Decisiones'!D47</f>
        <v/>
      </c>
      <c r="E47" s="0">
        <f>'Catalogo_Decisiones'!E47</f>
        <v/>
      </c>
      <c r="F47" s="0">
        <f>'Catalogo_Decisiones'!F47</f>
        <v/>
      </c>
      <c r="G47" s="0">
        <f>IFERROR(VALUE(SUBSTITUTE(SUBSTITUTE(Catalogo_Decisiones!G47,"S/",""),",","")),0)</f>
        <v/>
      </c>
      <c r="H47" s="0">
        <f>'Catalogo_Decisiones'!H47</f>
        <v/>
      </c>
      <c r="I47" s="0">
        <f>'Catalogo_Decisiones'!I47</f>
        <v/>
      </c>
      <c r="J47" s="0">
        <f>'Catalogo_Decisiones'!J47</f>
        <v/>
      </c>
      <c r="K47" s="0">
        <f>'Catalogo_Decisiones'!K47</f>
        <v/>
      </c>
      <c r="L47" s="0">
        <f>'Catalogo_Decisiones'!L47</f>
        <v/>
      </c>
    </row>
    <row r="48">
      <c r="A48" s="0">
        <f>'Catalogo_Decisiones'!A48</f>
        <v/>
      </c>
      <c r="B48" s="0">
        <f>'Catalogo_Decisiones'!B48</f>
        <v/>
      </c>
      <c r="C48" s="0">
        <f>'Catalogo_Decisiones'!C48</f>
        <v/>
      </c>
      <c r="D48" s="0">
        <f>'Catalogo_Decisiones'!D48</f>
        <v/>
      </c>
      <c r="E48" s="0">
        <f>'Catalogo_Decisiones'!E48</f>
        <v/>
      </c>
      <c r="F48" s="0">
        <f>'Catalogo_Decisiones'!F48</f>
        <v/>
      </c>
      <c r="G48" s="0">
        <f>IFERROR(VALUE(SUBSTITUTE(SUBSTITUTE(Catalogo_Decisiones!G48,"S/",""),",","")),0)</f>
        <v/>
      </c>
      <c r="H48" s="0">
        <f>'Catalogo_Decisiones'!H48</f>
        <v/>
      </c>
      <c r="I48" s="0">
        <f>'Catalogo_Decisiones'!I48</f>
        <v/>
      </c>
      <c r="J48" s="0">
        <f>'Catalogo_Decisiones'!J48</f>
        <v/>
      </c>
      <c r="K48" s="0">
        <f>'Catalogo_Decisiones'!K48</f>
        <v/>
      </c>
      <c r="L48" s="0">
        <f>'Catalogo_Decisiones'!L48</f>
        <v/>
      </c>
    </row>
    <row r="49">
      <c r="A49" s="0">
        <f>'Catalogo_Decisiones'!A49</f>
        <v/>
      </c>
      <c r="B49" s="0">
        <f>'Catalogo_Decisiones'!B49</f>
        <v/>
      </c>
      <c r="C49" s="0">
        <f>'Catalogo_Decisiones'!C49</f>
        <v/>
      </c>
      <c r="D49" s="0">
        <f>'Catalogo_Decisiones'!D49</f>
        <v/>
      </c>
      <c r="E49" s="0">
        <f>'Catalogo_Decisiones'!E49</f>
        <v/>
      </c>
      <c r="F49" s="0">
        <f>'Catalogo_Decisiones'!F49</f>
        <v/>
      </c>
      <c r="G49" s="0">
        <f>IFERROR(VALUE(SUBSTITUTE(SUBSTITUTE(Catalogo_Decisiones!G49,"S/",""),",","")),0)</f>
        <v/>
      </c>
      <c r="H49" s="0">
        <f>'Catalogo_Decisiones'!H49</f>
        <v/>
      </c>
      <c r="I49" s="0">
        <f>'Catalogo_Decisiones'!I49</f>
        <v/>
      </c>
      <c r="J49" s="0">
        <f>'Catalogo_Decisiones'!J49</f>
        <v/>
      </c>
      <c r="K49" s="0">
        <f>'Catalogo_Decisiones'!K49</f>
        <v/>
      </c>
      <c r="L49" s="0">
        <f>'Catalogo_Decisiones'!L49</f>
        <v/>
      </c>
    </row>
    <row r="50">
      <c r="A50" s="0">
        <f>'Catalogo_Decisiones'!A50</f>
        <v/>
      </c>
      <c r="B50" s="0">
        <f>'Catalogo_Decisiones'!B50</f>
        <v/>
      </c>
      <c r="C50" s="0">
        <f>'Catalogo_Decisiones'!C50</f>
        <v/>
      </c>
      <c r="D50" s="0">
        <f>'Catalogo_Decisiones'!D50</f>
        <v/>
      </c>
      <c r="E50" s="0">
        <f>'Catalogo_Decisiones'!E50</f>
        <v/>
      </c>
      <c r="F50" s="0">
        <f>'Catalogo_Decisiones'!F50</f>
        <v/>
      </c>
      <c r="G50" s="0">
        <f>IFERROR(VALUE(SUBSTITUTE(SUBSTITUTE(Catalogo_Decisiones!G50,"S/",""),",","")),0)</f>
        <v/>
      </c>
      <c r="H50" s="0">
        <f>'Catalogo_Decisiones'!H50</f>
        <v/>
      </c>
      <c r="I50" s="0">
        <f>'Catalogo_Decisiones'!I50</f>
        <v/>
      </c>
      <c r="J50" s="0">
        <f>'Catalogo_Decisiones'!J50</f>
        <v/>
      </c>
      <c r="K50" s="0">
        <f>'Catalogo_Decisiones'!K50</f>
        <v/>
      </c>
      <c r="L50" s="0">
        <f>'Catalogo_Decisiones'!L50</f>
        <v/>
      </c>
    </row>
    <row r="51">
      <c r="A51" s="0">
        <f>'Catalogo_Decisiones'!A51</f>
        <v/>
      </c>
      <c r="B51" s="0">
        <f>'Catalogo_Decisiones'!B51</f>
        <v/>
      </c>
      <c r="C51" s="0">
        <f>'Catalogo_Decisiones'!C51</f>
        <v/>
      </c>
      <c r="D51" s="0">
        <f>'Catalogo_Decisiones'!D51</f>
        <v/>
      </c>
      <c r="E51" s="0">
        <f>'Catalogo_Decisiones'!E51</f>
        <v/>
      </c>
      <c r="F51" s="0">
        <f>'Catalogo_Decisiones'!F51</f>
        <v/>
      </c>
      <c r="G51" s="0">
        <f>IFERROR(VALUE(SUBSTITUTE(SUBSTITUTE(Catalogo_Decisiones!G51,"S/",""),",","")),0)</f>
        <v/>
      </c>
      <c r="H51" s="0">
        <f>'Catalogo_Decisiones'!H51</f>
        <v/>
      </c>
      <c r="I51" s="0">
        <f>'Catalogo_Decisiones'!I51</f>
        <v/>
      </c>
      <c r="J51" s="0">
        <f>'Catalogo_Decisiones'!J51</f>
        <v/>
      </c>
      <c r="K51" s="0">
        <f>'Catalogo_Decisiones'!K51</f>
        <v/>
      </c>
      <c r="L51" s="0">
        <f>'Catalogo_Decisiones'!L51</f>
        <v/>
      </c>
    </row>
    <row r="52">
      <c r="A52" s="0">
        <f>'Catalogo_Decisiones'!A52</f>
        <v/>
      </c>
      <c r="B52" s="0">
        <f>'Catalogo_Decisiones'!B52</f>
        <v/>
      </c>
      <c r="C52" s="0">
        <f>'Catalogo_Decisiones'!C52</f>
        <v/>
      </c>
      <c r="D52" s="0">
        <f>'Catalogo_Decisiones'!D52</f>
        <v/>
      </c>
      <c r="E52" s="0">
        <f>'Catalogo_Decisiones'!E52</f>
        <v/>
      </c>
      <c r="F52" s="0">
        <f>'Catalogo_Decisiones'!F52</f>
        <v/>
      </c>
      <c r="G52" s="0">
        <f>IFERROR(VALUE(SUBSTITUTE(SUBSTITUTE(Catalogo_Decisiones!G52,"S/",""),",","")),0)</f>
        <v/>
      </c>
      <c r="H52" s="0">
        <f>'Catalogo_Decisiones'!H52</f>
        <v/>
      </c>
      <c r="I52" s="0">
        <f>'Catalogo_Decisiones'!I52</f>
        <v/>
      </c>
      <c r="J52" s="0">
        <f>'Catalogo_Decisiones'!J52</f>
        <v/>
      </c>
      <c r="K52" s="0">
        <f>'Catalogo_Decisiones'!K52</f>
        <v/>
      </c>
      <c r="L52" s="0">
        <f>'Catalogo_Decisiones'!L52</f>
        <v/>
      </c>
    </row>
    <row r="53">
      <c r="A53" s="0">
        <f>'Catalogo_Decisiones'!A53</f>
        <v/>
      </c>
      <c r="B53" s="0">
        <f>'Catalogo_Decisiones'!B53</f>
        <v/>
      </c>
      <c r="C53" s="0">
        <f>'Catalogo_Decisiones'!C53</f>
        <v/>
      </c>
      <c r="D53" s="0">
        <f>'Catalogo_Decisiones'!D53</f>
        <v/>
      </c>
      <c r="E53" s="0">
        <f>'Catalogo_Decisiones'!E53</f>
        <v/>
      </c>
      <c r="F53" s="0">
        <f>'Catalogo_Decisiones'!F53</f>
        <v/>
      </c>
      <c r="G53" s="0">
        <f>IFERROR(VALUE(SUBSTITUTE(SUBSTITUTE(Catalogo_Decisiones!G53,"S/",""),",","")),0)</f>
        <v/>
      </c>
      <c r="H53" s="0">
        <f>'Catalogo_Decisiones'!H53</f>
        <v/>
      </c>
      <c r="I53" s="0">
        <f>'Catalogo_Decisiones'!I53</f>
        <v/>
      </c>
      <c r="J53" s="0">
        <f>'Catalogo_Decisiones'!J53</f>
        <v/>
      </c>
      <c r="K53" s="0">
        <f>'Catalogo_Decisiones'!K53</f>
        <v/>
      </c>
      <c r="L53" s="0">
        <f>'Catalogo_Decisiones'!L53</f>
        <v/>
      </c>
    </row>
    <row r="54">
      <c r="A54" s="0">
        <f>'Catalogo_Decisiones'!A54</f>
        <v/>
      </c>
      <c r="B54" s="0">
        <f>'Catalogo_Decisiones'!B54</f>
        <v/>
      </c>
      <c r="C54" s="0">
        <f>'Catalogo_Decisiones'!C54</f>
        <v/>
      </c>
      <c r="D54" s="0">
        <f>'Catalogo_Decisiones'!D54</f>
        <v/>
      </c>
      <c r="E54" s="0">
        <f>'Catalogo_Decisiones'!E54</f>
        <v/>
      </c>
      <c r="F54" s="0">
        <f>'Catalogo_Decisiones'!F54</f>
        <v/>
      </c>
      <c r="G54" s="0">
        <f>IFERROR(VALUE(SUBSTITUTE(SUBSTITUTE(Catalogo_Decisiones!G54,"S/",""),",","")),0)</f>
        <v/>
      </c>
      <c r="H54" s="0">
        <f>'Catalogo_Decisiones'!H54</f>
        <v/>
      </c>
      <c r="I54" s="0">
        <f>'Catalogo_Decisiones'!I54</f>
        <v/>
      </c>
      <c r="J54" s="0">
        <f>'Catalogo_Decisiones'!J54</f>
        <v/>
      </c>
      <c r="K54" s="0">
        <f>'Catalogo_Decisiones'!K54</f>
        <v/>
      </c>
      <c r="L54" s="0">
        <f>'Catalogo_Decisiones'!L54</f>
        <v/>
      </c>
    </row>
    <row r="55">
      <c r="A55" s="0">
        <f>'Catalogo_Decisiones'!A55</f>
        <v/>
      </c>
      <c r="B55" s="0">
        <f>'Catalogo_Decisiones'!B55</f>
        <v/>
      </c>
      <c r="C55" s="0">
        <f>'Catalogo_Decisiones'!C55</f>
        <v/>
      </c>
      <c r="D55" s="0">
        <f>'Catalogo_Decisiones'!D55</f>
        <v/>
      </c>
      <c r="E55" s="0">
        <f>'Catalogo_Decisiones'!E55</f>
        <v/>
      </c>
      <c r="F55" s="0">
        <f>'Catalogo_Decisiones'!F55</f>
        <v/>
      </c>
      <c r="G55" s="0">
        <f>IFERROR(VALUE(SUBSTITUTE(SUBSTITUTE(Catalogo_Decisiones!G55,"S/",""),",","")),0)</f>
        <v/>
      </c>
      <c r="H55" s="0">
        <f>'Catalogo_Decisiones'!H55</f>
        <v/>
      </c>
      <c r="I55" s="0">
        <f>'Catalogo_Decisiones'!I55</f>
        <v/>
      </c>
      <c r="J55" s="0">
        <f>'Catalogo_Decisiones'!J55</f>
        <v/>
      </c>
      <c r="K55" s="0">
        <f>'Catalogo_Decisiones'!K55</f>
        <v/>
      </c>
      <c r="L55" s="0">
        <f>'Catalogo_Decisiones'!L55</f>
        <v/>
      </c>
    </row>
    <row r="56">
      <c r="A56" s="0">
        <f>'Catalogo_Decisiones'!A56</f>
        <v/>
      </c>
      <c r="B56" s="0">
        <f>'Catalogo_Decisiones'!B56</f>
        <v/>
      </c>
      <c r="C56" s="0">
        <f>'Catalogo_Decisiones'!C56</f>
        <v/>
      </c>
      <c r="D56" s="0">
        <f>'Catalogo_Decisiones'!D56</f>
        <v/>
      </c>
      <c r="E56" s="0">
        <f>'Catalogo_Decisiones'!E56</f>
        <v/>
      </c>
      <c r="F56" s="0">
        <f>'Catalogo_Decisiones'!F56</f>
        <v/>
      </c>
      <c r="G56" s="0">
        <f>IFERROR(VALUE(SUBSTITUTE(SUBSTITUTE(Catalogo_Decisiones!G56,"S/",""),",","")),0)</f>
        <v/>
      </c>
      <c r="H56" s="0">
        <f>'Catalogo_Decisiones'!H56</f>
        <v/>
      </c>
      <c r="I56" s="0">
        <f>'Catalogo_Decisiones'!I56</f>
        <v/>
      </c>
      <c r="J56" s="0">
        <f>'Catalogo_Decisiones'!J56</f>
        <v/>
      </c>
      <c r="K56" s="0">
        <f>'Catalogo_Decisiones'!K56</f>
        <v/>
      </c>
      <c r="L56" s="0">
        <f>'Catalogo_Decisiones'!L56</f>
        <v/>
      </c>
    </row>
    <row r="57">
      <c r="A57" s="0">
        <f>'Catalogo_Decisiones'!A57</f>
        <v/>
      </c>
      <c r="B57" s="0">
        <f>'Catalogo_Decisiones'!B57</f>
        <v/>
      </c>
      <c r="C57" s="0">
        <f>'Catalogo_Decisiones'!C57</f>
        <v/>
      </c>
      <c r="D57" s="0">
        <f>'Catalogo_Decisiones'!D57</f>
        <v/>
      </c>
      <c r="E57" s="0">
        <f>'Catalogo_Decisiones'!E57</f>
        <v/>
      </c>
      <c r="F57" s="0">
        <f>'Catalogo_Decisiones'!F57</f>
        <v/>
      </c>
      <c r="G57" s="0">
        <f>IFERROR(VALUE(SUBSTITUTE(SUBSTITUTE(Catalogo_Decisiones!G57,"S/",""),",","")),0)</f>
        <v/>
      </c>
      <c r="H57" s="0">
        <f>'Catalogo_Decisiones'!H57</f>
        <v/>
      </c>
      <c r="I57" s="0">
        <f>'Catalogo_Decisiones'!I57</f>
        <v/>
      </c>
      <c r="J57" s="0">
        <f>'Catalogo_Decisiones'!J57</f>
        <v/>
      </c>
      <c r="K57" s="0">
        <f>'Catalogo_Decisiones'!K57</f>
        <v/>
      </c>
      <c r="L57" s="0">
        <f>'Catalogo_Decisiones'!L57</f>
        <v/>
      </c>
    </row>
    <row r="58">
      <c r="A58" s="0">
        <f>'Catalogo_Decisiones'!A58</f>
        <v/>
      </c>
      <c r="B58" s="0">
        <f>'Catalogo_Decisiones'!B58</f>
        <v/>
      </c>
      <c r="C58" s="0">
        <f>'Catalogo_Decisiones'!C58</f>
        <v/>
      </c>
      <c r="D58" s="0">
        <f>'Catalogo_Decisiones'!D58</f>
        <v/>
      </c>
      <c r="E58" s="0">
        <f>'Catalogo_Decisiones'!E58</f>
        <v/>
      </c>
      <c r="F58" s="0">
        <f>'Catalogo_Decisiones'!F58</f>
        <v/>
      </c>
      <c r="G58" s="0">
        <f>IFERROR(VALUE(SUBSTITUTE(SUBSTITUTE(Catalogo_Decisiones!G58,"S/",""),",","")),0)</f>
        <v/>
      </c>
      <c r="H58" s="0">
        <f>'Catalogo_Decisiones'!H58</f>
        <v/>
      </c>
      <c r="I58" s="0">
        <f>'Catalogo_Decisiones'!I58</f>
        <v/>
      </c>
      <c r="J58" s="0">
        <f>'Catalogo_Decisiones'!J58</f>
        <v/>
      </c>
      <c r="K58" s="0">
        <f>'Catalogo_Decisiones'!K58</f>
        <v/>
      </c>
      <c r="L58" s="0">
        <f>'Catalogo_Decisiones'!L58</f>
        <v/>
      </c>
    </row>
    <row r="59">
      <c r="A59" s="0">
        <f>'Catalogo_Decisiones'!A59</f>
        <v/>
      </c>
      <c r="B59" s="0">
        <f>'Catalogo_Decisiones'!B59</f>
        <v/>
      </c>
      <c r="C59" s="0">
        <f>'Catalogo_Decisiones'!C59</f>
        <v/>
      </c>
      <c r="D59" s="0">
        <f>'Catalogo_Decisiones'!D59</f>
        <v/>
      </c>
      <c r="E59" s="0">
        <f>'Catalogo_Decisiones'!E59</f>
        <v/>
      </c>
      <c r="F59" s="0">
        <f>'Catalogo_Decisiones'!F59</f>
        <v/>
      </c>
      <c r="G59" s="0">
        <f>IFERROR(VALUE(SUBSTITUTE(SUBSTITUTE(Catalogo_Decisiones!G59,"S/",""),",","")),0)</f>
        <v/>
      </c>
      <c r="H59" s="0">
        <f>'Catalogo_Decisiones'!H59</f>
        <v/>
      </c>
      <c r="I59" s="0">
        <f>'Catalogo_Decisiones'!I59</f>
        <v/>
      </c>
      <c r="J59" s="0">
        <f>'Catalogo_Decisiones'!J59</f>
        <v/>
      </c>
      <c r="K59" s="0">
        <f>'Catalogo_Decisiones'!K59</f>
        <v/>
      </c>
      <c r="L59" s="0">
        <f>'Catalogo_Decisiones'!L59</f>
        <v/>
      </c>
    </row>
    <row r="60">
      <c r="A60" s="0">
        <f>'Catalogo_Decisiones'!A60</f>
        <v/>
      </c>
      <c r="B60" s="0">
        <f>'Catalogo_Decisiones'!B60</f>
        <v/>
      </c>
      <c r="C60" s="0">
        <f>'Catalogo_Decisiones'!C60</f>
        <v/>
      </c>
      <c r="D60" s="0">
        <f>'Catalogo_Decisiones'!D60</f>
        <v/>
      </c>
      <c r="E60" s="0">
        <f>'Catalogo_Decisiones'!E60</f>
        <v/>
      </c>
      <c r="F60" s="0">
        <f>'Catalogo_Decisiones'!F60</f>
        <v/>
      </c>
      <c r="G60" s="0">
        <f>IFERROR(VALUE(SUBSTITUTE(SUBSTITUTE(Catalogo_Decisiones!G60,"S/",""),",","")),0)</f>
        <v/>
      </c>
      <c r="H60" s="0">
        <f>'Catalogo_Decisiones'!H60</f>
        <v/>
      </c>
      <c r="I60" s="0">
        <f>'Catalogo_Decisiones'!I60</f>
        <v/>
      </c>
      <c r="J60" s="0">
        <f>'Catalogo_Decisiones'!J60</f>
        <v/>
      </c>
      <c r="K60" s="0">
        <f>'Catalogo_Decisiones'!K60</f>
        <v/>
      </c>
      <c r="L60" s="0">
        <f>'Catalogo_Decisiones'!L60</f>
        <v/>
      </c>
    </row>
    <row r="61">
      <c r="A61" s="0">
        <f>'Catalogo_Decisiones'!A61</f>
        <v/>
      </c>
      <c r="B61" s="0">
        <f>'Catalogo_Decisiones'!B61</f>
        <v/>
      </c>
      <c r="C61" s="0">
        <f>'Catalogo_Decisiones'!C61</f>
        <v/>
      </c>
      <c r="D61" s="0">
        <f>'Catalogo_Decisiones'!D61</f>
        <v/>
      </c>
      <c r="E61" s="0">
        <f>'Catalogo_Decisiones'!E61</f>
        <v/>
      </c>
      <c r="F61" s="0">
        <f>'Catalogo_Decisiones'!F61</f>
        <v/>
      </c>
      <c r="G61" s="0">
        <f>IFERROR(VALUE(SUBSTITUTE(SUBSTITUTE(Catalogo_Decisiones!G61,"S/",""),",","")),0)</f>
        <v/>
      </c>
      <c r="H61" s="0">
        <f>'Catalogo_Decisiones'!H61</f>
        <v/>
      </c>
      <c r="I61" s="0">
        <f>'Catalogo_Decisiones'!I61</f>
        <v/>
      </c>
      <c r="J61" s="0">
        <f>'Catalogo_Decisiones'!J61</f>
        <v/>
      </c>
      <c r="K61" s="0">
        <f>'Catalogo_Decisiones'!K61</f>
        <v/>
      </c>
      <c r="L61" s="0">
        <f>'Catalogo_Decisiones'!L61</f>
        <v/>
      </c>
    </row>
    <row r="62">
      <c r="A62" s="0">
        <f>'Catalogo_Decisiones'!A62</f>
        <v/>
      </c>
      <c r="B62" s="0">
        <f>'Catalogo_Decisiones'!B62</f>
        <v/>
      </c>
      <c r="C62" s="0">
        <f>'Catalogo_Decisiones'!C62</f>
        <v/>
      </c>
      <c r="D62" s="0">
        <f>'Catalogo_Decisiones'!D62</f>
        <v/>
      </c>
      <c r="E62" s="0">
        <f>'Catalogo_Decisiones'!E62</f>
        <v/>
      </c>
      <c r="F62" s="0">
        <f>'Catalogo_Decisiones'!F62</f>
        <v/>
      </c>
      <c r="G62" s="0">
        <f>IFERROR(VALUE(SUBSTITUTE(SUBSTITUTE(Catalogo_Decisiones!G62,"S/",""),",","")),0)</f>
        <v/>
      </c>
      <c r="H62" s="0">
        <f>'Catalogo_Decisiones'!H62</f>
        <v/>
      </c>
      <c r="I62" s="0">
        <f>'Catalogo_Decisiones'!I62</f>
        <v/>
      </c>
      <c r="J62" s="0">
        <f>'Catalogo_Decisiones'!J62</f>
        <v/>
      </c>
      <c r="K62" s="0">
        <f>'Catalogo_Decisiones'!K62</f>
        <v/>
      </c>
      <c r="L62" s="0">
        <f>'Catalogo_Decisiones'!L62</f>
        <v/>
      </c>
    </row>
    <row r="63">
      <c r="A63" s="0">
        <f>'Catalogo_Decisiones'!A63</f>
        <v/>
      </c>
      <c r="B63" s="0">
        <f>'Catalogo_Decisiones'!B63</f>
        <v/>
      </c>
      <c r="C63" s="0">
        <f>'Catalogo_Decisiones'!C63</f>
        <v/>
      </c>
      <c r="D63" s="0">
        <f>'Catalogo_Decisiones'!D63</f>
        <v/>
      </c>
      <c r="E63" s="0">
        <f>'Catalogo_Decisiones'!E63</f>
        <v/>
      </c>
      <c r="F63" s="0">
        <f>'Catalogo_Decisiones'!F63</f>
        <v/>
      </c>
      <c r="G63" s="0">
        <f>IFERROR(VALUE(SUBSTITUTE(SUBSTITUTE(Catalogo_Decisiones!G63,"S/",""),",","")),0)</f>
        <v/>
      </c>
      <c r="H63" s="0">
        <f>'Catalogo_Decisiones'!H63</f>
        <v/>
      </c>
      <c r="I63" s="0">
        <f>'Catalogo_Decisiones'!I63</f>
        <v/>
      </c>
      <c r="J63" s="0">
        <f>'Catalogo_Decisiones'!J63</f>
        <v/>
      </c>
      <c r="K63" s="0">
        <f>'Catalogo_Decisiones'!K63</f>
        <v/>
      </c>
      <c r="L63" s="0">
        <f>'Catalogo_Decisiones'!L63</f>
        <v/>
      </c>
    </row>
    <row r="64">
      <c r="A64" s="0">
        <f>'Catalogo_Decisiones'!A64</f>
        <v/>
      </c>
      <c r="B64" s="0">
        <f>'Catalogo_Decisiones'!B64</f>
        <v/>
      </c>
      <c r="C64" s="0">
        <f>'Catalogo_Decisiones'!C64</f>
        <v/>
      </c>
      <c r="D64" s="0">
        <f>'Catalogo_Decisiones'!D64</f>
        <v/>
      </c>
      <c r="E64" s="0">
        <f>'Catalogo_Decisiones'!E64</f>
        <v/>
      </c>
      <c r="F64" s="0">
        <f>'Catalogo_Decisiones'!F64</f>
        <v/>
      </c>
      <c r="G64" s="0">
        <f>IFERROR(VALUE(SUBSTITUTE(SUBSTITUTE(Catalogo_Decisiones!G64,"S/",""),",","")),0)</f>
        <v/>
      </c>
      <c r="H64" s="0">
        <f>'Catalogo_Decisiones'!H64</f>
        <v/>
      </c>
      <c r="I64" s="0">
        <f>'Catalogo_Decisiones'!I64</f>
        <v/>
      </c>
      <c r="J64" s="0">
        <f>'Catalogo_Decisiones'!J64</f>
        <v/>
      </c>
      <c r="K64" s="0">
        <f>'Catalogo_Decisiones'!K64</f>
        <v/>
      </c>
      <c r="L64" s="0">
        <f>'Catalogo_Decisiones'!L64</f>
        <v/>
      </c>
    </row>
    <row r="65">
      <c r="A65" s="0">
        <f>'Catalogo_Decisiones'!A65</f>
        <v/>
      </c>
      <c r="B65" s="0">
        <f>'Catalogo_Decisiones'!B65</f>
        <v/>
      </c>
      <c r="C65" s="0">
        <f>'Catalogo_Decisiones'!C65</f>
        <v/>
      </c>
      <c r="D65" s="0">
        <f>'Catalogo_Decisiones'!D65</f>
        <v/>
      </c>
      <c r="E65" s="0">
        <f>'Catalogo_Decisiones'!E65</f>
        <v/>
      </c>
      <c r="F65" s="0">
        <f>'Catalogo_Decisiones'!F65</f>
        <v/>
      </c>
      <c r="G65" s="0">
        <f>IFERROR(VALUE(SUBSTITUTE(SUBSTITUTE(Catalogo_Decisiones!G65,"S/",""),",","")),0)</f>
        <v/>
      </c>
      <c r="H65" s="0">
        <f>'Catalogo_Decisiones'!H65</f>
        <v/>
      </c>
      <c r="I65" s="0">
        <f>'Catalogo_Decisiones'!I65</f>
        <v/>
      </c>
      <c r="J65" s="0">
        <f>'Catalogo_Decisiones'!J65</f>
        <v/>
      </c>
      <c r="K65" s="0">
        <f>'Catalogo_Decisiones'!K65</f>
        <v/>
      </c>
      <c r="L65" s="0">
        <f>'Catalogo_Decisiones'!L65</f>
        <v/>
      </c>
    </row>
    <row r="66">
      <c r="A66" s="0">
        <f>'Catalogo_Decisiones'!A66</f>
        <v/>
      </c>
      <c r="B66" s="0">
        <f>'Catalogo_Decisiones'!B66</f>
        <v/>
      </c>
      <c r="C66" s="0">
        <f>'Catalogo_Decisiones'!C66</f>
        <v/>
      </c>
      <c r="D66" s="0">
        <f>'Catalogo_Decisiones'!D66</f>
        <v/>
      </c>
      <c r="E66" s="0">
        <f>'Catalogo_Decisiones'!E66</f>
        <v/>
      </c>
      <c r="F66" s="0">
        <f>'Catalogo_Decisiones'!F66</f>
        <v/>
      </c>
      <c r="G66" s="0">
        <f>IFERROR(VALUE(SUBSTITUTE(SUBSTITUTE(Catalogo_Decisiones!G66,"S/",""),",","")),0)</f>
        <v/>
      </c>
      <c r="H66" s="0">
        <f>'Catalogo_Decisiones'!H66</f>
        <v/>
      </c>
      <c r="I66" s="0">
        <f>'Catalogo_Decisiones'!I66</f>
        <v/>
      </c>
      <c r="J66" s="0">
        <f>'Catalogo_Decisiones'!J66</f>
        <v/>
      </c>
      <c r="K66" s="0">
        <f>'Catalogo_Decisiones'!K66</f>
        <v/>
      </c>
      <c r="L66" s="0">
        <f>'Catalogo_Decisiones'!L66</f>
        <v/>
      </c>
    </row>
    <row r="67">
      <c r="A67" s="0">
        <f>'Catalogo_Decisiones'!A67</f>
        <v/>
      </c>
      <c r="B67" s="0">
        <f>'Catalogo_Decisiones'!B67</f>
        <v/>
      </c>
      <c r="C67" s="0">
        <f>'Catalogo_Decisiones'!C67</f>
        <v/>
      </c>
      <c r="D67" s="0">
        <f>'Catalogo_Decisiones'!D67</f>
        <v/>
      </c>
      <c r="E67" s="0">
        <f>'Catalogo_Decisiones'!E67</f>
        <v/>
      </c>
      <c r="F67" s="0">
        <f>'Catalogo_Decisiones'!F67</f>
        <v/>
      </c>
      <c r="G67" s="0">
        <f>IFERROR(VALUE(SUBSTITUTE(SUBSTITUTE(Catalogo_Decisiones!G67,"S/",""),",","")),0)</f>
        <v/>
      </c>
      <c r="H67" s="0">
        <f>'Catalogo_Decisiones'!H67</f>
        <v/>
      </c>
      <c r="I67" s="0">
        <f>'Catalogo_Decisiones'!I67</f>
        <v/>
      </c>
      <c r="J67" s="0">
        <f>'Catalogo_Decisiones'!J67</f>
        <v/>
      </c>
      <c r="K67" s="0">
        <f>'Catalogo_Decisiones'!K67</f>
        <v/>
      </c>
      <c r="L67" s="0">
        <f>'Catalogo_Decisiones'!L67</f>
        <v/>
      </c>
    </row>
    <row r="68">
      <c r="A68" s="0">
        <f>'Catalogo_Decisiones'!A68</f>
        <v/>
      </c>
      <c r="B68" s="0">
        <f>'Catalogo_Decisiones'!B68</f>
        <v/>
      </c>
      <c r="C68" s="0">
        <f>'Catalogo_Decisiones'!C68</f>
        <v/>
      </c>
      <c r="D68" s="0">
        <f>'Catalogo_Decisiones'!D68</f>
        <v/>
      </c>
      <c r="E68" s="0">
        <f>'Catalogo_Decisiones'!E68</f>
        <v/>
      </c>
      <c r="F68" s="0">
        <f>'Catalogo_Decisiones'!F68</f>
        <v/>
      </c>
      <c r="G68" s="0">
        <f>IFERROR(VALUE(SUBSTITUTE(SUBSTITUTE(Catalogo_Decisiones!G68,"S/",""),",","")),0)</f>
        <v/>
      </c>
      <c r="H68" s="0">
        <f>'Catalogo_Decisiones'!H68</f>
        <v/>
      </c>
      <c r="I68" s="0">
        <f>'Catalogo_Decisiones'!I68</f>
        <v/>
      </c>
      <c r="J68" s="0">
        <f>'Catalogo_Decisiones'!J68</f>
        <v/>
      </c>
      <c r="K68" s="0">
        <f>'Catalogo_Decisiones'!K68</f>
        <v/>
      </c>
      <c r="L68" s="0">
        <f>'Catalogo_Decisiones'!L68</f>
        <v/>
      </c>
    </row>
    <row r="69">
      <c r="A69" s="0">
        <f>'Catalogo_Decisiones'!A69</f>
        <v/>
      </c>
      <c r="B69" s="0">
        <f>'Catalogo_Decisiones'!B69</f>
        <v/>
      </c>
      <c r="C69" s="0">
        <f>'Catalogo_Decisiones'!C69</f>
        <v/>
      </c>
      <c r="D69" s="0">
        <f>'Catalogo_Decisiones'!D69</f>
        <v/>
      </c>
      <c r="E69" s="0">
        <f>'Catalogo_Decisiones'!E69</f>
        <v/>
      </c>
      <c r="F69" s="0">
        <f>'Catalogo_Decisiones'!F69</f>
        <v/>
      </c>
      <c r="G69" s="0">
        <f>IFERROR(VALUE(SUBSTITUTE(SUBSTITUTE(Catalogo_Decisiones!G69,"S/",""),",","")),0)</f>
        <v/>
      </c>
      <c r="H69" s="0">
        <f>'Catalogo_Decisiones'!H69</f>
        <v/>
      </c>
      <c r="I69" s="0">
        <f>'Catalogo_Decisiones'!I69</f>
        <v/>
      </c>
      <c r="J69" s="0">
        <f>'Catalogo_Decisiones'!J69</f>
        <v/>
      </c>
      <c r="K69" s="0">
        <f>'Catalogo_Decisiones'!K69</f>
        <v/>
      </c>
      <c r="L69" s="0">
        <f>'Catalogo_Decisiones'!L69</f>
        <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Y1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0" customWidth="1" style="184" min="1" max="1"/>
    <col width="20" customWidth="1" style="184" min="2" max="2"/>
    <col width="20" customWidth="1" style="184" min="3" max="3"/>
    <col width="20" customWidth="1" style="184" min="4" max="4"/>
    <col width="20" customWidth="1" style="184" min="5" max="5"/>
    <col width="20" customWidth="1" style="184" min="6" max="6"/>
    <col width="20" customWidth="1" style="184" min="7" max="7"/>
    <col width="20" customWidth="1" style="184" min="8" max="8"/>
    <col width="20" customWidth="1" style="184" min="9" max="9"/>
    <col width="20" customWidth="1" style="184" min="10" max="10"/>
    <col width="20" customWidth="1" style="184" min="11" max="11"/>
    <col width="20" customWidth="1" style="184" min="12" max="12"/>
    <col width="20" customWidth="1" style="184" min="13" max="13"/>
    <col width="20" customWidth="1" style="184" min="14" max="14"/>
    <col width="20" customWidth="1" style="184" min="15" max="15"/>
    <col width="20" customWidth="1" style="184" min="16" max="16"/>
    <col width="20" customWidth="1" style="184" min="17" max="17"/>
    <col width="20" customWidth="1" style="184" min="18" max="18"/>
    <col width="20" customWidth="1" style="184" min="19" max="19"/>
    <col width="20" customWidth="1" style="184" min="20" max="20"/>
    <col width="20" customWidth="1" style="184" min="21" max="21"/>
    <col width="20" customWidth="1" style="184" min="22" max="22"/>
    <col width="20" customWidth="1" style="184" min="23" max="23"/>
    <col width="20" customWidth="1" style="184" min="24" max="24"/>
    <col width="20" customWidth="1" style="184" min="25" max="25"/>
    <col width="20" customWidth="1" style="184" min="26" max="26"/>
    <col width="20" customWidth="1" style="184" min="27" max="27"/>
    <col width="20" customWidth="1" style="184" min="28" max="28"/>
    <col width="20" customWidth="1" style="184" min="29" max="29"/>
    <col width="20" customWidth="1" style="184" min="30" max="30"/>
    <col width="20" customWidth="1" style="184" min="31" max="31"/>
    <col width="20" customWidth="1" style="184" min="32" max="32"/>
    <col width="20" customWidth="1" style="184" min="33" max="33"/>
    <col width="20" customWidth="1" style="184" min="34" max="34"/>
    <col width="20" customWidth="1" style="184" min="35" max="35"/>
    <col width="20" customWidth="1" style="184" min="36" max="36"/>
    <col width="20" customWidth="1" style="184" min="37" max="37"/>
    <col width="20" customWidth="1" style="184" min="38" max="38"/>
    <col width="20" customWidth="1" style="184" min="39" max="39"/>
    <col width="20" customWidth="1" style="184" min="40" max="40"/>
    <col width="20" customWidth="1" style="184" min="41" max="41"/>
    <col width="20" customWidth="1" style="184" min="42" max="42"/>
    <col width="20" customWidth="1" style="184" min="43" max="43"/>
    <col width="20" customWidth="1" style="184" min="44" max="44"/>
    <col width="20" customWidth="1" style="184" min="45" max="45"/>
    <col width="20" customWidth="1" style="184" min="46" max="46"/>
    <col width="20" customWidth="1" style="184" min="47" max="47"/>
    <col width="20" customWidth="1" style="184" min="48" max="48"/>
    <col width="20" customWidth="1" style="184" min="49" max="49"/>
    <col width="20" customWidth="1" style="184" min="50" max="50"/>
    <col width="20" customWidth="1" style="184" min="51" max="51"/>
  </cols>
  <sheetData>
    <row r="1">
      <c r="A1" s="0" t="inlineStr">
        <is>
          <t>ciclo</t>
        </is>
      </c>
      <c r="B1" s="0" t="inlineStr">
        <is>
          <t>empresa</t>
        </is>
      </c>
      <c r="C1" s="0" t="inlineStr">
        <is>
          <t>segmento</t>
        </is>
      </c>
      <c r="D1" s="0" t="inlineStr">
        <is>
          <t>molde</t>
        </is>
      </c>
      <c r="E1" s="0" t="inlineStr">
        <is>
          <t>cuero</t>
        </is>
      </c>
      <c r="F1" s="0" t="inlineStr">
        <is>
          <t>accesorios</t>
        </is>
      </c>
      <c r="G1" s="0" t="inlineStr">
        <is>
          <t>hilo</t>
        </is>
      </c>
      <c r="H1" s="0" t="inlineStr">
        <is>
          <t>cantidad</t>
        </is>
      </c>
      <c r="I1" s="0" t="inlineStr">
        <is>
          <t>precio</t>
        </is>
      </c>
      <c r="J1" s="0" t="inlineStr">
        <is>
          <t>calidad</t>
        </is>
      </c>
      <c r="K1" s="0" t="inlineStr">
        <is>
          <t>disponible_INS-01</t>
        </is>
      </c>
      <c r="L1" s="0" t="inlineStr">
        <is>
          <t>disponible_INS-02</t>
        </is>
      </c>
      <c r="M1" s="0" t="inlineStr">
        <is>
          <t>disponible_INS-03</t>
        </is>
      </c>
      <c r="N1" s="0" t="inlineStr">
        <is>
          <t>disponible_INS-04</t>
        </is>
      </c>
      <c r="O1" s="0" t="inlineStr">
        <is>
          <t>disponible_INS-05</t>
        </is>
      </c>
      <c r="P1" s="0" t="inlineStr">
        <is>
          <t>disponible_INS-06</t>
        </is>
      </c>
      <c r="Q1" s="0" t="inlineStr">
        <is>
          <t>disponible_INS-07</t>
        </is>
      </c>
      <c r="R1" s="0" t="inlineStr">
        <is>
          <t>disponible_INS-08</t>
        </is>
      </c>
      <c r="S1" s="0" t="inlineStr">
        <is>
          <t>capacidadAsignada</t>
        </is>
      </c>
      <c r="T1" s="0" t="inlineStr">
        <is>
          <t>producidoPre</t>
        </is>
      </c>
      <c r="U1" s="0" t="inlineStr">
        <is>
          <t>producido</t>
        </is>
      </c>
      <c r="V1" s="0" t="inlineStr">
        <is>
          <t>usadoPre_INS-01</t>
        </is>
      </c>
      <c r="W1" s="0" t="inlineStr">
        <is>
          <t>saldoPre_INS-01</t>
        </is>
      </c>
      <c r="X1" s="0" t="inlineStr">
        <is>
          <t>usado_INS-01</t>
        </is>
      </c>
      <c r="Y1" s="0" t="inlineStr">
        <is>
          <t>usadoPre_INS-02</t>
        </is>
      </c>
      <c r="Z1" s="0" t="inlineStr">
        <is>
          <t>saldoPre_INS-02</t>
        </is>
      </c>
      <c r="AA1" s="0" t="inlineStr">
        <is>
          <t>usado_INS-02</t>
        </is>
      </c>
      <c r="AB1" s="0" t="inlineStr">
        <is>
          <t>usadoPre_INS-03</t>
        </is>
      </c>
      <c r="AC1" s="0" t="inlineStr">
        <is>
          <t>saldoPre_INS-03</t>
        </is>
      </c>
      <c r="AD1" s="0" t="inlineStr">
        <is>
          <t>usado_INS-03</t>
        </is>
      </c>
      <c r="AE1" s="0" t="inlineStr">
        <is>
          <t>usadoPre_INS-04</t>
        </is>
      </c>
      <c r="AF1" s="0" t="inlineStr">
        <is>
          <t>saldoPre_INS-04</t>
        </is>
      </c>
      <c r="AG1" s="0" t="inlineStr">
        <is>
          <t>usado_INS-04</t>
        </is>
      </c>
      <c r="AH1" s="0" t="inlineStr">
        <is>
          <t>usadoPre_INS-05</t>
        </is>
      </c>
      <c r="AI1" s="0" t="inlineStr">
        <is>
          <t>saldoPre_INS-05</t>
        </is>
      </c>
      <c r="AJ1" s="0" t="inlineStr">
        <is>
          <t>usado_INS-05</t>
        </is>
      </c>
      <c r="AK1" s="0" t="inlineStr">
        <is>
          <t>usadoPre_INS-06</t>
        </is>
      </c>
      <c r="AL1" s="0" t="inlineStr">
        <is>
          <t>saldoPre_INS-06</t>
        </is>
      </c>
      <c r="AM1" s="0" t="inlineStr">
        <is>
          <t>usado_INS-06</t>
        </is>
      </c>
      <c r="AN1" s="0" t="inlineStr">
        <is>
          <t>usadoPre_INS-07</t>
        </is>
      </c>
      <c r="AO1" s="0" t="inlineStr">
        <is>
          <t>saldoPre_INS-07</t>
        </is>
      </c>
      <c r="AP1" s="0" t="inlineStr">
        <is>
          <t>usado_INS-07</t>
        </is>
      </c>
      <c r="AQ1" s="0" t="inlineStr">
        <is>
          <t>usadoPre_INS-08</t>
        </is>
      </c>
      <c r="AR1" s="0" t="inlineStr">
        <is>
          <t>saldoPre_INS-08</t>
        </is>
      </c>
      <c r="AS1" s="0" t="inlineStr">
        <is>
          <t>usado_INS-08</t>
        </is>
      </c>
      <c r="AT1" s="0" t="inlineStr">
        <is>
          <t>precioFactor</t>
        </is>
      </c>
      <c r="AU1" s="0" t="inlineStr">
        <is>
          <t>precioEfectivo</t>
        </is>
      </c>
      <c r="AV1" s="0" t="inlineStr">
        <is>
          <t>stockAntes</t>
        </is>
      </c>
      <c r="AW1" s="0" t="inlineStr">
        <is>
          <t>vendido</t>
        </is>
      </c>
      <c r="AX1" s="0" t="inlineStr">
        <is>
          <t>ingreso</t>
        </is>
      </c>
      <c r="AY1" s="0" t="inlineStr">
        <is>
          <t>inventarioFinal</t>
        </is>
      </c>
    </row>
    <row r="2">
      <c r="A2" s="0" t="n">
        <v>1</v>
      </c>
      <c r="B2" s="0" t="inlineStr">
        <is>
          <t>A</t>
        </is>
      </c>
      <c r="C2" s="0" t="inlineStr">
        <is>
          <t>SEG-01</t>
        </is>
      </c>
      <c r="D2" s="0" t="inlineStr">
        <is>
          <t>INF-08</t>
        </is>
      </c>
      <c r="E2" s="0" t="inlineStr">
        <is>
          <t>INS-01</t>
        </is>
      </c>
      <c r="F2" s="0" t="inlineStr">
        <is>
          <t>INS-04</t>
        </is>
      </c>
      <c r="G2" s="0" t="inlineStr">
        <is>
          <t>INS-06</t>
        </is>
      </c>
      <c r="H2" s="0" t="n">
        <v>200</v>
      </c>
      <c r="I2" s="0" t="n">
        <v>40</v>
      </c>
      <c r="J2" s="0">
        <f>IFERROR(INDEX('Catalogo_Numerico_sim3'!$H$2:$H$69,MATCH(E2,'Catalogo_Numerico_sim3'!$A$2:$A$69,0)),0)+IFERROR(INDEX('Catalogo_Numerico_sim3'!$H$2:$H$69,MATCH(F2,'Catalogo_Numerico_sim3'!$A$2:$A$69,0)),0)+IFERROR(INDEX('Catalogo_Numerico_sim3'!$H$2:$H$69,MATCH(G2,'Catalogo_Numerico_sim3'!$A$2:$A$69,0)),0)+IFERROR(INDEX('Catalogo_Numerico_sim3'!$H$2:$H$69,MATCH(D2,'Catalogo_Numerico_sim3'!$A$2:$A$69,0)),0)</f>
        <v/>
      </c>
      <c r="K2" s="0">
        <f>'Pipeline_sim3'!CG2</f>
        <v/>
      </c>
      <c r="L2" s="0">
        <f>'Pipeline_sim3'!CI2</f>
        <v/>
      </c>
      <c r="M2" s="0">
        <f>'Pipeline_sim3'!CK2</f>
        <v/>
      </c>
      <c r="N2" s="0">
        <f>'Pipeline_sim3'!CM2</f>
        <v/>
      </c>
      <c r="O2" s="0">
        <f>'Pipeline_sim3'!CO2</f>
        <v/>
      </c>
      <c r="P2" s="0">
        <f>'Pipeline_sim3'!CQ2</f>
        <v/>
      </c>
      <c r="Q2" s="0">
        <f>'Pipeline_sim3'!CS2</f>
        <v/>
      </c>
      <c r="R2" s="0">
        <f>'Pipeline_sim3'!CU2</f>
        <v/>
      </c>
      <c r="S2" s="0">
        <f>IFERROR(ROUNDDOWN(H2*'Pipeline_sim3'!CE2/'Pipeline_sim3'!I2,0),0)</f>
        <v/>
      </c>
      <c r="T2" s="0">
        <f>ROUNDDOWN(MIN(H2,S2,(K2)/0.3,(N2)/1,(P2)/6),0)</f>
        <v/>
      </c>
      <c r="U2" s="0">
        <f>ROUNDDOWN(T2*'Pipeline_sim3'!AU2,0)</f>
        <v/>
      </c>
      <c r="V2" s="0">
        <f>MIN(K2,MAX(0,T2*0.3))</f>
        <v/>
      </c>
      <c r="W2" s="0">
        <f>K2-V2</f>
        <v/>
      </c>
      <c r="X2" s="0">
        <f>IFERROR(V2*U2/T2,0)</f>
        <v/>
      </c>
      <c r="Y2" s="0">
        <f>0</f>
        <v/>
      </c>
      <c r="Z2" s="0">
        <f>L2-Y2</f>
        <v/>
      </c>
      <c r="AA2" s="0">
        <f>IFERROR(Y2*U2/T2,0)</f>
        <v/>
      </c>
      <c r="AB2" s="0">
        <f>0</f>
        <v/>
      </c>
      <c r="AC2" s="0">
        <f>M2-AB2</f>
        <v/>
      </c>
      <c r="AD2" s="0">
        <f>IFERROR(AB2*U2/T2,0)</f>
        <v/>
      </c>
      <c r="AE2" s="0">
        <f>MIN(N2,MAX(0,T2*1))</f>
        <v/>
      </c>
      <c r="AF2" s="0">
        <f>N2-AE2</f>
        <v/>
      </c>
      <c r="AG2" s="0">
        <f>IFERROR(AE2*U2/T2,0)</f>
        <v/>
      </c>
      <c r="AH2" s="0">
        <f>0</f>
        <v/>
      </c>
      <c r="AI2" s="0">
        <f>O2-AH2</f>
        <v/>
      </c>
      <c r="AJ2" s="0">
        <f>IFERROR(AH2*U2/T2,0)</f>
        <v/>
      </c>
      <c r="AK2" s="0">
        <f>MIN(P2,MAX(0,T2*6))</f>
        <v/>
      </c>
      <c r="AL2" s="0">
        <f>P2-AK2</f>
        <v/>
      </c>
      <c r="AM2" s="0">
        <f>IFERROR(AK2*U2/T2,0)</f>
        <v/>
      </c>
      <c r="AN2" s="0">
        <f>0</f>
        <v/>
      </c>
      <c r="AO2" s="0">
        <f>Q2-AN2</f>
        <v/>
      </c>
      <c r="AP2" s="0">
        <f>IFERROR(AN2*U2/T2,0)</f>
        <v/>
      </c>
      <c r="AQ2" s="0">
        <f>0</f>
        <v/>
      </c>
      <c r="AR2" s="0">
        <f>R2-AQ2</f>
        <v/>
      </c>
      <c r="AS2" s="0">
        <f>IFERROR(AQ2*U2/T2,0)</f>
        <v/>
      </c>
      <c r="AT2" s="0">
        <f>IF(AND(C2="SEG-03",H2&gt;0),IF(J2&lt;4,0.65,IF(J2&gt;=7,1.4,1)),1)</f>
        <v/>
      </c>
      <c r="AU2" s="0">
        <f>I2*AT2</f>
        <v/>
      </c>
      <c r="AV2" s="0">
        <f>0+U2</f>
        <v/>
      </c>
      <c r="AW2" s="0">
        <f>MIN(AV2,MAX(0,'Mercados_Pipeline_sim3'!I2))</f>
        <v/>
      </c>
      <c r="AX2" s="0">
        <f>AW2*AU2</f>
        <v/>
      </c>
      <c r="AY2" s="0">
        <f>AV2-AW2</f>
        <v/>
      </c>
    </row>
    <row r="3">
      <c r="A3" s="0" t="n">
        <v>1</v>
      </c>
      <c r="B3" s="0" t="inlineStr">
        <is>
          <t>B</t>
        </is>
      </c>
      <c r="C3" s="0" t="inlineStr">
        <is>
          <t>SEG-02</t>
        </is>
      </c>
      <c r="D3" s="0" t="inlineStr">
        <is>
          <t>INF-09</t>
        </is>
      </c>
      <c r="E3" s="0" t="inlineStr">
        <is>
          <t>INS-02</t>
        </is>
      </c>
      <c r="F3" s="0" t="inlineStr">
        <is>
          <t>INS-04</t>
        </is>
      </c>
      <c r="G3" s="0" t="inlineStr">
        <is>
          <t>INS-07</t>
        </is>
      </c>
      <c r="H3" s="0" t="n">
        <v>200</v>
      </c>
      <c r="I3" s="0" t="n">
        <v>110</v>
      </c>
      <c r="J3" s="0">
        <f>IFERROR(INDEX('Catalogo_Numerico_sim3'!$H$2:$H$69,MATCH(E3,'Catalogo_Numerico_sim3'!$A$2:$A$69,0)),0)+IFERROR(INDEX('Catalogo_Numerico_sim3'!$H$2:$H$69,MATCH(F3,'Catalogo_Numerico_sim3'!$A$2:$A$69,0)),0)+IFERROR(INDEX('Catalogo_Numerico_sim3'!$H$2:$H$69,MATCH(G3,'Catalogo_Numerico_sim3'!$A$2:$A$69,0)),0)+IFERROR(INDEX('Catalogo_Numerico_sim3'!$H$2:$H$69,MATCH(D3,'Catalogo_Numerico_sim3'!$A$2:$A$69,0)),0)</f>
        <v/>
      </c>
      <c r="K3" s="0">
        <f>'Pipeline_sim3'!CG3</f>
        <v/>
      </c>
      <c r="L3" s="0">
        <f>'Pipeline_sim3'!CI3</f>
        <v/>
      </c>
      <c r="M3" s="0">
        <f>'Pipeline_sim3'!CK3</f>
        <v/>
      </c>
      <c r="N3" s="0">
        <f>'Pipeline_sim3'!CM3</f>
        <v/>
      </c>
      <c r="O3" s="0">
        <f>'Pipeline_sim3'!CO3</f>
        <v/>
      </c>
      <c r="P3" s="0">
        <f>'Pipeline_sim3'!CQ3</f>
        <v/>
      </c>
      <c r="Q3" s="0">
        <f>'Pipeline_sim3'!CS3</f>
        <v/>
      </c>
      <c r="R3" s="0">
        <f>'Pipeline_sim3'!CU3</f>
        <v/>
      </c>
      <c r="S3" s="0">
        <f>IFERROR(ROUNDDOWN(H3*'Pipeline_sim3'!CE3/'Pipeline_sim3'!I3,0),0)</f>
        <v/>
      </c>
      <c r="T3" s="0">
        <f>ROUNDDOWN(MIN(H3,S3,(L3)/0.4,(N3)/1,(Q3)/7),0)</f>
        <v/>
      </c>
      <c r="U3" s="0">
        <f>ROUNDDOWN(T3*'Pipeline_sim3'!AU3,0)</f>
        <v/>
      </c>
      <c r="V3" s="0">
        <f>0</f>
        <v/>
      </c>
      <c r="W3" s="0">
        <f>K3-V3</f>
        <v/>
      </c>
      <c r="X3" s="0">
        <f>IFERROR(V3*U3/T3,0)</f>
        <v/>
      </c>
      <c r="Y3" s="0">
        <f>MIN(L3,MAX(0,T3*0.4-(V3)))</f>
        <v/>
      </c>
      <c r="Z3" s="0">
        <f>L3-Y3</f>
        <v/>
      </c>
      <c r="AA3" s="0">
        <f>IFERROR(Y3*U3/T3,0)</f>
        <v/>
      </c>
      <c r="AB3" s="0">
        <f>0</f>
        <v/>
      </c>
      <c r="AC3" s="0">
        <f>M3-AB3</f>
        <v/>
      </c>
      <c r="AD3" s="0">
        <f>IFERROR(AB3*U3/T3,0)</f>
        <v/>
      </c>
      <c r="AE3" s="0">
        <f>MIN(N3,MAX(0,T3*1))</f>
        <v/>
      </c>
      <c r="AF3" s="0">
        <f>N3-AE3</f>
        <v/>
      </c>
      <c r="AG3" s="0">
        <f>IFERROR(AE3*U3/T3,0)</f>
        <v/>
      </c>
      <c r="AH3" s="0">
        <f>0</f>
        <v/>
      </c>
      <c r="AI3" s="0">
        <f>O3-AH3</f>
        <v/>
      </c>
      <c r="AJ3" s="0">
        <f>IFERROR(AH3*U3/T3,0)</f>
        <v/>
      </c>
      <c r="AK3" s="0">
        <f>0</f>
        <v/>
      </c>
      <c r="AL3" s="0">
        <f>P3-AK3</f>
        <v/>
      </c>
      <c r="AM3" s="0">
        <f>IFERROR(AK3*U3/T3,0)</f>
        <v/>
      </c>
      <c r="AN3" s="0">
        <f>MIN(Q3,MAX(0,T3*7-(AK3)))</f>
        <v/>
      </c>
      <c r="AO3" s="0">
        <f>Q3-AN3</f>
        <v/>
      </c>
      <c r="AP3" s="0">
        <f>IFERROR(AN3*U3/T3,0)</f>
        <v/>
      </c>
      <c r="AQ3" s="0">
        <f>0</f>
        <v/>
      </c>
      <c r="AR3" s="0">
        <f>R3-AQ3</f>
        <v/>
      </c>
      <c r="AS3" s="0">
        <f>IFERROR(AQ3*U3/T3,0)</f>
        <v/>
      </c>
      <c r="AT3" s="0">
        <f>IF(AND(C3="SEG-03",H3&gt;0),IF(J3&lt;4,0.65,IF(J3&gt;=7,1.4,1)),1)</f>
        <v/>
      </c>
      <c r="AU3" s="0">
        <f>I3*AT3</f>
        <v/>
      </c>
      <c r="AV3" s="0">
        <f>0+U3</f>
        <v/>
      </c>
      <c r="AW3" s="0">
        <f>MIN(AV3,MAX(0,'Mercados_Pipeline_sim3'!I3))</f>
        <v/>
      </c>
      <c r="AX3" s="0">
        <f>AW3*AU3</f>
        <v/>
      </c>
      <c r="AY3" s="0">
        <f>AV3-AW3</f>
        <v/>
      </c>
    </row>
    <row r="4">
      <c r="A4" s="0" t="n">
        <v>1</v>
      </c>
      <c r="B4" s="0" t="inlineStr">
        <is>
          <t>C</t>
        </is>
      </c>
      <c r="C4" s="0" t="inlineStr">
        <is>
          <t>SEG-03</t>
        </is>
      </c>
      <c r="D4" s="0" t="inlineStr">
        <is>
          <t>INF-10</t>
        </is>
      </c>
      <c r="E4" s="0" t="inlineStr">
        <is>
          <t>INS-03</t>
        </is>
      </c>
      <c r="F4" s="0" t="inlineStr">
        <is>
          <t>INS-05</t>
        </is>
      </c>
      <c r="G4" s="0" t="inlineStr">
        <is>
          <t>INS-08</t>
        </is>
      </c>
      <c r="H4" s="0" t="n">
        <v>200</v>
      </c>
      <c r="I4" s="0" t="n">
        <v>260</v>
      </c>
      <c r="J4" s="0">
        <f>IFERROR(INDEX('Catalogo_Numerico_sim3'!$H$2:$H$69,MATCH(E4,'Catalogo_Numerico_sim3'!$A$2:$A$69,0)),0)+IFERROR(INDEX('Catalogo_Numerico_sim3'!$H$2:$H$69,MATCH(F4,'Catalogo_Numerico_sim3'!$A$2:$A$69,0)),0)+IFERROR(INDEX('Catalogo_Numerico_sim3'!$H$2:$H$69,MATCH(G4,'Catalogo_Numerico_sim3'!$A$2:$A$69,0)),0)+IFERROR(INDEX('Catalogo_Numerico_sim3'!$H$2:$H$69,MATCH(D4,'Catalogo_Numerico_sim3'!$A$2:$A$69,0)),0)</f>
        <v/>
      </c>
      <c r="K4" s="0">
        <f>'Pipeline_sim3'!CG4</f>
        <v/>
      </c>
      <c r="L4" s="0">
        <f>'Pipeline_sim3'!CI4</f>
        <v/>
      </c>
      <c r="M4" s="0">
        <f>'Pipeline_sim3'!CK4</f>
        <v/>
      </c>
      <c r="N4" s="0">
        <f>'Pipeline_sim3'!CM4</f>
        <v/>
      </c>
      <c r="O4" s="0">
        <f>'Pipeline_sim3'!CO4</f>
        <v/>
      </c>
      <c r="P4" s="0">
        <f>'Pipeline_sim3'!CQ4</f>
        <v/>
      </c>
      <c r="Q4" s="0">
        <f>'Pipeline_sim3'!CS4</f>
        <v/>
      </c>
      <c r="R4" s="0">
        <f>'Pipeline_sim3'!CU4</f>
        <v/>
      </c>
      <c r="S4" s="0">
        <f>IFERROR(ROUNDDOWN(H4*'Pipeline_sim3'!CE4/'Pipeline_sim3'!I4,0),0)</f>
        <v/>
      </c>
      <c r="T4" s="0">
        <f>ROUNDDOWN(MIN(H4,S4,(M4)/0.7,(O4)/1,(R4)/13),0)</f>
        <v/>
      </c>
      <c r="U4" s="0">
        <f>ROUNDDOWN(T4*'Pipeline_sim3'!AU4,0)</f>
        <v/>
      </c>
      <c r="V4" s="0">
        <f>0</f>
        <v/>
      </c>
      <c r="W4" s="0">
        <f>K4-V4</f>
        <v/>
      </c>
      <c r="X4" s="0">
        <f>IFERROR(V4*U4/T4,0)</f>
        <v/>
      </c>
      <c r="Y4" s="0">
        <f>0</f>
        <v/>
      </c>
      <c r="Z4" s="0">
        <f>L4-Y4</f>
        <v/>
      </c>
      <c r="AA4" s="0">
        <f>IFERROR(Y4*U4/T4,0)</f>
        <v/>
      </c>
      <c r="AB4" s="0">
        <f>MIN(M4,MAX(0,T4*0.7-(V4+Y4)))</f>
        <v/>
      </c>
      <c r="AC4" s="0">
        <f>M4-AB4</f>
        <v/>
      </c>
      <c r="AD4" s="0">
        <f>IFERROR(AB4*U4/T4,0)</f>
        <v/>
      </c>
      <c r="AE4" s="0">
        <f>0</f>
        <v/>
      </c>
      <c r="AF4" s="0">
        <f>N4-AE4</f>
        <v/>
      </c>
      <c r="AG4" s="0">
        <f>IFERROR(AE4*U4/T4,0)</f>
        <v/>
      </c>
      <c r="AH4" s="0">
        <f>MIN(O4,MAX(0,T4*1-(AE4)))</f>
        <v/>
      </c>
      <c r="AI4" s="0">
        <f>O4-AH4</f>
        <v/>
      </c>
      <c r="AJ4" s="0">
        <f>IFERROR(AH4*U4/T4,0)</f>
        <v/>
      </c>
      <c r="AK4" s="0">
        <f>0</f>
        <v/>
      </c>
      <c r="AL4" s="0">
        <f>P4-AK4</f>
        <v/>
      </c>
      <c r="AM4" s="0">
        <f>IFERROR(AK4*U4/T4,0)</f>
        <v/>
      </c>
      <c r="AN4" s="0">
        <f>0</f>
        <v/>
      </c>
      <c r="AO4" s="0">
        <f>Q4-AN4</f>
        <v/>
      </c>
      <c r="AP4" s="0">
        <f>IFERROR(AN4*U4/T4,0)</f>
        <v/>
      </c>
      <c r="AQ4" s="0">
        <f>MIN(R4,MAX(0,T4*13-(AK4+AN4)))</f>
        <v/>
      </c>
      <c r="AR4" s="0">
        <f>R4-AQ4</f>
        <v/>
      </c>
      <c r="AS4" s="0">
        <f>IFERROR(AQ4*U4/T4,0)</f>
        <v/>
      </c>
      <c r="AT4" s="0">
        <f>IF(AND(C4="SEG-03",H4&gt;0),IF(J4&lt;4,0.65,IF(J4&gt;=7,1.4,1)),1)</f>
        <v/>
      </c>
      <c r="AU4" s="0">
        <f>I4*AT4</f>
        <v/>
      </c>
      <c r="AV4" s="0">
        <f>0+U4</f>
        <v/>
      </c>
      <c r="AW4" s="0">
        <f>MIN(AV4,MAX(0,'Mercados_Pipeline_sim3'!I4))</f>
        <v/>
      </c>
      <c r="AX4" s="0">
        <f>AW4*AU4</f>
        <v/>
      </c>
      <c r="AY4" s="0">
        <f>AV4-AW4</f>
        <v/>
      </c>
    </row>
    <row r="5">
      <c r="A5" s="0" t="n">
        <v>1</v>
      </c>
      <c r="B5" s="0" t="inlineStr">
        <is>
          <t>D</t>
        </is>
      </c>
      <c r="C5" s="0" t="inlineStr">
        <is>
          <t>SEG-01</t>
        </is>
      </c>
      <c r="D5" s="0" t="inlineStr">
        <is>
          <t>INF-08</t>
        </is>
      </c>
      <c r="E5" s="0" t="inlineStr">
        <is>
          <t>INS-01</t>
        </is>
      </c>
      <c r="F5" s="0" t="inlineStr">
        <is>
          <t>INS-04</t>
        </is>
      </c>
      <c r="G5" s="0" t="inlineStr">
        <is>
          <t>INS-06</t>
        </is>
      </c>
      <c r="H5" s="0" t="n">
        <v>200</v>
      </c>
      <c r="I5" s="0" t="n">
        <v>45</v>
      </c>
      <c r="J5" s="0">
        <f>IFERROR(INDEX('Catalogo_Numerico_sim3'!$H$2:$H$69,MATCH(E5,'Catalogo_Numerico_sim3'!$A$2:$A$69,0)),0)+IFERROR(INDEX('Catalogo_Numerico_sim3'!$H$2:$H$69,MATCH(F5,'Catalogo_Numerico_sim3'!$A$2:$A$69,0)),0)+IFERROR(INDEX('Catalogo_Numerico_sim3'!$H$2:$H$69,MATCH(G5,'Catalogo_Numerico_sim3'!$A$2:$A$69,0)),0)+IFERROR(INDEX('Catalogo_Numerico_sim3'!$H$2:$H$69,MATCH(D5,'Catalogo_Numerico_sim3'!$A$2:$A$69,0)),0)</f>
        <v/>
      </c>
      <c r="K5" s="0">
        <f>'Pipeline_sim3'!CG5</f>
        <v/>
      </c>
      <c r="L5" s="0">
        <f>'Pipeline_sim3'!CI5</f>
        <v/>
      </c>
      <c r="M5" s="0">
        <f>'Pipeline_sim3'!CK5</f>
        <v/>
      </c>
      <c r="N5" s="0">
        <f>'Pipeline_sim3'!CM5</f>
        <v/>
      </c>
      <c r="O5" s="0">
        <f>'Pipeline_sim3'!CO5</f>
        <v/>
      </c>
      <c r="P5" s="0">
        <f>'Pipeline_sim3'!CQ5</f>
        <v/>
      </c>
      <c r="Q5" s="0">
        <f>'Pipeline_sim3'!CS5</f>
        <v/>
      </c>
      <c r="R5" s="0">
        <f>'Pipeline_sim3'!CU5</f>
        <v/>
      </c>
      <c r="S5" s="0">
        <f>IFERROR(ROUNDDOWN(H5*'Pipeline_sim3'!CE5/'Pipeline_sim3'!I5,0),0)</f>
        <v/>
      </c>
      <c r="T5" s="0">
        <f>ROUNDDOWN(MIN(H5,S5,(K5)/0.3,(N5)/1,(P5)/6),0)</f>
        <v/>
      </c>
      <c r="U5" s="0">
        <f>ROUNDDOWN(T5*'Pipeline_sim3'!AU5,0)</f>
        <v/>
      </c>
      <c r="V5" s="0">
        <f>MIN(K5,MAX(0,T5*0.3))</f>
        <v/>
      </c>
      <c r="W5" s="0">
        <f>K5-V5</f>
        <v/>
      </c>
      <c r="X5" s="0">
        <f>IFERROR(V5*U5/T5,0)</f>
        <v/>
      </c>
      <c r="Y5" s="0">
        <f>0</f>
        <v/>
      </c>
      <c r="Z5" s="0">
        <f>L5-Y5</f>
        <v/>
      </c>
      <c r="AA5" s="0">
        <f>IFERROR(Y5*U5/T5,0)</f>
        <v/>
      </c>
      <c r="AB5" s="0">
        <f>0</f>
        <v/>
      </c>
      <c r="AC5" s="0">
        <f>M5-AB5</f>
        <v/>
      </c>
      <c r="AD5" s="0">
        <f>IFERROR(AB5*U5/T5,0)</f>
        <v/>
      </c>
      <c r="AE5" s="0">
        <f>MIN(N5,MAX(0,T5*1))</f>
        <v/>
      </c>
      <c r="AF5" s="0">
        <f>N5-AE5</f>
        <v/>
      </c>
      <c r="AG5" s="0">
        <f>IFERROR(AE5*U5/T5,0)</f>
        <v/>
      </c>
      <c r="AH5" s="0">
        <f>0</f>
        <v/>
      </c>
      <c r="AI5" s="0">
        <f>O5-AH5</f>
        <v/>
      </c>
      <c r="AJ5" s="0">
        <f>IFERROR(AH5*U5/T5,0)</f>
        <v/>
      </c>
      <c r="AK5" s="0">
        <f>MIN(P5,MAX(0,T5*6))</f>
        <v/>
      </c>
      <c r="AL5" s="0">
        <f>P5-AK5</f>
        <v/>
      </c>
      <c r="AM5" s="0">
        <f>IFERROR(AK5*U5/T5,0)</f>
        <v/>
      </c>
      <c r="AN5" s="0">
        <f>0</f>
        <v/>
      </c>
      <c r="AO5" s="0">
        <f>Q5-AN5</f>
        <v/>
      </c>
      <c r="AP5" s="0">
        <f>IFERROR(AN5*U5/T5,0)</f>
        <v/>
      </c>
      <c r="AQ5" s="0">
        <f>0</f>
        <v/>
      </c>
      <c r="AR5" s="0">
        <f>R5-AQ5</f>
        <v/>
      </c>
      <c r="AS5" s="0">
        <f>IFERROR(AQ5*U5/T5,0)</f>
        <v/>
      </c>
      <c r="AT5" s="0">
        <f>IF(AND(C5="SEG-03",H5&gt;0),IF(J5&lt;4,0.65,IF(J5&gt;=7,1.4,1)),1)</f>
        <v/>
      </c>
      <c r="AU5" s="0">
        <f>I5*AT5</f>
        <v/>
      </c>
      <c r="AV5" s="0">
        <f>0+U5</f>
        <v/>
      </c>
      <c r="AW5" s="0">
        <f>MIN(AV5,MAX(0,'Mercados_Pipeline_sim3'!I5))</f>
        <v/>
      </c>
      <c r="AX5" s="0">
        <f>AW5*AU5</f>
        <v/>
      </c>
      <c r="AY5" s="0">
        <f>AV5-AW5</f>
        <v/>
      </c>
    </row>
    <row r="6">
      <c r="A6" s="0" t="n">
        <v>2</v>
      </c>
      <c r="B6" s="0" t="inlineStr">
        <is>
          <t>A</t>
        </is>
      </c>
      <c r="C6" s="0" t="inlineStr">
        <is>
          <t>SEG-01</t>
        </is>
      </c>
      <c r="D6" s="0" t="inlineStr">
        <is>
          <t>INF-08</t>
        </is>
      </c>
      <c r="E6" s="0" t="inlineStr">
        <is>
          <t>INS-01</t>
        </is>
      </c>
      <c r="F6" s="0" t="inlineStr">
        <is>
          <t>INS-04</t>
        </is>
      </c>
      <c r="G6" s="0" t="inlineStr">
        <is>
          <t>INS-06</t>
        </is>
      </c>
      <c r="H6" s="0" t="n">
        <v>200</v>
      </c>
      <c r="I6" s="0" t="n">
        <v>40</v>
      </c>
      <c r="J6" s="0">
        <f>IFERROR(INDEX('Catalogo_Numerico_sim3'!$H$2:$H$69,MATCH(E6,'Catalogo_Numerico_sim3'!$A$2:$A$69,0)),0)+IFERROR(INDEX('Catalogo_Numerico_sim3'!$H$2:$H$69,MATCH(F6,'Catalogo_Numerico_sim3'!$A$2:$A$69,0)),0)+IFERROR(INDEX('Catalogo_Numerico_sim3'!$H$2:$H$69,MATCH(G6,'Catalogo_Numerico_sim3'!$A$2:$A$69,0)),0)+IFERROR(INDEX('Catalogo_Numerico_sim3'!$H$2:$H$69,MATCH(D6,'Catalogo_Numerico_sim3'!$A$2:$A$69,0)),0)</f>
        <v/>
      </c>
      <c r="K6" s="0">
        <f>'Pipeline_sim3'!CG6</f>
        <v/>
      </c>
      <c r="L6" s="0">
        <f>'Pipeline_sim3'!CI6</f>
        <v/>
      </c>
      <c r="M6" s="0">
        <f>'Pipeline_sim3'!CK6</f>
        <v/>
      </c>
      <c r="N6" s="0">
        <f>'Pipeline_sim3'!CM6</f>
        <v/>
      </c>
      <c r="O6" s="0">
        <f>'Pipeline_sim3'!CO6</f>
        <v/>
      </c>
      <c r="P6" s="0">
        <f>'Pipeline_sim3'!CQ6</f>
        <v/>
      </c>
      <c r="Q6" s="0">
        <f>'Pipeline_sim3'!CS6</f>
        <v/>
      </c>
      <c r="R6" s="0">
        <f>'Pipeline_sim3'!CU6</f>
        <v/>
      </c>
      <c r="S6" s="0">
        <f>IFERROR(ROUNDDOWN(H6*'Pipeline_sim3'!CE6/'Pipeline_sim3'!I6,0),0)</f>
        <v/>
      </c>
      <c r="T6" s="0">
        <f>ROUNDDOWN(MIN(H6,S6,(K6)/0.3,(N6)/1,(P6)/6),0)</f>
        <v/>
      </c>
      <c r="U6" s="0">
        <f>ROUNDDOWN(T6*'Pipeline_sim3'!AU6,0)</f>
        <v/>
      </c>
      <c r="V6" s="0">
        <f>MIN(K6,MAX(0,T6*0.3))</f>
        <v/>
      </c>
      <c r="W6" s="0">
        <f>K6-V6</f>
        <v/>
      </c>
      <c r="X6" s="0">
        <f>IFERROR(V6*U6/T6,0)</f>
        <v/>
      </c>
      <c r="Y6" s="0">
        <f>0</f>
        <v/>
      </c>
      <c r="Z6" s="0">
        <f>L6-Y6</f>
        <v/>
      </c>
      <c r="AA6" s="0">
        <f>IFERROR(Y6*U6/T6,0)</f>
        <v/>
      </c>
      <c r="AB6" s="0">
        <f>0</f>
        <v/>
      </c>
      <c r="AC6" s="0">
        <f>M6-AB6</f>
        <v/>
      </c>
      <c r="AD6" s="0">
        <f>IFERROR(AB6*U6/T6,0)</f>
        <v/>
      </c>
      <c r="AE6" s="0">
        <f>MIN(N6,MAX(0,T6*1))</f>
        <v/>
      </c>
      <c r="AF6" s="0">
        <f>N6-AE6</f>
        <v/>
      </c>
      <c r="AG6" s="0">
        <f>IFERROR(AE6*U6/T6,0)</f>
        <v/>
      </c>
      <c r="AH6" s="0">
        <f>0</f>
        <v/>
      </c>
      <c r="AI6" s="0">
        <f>O6-AH6</f>
        <v/>
      </c>
      <c r="AJ6" s="0">
        <f>IFERROR(AH6*U6/T6,0)</f>
        <v/>
      </c>
      <c r="AK6" s="0">
        <f>MIN(P6,MAX(0,T6*6))</f>
        <v/>
      </c>
      <c r="AL6" s="0">
        <f>P6-AK6</f>
        <v/>
      </c>
      <c r="AM6" s="0">
        <f>IFERROR(AK6*U6/T6,0)</f>
        <v/>
      </c>
      <c r="AN6" s="0">
        <f>0</f>
        <v/>
      </c>
      <c r="AO6" s="0">
        <f>Q6-AN6</f>
        <v/>
      </c>
      <c r="AP6" s="0">
        <f>IFERROR(AN6*U6/T6,0)</f>
        <v/>
      </c>
      <c r="AQ6" s="0">
        <f>0</f>
        <v/>
      </c>
      <c r="AR6" s="0">
        <f>R6-AQ6</f>
        <v/>
      </c>
      <c r="AS6" s="0">
        <f>IFERROR(AQ6*U6/T6,0)</f>
        <v/>
      </c>
      <c r="AT6" s="0">
        <f>IF(AND(C6="SEG-03",H6&gt;0),IF(J6&lt;4,0.65,IF(J6&gt;=7,1.4,1)),1)</f>
        <v/>
      </c>
      <c r="AU6" s="0">
        <f>I6*AT6</f>
        <v/>
      </c>
      <c r="AV6" s="0">
        <f>'Lotes_Pipeline_sim3'!AY2+U6</f>
        <v/>
      </c>
      <c r="AW6" s="0">
        <f>MIN(AV6,MAX(0,'Mercados_Pipeline_sim3'!I6))</f>
        <v/>
      </c>
      <c r="AX6" s="0">
        <f>AW6*AU6</f>
        <v/>
      </c>
      <c r="AY6" s="0">
        <f>AV6-AW6</f>
        <v/>
      </c>
    </row>
    <row r="7">
      <c r="A7" s="0" t="n">
        <v>2</v>
      </c>
      <c r="B7" s="0" t="inlineStr">
        <is>
          <t>B</t>
        </is>
      </c>
      <c r="C7" s="0" t="inlineStr">
        <is>
          <t>SEG-02</t>
        </is>
      </c>
      <c r="D7" s="0" t="inlineStr">
        <is>
          <t>INF-09</t>
        </is>
      </c>
      <c r="E7" s="0" t="inlineStr">
        <is>
          <t>INS-02</t>
        </is>
      </c>
      <c r="F7" s="0" t="inlineStr">
        <is>
          <t>INS-04</t>
        </is>
      </c>
      <c r="G7" s="0" t="inlineStr">
        <is>
          <t>INS-07</t>
        </is>
      </c>
      <c r="H7" s="0" t="n">
        <v>200</v>
      </c>
      <c r="I7" s="0" t="n">
        <v>110</v>
      </c>
      <c r="J7" s="0">
        <f>IFERROR(INDEX('Catalogo_Numerico_sim3'!$H$2:$H$69,MATCH(E7,'Catalogo_Numerico_sim3'!$A$2:$A$69,0)),0)+IFERROR(INDEX('Catalogo_Numerico_sim3'!$H$2:$H$69,MATCH(F7,'Catalogo_Numerico_sim3'!$A$2:$A$69,0)),0)+IFERROR(INDEX('Catalogo_Numerico_sim3'!$H$2:$H$69,MATCH(G7,'Catalogo_Numerico_sim3'!$A$2:$A$69,0)),0)+IFERROR(INDEX('Catalogo_Numerico_sim3'!$H$2:$H$69,MATCH(D7,'Catalogo_Numerico_sim3'!$A$2:$A$69,0)),0)</f>
        <v/>
      </c>
      <c r="K7" s="0">
        <f>'Pipeline_sim3'!CG7</f>
        <v/>
      </c>
      <c r="L7" s="0">
        <f>'Pipeline_sim3'!CI7</f>
        <v/>
      </c>
      <c r="M7" s="0">
        <f>'Pipeline_sim3'!CK7</f>
        <v/>
      </c>
      <c r="N7" s="0">
        <f>'Pipeline_sim3'!CM7</f>
        <v/>
      </c>
      <c r="O7" s="0">
        <f>'Pipeline_sim3'!CO7</f>
        <v/>
      </c>
      <c r="P7" s="0">
        <f>'Pipeline_sim3'!CQ7</f>
        <v/>
      </c>
      <c r="Q7" s="0">
        <f>'Pipeline_sim3'!CS7</f>
        <v/>
      </c>
      <c r="R7" s="0">
        <f>'Pipeline_sim3'!CU7</f>
        <v/>
      </c>
      <c r="S7" s="0">
        <f>IFERROR(ROUNDDOWN(H7*'Pipeline_sim3'!CE7/'Pipeline_sim3'!I7,0),0)</f>
        <v/>
      </c>
      <c r="T7" s="0">
        <f>ROUNDDOWN(MIN(H7,S7,(L7)/0.4,(N7)/1,(Q7)/7),0)</f>
        <v/>
      </c>
      <c r="U7" s="0">
        <f>ROUNDDOWN(T7*'Pipeline_sim3'!AU7,0)</f>
        <v/>
      </c>
      <c r="V7" s="0">
        <f>0</f>
        <v/>
      </c>
      <c r="W7" s="0">
        <f>K7-V7</f>
        <v/>
      </c>
      <c r="X7" s="0">
        <f>IFERROR(V7*U7/T7,0)</f>
        <v/>
      </c>
      <c r="Y7" s="0">
        <f>MIN(L7,MAX(0,T7*0.4-(V7)))</f>
        <v/>
      </c>
      <c r="Z7" s="0">
        <f>L7-Y7</f>
        <v/>
      </c>
      <c r="AA7" s="0">
        <f>IFERROR(Y7*U7/T7,0)</f>
        <v/>
      </c>
      <c r="AB7" s="0">
        <f>0</f>
        <v/>
      </c>
      <c r="AC7" s="0">
        <f>M7-AB7</f>
        <v/>
      </c>
      <c r="AD7" s="0">
        <f>IFERROR(AB7*U7/T7,0)</f>
        <v/>
      </c>
      <c r="AE7" s="0">
        <f>MIN(N7,MAX(0,T7*1))</f>
        <v/>
      </c>
      <c r="AF7" s="0">
        <f>N7-AE7</f>
        <v/>
      </c>
      <c r="AG7" s="0">
        <f>IFERROR(AE7*U7/T7,0)</f>
        <v/>
      </c>
      <c r="AH7" s="0">
        <f>0</f>
        <v/>
      </c>
      <c r="AI7" s="0">
        <f>O7-AH7</f>
        <v/>
      </c>
      <c r="AJ7" s="0">
        <f>IFERROR(AH7*U7/T7,0)</f>
        <v/>
      </c>
      <c r="AK7" s="0">
        <f>0</f>
        <v/>
      </c>
      <c r="AL7" s="0">
        <f>P7-AK7</f>
        <v/>
      </c>
      <c r="AM7" s="0">
        <f>IFERROR(AK7*U7/T7,0)</f>
        <v/>
      </c>
      <c r="AN7" s="0">
        <f>MIN(Q7,MAX(0,T7*7-(AK7)))</f>
        <v/>
      </c>
      <c r="AO7" s="0">
        <f>Q7-AN7</f>
        <v/>
      </c>
      <c r="AP7" s="0">
        <f>IFERROR(AN7*U7/T7,0)</f>
        <v/>
      </c>
      <c r="AQ7" s="0">
        <f>0</f>
        <v/>
      </c>
      <c r="AR7" s="0">
        <f>R7-AQ7</f>
        <v/>
      </c>
      <c r="AS7" s="0">
        <f>IFERROR(AQ7*U7/T7,0)</f>
        <v/>
      </c>
      <c r="AT7" s="0">
        <f>IF(AND(C7="SEG-03",H7&gt;0),IF(J7&lt;4,0.65,IF(J7&gt;=7,1.4,1)),1)</f>
        <v/>
      </c>
      <c r="AU7" s="0">
        <f>I7*AT7</f>
        <v/>
      </c>
      <c r="AV7" s="0">
        <f>'Lotes_Pipeline_sim3'!AY3+U7</f>
        <v/>
      </c>
      <c r="AW7" s="0">
        <f>MIN(AV7,MAX(0,'Mercados_Pipeline_sim3'!I7))</f>
        <v/>
      </c>
      <c r="AX7" s="0">
        <f>AW7*AU7</f>
        <v/>
      </c>
      <c r="AY7" s="0">
        <f>AV7-AW7</f>
        <v/>
      </c>
    </row>
    <row r="8">
      <c r="A8" s="0" t="n">
        <v>2</v>
      </c>
      <c r="B8" s="0" t="inlineStr">
        <is>
          <t>C</t>
        </is>
      </c>
      <c r="C8" s="0" t="inlineStr">
        <is>
          <t>SEG-03</t>
        </is>
      </c>
      <c r="D8" s="0" t="inlineStr">
        <is>
          <t>INF-10</t>
        </is>
      </c>
      <c r="E8" s="0" t="inlineStr">
        <is>
          <t>INS-03</t>
        </is>
      </c>
      <c r="F8" s="0" t="inlineStr">
        <is>
          <t>INS-05</t>
        </is>
      </c>
      <c r="G8" s="0" t="inlineStr">
        <is>
          <t>INS-08</t>
        </is>
      </c>
      <c r="H8" s="0" t="n">
        <v>200</v>
      </c>
      <c r="I8" s="0" t="n">
        <v>260</v>
      </c>
      <c r="J8" s="0">
        <f>IFERROR(INDEX('Catalogo_Numerico_sim3'!$H$2:$H$69,MATCH(E8,'Catalogo_Numerico_sim3'!$A$2:$A$69,0)),0)+IFERROR(INDEX('Catalogo_Numerico_sim3'!$H$2:$H$69,MATCH(F8,'Catalogo_Numerico_sim3'!$A$2:$A$69,0)),0)+IFERROR(INDEX('Catalogo_Numerico_sim3'!$H$2:$H$69,MATCH(G8,'Catalogo_Numerico_sim3'!$A$2:$A$69,0)),0)+IFERROR(INDEX('Catalogo_Numerico_sim3'!$H$2:$H$69,MATCH(D8,'Catalogo_Numerico_sim3'!$A$2:$A$69,0)),0)</f>
        <v/>
      </c>
      <c r="K8" s="0">
        <f>'Pipeline_sim3'!CG8</f>
        <v/>
      </c>
      <c r="L8" s="0">
        <f>'Pipeline_sim3'!CI8</f>
        <v/>
      </c>
      <c r="M8" s="0">
        <f>'Pipeline_sim3'!CK8</f>
        <v/>
      </c>
      <c r="N8" s="0">
        <f>'Pipeline_sim3'!CM8</f>
        <v/>
      </c>
      <c r="O8" s="0">
        <f>'Pipeline_sim3'!CO8</f>
        <v/>
      </c>
      <c r="P8" s="0">
        <f>'Pipeline_sim3'!CQ8</f>
        <v/>
      </c>
      <c r="Q8" s="0">
        <f>'Pipeline_sim3'!CS8</f>
        <v/>
      </c>
      <c r="R8" s="0">
        <f>'Pipeline_sim3'!CU8</f>
        <v/>
      </c>
      <c r="S8" s="0">
        <f>IFERROR(ROUNDDOWN(H8*'Pipeline_sim3'!CE8/'Pipeline_sim3'!I8,0),0)</f>
        <v/>
      </c>
      <c r="T8" s="0">
        <f>ROUNDDOWN(MIN(H8,S8,(M8)/0.7,(O8)/1,(R8)/13),0)</f>
        <v/>
      </c>
      <c r="U8" s="0">
        <f>ROUNDDOWN(T8*'Pipeline_sim3'!AU8,0)</f>
        <v/>
      </c>
      <c r="V8" s="0">
        <f>0</f>
        <v/>
      </c>
      <c r="W8" s="0">
        <f>K8-V8</f>
        <v/>
      </c>
      <c r="X8" s="0">
        <f>IFERROR(V8*U8/T8,0)</f>
        <v/>
      </c>
      <c r="Y8" s="0">
        <f>0</f>
        <v/>
      </c>
      <c r="Z8" s="0">
        <f>L8-Y8</f>
        <v/>
      </c>
      <c r="AA8" s="0">
        <f>IFERROR(Y8*U8/T8,0)</f>
        <v/>
      </c>
      <c r="AB8" s="0">
        <f>MIN(M8,MAX(0,T8*0.7-(V8+Y8)))</f>
        <v/>
      </c>
      <c r="AC8" s="0">
        <f>M8-AB8</f>
        <v/>
      </c>
      <c r="AD8" s="0">
        <f>IFERROR(AB8*U8/T8,0)</f>
        <v/>
      </c>
      <c r="AE8" s="0">
        <f>0</f>
        <v/>
      </c>
      <c r="AF8" s="0">
        <f>N8-AE8</f>
        <v/>
      </c>
      <c r="AG8" s="0">
        <f>IFERROR(AE8*U8/T8,0)</f>
        <v/>
      </c>
      <c r="AH8" s="0">
        <f>MIN(O8,MAX(0,T8*1-(AE8)))</f>
        <v/>
      </c>
      <c r="AI8" s="0">
        <f>O8-AH8</f>
        <v/>
      </c>
      <c r="AJ8" s="0">
        <f>IFERROR(AH8*U8/T8,0)</f>
        <v/>
      </c>
      <c r="AK8" s="0">
        <f>0</f>
        <v/>
      </c>
      <c r="AL8" s="0">
        <f>P8-AK8</f>
        <v/>
      </c>
      <c r="AM8" s="0">
        <f>IFERROR(AK8*U8/T8,0)</f>
        <v/>
      </c>
      <c r="AN8" s="0">
        <f>0</f>
        <v/>
      </c>
      <c r="AO8" s="0">
        <f>Q8-AN8</f>
        <v/>
      </c>
      <c r="AP8" s="0">
        <f>IFERROR(AN8*U8/T8,0)</f>
        <v/>
      </c>
      <c r="AQ8" s="0">
        <f>MIN(R8,MAX(0,T8*13-(AK8+AN8)))</f>
        <v/>
      </c>
      <c r="AR8" s="0">
        <f>R8-AQ8</f>
        <v/>
      </c>
      <c r="AS8" s="0">
        <f>IFERROR(AQ8*U8/T8,0)</f>
        <v/>
      </c>
      <c r="AT8" s="0">
        <f>IF(AND(C8="SEG-03",H8&gt;0),IF(J8&lt;4,0.65,IF(J8&gt;=7,1.4,1)),1)</f>
        <v/>
      </c>
      <c r="AU8" s="0">
        <f>I8*AT8</f>
        <v/>
      </c>
      <c r="AV8" s="0">
        <f>'Lotes_Pipeline_sim3'!AY4+U8</f>
        <v/>
      </c>
      <c r="AW8" s="0">
        <f>MIN(AV8,MAX(0,'Mercados_Pipeline_sim3'!I8))</f>
        <v/>
      </c>
      <c r="AX8" s="0">
        <f>AW8*AU8</f>
        <v/>
      </c>
      <c r="AY8" s="0">
        <f>AV8-AW8</f>
        <v/>
      </c>
    </row>
    <row r="9">
      <c r="A9" s="0" t="n">
        <v>2</v>
      </c>
      <c r="B9" s="0" t="inlineStr">
        <is>
          <t>D</t>
        </is>
      </c>
      <c r="C9" s="0" t="inlineStr">
        <is>
          <t>SEG-01</t>
        </is>
      </c>
      <c r="D9" s="0" t="inlineStr">
        <is>
          <t>INF-08</t>
        </is>
      </c>
      <c r="E9" s="0" t="inlineStr">
        <is>
          <t>INS-01</t>
        </is>
      </c>
      <c r="F9" s="0" t="inlineStr">
        <is>
          <t>INS-04</t>
        </is>
      </c>
      <c r="G9" s="0" t="inlineStr">
        <is>
          <t>INS-06</t>
        </is>
      </c>
      <c r="H9" s="0" t="n">
        <v>200</v>
      </c>
      <c r="I9" s="0" t="n">
        <v>45</v>
      </c>
      <c r="J9" s="0">
        <f>IFERROR(INDEX('Catalogo_Numerico_sim3'!$H$2:$H$69,MATCH(E9,'Catalogo_Numerico_sim3'!$A$2:$A$69,0)),0)+IFERROR(INDEX('Catalogo_Numerico_sim3'!$H$2:$H$69,MATCH(F9,'Catalogo_Numerico_sim3'!$A$2:$A$69,0)),0)+IFERROR(INDEX('Catalogo_Numerico_sim3'!$H$2:$H$69,MATCH(G9,'Catalogo_Numerico_sim3'!$A$2:$A$69,0)),0)+IFERROR(INDEX('Catalogo_Numerico_sim3'!$H$2:$H$69,MATCH(D9,'Catalogo_Numerico_sim3'!$A$2:$A$69,0)),0)</f>
        <v/>
      </c>
      <c r="K9" s="0">
        <f>'Pipeline_sim3'!CG9</f>
        <v/>
      </c>
      <c r="L9" s="0">
        <f>'Pipeline_sim3'!CI9</f>
        <v/>
      </c>
      <c r="M9" s="0">
        <f>'Pipeline_sim3'!CK9</f>
        <v/>
      </c>
      <c r="N9" s="0">
        <f>'Pipeline_sim3'!CM9</f>
        <v/>
      </c>
      <c r="O9" s="0">
        <f>'Pipeline_sim3'!CO9</f>
        <v/>
      </c>
      <c r="P9" s="0">
        <f>'Pipeline_sim3'!CQ9</f>
        <v/>
      </c>
      <c r="Q9" s="0">
        <f>'Pipeline_sim3'!CS9</f>
        <v/>
      </c>
      <c r="R9" s="0">
        <f>'Pipeline_sim3'!CU9</f>
        <v/>
      </c>
      <c r="S9" s="0">
        <f>IFERROR(ROUNDDOWN(H9*'Pipeline_sim3'!CE9/'Pipeline_sim3'!I9,0),0)</f>
        <v/>
      </c>
      <c r="T9" s="0">
        <f>ROUNDDOWN(MIN(H9,S9,(K9)/0.3,(N9)/1,(P9)/6),0)</f>
        <v/>
      </c>
      <c r="U9" s="0">
        <f>ROUNDDOWN(T9*'Pipeline_sim3'!AU9,0)</f>
        <v/>
      </c>
      <c r="V9" s="0">
        <f>MIN(K9,MAX(0,T9*0.3))</f>
        <v/>
      </c>
      <c r="W9" s="0">
        <f>K9-V9</f>
        <v/>
      </c>
      <c r="X9" s="0">
        <f>IFERROR(V9*U9/T9,0)</f>
        <v/>
      </c>
      <c r="Y9" s="0">
        <f>0</f>
        <v/>
      </c>
      <c r="Z9" s="0">
        <f>L9-Y9</f>
        <v/>
      </c>
      <c r="AA9" s="0">
        <f>IFERROR(Y9*U9/T9,0)</f>
        <v/>
      </c>
      <c r="AB9" s="0">
        <f>0</f>
        <v/>
      </c>
      <c r="AC9" s="0">
        <f>M9-AB9</f>
        <v/>
      </c>
      <c r="AD9" s="0">
        <f>IFERROR(AB9*U9/T9,0)</f>
        <v/>
      </c>
      <c r="AE9" s="0">
        <f>MIN(N9,MAX(0,T9*1))</f>
        <v/>
      </c>
      <c r="AF9" s="0">
        <f>N9-AE9</f>
        <v/>
      </c>
      <c r="AG9" s="0">
        <f>IFERROR(AE9*U9/T9,0)</f>
        <v/>
      </c>
      <c r="AH9" s="0">
        <f>0</f>
        <v/>
      </c>
      <c r="AI9" s="0">
        <f>O9-AH9</f>
        <v/>
      </c>
      <c r="AJ9" s="0">
        <f>IFERROR(AH9*U9/T9,0)</f>
        <v/>
      </c>
      <c r="AK9" s="0">
        <f>MIN(P9,MAX(0,T9*6))</f>
        <v/>
      </c>
      <c r="AL9" s="0">
        <f>P9-AK9</f>
        <v/>
      </c>
      <c r="AM9" s="0">
        <f>IFERROR(AK9*U9/T9,0)</f>
        <v/>
      </c>
      <c r="AN9" s="0">
        <f>0</f>
        <v/>
      </c>
      <c r="AO9" s="0">
        <f>Q9-AN9</f>
        <v/>
      </c>
      <c r="AP9" s="0">
        <f>IFERROR(AN9*U9/T9,0)</f>
        <v/>
      </c>
      <c r="AQ9" s="0">
        <f>0</f>
        <v/>
      </c>
      <c r="AR9" s="0">
        <f>R9-AQ9</f>
        <v/>
      </c>
      <c r="AS9" s="0">
        <f>IFERROR(AQ9*U9/T9,0)</f>
        <v/>
      </c>
      <c r="AT9" s="0">
        <f>IF(AND(C9="SEG-03",H9&gt;0),IF(J9&lt;4,0.65,IF(J9&gt;=7,1.4,1)),1)</f>
        <v/>
      </c>
      <c r="AU9" s="0">
        <f>I9*AT9</f>
        <v/>
      </c>
      <c r="AV9" s="0">
        <f>'Lotes_Pipeline_sim3'!AY5+U9</f>
        <v/>
      </c>
      <c r="AW9" s="0">
        <f>MIN(AV9,MAX(0,'Mercados_Pipeline_sim3'!I9))</f>
        <v/>
      </c>
      <c r="AX9" s="0">
        <f>AW9*AU9</f>
        <v/>
      </c>
      <c r="AY9" s="0">
        <f>AV9-AW9</f>
        <v/>
      </c>
    </row>
    <row r="10">
      <c r="A10" s="0" t="n">
        <v>3</v>
      </c>
      <c r="B10" s="0" t="inlineStr">
        <is>
          <t>A</t>
        </is>
      </c>
      <c r="C10" s="0" t="inlineStr">
        <is>
          <t>SEG-01</t>
        </is>
      </c>
      <c r="D10" s="0" t="inlineStr">
        <is>
          <t>INF-08</t>
        </is>
      </c>
      <c r="E10" s="0" t="inlineStr">
        <is>
          <t>INS-01</t>
        </is>
      </c>
      <c r="F10" s="0" t="inlineStr">
        <is>
          <t>INS-04</t>
        </is>
      </c>
      <c r="G10" s="0" t="inlineStr">
        <is>
          <t>INS-06</t>
        </is>
      </c>
      <c r="H10" s="0" t="n">
        <v>200</v>
      </c>
      <c r="I10" s="0" t="n">
        <v>40</v>
      </c>
      <c r="J10" s="0">
        <f>IFERROR(INDEX('Catalogo_Numerico_sim3'!$H$2:$H$69,MATCH(E10,'Catalogo_Numerico_sim3'!$A$2:$A$69,0)),0)+IFERROR(INDEX('Catalogo_Numerico_sim3'!$H$2:$H$69,MATCH(F10,'Catalogo_Numerico_sim3'!$A$2:$A$69,0)),0)+IFERROR(INDEX('Catalogo_Numerico_sim3'!$H$2:$H$69,MATCH(G10,'Catalogo_Numerico_sim3'!$A$2:$A$69,0)),0)+IFERROR(INDEX('Catalogo_Numerico_sim3'!$H$2:$H$69,MATCH(D10,'Catalogo_Numerico_sim3'!$A$2:$A$69,0)),0)</f>
        <v/>
      </c>
      <c r="K10" s="0">
        <f>'Pipeline_sim3'!CG10</f>
        <v/>
      </c>
      <c r="L10" s="0">
        <f>'Pipeline_sim3'!CI10</f>
        <v/>
      </c>
      <c r="M10" s="0">
        <f>'Pipeline_sim3'!CK10</f>
        <v/>
      </c>
      <c r="N10" s="0">
        <f>'Pipeline_sim3'!CM10</f>
        <v/>
      </c>
      <c r="O10" s="0">
        <f>'Pipeline_sim3'!CO10</f>
        <v/>
      </c>
      <c r="P10" s="0">
        <f>'Pipeline_sim3'!CQ10</f>
        <v/>
      </c>
      <c r="Q10" s="0">
        <f>'Pipeline_sim3'!CS10</f>
        <v/>
      </c>
      <c r="R10" s="0">
        <f>'Pipeline_sim3'!CU10</f>
        <v/>
      </c>
      <c r="S10" s="0">
        <f>IFERROR(ROUNDDOWN(H10*'Pipeline_sim3'!CE10/'Pipeline_sim3'!I10,0),0)</f>
        <v/>
      </c>
      <c r="T10" s="0">
        <f>ROUNDDOWN(MIN(H10,S10,(K10)/0.3,(N10)/1,(P10)/6),0)</f>
        <v/>
      </c>
      <c r="U10" s="0">
        <f>ROUNDDOWN(T10*'Pipeline_sim3'!AU10,0)</f>
        <v/>
      </c>
      <c r="V10" s="0">
        <f>MIN(K10,MAX(0,T10*0.3))</f>
        <v/>
      </c>
      <c r="W10" s="0">
        <f>K10-V10</f>
        <v/>
      </c>
      <c r="X10" s="0">
        <f>IFERROR(V10*U10/T10,0)</f>
        <v/>
      </c>
      <c r="Y10" s="0">
        <f>0</f>
        <v/>
      </c>
      <c r="Z10" s="0">
        <f>L10-Y10</f>
        <v/>
      </c>
      <c r="AA10" s="0">
        <f>IFERROR(Y10*U10/T10,0)</f>
        <v/>
      </c>
      <c r="AB10" s="0">
        <f>0</f>
        <v/>
      </c>
      <c r="AC10" s="0">
        <f>M10-AB10</f>
        <v/>
      </c>
      <c r="AD10" s="0">
        <f>IFERROR(AB10*U10/T10,0)</f>
        <v/>
      </c>
      <c r="AE10" s="0">
        <f>MIN(N10,MAX(0,T10*1))</f>
        <v/>
      </c>
      <c r="AF10" s="0">
        <f>N10-AE10</f>
        <v/>
      </c>
      <c r="AG10" s="0">
        <f>IFERROR(AE10*U10/T10,0)</f>
        <v/>
      </c>
      <c r="AH10" s="0">
        <f>0</f>
        <v/>
      </c>
      <c r="AI10" s="0">
        <f>O10-AH10</f>
        <v/>
      </c>
      <c r="AJ10" s="0">
        <f>IFERROR(AH10*U10/T10,0)</f>
        <v/>
      </c>
      <c r="AK10" s="0">
        <f>MIN(P10,MAX(0,T10*6))</f>
        <v/>
      </c>
      <c r="AL10" s="0">
        <f>P10-AK10</f>
        <v/>
      </c>
      <c r="AM10" s="0">
        <f>IFERROR(AK10*U10/T10,0)</f>
        <v/>
      </c>
      <c r="AN10" s="0">
        <f>0</f>
        <v/>
      </c>
      <c r="AO10" s="0">
        <f>Q10-AN10</f>
        <v/>
      </c>
      <c r="AP10" s="0">
        <f>IFERROR(AN10*U10/T10,0)</f>
        <v/>
      </c>
      <c r="AQ10" s="0">
        <f>0</f>
        <v/>
      </c>
      <c r="AR10" s="0">
        <f>R10-AQ10</f>
        <v/>
      </c>
      <c r="AS10" s="0">
        <f>IFERROR(AQ10*U10/T10,0)</f>
        <v/>
      </c>
      <c r="AT10" s="0">
        <f>IF(AND(C10="SEG-03",H10&gt;0),IF(J10&lt;4,0.65,IF(J10&gt;=7,1.4,1)),1)</f>
        <v/>
      </c>
      <c r="AU10" s="0">
        <f>I10*AT10</f>
        <v/>
      </c>
      <c r="AV10" s="0">
        <f>'Lotes_Pipeline_sim3'!AY6+U10</f>
        <v/>
      </c>
      <c r="AW10" s="0">
        <f>MIN(AV10,MAX(0,'Mercados_Pipeline_sim3'!I10))</f>
        <v/>
      </c>
      <c r="AX10" s="0">
        <f>AW10*AU10</f>
        <v/>
      </c>
      <c r="AY10" s="0">
        <f>AV10-AW10</f>
        <v/>
      </c>
    </row>
    <row r="11">
      <c r="A11" s="0" t="n">
        <v>3</v>
      </c>
      <c r="B11" s="0" t="inlineStr">
        <is>
          <t>B</t>
        </is>
      </c>
      <c r="C11" s="0" t="inlineStr">
        <is>
          <t>SEG-02</t>
        </is>
      </c>
      <c r="D11" s="0" t="inlineStr">
        <is>
          <t>INF-09</t>
        </is>
      </c>
      <c r="E11" s="0" t="inlineStr">
        <is>
          <t>INS-02</t>
        </is>
      </c>
      <c r="F11" s="0" t="inlineStr">
        <is>
          <t>INS-04</t>
        </is>
      </c>
      <c r="G11" s="0" t="inlineStr">
        <is>
          <t>INS-07</t>
        </is>
      </c>
      <c r="H11" s="0" t="n">
        <v>200</v>
      </c>
      <c r="I11" s="0" t="n">
        <v>110</v>
      </c>
      <c r="J11" s="0">
        <f>IFERROR(INDEX('Catalogo_Numerico_sim3'!$H$2:$H$69,MATCH(E11,'Catalogo_Numerico_sim3'!$A$2:$A$69,0)),0)+IFERROR(INDEX('Catalogo_Numerico_sim3'!$H$2:$H$69,MATCH(F11,'Catalogo_Numerico_sim3'!$A$2:$A$69,0)),0)+IFERROR(INDEX('Catalogo_Numerico_sim3'!$H$2:$H$69,MATCH(G11,'Catalogo_Numerico_sim3'!$A$2:$A$69,0)),0)+IFERROR(INDEX('Catalogo_Numerico_sim3'!$H$2:$H$69,MATCH(D11,'Catalogo_Numerico_sim3'!$A$2:$A$69,0)),0)</f>
        <v/>
      </c>
      <c r="K11" s="0">
        <f>'Pipeline_sim3'!CG11</f>
        <v/>
      </c>
      <c r="L11" s="0">
        <f>'Pipeline_sim3'!CI11</f>
        <v/>
      </c>
      <c r="M11" s="0">
        <f>'Pipeline_sim3'!CK11</f>
        <v/>
      </c>
      <c r="N11" s="0">
        <f>'Pipeline_sim3'!CM11</f>
        <v/>
      </c>
      <c r="O11" s="0">
        <f>'Pipeline_sim3'!CO11</f>
        <v/>
      </c>
      <c r="P11" s="0">
        <f>'Pipeline_sim3'!CQ11</f>
        <v/>
      </c>
      <c r="Q11" s="0">
        <f>'Pipeline_sim3'!CS11</f>
        <v/>
      </c>
      <c r="R11" s="0">
        <f>'Pipeline_sim3'!CU11</f>
        <v/>
      </c>
      <c r="S11" s="0">
        <f>IFERROR(ROUNDDOWN(H11*'Pipeline_sim3'!CE11/'Pipeline_sim3'!I11,0),0)</f>
        <v/>
      </c>
      <c r="T11" s="0">
        <f>ROUNDDOWN(MIN(H11,S11,(L11)/0.4,(N11)/1,(Q11)/7),0)</f>
        <v/>
      </c>
      <c r="U11" s="0">
        <f>ROUNDDOWN(T11*'Pipeline_sim3'!AU11,0)</f>
        <v/>
      </c>
      <c r="V11" s="0">
        <f>0</f>
        <v/>
      </c>
      <c r="W11" s="0">
        <f>K11-V11</f>
        <v/>
      </c>
      <c r="X11" s="0">
        <f>IFERROR(V11*U11/T11,0)</f>
        <v/>
      </c>
      <c r="Y11" s="0">
        <f>MIN(L11,MAX(0,T11*0.4-(V11)))</f>
        <v/>
      </c>
      <c r="Z11" s="0">
        <f>L11-Y11</f>
        <v/>
      </c>
      <c r="AA11" s="0">
        <f>IFERROR(Y11*U11/T11,0)</f>
        <v/>
      </c>
      <c r="AB11" s="0">
        <f>0</f>
        <v/>
      </c>
      <c r="AC11" s="0">
        <f>M11-AB11</f>
        <v/>
      </c>
      <c r="AD11" s="0">
        <f>IFERROR(AB11*U11/T11,0)</f>
        <v/>
      </c>
      <c r="AE11" s="0">
        <f>MIN(N11,MAX(0,T11*1))</f>
        <v/>
      </c>
      <c r="AF11" s="0">
        <f>N11-AE11</f>
        <v/>
      </c>
      <c r="AG11" s="0">
        <f>IFERROR(AE11*U11/T11,0)</f>
        <v/>
      </c>
      <c r="AH11" s="0">
        <f>0</f>
        <v/>
      </c>
      <c r="AI11" s="0">
        <f>O11-AH11</f>
        <v/>
      </c>
      <c r="AJ11" s="0">
        <f>IFERROR(AH11*U11/T11,0)</f>
        <v/>
      </c>
      <c r="AK11" s="0">
        <f>0</f>
        <v/>
      </c>
      <c r="AL11" s="0">
        <f>P11-AK11</f>
        <v/>
      </c>
      <c r="AM11" s="0">
        <f>IFERROR(AK11*U11/T11,0)</f>
        <v/>
      </c>
      <c r="AN11" s="0">
        <f>MIN(Q11,MAX(0,T11*7-(AK11)))</f>
        <v/>
      </c>
      <c r="AO11" s="0">
        <f>Q11-AN11</f>
        <v/>
      </c>
      <c r="AP11" s="0">
        <f>IFERROR(AN11*U11/T11,0)</f>
        <v/>
      </c>
      <c r="AQ11" s="0">
        <f>0</f>
        <v/>
      </c>
      <c r="AR11" s="0">
        <f>R11-AQ11</f>
        <v/>
      </c>
      <c r="AS11" s="0">
        <f>IFERROR(AQ11*U11/T11,0)</f>
        <v/>
      </c>
      <c r="AT11" s="0">
        <f>IF(AND(C11="SEG-03",H11&gt;0),IF(J11&lt;4,0.65,IF(J11&gt;=7,1.4,1)),1)</f>
        <v/>
      </c>
      <c r="AU11" s="0">
        <f>I11*AT11</f>
        <v/>
      </c>
      <c r="AV11" s="0">
        <f>'Lotes_Pipeline_sim3'!AY7+U11</f>
        <v/>
      </c>
      <c r="AW11" s="0">
        <f>MIN(AV11,MAX(0,'Mercados_Pipeline_sim3'!I11))</f>
        <v/>
      </c>
      <c r="AX11" s="0">
        <f>AW11*AU11</f>
        <v/>
      </c>
      <c r="AY11" s="0">
        <f>AV11-AW11</f>
        <v/>
      </c>
    </row>
    <row r="12">
      <c r="A12" s="0" t="n">
        <v>3</v>
      </c>
      <c r="B12" s="0" t="inlineStr">
        <is>
          <t>C</t>
        </is>
      </c>
      <c r="C12" s="0" t="inlineStr">
        <is>
          <t>SEG-03</t>
        </is>
      </c>
      <c r="D12" s="0" t="inlineStr">
        <is>
          <t>INF-10</t>
        </is>
      </c>
      <c r="E12" s="0" t="inlineStr">
        <is>
          <t>INS-03</t>
        </is>
      </c>
      <c r="F12" s="0" t="inlineStr">
        <is>
          <t>INS-05</t>
        </is>
      </c>
      <c r="G12" s="0" t="inlineStr">
        <is>
          <t>INS-08</t>
        </is>
      </c>
      <c r="H12" s="0" t="n">
        <v>200</v>
      </c>
      <c r="I12" s="0" t="n">
        <v>260</v>
      </c>
      <c r="J12" s="0">
        <f>IFERROR(INDEX('Catalogo_Numerico_sim3'!$H$2:$H$69,MATCH(E12,'Catalogo_Numerico_sim3'!$A$2:$A$69,0)),0)+IFERROR(INDEX('Catalogo_Numerico_sim3'!$H$2:$H$69,MATCH(F12,'Catalogo_Numerico_sim3'!$A$2:$A$69,0)),0)+IFERROR(INDEX('Catalogo_Numerico_sim3'!$H$2:$H$69,MATCH(G12,'Catalogo_Numerico_sim3'!$A$2:$A$69,0)),0)+IFERROR(INDEX('Catalogo_Numerico_sim3'!$H$2:$H$69,MATCH(D12,'Catalogo_Numerico_sim3'!$A$2:$A$69,0)),0)</f>
        <v/>
      </c>
      <c r="K12" s="0">
        <f>'Pipeline_sim3'!CG12</f>
        <v/>
      </c>
      <c r="L12" s="0">
        <f>'Pipeline_sim3'!CI12</f>
        <v/>
      </c>
      <c r="M12" s="0">
        <f>'Pipeline_sim3'!CK12</f>
        <v/>
      </c>
      <c r="N12" s="0">
        <f>'Pipeline_sim3'!CM12</f>
        <v/>
      </c>
      <c r="O12" s="0">
        <f>'Pipeline_sim3'!CO12</f>
        <v/>
      </c>
      <c r="P12" s="0">
        <f>'Pipeline_sim3'!CQ12</f>
        <v/>
      </c>
      <c r="Q12" s="0">
        <f>'Pipeline_sim3'!CS12</f>
        <v/>
      </c>
      <c r="R12" s="0">
        <f>'Pipeline_sim3'!CU12</f>
        <v/>
      </c>
      <c r="S12" s="0">
        <f>IFERROR(ROUNDDOWN(H12*'Pipeline_sim3'!CE12/'Pipeline_sim3'!I12,0),0)</f>
        <v/>
      </c>
      <c r="T12" s="0">
        <f>ROUNDDOWN(MIN(H12,S12,(M12)/0.7,(O12)/1,(R12)/13),0)</f>
        <v/>
      </c>
      <c r="U12" s="0">
        <f>ROUNDDOWN(T12*'Pipeline_sim3'!AU12,0)</f>
        <v/>
      </c>
      <c r="V12" s="0">
        <f>0</f>
        <v/>
      </c>
      <c r="W12" s="0">
        <f>K12-V12</f>
        <v/>
      </c>
      <c r="X12" s="0">
        <f>IFERROR(V12*U12/T12,0)</f>
        <v/>
      </c>
      <c r="Y12" s="0">
        <f>0</f>
        <v/>
      </c>
      <c r="Z12" s="0">
        <f>L12-Y12</f>
        <v/>
      </c>
      <c r="AA12" s="0">
        <f>IFERROR(Y12*U12/T12,0)</f>
        <v/>
      </c>
      <c r="AB12" s="0">
        <f>MIN(M12,MAX(0,T12*0.7-(V12+Y12)))</f>
        <v/>
      </c>
      <c r="AC12" s="0">
        <f>M12-AB12</f>
        <v/>
      </c>
      <c r="AD12" s="0">
        <f>IFERROR(AB12*U12/T12,0)</f>
        <v/>
      </c>
      <c r="AE12" s="0">
        <f>0</f>
        <v/>
      </c>
      <c r="AF12" s="0">
        <f>N12-AE12</f>
        <v/>
      </c>
      <c r="AG12" s="0">
        <f>IFERROR(AE12*U12/T12,0)</f>
        <v/>
      </c>
      <c r="AH12" s="0">
        <f>MIN(O12,MAX(0,T12*1-(AE12)))</f>
        <v/>
      </c>
      <c r="AI12" s="0">
        <f>O12-AH12</f>
        <v/>
      </c>
      <c r="AJ12" s="0">
        <f>IFERROR(AH12*U12/T12,0)</f>
        <v/>
      </c>
      <c r="AK12" s="0">
        <f>0</f>
        <v/>
      </c>
      <c r="AL12" s="0">
        <f>P12-AK12</f>
        <v/>
      </c>
      <c r="AM12" s="0">
        <f>IFERROR(AK12*U12/T12,0)</f>
        <v/>
      </c>
      <c r="AN12" s="0">
        <f>0</f>
        <v/>
      </c>
      <c r="AO12" s="0">
        <f>Q12-AN12</f>
        <v/>
      </c>
      <c r="AP12" s="0">
        <f>IFERROR(AN12*U12/T12,0)</f>
        <v/>
      </c>
      <c r="AQ12" s="0">
        <f>MIN(R12,MAX(0,T12*13-(AK12+AN12)))</f>
        <v/>
      </c>
      <c r="AR12" s="0">
        <f>R12-AQ12</f>
        <v/>
      </c>
      <c r="AS12" s="0">
        <f>IFERROR(AQ12*U12/T12,0)</f>
        <v/>
      </c>
      <c r="AT12" s="0">
        <f>IF(AND(C12="SEG-03",H12&gt;0),IF(J12&lt;4,0.65,IF(J12&gt;=7,1.4,1)),1)</f>
        <v/>
      </c>
      <c r="AU12" s="0">
        <f>I12*AT12</f>
        <v/>
      </c>
      <c r="AV12" s="0">
        <f>'Lotes_Pipeline_sim3'!AY8+U12</f>
        <v/>
      </c>
      <c r="AW12" s="0">
        <f>MIN(AV12,MAX(0,'Mercados_Pipeline_sim3'!I12))</f>
        <v/>
      </c>
      <c r="AX12" s="0">
        <f>AW12*AU12</f>
        <v/>
      </c>
      <c r="AY12" s="0">
        <f>AV12-AW12</f>
        <v/>
      </c>
    </row>
    <row r="13">
      <c r="A13" s="0" t="n">
        <v>3</v>
      </c>
      <c r="B13" s="0" t="inlineStr">
        <is>
          <t>D</t>
        </is>
      </c>
      <c r="C13" s="0" t="inlineStr">
        <is>
          <t>SEG-01</t>
        </is>
      </c>
      <c r="D13" s="0" t="inlineStr">
        <is>
          <t>INF-08</t>
        </is>
      </c>
      <c r="E13" s="0" t="inlineStr">
        <is>
          <t>INS-01</t>
        </is>
      </c>
      <c r="F13" s="0" t="inlineStr">
        <is>
          <t>INS-04</t>
        </is>
      </c>
      <c r="G13" s="0" t="inlineStr">
        <is>
          <t>INS-06</t>
        </is>
      </c>
      <c r="H13" s="0" t="n">
        <v>200</v>
      </c>
      <c r="I13" s="0" t="n">
        <v>45</v>
      </c>
      <c r="J13" s="0">
        <f>IFERROR(INDEX('Catalogo_Numerico_sim3'!$H$2:$H$69,MATCH(E13,'Catalogo_Numerico_sim3'!$A$2:$A$69,0)),0)+IFERROR(INDEX('Catalogo_Numerico_sim3'!$H$2:$H$69,MATCH(F13,'Catalogo_Numerico_sim3'!$A$2:$A$69,0)),0)+IFERROR(INDEX('Catalogo_Numerico_sim3'!$H$2:$H$69,MATCH(G13,'Catalogo_Numerico_sim3'!$A$2:$A$69,0)),0)+IFERROR(INDEX('Catalogo_Numerico_sim3'!$H$2:$H$69,MATCH(D13,'Catalogo_Numerico_sim3'!$A$2:$A$69,0)),0)</f>
        <v/>
      </c>
      <c r="K13" s="0">
        <f>'Pipeline_sim3'!CG13</f>
        <v/>
      </c>
      <c r="L13" s="0">
        <f>'Pipeline_sim3'!CI13</f>
        <v/>
      </c>
      <c r="M13" s="0">
        <f>'Pipeline_sim3'!CK13</f>
        <v/>
      </c>
      <c r="N13" s="0">
        <f>'Pipeline_sim3'!CM13</f>
        <v/>
      </c>
      <c r="O13" s="0">
        <f>'Pipeline_sim3'!CO13</f>
        <v/>
      </c>
      <c r="P13" s="0">
        <f>'Pipeline_sim3'!CQ13</f>
        <v/>
      </c>
      <c r="Q13" s="0">
        <f>'Pipeline_sim3'!CS13</f>
        <v/>
      </c>
      <c r="R13" s="0">
        <f>'Pipeline_sim3'!CU13</f>
        <v/>
      </c>
      <c r="S13" s="0">
        <f>IFERROR(ROUNDDOWN(H13*'Pipeline_sim3'!CE13/'Pipeline_sim3'!I13,0),0)</f>
        <v/>
      </c>
      <c r="T13" s="0">
        <f>ROUNDDOWN(MIN(H13,S13,(K13)/0.3,(N13)/1,(P13)/6),0)</f>
        <v/>
      </c>
      <c r="U13" s="0">
        <f>ROUNDDOWN(T13*'Pipeline_sim3'!AU13,0)</f>
        <v/>
      </c>
      <c r="V13" s="0">
        <f>MIN(K13,MAX(0,T13*0.3))</f>
        <v/>
      </c>
      <c r="W13" s="0">
        <f>K13-V13</f>
        <v/>
      </c>
      <c r="X13" s="0">
        <f>IFERROR(V13*U13/T13,0)</f>
        <v/>
      </c>
      <c r="Y13" s="0">
        <f>0</f>
        <v/>
      </c>
      <c r="Z13" s="0">
        <f>L13-Y13</f>
        <v/>
      </c>
      <c r="AA13" s="0">
        <f>IFERROR(Y13*U13/T13,0)</f>
        <v/>
      </c>
      <c r="AB13" s="0">
        <f>0</f>
        <v/>
      </c>
      <c r="AC13" s="0">
        <f>M13-AB13</f>
        <v/>
      </c>
      <c r="AD13" s="0">
        <f>IFERROR(AB13*U13/T13,0)</f>
        <v/>
      </c>
      <c r="AE13" s="0">
        <f>MIN(N13,MAX(0,T13*1))</f>
        <v/>
      </c>
      <c r="AF13" s="0">
        <f>N13-AE13</f>
        <v/>
      </c>
      <c r="AG13" s="0">
        <f>IFERROR(AE13*U13/T13,0)</f>
        <v/>
      </c>
      <c r="AH13" s="0">
        <f>0</f>
        <v/>
      </c>
      <c r="AI13" s="0">
        <f>O13-AH13</f>
        <v/>
      </c>
      <c r="AJ13" s="0">
        <f>IFERROR(AH13*U13/T13,0)</f>
        <v/>
      </c>
      <c r="AK13" s="0">
        <f>MIN(P13,MAX(0,T13*6))</f>
        <v/>
      </c>
      <c r="AL13" s="0">
        <f>P13-AK13</f>
        <v/>
      </c>
      <c r="AM13" s="0">
        <f>IFERROR(AK13*U13/T13,0)</f>
        <v/>
      </c>
      <c r="AN13" s="0">
        <f>0</f>
        <v/>
      </c>
      <c r="AO13" s="0">
        <f>Q13-AN13</f>
        <v/>
      </c>
      <c r="AP13" s="0">
        <f>IFERROR(AN13*U13/T13,0)</f>
        <v/>
      </c>
      <c r="AQ13" s="0">
        <f>0</f>
        <v/>
      </c>
      <c r="AR13" s="0">
        <f>R13-AQ13</f>
        <v/>
      </c>
      <c r="AS13" s="0">
        <f>IFERROR(AQ13*U13/T13,0)</f>
        <v/>
      </c>
      <c r="AT13" s="0">
        <f>IF(AND(C13="SEG-03",H13&gt;0),IF(J13&lt;4,0.65,IF(J13&gt;=7,1.4,1)),1)</f>
        <v/>
      </c>
      <c r="AU13" s="0">
        <f>I13*AT13</f>
        <v/>
      </c>
      <c r="AV13" s="0">
        <f>'Lotes_Pipeline_sim3'!AY9+U13</f>
        <v/>
      </c>
      <c r="AW13" s="0">
        <f>MIN(AV13,MAX(0,'Mercados_Pipeline_sim3'!I13))</f>
        <v/>
      </c>
      <c r="AX13" s="0">
        <f>AW13*AU13</f>
        <v/>
      </c>
      <c r="AY13" s="0">
        <f>AV13-AW13</f>
        <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13"/>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0" customWidth="1" style="184" min="1" max="1"/>
    <col width="20" customWidth="1" style="184" min="2" max="2"/>
    <col width="20" customWidth="1" style="184" min="3" max="3"/>
    <col width="20" customWidth="1" style="184" min="4" max="4"/>
    <col width="20" customWidth="1" style="184" min="5" max="5"/>
    <col width="20" customWidth="1" style="184" min="6" max="6"/>
    <col width="20" customWidth="1" style="184" min="7" max="7"/>
    <col width="20" customWidth="1" style="184" min="8" max="8"/>
    <col width="20" customWidth="1" style="184" min="9" max="9"/>
    <col width="20" customWidth="1" style="184" min="10" max="10"/>
    <col width="20" customWidth="1" style="184" min="11" max="11"/>
    <col width="20" customWidth="1" style="184" min="12" max="12"/>
    <col width="20" customWidth="1" style="184" min="13" max="13"/>
    <col width="20" customWidth="1" style="184" min="14" max="14"/>
  </cols>
  <sheetData>
    <row r="1">
      <c r="A1" s="0" t="inlineStr">
        <is>
          <t>ciclo</t>
        </is>
      </c>
      <c r="B1" s="0" t="inlineStr">
        <is>
          <t>empresa</t>
        </is>
      </c>
      <c r="C1" s="0" t="inlineStr">
        <is>
          <t>segmento</t>
        </is>
      </c>
      <c r="D1" s="0" t="inlineStr">
        <is>
          <t>grupo</t>
        </is>
      </c>
      <c r="E1" s="0" t="inlineStr">
        <is>
          <t>activo</t>
        </is>
      </c>
      <c r="F1" s="0" t="inlineStr">
        <is>
          <t>precio</t>
        </is>
      </c>
      <c r="G1" s="0" t="inlineStr">
        <is>
          <t>reputacion</t>
        </is>
      </c>
      <c r="H1" s="0" t="inlineStr">
        <is>
          <t>calidad</t>
        </is>
      </c>
      <c r="I1" s="0" t="inlineStr">
        <is>
          <t>demandaAjustada</t>
        </is>
      </c>
      <c r="J1" s="0" t="inlineStr">
        <is>
          <t>asignado</t>
        </is>
      </c>
      <c r="K1" s="0" t="inlineStr">
        <is>
          <t>puntajePrecio</t>
        </is>
      </c>
      <c r="L1" s="0" t="inlineStr">
        <is>
          <t>puntajeTotal</t>
        </is>
      </c>
      <c r="M1" s="0" t="inlineStr">
        <is>
          <t>reputacionEscalada</t>
        </is>
      </c>
      <c r="N1" s="0" t="inlineStr">
        <is>
          <t>porcentaje</t>
        </is>
      </c>
    </row>
    <row r="2">
      <c r="A2" s="0" t="n">
        <v>1</v>
      </c>
      <c r="B2" s="0" t="inlineStr">
        <is>
          <t>A</t>
        </is>
      </c>
      <c r="C2" s="0" t="inlineStr">
        <is>
          <t>SEG-01</t>
        </is>
      </c>
      <c r="D2" s="0" t="inlineStr">
        <is>
          <t>1|SEG-01</t>
        </is>
      </c>
      <c r="E2" s="0">
        <f>TRUE()</f>
        <v/>
      </c>
      <c r="F2" s="0">
        <f>IFERROR(('Lotes_Pipeline_sim3'!I2*'Lotes_Pipeline_sim3'!H2)/('Lotes_Pipeline_sim3'!H2),0)</f>
        <v/>
      </c>
      <c r="G2" s="0">
        <f>'Pipeline_sim3'!DY2</f>
        <v/>
      </c>
      <c r="H2" s="0">
        <f>ROUND(MIN(100,'Pipeline_sim3'!AI2*10),0)</f>
        <v/>
      </c>
      <c r="I2" s="0">
        <f>MAX(0,ROUNDDOWN(J2*'Pipeline_sim3'!AN2*1,0))</f>
        <v/>
      </c>
      <c r="J2" s="0">
        <f>IFERROR(ROUND(L2/SUMIF($D$2:$D$13,D2,$L$2:$L$13)*40*1,0),0)</f>
        <v/>
      </c>
      <c r="K2" s="0">
        <f>IFERROR(100*(_xlfn.MAXIFS($F$2:$F$13,$D$2:$D$13,D2,$E$2:$E$13,TRUE())-F2)/(_xlfn.MAXIFS($F$2:$F$13,$D$2:$D$13,D2,$E$2:$E$13,TRUE())-_xlfn.MINIFS($F$2:$F$13,$D$2:$D$13,D2,$E$2:$E$13,TRUE())),100)</f>
        <v/>
      </c>
      <c r="L2" s="0">
        <f>IF(E2,0.7*K2+0.2*G2*10+0.1*H2,0)</f>
        <v/>
      </c>
      <c r="M2" s="0">
        <f>G2*10</f>
        <v/>
      </c>
      <c r="N2" s="0">
        <f>IFERROR(L2/SUMIF($D$2:$D$13,D2,$L$2:$L$13),0)</f>
        <v/>
      </c>
    </row>
    <row r="3">
      <c r="A3" s="0" t="n">
        <v>1</v>
      </c>
      <c r="B3" s="0" t="inlineStr">
        <is>
          <t>B</t>
        </is>
      </c>
      <c r="C3" s="0" t="inlineStr">
        <is>
          <t>SEG-02</t>
        </is>
      </c>
      <c r="D3" s="0" t="inlineStr">
        <is>
          <t>1|SEG-02</t>
        </is>
      </c>
      <c r="E3" s="0">
        <f>TRUE()</f>
        <v/>
      </c>
      <c r="F3" s="0">
        <f>IFERROR(('Lotes_Pipeline_sim3'!I3*'Lotes_Pipeline_sim3'!H3)/('Lotes_Pipeline_sim3'!H3),0)</f>
        <v/>
      </c>
      <c r="G3" s="0">
        <f>'Pipeline_sim3'!DY3</f>
        <v/>
      </c>
      <c r="H3" s="0">
        <f>ROUND(MIN(100,'Pipeline_sim3'!AI3*10),0)</f>
        <v/>
      </c>
      <c r="I3" s="0">
        <f>MAX(0,ROUNDDOWN(J3*'Pipeline_sim3'!AN3*1.12,0))</f>
        <v/>
      </c>
      <c r="J3" s="0">
        <f>IFERROR(ROUND(L3/SUMIF($D$2:$D$13,D3,$L$2:$L$13)*40*1,0),0)</f>
        <v/>
      </c>
      <c r="K3" s="0">
        <f>100-ABS(F3-100)/100*100</f>
        <v/>
      </c>
      <c r="L3" s="0">
        <f>IF(E3,0.4*K3+0.35*G3*10+0.25*H3,0)</f>
        <v/>
      </c>
      <c r="M3" s="0">
        <f>G3*10</f>
        <v/>
      </c>
      <c r="N3" s="0">
        <f>IFERROR(L3/SUMIF($D$2:$D$13,D3,$L$2:$L$13),0)</f>
        <v/>
      </c>
    </row>
    <row r="4">
      <c r="A4" s="0" t="n">
        <v>1</v>
      </c>
      <c r="B4" s="0" t="inlineStr">
        <is>
          <t>C</t>
        </is>
      </c>
      <c r="C4" s="0" t="inlineStr">
        <is>
          <t>SEG-03</t>
        </is>
      </c>
      <c r="D4" s="0" t="inlineStr">
        <is>
          <t>1|SEG-03</t>
        </is>
      </c>
      <c r="E4" s="0">
        <f>TRUE()</f>
        <v/>
      </c>
      <c r="F4" s="0">
        <f>IFERROR(('Lotes_Pipeline_sim3'!I4*'Lotes_Pipeline_sim3'!H4)/('Lotes_Pipeline_sim3'!H4),0)</f>
        <v/>
      </c>
      <c r="G4" s="0">
        <f>'Pipeline_sim3'!DY4</f>
        <v/>
      </c>
      <c r="H4" s="0">
        <f>ROUND(MIN(100,'Pipeline_sim3'!AI4*10),0)</f>
        <v/>
      </c>
      <c r="I4" s="0">
        <f>MAX(0,ROUNDDOWN(J4*'Pipeline_sim3'!AN4*1.12,0))</f>
        <v/>
      </c>
      <c r="J4" s="0">
        <f>IFERROR(ROUND(L4/SUMIF($D$2:$D$13,D4,$L$2:$L$13)*40*1,0),0)</f>
        <v/>
      </c>
      <c r="K4" s="0">
        <f>100-ABS(F4-250)/250*100</f>
        <v/>
      </c>
      <c r="L4" s="0">
        <f>IF(E4,0.1*K4+0.5*G4*10+0.4*H4,0)</f>
        <v/>
      </c>
      <c r="M4" s="0">
        <f>G4*10</f>
        <v/>
      </c>
      <c r="N4" s="0">
        <f>IFERROR(L4/SUMIF($D$2:$D$13,D4,$L$2:$L$13),0)</f>
        <v/>
      </c>
    </row>
    <row r="5">
      <c r="A5" s="0" t="n">
        <v>1</v>
      </c>
      <c r="B5" s="0" t="inlineStr">
        <is>
          <t>D</t>
        </is>
      </c>
      <c r="C5" s="0" t="inlineStr">
        <is>
          <t>SEG-01</t>
        </is>
      </c>
      <c r="D5" s="0" t="inlineStr">
        <is>
          <t>1|SEG-01</t>
        </is>
      </c>
      <c r="E5" s="0">
        <f>TRUE()</f>
        <v/>
      </c>
      <c r="F5" s="0">
        <f>IFERROR(('Lotes_Pipeline_sim3'!I5*'Lotes_Pipeline_sim3'!H5)/('Lotes_Pipeline_sim3'!H5),0)</f>
        <v/>
      </c>
      <c r="G5" s="0">
        <f>'Pipeline_sim3'!DY5</f>
        <v/>
      </c>
      <c r="H5" s="0">
        <f>ROUND(MIN(100,'Pipeline_sim3'!AI5*10),0)</f>
        <v/>
      </c>
      <c r="I5" s="0">
        <f>MAX(0,ROUNDDOWN(J5*'Pipeline_sim3'!AN5*1.12,0))</f>
        <v/>
      </c>
      <c r="J5" s="0">
        <f>IFERROR(ROUND(L5/SUMIF($D$2:$D$13,D5,$L$2:$L$13)*40*1,0),0)</f>
        <v/>
      </c>
      <c r="K5" s="0">
        <f>IFERROR(100*(_xlfn.MAXIFS($F$2:$F$13,$D$2:$D$13,D5,$E$2:$E$13,TRUE())-F5)/(_xlfn.MAXIFS($F$2:$F$13,$D$2:$D$13,D5,$E$2:$E$13,TRUE())-_xlfn.MINIFS($F$2:$F$13,$D$2:$D$13,D5,$E$2:$E$13,TRUE())),100)</f>
        <v/>
      </c>
      <c r="L5" s="0">
        <f>IF(E5,0.7*K5+0.2*G5*10+0.1*H5,0)</f>
        <v/>
      </c>
      <c r="M5" s="0">
        <f>G5*10</f>
        <v/>
      </c>
      <c r="N5" s="0">
        <f>IFERROR(L5/SUMIF($D$2:$D$13,D5,$L$2:$L$13),0)</f>
        <v/>
      </c>
    </row>
    <row r="6">
      <c r="A6" s="0" t="n">
        <v>2</v>
      </c>
      <c r="B6" s="0" t="inlineStr">
        <is>
          <t>A</t>
        </is>
      </c>
      <c r="C6" s="0" t="inlineStr">
        <is>
          <t>SEG-01</t>
        </is>
      </c>
      <c r="D6" s="0" t="inlineStr">
        <is>
          <t>2|SEG-01</t>
        </is>
      </c>
      <c r="E6" s="0">
        <f>TRUE()</f>
        <v/>
      </c>
      <c r="F6" s="0">
        <f>IFERROR(('Lotes_Pipeline_sim3'!I6*'Lotes_Pipeline_sim3'!H6)/('Lotes_Pipeline_sim3'!H6),0)</f>
        <v/>
      </c>
      <c r="G6" s="0">
        <f>'Pipeline_sim3'!DY6</f>
        <v/>
      </c>
      <c r="H6" s="0">
        <f>ROUND(MIN(100,'Pipeline_sim3'!AI6*10),0)</f>
        <v/>
      </c>
      <c r="I6" s="0">
        <f>MAX(0,ROUNDDOWN(J6*'Pipeline_sim3'!AN6*1,0))</f>
        <v/>
      </c>
      <c r="J6" s="0">
        <f>IFERROR(ROUND(L6/SUMIF($D$2:$D$13,D6,$L$2:$L$13)*40*1,0),0)</f>
        <v/>
      </c>
      <c r="K6" s="0">
        <f>IFERROR(100*(_xlfn.MAXIFS($F$2:$F$13,$D$2:$D$13,D6,$E$2:$E$13,TRUE())-F6)/(_xlfn.MAXIFS($F$2:$F$13,$D$2:$D$13,D6,$E$2:$E$13,TRUE())-_xlfn.MINIFS($F$2:$F$13,$D$2:$D$13,D6,$E$2:$E$13,TRUE())),100)</f>
        <v/>
      </c>
      <c r="L6" s="0">
        <f>IF(E6,0.7*K6+0.2*G6*10+0.1*H6,0)</f>
        <v/>
      </c>
      <c r="M6" s="0">
        <f>G6*10</f>
        <v/>
      </c>
      <c r="N6" s="0">
        <f>IFERROR(L6/SUMIF($D$2:$D$13,D6,$L$2:$L$13),0)</f>
        <v/>
      </c>
    </row>
    <row r="7">
      <c r="A7" s="0" t="n">
        <v>2</v>
      </c>
      <c r="B7" s="0" t="inlineStr">
        <is>
          <t>B</t>
        </is>
      </c>
      <c r="C7" s="0" t="inlineStr">
        <is>
          <t>SEG-02</t>
        </is>
      </c>
      <c r="D7" s="0" t="inlineStr">
        <is>
          <t>2|SEG-02</t>
        </is>
      </c>
      <c r="E7" s="0">
        <f>TRUE()</f>
        <v/>
      </c>
      <c r="F7" s="0">
        <f>IFERROR(('Lotes_Pipeline_sim3'!I7*'Lotes_Pipeline_sim3'!H7)/('Lotes_Pipeline_sim3'!H7),0)</f>
        <v/>
      </c>
      <c r="G7" s="0">
        <f>'Pipeline_sim3'!DY7</f>
        <v/>
      </c>
      <c r="H7" s="0">
        <f>ROUND(MIN(100,'Pipeline_sim3'!AI7*10),0)</f>
        <v/>
      </c>
      <c r="I7" s="0">
        <f>MAX(0,ROUNDDOWN(J7*'Pipeline_sim3'!AN7*1.12,0))</f>
        <v/>
      </c>
      <c r="J7" s="0">
        <f>IFERROR(ROUND(L7/SUMIF($D$2:$D$13,D7,$L$2:$L$13)*40*1,0),0)</f>
        <v/>
      </c>
      <c r="K7" s="0">
        <f>100-ABS(F7-100)/100*100</f>
        <v/>
      </c>
      <c r="L7" s="0">
        <f>IF(E7,0.4*K7+0.35*G7*10+0.25*H7,0)</f>
        <v/>
      </c>
      <c r="M7" s="0">
        <f>G7*10</f>
        <v/>
      </c>
      <c r="N7" s="0">
        <f>IFERROR(L7/SUMIF($D$2:$D$13,D7,$L$2:$L$13),0)</f>
        <v/>
      </c>
    </row>
    <row r="8">
      <c r="A8" s="0" t="n">
        <v>2</v>
      </c>
      <c r="B8" s="0" t="inlineStr">
        <is>
          <t>C</t>
        </is>
      </c>
      <c r="C8" s="0" t="inlineStr">
        <is>
          <t>SEG-03</t>
        </is>
      </c>
      <c r="D8" s="0" t="inlineStr">
        <is>
          <t>2|SEG-03</t>
        </is>
      </c>
      <c r="E8" s="0">
        <f>TRUE()</f>
        <v/>
      </c>
      <c r="F8" s="0">
        <f>IFERROR(('Lotes_Pipeline_sim3'!I8*'Lotes_Pipeline_sim3'!H8)/('Lotes_Pipeline_sim3'!H8),0)</f>
        <v/>
      </c>
      <c r="G8" s="0">
        <f>'Pipeline_sim3'!DY8</f>
        <v/>
      </c>
      <c r="H8" s="0">
        <f>ROUND(MIN(100,'Pipeline_sim3'!AI8*10),0)</f>
        <v/>
      </c>
      <c r="I8" s="0">
        <f>MAX(0,ROUNDDOWN(J8*'Pipeline_sim3'!AN8*1.12,0))</f>
        <v/>
      </c>
      <c r="J8" s="0">
        <f>IFERROR(ROUND(L8/SUMIF($D$2:$D$13,D8,$L$2:$L$13)*40*1,0),0)</f>
        <v/>
      </c>
      <c r="K8" s="0">
        <f>100-ABS(F8-250)/250*100</f>
        <v/>
      </c>
      <c r="L8" s="0">
        <f>IF(E8,0.1*K8+0.5*G8*10+0.4*H8,0)</f>
        <v/>
      </c>
      <c r="M8" s="0">
        <f>G8*10</f>
        <v/>
      </c>
      <c r="N8" s="0">
        <f>IFERROR(L8/SUMIF($D$2:$D$13,D8,$L$2:$L$13),0)</f>
        <v/>
      </c>
    </row>
    <row r="9">
      <c r="A9" s="0" t="n">
        <v>2</v>
      </c>
      <c r="B9" s="0" t="inlineStr">
        <is>
          <t>D</t>
        </is>
      </c>
      <c r="C9" s="0" t="inlineStr">
        <is>
          <t>SEG-01</t>
        </is>
      </c>
      <c r="D9" s="0" t="inlineStr">
        <is>
          <t>2|SEG-01</t>
        </is>
      </c>
      <c r="E9" s="0">
        <f>TRUE()</f>
        <v/>
      </c>
      <c r="F9" s="0">
        <f>IFERROR(('Lotes_Pipeline_sim3'!I9*'Lotes_Pipeline_sim3'!H9)/('Lotes_Pipeline_sim3'!H9),0)</f>
        <v/>
      </c>
      <c r="G9" s="0">
        <f>'Pipeline_sim3'!DY9</f>
        <v/>
      </c>
      <c r="H9" s="0">
        <f>ROUND(MIN(100,'Pipeline_sim3'!AI9*10),0)</f>
        <v/>
      </c>
      <c r="I9" s="0">
        <f>MAX(0,ROUNDDOWN(J9*'Pipeline_sim3'!AN9*1.12,0))</f>
        <v/>
      </c>
      <c r="J9" s="0">
        <f>IFERROR(ROUND(L9/SUMIF($D$2:$D$13,D9,$L$2:$L$13)*40*1,0),0)</f>
        <v/>
      </c>
      <c r="K9" s="0">
        <f>IFERROR(100*(_xlfn.MAXIFS($F$2:$F$13,$D$2:$D$13,D9,$E$2:$E$13,TRUE())-F9)/(_xlfn.MAXIFS($F$2:$F$13,$D$2:$D$13,D9,$E$2:$E$13,TRUE())-_xlfn.MINIFS($F$2:$F$13,$D$2:$D$13,D9,$E$2:$E$13,TRUE())),100)</f>
        <v/>
      </c>
      <c r="L9" s="0">
        <f>IF(E9,0.7*K9+0.2*G9*10+0.1*H9,0)</f>
        <v/>
      </c>
      <c r="M9" s="0">
        <f>G9*10</f>
        <v/>
      </c>
      <c r="N9" s="0">
        <f>IFERROR(L9/SUMIF($D$2:$D$13,D9,$L$2:$L$13),0)</f>
        <v/>
      </c>
    </row>
    <row r="10">
      <c r="A10" s="0" t="n">
        <v>3</v>
      </c>
      <c r="B10" s="0" t="inlineStr">
        <is>
          <t>A</t>
        </is>
      </c>
      <c r="C10" s="0" t="inlineStr">
        <is>
          <t>SEG-01</t>
        </is>
      </c>
      <c r="D10" s="0" t="inlineStr">
        <is>
          <t>3|SEG-01</t>
        </is>
      </c>
      <c r="E10" s="0">
        <f>TRUE()</f>
        <v/>
      </c>
      <c r="F10" s="0">
        <f>IFERROR(('Lotes_Pipeline_sim3'!I10*'Lotes_Pipeline_sim3'!H10)/('Lotes_Pipeline_sim3'!H10),0)</f>
        <v/>
      </c>
      <c r="G10" s="0">
        <f>'Pipeline_sim3'!DY10</f>
        <v/>
      </c>
      <c r="H10" s="0">
        <f>ROUND(MIN(100,'Pipeline_sim3'!AI10*10),0)</f>
        <v/>
      </c>
      <c r="I10" s="0">
        <f>MAX(0,ROUNDDOWN(J10*'Pipeline_sim3'!AN10*1,0))</f>
        <v/>
      </c>
      <c r="J10" s="0">
        <f>IFERROR(ROUND(L10/SUMIF($D$2:$D$13,D10,$L$2:$L$13)*40*1,0),0)</f>
        <v/>
      </c>
      <c r="K10" s="0">
        <f>IFERROR(100*(_xlfn.MAXIFS($F$2:$F$13,$D$2:$D$13,D10,$E$2:$E$13,TRUE())-F10)/(_xlfn.MAXIFS($F$2:$F$13,$D$2:$D$13,D10,$E$2:$E$13,TRUE())-_xlfn.MINIFS($F$2:$F$13,$D$2:$D$13,D10,$E$2:$E$13,TRUE())),100)</f>
        <v/>
      </c>
      <c r="L10" s="0">
        <f>IF(E10,0.7*K10+0.2*G10*10+0.1*H10,0)</f>
        <v/>
      </c>
      <c r="M10" s="0">
        <f>G10*10</f>
        <v/>
      </c>
      <c r="N10" s="0">
        <f>IFERROR(L10/SUMIF($D$2:$D$13,D10,$L$2:$L$13),0)</f>
        <v/>
      </c>
    </row>
    <row r="11">
      <c r="A11" s="0" t="n">
        <v>3</v>
      </c>
      <c r="B11" s="0" t="inlineStr">
        <is>
          <t>B</t>
        </is>
      </c>
      <c r="C11" s="0" t="inlineStr">
        <is>
          <t>SEG-02</t>
        </is>
      </c>
      <c r="D11" s="0" t="inlineStr">
        <is>
          <t>3|SEG-02</t>
        </is>
      </c>
      <c r="E11" s="0">
        <f>TRUE()</f>
        <v/>
      </c>
      <c r="F11" s="0">
        <f>IFERROR(('Lotes_Pipeline_sim3'!I11*'Lotes_Pipeline_sim3'!H11)/('Lotes_Pipeline_sim3'!H11),0)</f>
        <v/>
      </c>
      <c r="G11" s="0">
        <f>'Pipeline_sim3'!DY11</f>
        <v/>
      </c>
      <c r="H11" s="0">
        <f>ROUND(MIN(100,'Pipeline_sim3'!AI11*10),0)</f>
        <v/>
      </c>
      <c r="I11" s="0">
        <f>MAX(0,ROUNDDOWN(J11*'Pipeline_sim3'!AN11*1.12,0))</f>
        <v/>
      </c>
      <c r="J11" s="0">
        <f>IFERROR(ROUND(L11/SUMIF($D$2:$D$13,D11,$L$2:$L$13)*40*1,0),0)</f>
        <v/>
      </c>
      <c r="K11" s="0">
        <f>100-ABS(F11-100)/100*100</f>
        <v/>
      </c>
      <c r="L11" s="0">
        <f>IF(E11,0.4*K11+0.35*G11*10+0.25*H11,0)</f>
        <v/>
      </c>
      <c r="M11" s="0">
        <f>G11*10</f>
        <v/>
      </c>
      <c r="N11" s="0">
        <f>IFERROR(L11/SUMIF($D$2:$D$13,D11,$L$2:$L$13),0)</f>
        <v/>
      </c>
    </row>
    <row r="12">
      <c r="A12" s="0" t="n">
        <v>3</v>
      </c>
      <c r="B12" s="0" t="inlineStr">
        <is>
          <t>C</t>
        </is>
      </c>
      <c r="C12" s="0" t="inlineStr">
        <is>
          <t>SEG-03</t>
        </is>
      </c>
      <c r="D12" s="0" t="inlineStr">
        <is>
          <t>3|SEG-03</t>
        </is>
      </c>
      <c r="E12" s="0">
        <f>TRUE()</f>
        <v/>
      </c>
      <c r="F12" s="0">
        <f>IFERROR(('Lotes_Pipeline_sim3'!I12*'Lotes_Pipeline_sim3'!H12)/('Lotes_Pipeline_sim3'!H12),0)</f>
        <v/>
      </c>
      <c r="G12" s="0">
        <f>'Pipeline_sim3'!DY12</f>
        <v/>
      </c>
      <c r="H12" s="0">
        <f>ROUND(MIN(100,'Pipeline_sim3'!AI12*10),0)</f>
        <v/>
      </c>
      <c r="I12" s="0">
        <f>MAX(0,ROUNDDOWN(J12*'Pipeline_sim3'!AN12*1.12,0))</f>
        <v/>
      </c>
      <c r="J12" s="0">
        <f>IFERROR(ROUND(L12/SUMIF($D$2:$D$13,D12,$L$2:$L$13)*40*1,0),0)</f>
        <v/>
      </c>
      <c r="K12" s="0">
        <f>100-ABS(F12-250)/250*100</f>
        <v/>
      </c>
      <c r="L12" s="0">
        <f>IF(E12,0.1*K12+0.5*G12*10+0.4*H12,0)</f>
        <v/>
      </c>
      <c r="M12" s="0">
        <f>G12*10</f>
        <v/>
      </c>
      <c r="N12" s="0">
        <f>IFERROR(L12/SUMIF($D$2:$D$13,D12,$L$2:$L$13),0)</f>
        <v/>
      </c>
    </row>
    <row r="13">
      <c r="A13" s="0" t="n">
        <v>3</v>
      </c>
      <c r="B13" s="0" t="inlineStr">
        <is>
          <t>D</t>
        </is>
      </c>
      <c r="C13" s="0" t="inlineStr">
        <is>
          <t>SEG-01</t>
        </is>
      </c>
      <c r="D13" s="0" t="inlineStr">
        <is>
          <t>3|SEG-01</t>
        </is>
      </c>
      <c r="E13" s="0">
        <f>TRUE()</f>
        <v/>
      </c>
      <c r="F13" s="0">
        <f>IFERROR(('Lotes_Pipeline_sim3'!I13*'Lotes_Pipeline_sim3'!H13)/('Lotes_Pipeline_sim3'!H13),0)</f>
        <v/>
      </c>
      <c r="G13" s="0">
        <f>'Pipeline_sim3'!DY13</f>
        <v/>
      </c>
      <c r="H13" s="0">
        <f>ROUND(MIN(100,'Pipeline_sim3'!AI13*10),0)</f>
        <v/>
      </c>
      <c r="I13" s="0">
        <f>MAX(0,ROUNDDOWN(J13*'Pipeline_sim3'!AN13*1.12,0))</f>
        <v/>
      </c>
      <c r="J13" s="0">
        <f>IFERROR(ROUND(L13/SUMIF($D$2:$D$13,D13,$L$2:$L$13)*40*1,0),0)</f>
        <v/>
      </c>
      <c r="K13" s="0">
        <f>IFERROR(100*(_xlfn.MAXIFS($F$2:$F$13,$D$2:$D$13,D13,$E$2:$E$13,TRUE())-F13)/(_xlfn.MAXIFS($F$2:$F$13,$D$2:$D$13,D13,$E$2:$E$13,TRUE())-_xlfn.MINIFS($F$2:$F$13,$D$2:$D$13,D13,$E$2:$E$13,TRUE())),100)</f>
        <v/>
      </c>
      <c r="L13" s="0">
        <f>IF(E13,0.7*K13+0.2*G13*10+0.1*H13,0)</f>
        <v/>
      </c>
      <c r="M13" s="0">
        <f>G13*10</f>
        <v/>
      </c>
      <c r="N13" s="0">
        <f>IFERROR(L13/SUMIF($D$2:$D$13,D13,$L$2:$L$13),0)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2026-07-18T23:06:01Z</dcterms:created>
  <dcterms:modified xmlns:dcterms="http://purl.org/dc/terms/" xmlns:xsi="http://www.w3.org/2001/XMLSchema-instance" xsi:type="dcterms:W3CDTF">2026-10-11T20:54:11Z</dcterms:modified>
</cp:coreProperties>
</file>