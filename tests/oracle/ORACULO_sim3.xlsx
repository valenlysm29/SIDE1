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3" sheetId="13" state="visible" r:id="rId13"/>
    <sheet xmlns:r="http://schemas.openxmlformats.org/officeDocument/2006/relationships" name="Catalogo_Numerico_sim3" sheetId="14" state="visible" r:id="rId14"/>
    <sheet xmlns:r="http://schemas.openxmlformats.org/officeDocument/2006/relationships" name="Lotes_Pipeline_sim3" sheetId="15" state="visible" r:id="rId15"/>
    <sheet xmlns:r="http://schemas.openxmlformats.org/officeDocument/2006/relationships" name="Mercados_Pipeline_sim3"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B11&gt;B10</f>
        <v/>
      </c>
      <c r="E7" s="186">
        <f>IF(D7,0.25*B13*MIN(1,IFERROR((B11-B10)/B10,0)),0)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W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 width="20" customWidth="1" style="184" min="157" max="157"/>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costoAnalista</t>
        </is>
      </c>
      <c r="ER1" s="0" t="inlineStr">
        <is>
          <t>costosTotales</t>
        </is>
      </c>
      <c r="ES1" s="0" t="inlineStr">
        <is>
          <t>utilidad</t>
        </is>
      </c>
      <c r="ET1" s="0" t="inlineStr">
        <is>
          <t>CONS-01</t>
        </is>
      </c>
      <c r="EU1" s="0" t="inlineStr">
        <is>
          <t>CONS-02</t>
        </is>
      </c>
      <c r="EV1" s="0" t="inlineStr">
        <is>
          <t>CONS-03</t>
        </is>
      </c>
      <c r="EW1" s="0" t="inlineStr">
        <is>
          <t>CONS-04</t>
        </is>
      </c>
      <c r="EX1" s="0" t="inlineStr">
        <is>
          <t>CONS-05</t>
        </is>
      </c>
      <c r="EY1" s="0" t="inlineStr">
        <is>
          <t>CONS-06</t>
        </is>
      </c>
      <c r="EZ1" s="0" t="inlineStr">
        <is>
          <t>CONS-07</t>
        </is>
      </c>
      <c r="FA1" s="0" t="inlineStr">
        <is>
          <t>CONS-08</t>
        </is>
      </c>
      <c r="FB1" t="inlineStr">
        <is>
          <t>capitalInicial</t>
        </is>
      </c>
      <c r="FC1" t="inlineStr">
        <is>
          <t>compraActivos</t>
        </is>
      </c>
      <c r="FD1" t="inlineStr">
        <is>
          <t>adquisicionNeta</t>
        </is>
      </c>
      <c r="FE1" t="inlineStr">
        <is>
          <t>valorCompradoNeto</t>
        </is>
      </c>
      <c r="FF1" t="inlineStr">
        <is>
          <t>valorInventarioNeto</t>
        </is>
      </c>
      <c r="FG1" t="inlineStr">
        <is>
          <t>cajaInicial</t>
        </is>
      </c>
      <c r="FH1" t="inlineStr">
        <is>
          <t>tasaNuevoPrestamo</t>
        </is>
      </c>
      <c r="FI1" t="inlineStr">
        <is>
          <t>interesMensual</t>
        </is>
      </c>
      <c r="FJ1" t="inlineStr">
        <is>
          <t>tasaMensual</t>
        </is>
      </c>
      <c r="FK1" t="inlineStr">
        <is>
          <t>intereses</t>
        </is>
      </c>
      <c r="FL1" t="inlineStr">
        <is>
          <t>pagosOperacion</t>
        </is>
      </c>
      <c r="FM1" t="inlineStr">
        <is>
          <t>cajaFinal</t>
        </is>
      </c>
      <c r="FN1" t="inlineStr">
        <is>
          <t>depreciacionAcumulada</t>
        </is>
      </c>
      <c r="FO1" t="inlineStr">
        <is>
          <t>activosCosto</t>
        </is>
      </c>
      <c r="FP1" t="inlineStr">
        <is>
          <t>activosFijos</t>
        </is>
      </c>
      <c r="FQ1" t="inlineStr">
        <is>
          <t>financial.estadoResultados.ingresos</t>
        </is>
      </c>
      <c r="FR1" t="inlineStr">
        <is>
          <t>financial.estadoResultados.ventasNetas</t>
        </is>
      </c>
      <c r="FS1" t="inlineStr">
        <is>
          <t>financial.estadoResultados.costos</t>
        </is>
      </c>
      <c r="FT1" t="inlineStr">
        <is>
          <t>financial.estadoResultados.utilidad</t>
        </is>
      </c>
      <c r="FU1" t="inlineStr">
        <is>
          <t>financial.estadoResultados.depreciacion</t>
        </is>
      </c>
      <c r="FV1" t="inlineStr">
        <is>
          <t>financial.estadoResultados.intereses</t>
        </is>
      </c>
      <c r="FW1" t="inlineStr">
        <is>
          <t>financial.estadoResultados.costosProduccion</t>
        </is>
      </c>
      <c r="FX1" t="inlineStr">
        <is>
          <t>financial.balanceCaja.cajaInicial</t>
        </is>
      </c>
      <c r="FY1" t="inlineStr">
        <is>
          <t>financial.balanceCaja.entradas</t>
        </is>
      </c>
      <c r="FZ1" t="inlineStr">
        <is>
          <t>financial.balanceCaja.salidas</t>
        </is>
      </c>
      <c r="GA1" t="inlineStr">
        <is>
          <t>financial.balanceCaja.cajaFinal</t>
        </is>
      </c>
      <c r="GB1" t="inlineStr">
        <is>
          <t>financial.flujoCaja.cajaInicial</t>
        </is>
      </c>
      <c r="GC1" t="inlineStr">
        <is>
          <t>financial.flujoCaja.cobrosVentas</t>
        </is>
      </c>
      <c r="GD1" t="inlineStr">
        <is>
          <t>financial.flujoCaja.pagosOperacion</t>
        </is>
      </c>
      <c r="GE1" t="inlineStr">
        <is>
          <t>financial.flujoCaja.compraActivos</t>
        </is>
      </c>
      <c r="GF1" t="inlineStr">
        <is>
          <t>financial.flujoCaja.financiamiento</t>
        </is>
      </c>
      <c r="GG1" t="inlineStr">
        <is>
          <t>financial.flujoCaja.operacion</t>
        </is>
      </c>
      <c r="GH1" t="inlineStr">
        <is>
          <t>financial.flujoCaja.inversion</t>
        </is>
      </c>
      <c r="GI1" t="inlineStr">
        <is>
          <t>financial.flujoCaja.flujoNeto</t>
        </is>
      </c>
      <c r="GJ1" t="inlineStr">
        <is>
          <t>financial.flujoCaja.cajaFinal</t>
        </is>
      </c>
      <c r="GK1" t="inlineStr">
        <is>
          <t>financial.balanceGeneral.efectivo</t>
        </is>
      </c>
      <c r="GL1" t="inlineStr">
        <is>
          <t>financial.balanceGeneral.activosFijos</t>
        </is>
      </c>
      <c r="GM1" t="inlineStr">
        <is>
          <t>financial.balanceGeneral.inventarioMP</t>
        </is>
      </c>
      <c r="GN1" t="inlineStr">
        <is>
          <t>financial.balanceGeneral.activos</t>
        </is>
      </c>
      <c r="GO1" t="inlineStr">
        <is>
          <t>financial.balanceGeneral.deuda</t>
        </is>
      </c>
      <c r="GP1" t="inlineStr">
        <is>
          <t>financial.balanceGeneral.patrimonio</t>
        </is>
      </c>
      <c r="GQ1" t="inlineStr">
        <is>
          <t>financial.balanceGeneral.pasivoPatrimonio</t>
        </is>
      </c>
      <c r="GR1" t="inlineStr">
        <is>
          <t>financial.financiamiento.montoPrestamo</t>
        </is>
      </c>
      <c r="GS1" t="inlineStr">
        <is>
          <t>financial.financiamiento.tasaTEA</t>
        </is>
      </c>
      <c r="GT1" t="inlineStr">
        <is>
          <t>financial.financiamiento.deudaPrincipal</t>
        </is>
      </c>
      <c r="GU1" t="inlineStr">
        <is>
          <t>financial.financiamiento.tasaAdicionalProximoPrestamo</t>
        </is>
      </c>
      <c r="GV1" t="inlineStr">
        <is>
          <t>financial.financiamiento.tasaMensual</t>
        </is>
      </c>
      <c r="GW1" t="inlineStr">
        <is>
          <t>financial.financiamiento.intereses</t>
        </is>
      </c>
    </row>
    <row r="2">
      <c r="A2" s="0" t="n">
        <v>1</v>
      </c>
      <c r="B2" s="0" t="inlineStr">
        <is>
          <t>A</t>
        </is>
      </c>
      <c r="C2" s="0" t="inlineStr">
        <is>
          <t>1|SEG-01</t>
        </is>
      </c>
      <c r="D2" s="0" t="inlineStr">
        <is>
          <t>SEG-01</t>
        </is>
      </c>
      <c r="E2" s="0" t="inlineStr">
        <is>
          <t>INF-08</t>
        </is>
      </c>
      <c r="F2" s="0" t="inlineStr">
        <is>
          <t>INS-01</t>
        </is>
      </c>
      <c r="G2" s="0" t="inlineStr">
        <is>
          <t>INS-04</t>
        </is>
      </c>
      <c r="H2" s="0" t="inlineStr">
        <is>
          <t>INS-06</t>
        </is>
      </c>
      <c r="I2" s="0" t="n">
        <v>200</v>
      </c>
      <c r="J2" s="0" t="n">
        <v>40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COM-06B</t>
        </is>
      </c>
      <c r="X2" s="0" t="inlineStr"/>
      <c r="Y2" s="0" t="inlineStr"/>
      <c r="Z2" s="0" t="inlineStr"/>
      <c r="AA2" s="0" t="inlineStr"/>
      <c r="AB2" s="0" t="inlineStr"/>
      <c r="AC2" s="0" t="inlineStr"/>
      <c r="AD2" s="0" t="inlineStr"/>
      <c r="AE2" s="0" t="inlineStr"/>
      <c r="AF2" s="0">
        <f>IFERROR(INDEX('Catalogo_Numerico_sim3'!$I$2:$I$69,MATCH(N2,'Catalogo_Numerico_sim3'!$A$2:$A$69,0)),0)+IFERROR(INDEX('Catalogo_Numerico_sim3'!$I$2:$I$69,MATCH(O2,'Catalogo_Numerico_sim3'!$A$2:$A$69,0)),0)+IFERROR(INDEX('Catalogo_Numerico_sim3'!$I$2:$I$69,MATCH(P2,'Catalogo_Numerico_sim3'!$A$2:$A$69,0)),0)+IFERROR(INDEX('Catalogo_Numerico_sim3'!$I$2:$I$69,MATCH(Q2,'Catalogo_Numerico_sim3'!$A$2:$A$69,0)),0)+IFERROR(INDEX('Catalogo_Numerico_sim3'!$I$2:$I$69,MATCH(R2,'Catalogo_Numerico_sim3'!$A$2:$A$69,0)),0)+IFERROR(INDEX('Catalogo_Numerico_sim3'!$I$2:$I$69,MATCH(S2,'Catalogo_Numerico_sim3'!$A$2:$A$69,0)),0)+IFERROR(INDEX('Catalogo_Numerico_sim3'!$I$2:$I$69,MATCH(T2,'Catalogo_Numerico_sim3'!$A$2:$A$69,0)),0)+IFERROR(INDEX('Catalogo_Numerico_sim3'!$I$2:$I$69,MATCH(U2,'Catalogo_Numerico_sim3'!$A$2:$A$69,0)),0)+IFERROR(INDEX('Catalogo_Numerico_sim3'!$I$2:$I$69,MATCH(V2,'Catalogo_Numerico_sim3'!$A$2:$A$69,0)),0)+IFERROR(INDEX('Catalogo_Numerico_sim3'!$I$2:$I$69,MATCH(W2,'Catalogo_Numerico_sim3'!$A$2:$A$69,0)),0)</f>
        <v/>
      </c>
      <c r="AG2" s="0">
        <f>IFERROR(INDEX('Catalogo_Numerico_sim3'!$J$2:$J$69,MATCH(N2,'Catalogo_Numerico_sim3'!$A$2:$A$69,0)),0)+IFERROR(INDEX('Catalogo_Numerico_sim3'!$J$2:$J$69,MATCH(O2,'Catalogo_Numerico_sim3'!$A$2:$A$69,0)),0)+IFERROR(INDEX('Catalogo_Numerico_sim3'!$J$2:$J$69,MATCH(P2,'Catalogo_Numerico_sim3'!$A$2:$A$69,0)),0)+IFERROR(INDEX('Catalogo_Numerico_sim3'!$J$2:$J$69,MATCH(Q2,'Catalogo_Numerico_sim3'!$A$2:$A$69,0)),0)+IFERROR(INDEX('Catalogo_Numerico_sim3'!$J$2:$J$69,MATCH(R2,'Catalogo_Numerico_sim3'!$A$2:$A$69,0)),0)+IFERROR(INDEX('Catalogo_Numerico_sim3'!$J$2:$J$69,MATCH(S2,'Catalogo_Numerico_sim3'!$A$2:$A$69,0)),0)+IFERROR(INDEX('Catalogo_Numerico_sim3'!$J$2:$J$69,MATCH(T2,'Catalogo_Numerico_sim3'!$A$2:$A$69,0)),0)+IFERROR(INDEX('Catalogo_Numerico_sim3'!$J$2:$J$69,MATCH(U2,'Catalogo_Numerico_sim3'!$A$2:$A$69,0)),0)+IFERROR(INDEX('Catalogo_Numerico_sim3'!$J$2:$J$69,MATCH(V2,'Catalogo_Numerico_sim3'!$A$2:$A$69,0)),0)+IFERROR(INDEX('Catalogo_Numerico_sim3'!$J$2:$J$69,MATCH(W2,'Catalogo_Numerico_sim3'!$A$2:$A$69,0)),0)</f>
        <v/>
      </c>
      <c r="AH2" s="0">
        <f>IFERROR(INDEX('Catalogo_Numerico_sim3'!$K$2:$K$69,MATCH(N2,'Catalogo_Numerico_sim3'!$A$2:$A$69,0)),0)+IFERROR(INDEX('Catalogo_Numerico_sim3'!$K$2:$K$69,MATCH(O2,'Catalogo_Numerico_sim3'!$A$2:$A$69,0)),0)+IFERROR(INDEX('Catalogo_Numerico_sim3'!$K$2:$K$69,MATCH(P2,'Catalogo_Numerico_sim3'!$A$2:$A$69,0)),0)+IFERROR(INDEX('Catalogo_Numerico_sim3'!$K$2:$K$69,MATCH(Q2,'Catalogo_Numerico_sim3'!$A$2:$A$69,0)),0)+IFERROR(INDEX('Catalogo_Numerico_sim3'!$K$2:$K$69,MATCH(R2,'Catalogo_Numerico_sim3'!$A$2:$A$69,0)),0)+IFERROR(INDEX('Catalogo_Numerico_sim3'!$K$2:$K$69,MATCH(S2,'Catalogo_Numerico_sim3'!$A$2:$A$69,0)),0)+IFERROR(INDEX('Catalogo_Numerico_sim3'!$K$2:$K$69,MATCH(T2,'Catalogo_Numerico_sim3'!$A$2:$A$69,0)),0)+IFERROR(INDEX('Catalogo_Numerico_sim3'!$K$2:$K$69,MATCH(U2,'Catalogo_Numerico_sim3'!$A$2:$A$69,0)),0)+IFERROR(INDEX('Catalogo_Numerico_sim3'!$K$2:$K$69,MATCH(V2,'Catalogo_Numerico_sim3'!$A$2:$A$69,0)),0)+IFERROR(INDEX('Catalogo_Numerico_sim3'!$K$2:$K$69,MATCH(W2,'Catalogo_Numerico_sim3'!$A$2:$A$69,0)),0)</f>
        <v/>
      </c>
      <c r="AI2" s="0">
        <f>IFERROR(('Lotes_Pipeline_sim3'!H2*'Lotes_Pipeline_sim3'!J2)/I2,0)</f>
        <v/>
      </c>
      <c r="AJ2" s="0">
        <f>IF(OR(AND('Lotes_Pipeline_sim3'!C2="SEG-03",'Lotes_Pipeline_sim3'!H2&gt;0,'Lotes_Pipeline_sim3'!J2&lt;4)),-2,0)+IF(OR(AND('Lotes_Pipeline_sim3'!C2="SEG-03",'Lotes_Pipeline_sim3'!H2&gt;0,'Lotes_Pipeline_sim3'!J2&gt;=7)),2,0)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f>
        <v/>
      </c>
      <c r="CE2" s="0">
        <f>ROUND(CD2*CB2,0)</f>
        <v/>
      </c>
      <c r="CF2" s="0" t="n">
        <v>300</v>
      </c>
      <c r="CG2" s="0">
        <f>0+CF2</f>
        <v/>
      </c>
      <c r="CH2" s="0" t="n">
        <v>0</v>
      </c>
      <c r="CI2" s="0">
        <f>0+CH2</f>
        <v/>
      </c>
      <c r="CJ2" s="0" t="n">
        <v>0</v>
      </c>
      <c r="CK2" s="0">
        <f>0+CJ2</f>
        <v/>
      </c>
      <c r="CL2" s="0" t="n">
        <v>1000</v>
      </c>
      <c r="CM2" s="0">
        <f>0+CL2</f>
        <v/>
      </c>
      <c r="CN2" s="0" t="n">
        <v>0</v>
      </c>
      <c r="CO2" s="0">
        <f>0+CN2</f>
        <v/>
      </c>
      <c r="CP2" s="0" t="n">
        <v>6000</v>
      </c>
      <c r="CQ2" s="0">
        <f>0+CP2</f>
        <v/>
      </c>
      <c r="CR2" s="0" t="n">
        <v>0</v>
      </c>
      <c r="CS2" s="0">
        <f>0+CR2</f>
        <v/>
      </c>
      <c r="CT2" s="0" t="n">
        <v>0</v>
      </c>
      <c r="CU2" s="0">
        <f>0+CT2</f>
        <v/>
      </c>
      <c r="CV2" s="0">
        <f>(CG2)/0.3</f>
        <v/>
      </c>
      <c r="CW2" s="0">
        <f>(CM2)/1</f>
        <v/>
      </c>
      <c r="CX2" s="0">
        <f>(CQ2)/6</f>
        <v/>
      </c>
      <c r="CY2" s="0">
        <f>ROUNDDOWN(MIN(I2,CE2,CV2,CW2,CX2),0)</f>
        <v/>
      </c>
      <c r="CZ2" s="0">
        <f>'Lotes_Pipeline_sim3'!U2</f>
        <v/>
      </c>
      <c r="DA2" s="0">
        <f>DB2+DD2+DF2</f>
        <v/>
      </c>
      <c r="DB2" s="0">
        <f>'Lotes_Pipeline_sim3'!X2</f>
        <v/>
      </c>
      <c r="DC2" s="0">
        <f>CG2-DB2</f>
        <v/>
      </c>
      <c r="DD2" s="0">
        <f>'Lotes_Pipeline_sim3'!AA2</f>
        <v/>
      </c>
      <c r="DE2" s="0">
        <f>CI2-DD2</f>
        <v/>
      </c>
      <c r="DF2" s="0">
        <f>'Lotes_Pipeline_sim3'!AD2</f>
        <v/>
      </c>
      <c r="DG2" s="0">
        <f>CK2-DF2</f>
        <v/>
      </c>
      <c r="DH2" s="0">
        <f>DI2+DK2</f>
        <v/>
      </c>
      <c r="DI2" s="0">
        <f>'Lotes_Pipeline_sim3'!AG2</f>
        <v/>
      </c>
      <c r="DJ2" s="0">
        <f>CM2-DI2</f>
        <v/>
      </c>
      <c r="DK2" s="0">
        <f>'Lotes_Pipeline_sim3'!AJ2</f>
        <v/>
      </c>
      <c r="DL2" s="0">
        <f>CO2-DK2</f>
        <v/>
      </c>
      <c r="DM2" s="0">
        <f>DN2+DP2+DR2</f>
        <v/>
      </c>
      <c r="DN2" s="0">
        <f>'Lotes_Pipeline_sim3'!AM2</f>
        <v/>
      </c>
      <c r="DO2" s="0">
        <f>CQ2-DN2</f>
        <v/>
      </c>
      <c r="DP2" s="0">
        <f>'Lotes_Pipeline_sim3'!AP2</f>
        <v/>
      </c>
      <c r="DQ2" s="0">
        <f>CS2-DP2</f>
        <v/>
      </c>
      <c r="DR2" s="0">
        <f>'Lotes_Pipeline_sim3'!AS2</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(DB2*25+DD2*45+DF2*80+DI2*4+DK2*9+DN2*2+DP2*4+DR2*7)*0.92</f>
        <v/>
      </c>
      <c r="DV2" s="0">
        <f>1*2500*0.05/12*1+1*3500*0.05/12*1+1*1200*0.05/12*1+1*300*0.05/12*1</f>
        <v/>
      </c>
      <c r="DW2" s="0">
        <f>1*(2375.0/10/12*1)+1*(3325.0/10/12*1)+1*(1140.0/8/12*1)+1*(285.0/5/12*1)</f>
        <v/>
      </c>
      <c r="DX2" s="0">
        <f>IFERROR((0)/CZ2,0)*10+IFERROR(CA2/BZ2,0)*10+(IFERROR(DF2/(DB2+DD2+DF2),0)+IFERROR(DK2/(DI2+DK2),0)+IFERROR(DR2/(DP2+DR2),0))/3*10+L2/10000*10</f>
        <v/>
      </c>
      <c r="DY2" s="0">
        <f>DX2+AJ2</f>
        <v/>
      </c>
      <c r="DZ2" s="0">
        <f>0+CZ2</f>
        <v/>
      </c>
      <c r="EA2" s="0" t="n">
        <v>40</v>
      </c>
      <c r="EB2" s="0" t="n">
        <v>0</v>
      </c>
      <c r="EC2" s="0">
        <f>'Lotes_Pipeline_sim3'!AY2</f>
        <v/>
      </c>
      <c r="ED2" s="0">
        <f>IF(D2="SEG-01",IFERROR(100*(_xlfn.MAXIFS($J$2:$J$13,$C$2:$C$13,C2)-J2)/(_xlfn.MAXIFS($J$2:$J$13,$C$2:$C$13,C2)-_xlfn.MINIFS($J$2:$J$13,$C$2:$C$13,C2)),100),100-ABS(J2-EB2)/EB2*100)</f>
        <v/>
      </c>
      <c r="EE2" s="0">
        <f>IFERROR(ROUND(DY2/SUMIF($C$2:$C$13,"1|SEG-01",$DY$2:$DY$13)*100,0),0)</f>
        <v/>
      </c>
      <c r="EF2" s="0">
        <f>0.7*ED2+0.2*DY2*10+0.1*EE2</f>
        <v/>
      </c>
      <c r="EG2" s="0">
        <f>IFERROR(EF2/SUMIF($C$2:$C$13,C2,$EF$2:$EF$13),0)</f>
        <v/>
      </c>
      <c r="EH2" s="0">
        <f>'Mercados_Pipeline_sim3'!J2</f>
        <v/>
      </c>
      <c r="EI2" s="0">
        <f>'Mercados_Pipeline_sim3'!I2</f>
        <v/>
      </c>
      <c r="EJ2" s="0">
        <f>'Lotes_Pipeline_sim3'!AW2</f>
        <v/>
      </c>
      <c r="EK2" s="0">
        <f>'Lotes_Pipeline_sim3'!AX2</f>
        <v/>
      </c>
      <c r="EL2" s="0">
        <f>EC2*2</f>
        <v/>
      </c>
      <c r="EM2" s="0">
        <f>IF(CZ2&gt;CE2,0.25*DT2*IFERROR(MIN(1,(CZ2-CE2)/CE2),1),0)</f>
        <v/>
      </c>
      <c r="EN2" s="0">
        <f>0</f>
        <v/>
      </c>
      <c r="EO2" s="0">
        <f>(IFERROR(INDEX('Catalogo_Numerico_sim3'!$G$2:$G$69,MATCH("COM-01C",'Catalogo_Numerico_sim3'!$A$2:$A$69,0)),0))*1</f>
        <v/>
      </c>
      <c r="EP2" s="0">
        <f>0</f>
        <v/>
      </c>
      <c r="EQ2" s="0" t="n">
        <v>0</v>
      </c>
      <c r="ER2" s="0">
        <f>DT2+DU2+DV2+DW2+L2+EL2+EM2+EN2+EO2+EP2+EQ2</f>
        <v/>
      </c>
      <c r="ES2" s="0">
        <f>EK2-ER2</f>
        <v/>
      </c>
      <c r="ET2" s="0">
        <f>OR(AND('Lotes_Pipeline_sim3'!C2="SEG-03",'Lotes_Pipeline_sim3'!H2&gt;0,'Lotes_Pipeline_sim3'!J2&lt;4))</f>
        <v/>
      </c>
      <c r="EU2" s="0">
        <f>OR(AND('Lotes_Pipeline_sim3'!C2="SEG-03",'Lotes_Pipeline_sim3'!H2&gt;0,'Lotes_Pipeline_sim3'!J2&gt;=7))</f>
        <v/>
      </c>
      <c r="EV2" s="0">
        <f>AF2&lt;4</f>
        <v/>
      </c>
      <c r="EW2" s="0">
        <f>AM2&gt;=2</f>
        <v/>
      </c>
      <c r="EX2" s="0">
        <f>AH2&lt;3</f>
        <v/>
      </c>
      <c r="EY2" s="0">
        <f>CZ2&gt;CE2</f>
        <v/>
      </c>
      <c r="EZ2" s="0">
        <f>CZ2&gt;EJ2</f>
        <v/>
      </c>
      <c r="FA2" s="0">
        <f>AND(K2=0,AF2&lt;5)</f>
        <v/>
      </c>
      <c r="FB2" t="n">
        <v>1000000</v>
      </c>
      <c r="FC2">
        <f>1*2500*(1+0.03+0.02)+1*3500*(1+0.03+0.02)+1*1200*(1+0.03+0.02)+1*300*(1+0+0.01)</f>
        <v/>
      </c>
      <c r="FD2">
        <f>1*2500+1*3500+1*1200+1*300</f>
        <v/>
      </c>
      <c r="FE2">
        <f>(CF2*25+CH2*45+CJ2*80+CL2*4+CN2*9+CP2*2+CR2*4+CT2*7)*0.92</f>
        <v/>
      </c>
      <c r="FF2">
        <f>(DC2*25+DE2*45+DG2*80+DJ2*4+DL2*9+DO2*2+DQ2*4+DS2*7)*0.92</f>
        <v/>
      </c>
      <c r="FG2">
        <f>FB2</f>
        <v/>
      </c>
      <c r="FH2">
        <f>(1+AR2/100)^(1/12)-1</f>
        <v/>
      </c>
      <c r="FI2">
        <f>0*0+AP2*FH2</f>
        <v/>
      </c>
      <c r="FJ2">
        <f>IFERROR(FI2/(0+AP2),0)</f>
        <v/>
      </c>
      <c r="FK2">
        <f>FI2*1</f>
        <v/>
      </c>
      <c r="FL2">
        <f>ER2-DW2-DU2+FE2+FK2</f>
        <v/>
      </c>
      <c r="FM2">
        <f>FG2+EK2+AP2-FL2-FC2</f>
        <v/>
      </c>
      <c r="FN2">
        <f>0+DW2</f>
        <v/>
      </c>
      <c r="FO2">
        <f>0+FD2</f>
        <v/>
      </c>
      <c r="FP2">
        <f>FO2-FN2</f>
        <v/>
      </c>
      <c r="FQ2">
        <f>EK2</f>
        <v/>
      </c>
      <c r="FR2">
        <f>EK2</f>
        <v/>
      </c>
      <c r="FS2">
        <f>ER2+FK2</f>
        <v/>
      </c>
      <c r="FT2">
        <f>ES2-FK2</f>
        <v/>
      </c>
      <c r="FU2">
        <f>DW2</f>
        <v/>
      </c>
      <c r="FV2">
        <f>FK2</f>
        <v/>
      </c>
      <c r="FW2">
        <f>ER2</f>
        <v/>
      </c>
      <c r="FX2">
        <f>FG2</f>
        <v/>
      </c>
      <c r="FY2">
        <f>EK2+AP2</f>
        <v/>
      </c>
      <c r="FZ2">
        <f>FL2+FC2</f>
        <v/>
      </c>
      <c r="GA2">
        <f>FM2</f>
        <v/>
      </c>
      <c r="GB2">
        <f>FG2</f>
        <v/>
      </c>
      <c r="GC2">
        <f>EK2</f>
        <v/>
      </c>
      <c r="GD2">
        <f>FL2</f>
        <v/>
      </c>
      <c r="GE2">
        <f>FC2</f>
        <v/>
      </c>
      <c r="GF2">
        <f>AP2</f>
        <v/>
      </c>
      <c r="GG2">
        <f>EK2-FL2</f>
        <v/>
      </c>
      <c r="GH2">
        <f>-FC2</f>
        <v/>
      </c>
      <c r="GI2">
        <f>FM2-FG2</f>
        <v/>
      </c>
      <c r="GJ2">
        <f>FM2</f>
        <v/>
      </c>
      <c r="GK2">
        <f>FM2</f>
        <v/>
      </c>
      <c r="GL2">
        <f>FP2</f>
        <v/>
      </c>
      <c r="GM2">
        <f>FF2</f>
        <v/>
      </c>
      <c r="GN2">
        <f>FM2+FP2+FF2</f>
        <v/>
      </c>
      <c r="GO2">
        <f>AS2</f>
        <v/>
      </c>
      <c r="GP2">
        <f>FM2+FP2+FF2-AS2</f>
        <v/>
      </c>
      <c r="GQ2">
        <f>FM2+FP2+FF2</f>
        <v/>
      </c>
      <c r="GR2">
        <f>AP2</f>
        <v/>
      </c>
      <c r="GS2">
        <f>AR2</f>
        <v/>
      </c>
      <c r="GT2">
        <f>AS2</f>
        <v/>
      </c>
      <c r="GU2">
        <f>AT2</f>
        <v/>
      </c>
      <c r="GV2">
        <f>FJ2</f>
        <v/>
      </c>
      <c r="GW2">
        <f>FK2</f>
        <v/>
      </c>
    </row>
    <row r="3">
      <c r="A3" s="0" t="n">
        <v>1</v>
      </c>
      <c r="B3" s="0" t="inlineStr">
        <is>
          <t>B</t>
        </is>
      </c>
      <c r="C3" s="0" t="inlineStr">
        <is>
          <t>1|SEG-02</t>
        </is>
      </c>
      <c r="D3" s="0" t="inlineStr">
        <is>
          <t>SEG-02</t>
        </is>
      </c>
      <c r="E3" s="0" t="inlineStr">
        <is>
          <t>INF-09</t>
        </is>
      </c>
      <c r="F3" s="0" t="inlineStr">
        <is>
          <t>INS-02</t>
        </is>
      </c>
      <c r="G3" s="0" t="inlineStr">
        <is>
          <t>INS-04</t>
        </is>
      </c>
      <c r="H3" s="0" t="inlineStr">
        <is>
          <t>INS-07</t>
        </is>
      </c>
      <c r="I3" s="0" t="n">
        <v>200</v>
      </c>
      <c r="J3" s="0" t="n">
        <v>110</v>
      </c>
      <c r="K3" s="0" t="n">
        <v>1</v>
      </c>
      <c r="L3" s="0" t="n">
        <v>6000</v>
      </c>
      <c r="M3" s="0" t="inlineStr">
        <is>
          <t>MYPE</t>
        </is>
      </c>
      <c r="N3" s="0" t="inlineStr">
        <is>
          <t>INF-03</t>
        </is>
      </c>
      <c r="O3" s="0" t="inlineStr">
        <is>
          <t>INF-06</t>
        </is>
      </c>
      <c r="P3" s="0" t="inlineStr">
        <is>
          <t>INF-09</t>
        </is>
      </c>
      <c r="Q3" s="0" t="inlineStr">
        <is>
          <t>RH-02</t>
        </is>
      </c>
      <c r="R3" s="0" t="inlineStr">
        <is>
          <t>RH-05</t>
        </is>
      </c>
      <c r="S3" s="0" t="inlineStr">
        <is>
          <t>RH-08</t>
        </is>
      </c>
      <c r="T3" s="0" t="inlineStr">
        <is>
          <t>RH-10A</t>
        </is>
      </c>
      <c r="U3" s="0" t="inlineStr">
        <is>
          <t>COM-01C</t>
        </is>
      </c>
      <c r="V3" s="0" t="inlineStr">
        <is>
          <t>FIN-01B</t>
        </is>
      </c>
      <c r="W3" s="0" t="inlineStr">
        <is>
          <t>INV-01B</t>
        </is>
      </c>
      <c r="X3" s="0" t="inlineStr">
        <is>
          <t>COM-06B</t>
        </is>
      </c>
      <c r="Y3" s="0" t="inlineStr">
        <is>
          <t>INV-02B</t>
        </is>
      </c>
      <c r="Z3" s="0" t="inlineStr"/>
      <c r="AA3" s="0" t="inlineStr"/>
      <c r="AB3" s="0" t="inlineStr"/>
      <c r="AC3" s="0" t="inlineStr"/>
      <c r="AD3" s="0" t="inlineStr"/>
      <c r="AE3" s="0" t="inlineStr"/>
      <c r="AF3" s="0">
        <f>IFERROR(INDEX('Catalogo_Numerico_sim3'!$I$2:$I$69,MATCH(N3,'Catalogo_Numerico_sim3'!$A$2:$A$69,0)),0)+IFERROR(INDEX('Catalogo_Numerico_sim3'!$I$2:$I$69,MATCH(O3,'Catalogo_Numerico_sim3'!$A$2:$A$69,0)),0)+IFERROR(INDEX('Catalogo_Numerico_sim3'!$I$2:$I$69,MATCH(P3,'Catalogo_Numerico_sim3'!$A$2:$A$69,0)),0)+IFERROR(INDEX('Catalogo_Numerico_sim3'!$I$2:$I$69,MATCH(Q3,'Catalogo_Numerico_sim3'!$A$2:$A$69,0)),0)+IFERROR(INDEX('Catalogo_Numerico_sim3'!$I$2:$I$69,MATCH(R3,'Catalogo_Numerico_sim3'!$A$2:$A$69,0)),0)+IFERROR(INDEX('Catalogo_Numerico_sim3'!$I$2:$I$69,MATCH(S3,'Catalogo_Numerico_sim3'!$A$2:$A$69,0)),0)+IFERROR(INDEX('Catalogo_Numerico_sim3'!$I$2:$I$69,MATCH(T3,'Catalogo_Numerico_sim3'!$A$2:$A$69,0)),0)+IFERROR(INDEX('Catalogo_Numerico_sim3'!$I$2:$I$69,MATCH(U3,'Catalogo_Numerico_sim3'!$A$2:$A$69,0)),0)+IFERROR(INDEX('Catalogo_Numerico_sim3'!$I$2:$I$69,MATCH(V3,'Catalogo_Numerico_sim3'!$A$2:$A$69,0)),0)+IFERROR(INDEX('Catalogo_Numerico_sim3'!$I$2:$I$69,MATCH(W3,'Catalogo_Numerico_sim3'!$A$2:$A$69,0)),0)+IFERROR(INDEX('Catalogo_Numerico_sim3'!$I$2:$I$69,MATCH(X3,'Catalogo_Numerico_sim3'!$A$2:$A$69,0)),0)+IFERROR(INDEX('Catalogo_Numerico_sim3'!$I$2:$I$69,MATCH(Y3,'Catalogo_Numerico_sim3'!$A$2:$A$69,0)),0)</f>
        <v/>
      </c>
      <c r="AG3" s="0">
        <f>IFERROR(INDEX('Catalogo_Numerico_sim3'!$J$2:$J$69,MATCH(N3,'Catalogo_Numerico_sim3'!$A$2:$A$69,0)),0)+IFERROR(INDEX('Catalogo_Numerico_sim3'!$J$2:$J$69,MATCH(O3,'Catalogo_Numerico_sim3'!$A$2:$A$69,0)),0)+IFERROR(INDEX('Catalogo_Numerico_sim3'!$J$2:$J$69,MATCH(P3,'Catalogo_Numerico_sim3'!$A$2:$A$69,0)),0)+IFERROR(INDEX('Catalogo_Numerico_sim3'!$J$2:$J$69,MATCH(Q3,'Catalogo_Numerico_sim3'!$A$2:$A$69,0)),0)+IFERROR(INDEX('Catalogo_Numerico_sim3'!$J$2:$J$69,MATCH(R3,'Catalogo_Numerico_sim3'!$A$2:$A$69,0)),0)+IFERROR(INDEX('Catalogo_Numerico_sim3'!$J$2:$J$69,MATCH(S3,'Catalogo_Numerico_sim3'!$A$2:$A$69,0)),0)+IFERROR(INDEX('Catalogo_Numerico_sim3'!$J$2:$J$69,MATCH(T3,'Catalogo_Numerico_sim3'!$A$2:$A$69,0)),0)+IFERROR(INDEX('Catalogo_Numerico_sim3'!$J$2:$J$69,MATCH(U3,'Catalogo_Numerico_sim3'!$A$2:$A$69,0)),0)+IFERROR(INDEX('Catalogo_Numerico_sim3'!$J$2:$J$69,MATCH(V3,'Catalogo_Numerico_sim3'!$A$2:$A$69,0)),0)+IFERROR(INDEX('Catalogo_Numerico_sim3'!$J$2:$J$69,MATCH(W3,'Catalogo_Numerico_sim3'!$A$2:$A$69,0)),0)+IFERROR(INDEX('Catalogo_Numerico_sim3'!$J$2:$J$69,MATCH(X3,'Catalogo_Numerico_sim3'!$A$2:$A$69,0)),0)+IFERROR(INDEX('Catalogo_Numerico_sim3'!$J$2:$J$69,MATCH(Y3,'Catalogo_Numerico_sim3'!$A$2:$A$69,0)),0)</f>
        <v/>
      </c>
      <c r="AH3" s="0">
        <f>IFERROR(INDEX('Catalogo_Numerico_sim3'!$K$2:$K$69,MATCH(N3,'Catalogo_Numerico_sim3'!$A$2:$A$69,0)),0)+IFERROR(INDEX('Catalogo_Numerico_sim3'!$K$2:$K$69,MATCH(O3,'Catalogo_Numerico_sim3'!$A$2:$A$69,0)),0)+IFERROR(INDEX('Catalogo_Numerico_sim3'!$K$2:$K$69,MATCH(P3,'Catalogo_Numerico_sim3'!$A$2:$A$69,0)),0)+IFERROR(INDEX('Catalogo_Numerico_sim3'!$K$2:$K$69,MATCH(Q3,'Catalogo_Numerico_sim3'!$A$2:$A$69,0)),0)+IFERROR(INDEX('Catalogo_Numerico_sim3'!$K$2:$K$69,MATCH(R3,'Catalogo_Numerico_sim3'!$A$2:$A$69,0)),0)+IFERROR(INDEX('Catalogo_Numerico_sim3'!$K$2:$K$69,MATCH(S3,'Catalogo_Numerico_sim3'!$A$2:$A$69,0)),0)+IFERROR(INDEX('Catalogo_Numerico_sim3'!$K$2:$K$69,MATCH(T3,'Catalogo_Numerico_sim3'!$A$2:$A$69,0)),0)+IFERROR(INDEX('Catalogo_Numerico_sim3'!$K$2:$K$69,MATCH(U3,'Catalogo_Numerico_sim3'!$A$2:$A$69,0)),0)+IFERROR(INDEX('Catalogo_Numerico_sim3'!$K$2:$K$69,MATCH(V3,'Catalogo_Numerico_sim3'!$A$2:$A$69,0)),0)+IFERROR(INDEX('Catalogo_Numerico_sim3'!$K$2:$K$69,MATCH(W3,'Catalogo_Numerico_sim3'!$A$2:$A$69,0)),0)+IFERROR(INDEX('Catalogo_Numerico_sim3'!$K$2:$K$69,MATCH(X3,'Catalogo_Numerico_sim3'!$A$2:$A$69,0)),0)+IFERROR(INDEX('Catalogo_Numerico_sim3'!$K$2:$K$69,MATCH(Y3,'Catalogo_Numerico_sim3'!$A$2:$A$69,0)),0)</f>
        <v/>
      </c>
      <c r="AI3" s="0">
        <f>IFERROR(('Lotes_Pipeline_sim3'!H3*'Lotes_Pipeline_sim3'!J3)/I3,0)</f>
        <v/>
      </c>
      <c r="AJ3" s="0">
        <f>IF(OR(AND('Lotes_Pipeline_sim3'!C3="SEG-03",'Lotes_Pipeline_sim3'!H3&gt;0,'Lotes_Pipeline_sim3'!J3&lt;4)),-2,0)+IF(OR(AND('Lotes_Pipeline_sim3'!C3="SEG-03",'Lotes_Pipeline_sim3'!H3&gt;0,'Lotes_Pipeline_sim3'!J3&gt;=7)),2,0)</f>
        <v/>
      </c>
      <c r="AK3" s="0">
        <f>IF(AND(D3="SEG-03",I3&gt;0),IF(AI3&lt;4,0.65,IF(AI3&gt;=7,1.4,1)),1)</f>
        <v/>
      </c>
      <c r="AL3" s="0">
        <f>AG3+AJ3</f>
        <v/>
      </c>
      <c r="AM3" s="0">
        <f>IF(AL3&lt;3,0+1,0)</f>
        <v/>
      </c>
      <c r="AN3" s="0">
        <f>IF(AM3&gt;=2,0.8,1)</f>
        <v/>
      </c>
      <c r="AO3" s="0">
        <f>IF(AH3&lt;3,3,0)</f>
        <v/>
      </c>
      <c r="AP3" s="0" t="n">
        <v>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CC3*24*1.08</f>
        <v/>
      </c>
      <c r="CE3" s="0">
        <f>ROUND(CD3*CB3,0)</f>
        <v/>
      </c>
      <c r="CF3" s="0" t="n">
        <v>0</v>
      </c>
      <c r="CG3" s="0">
        <f>0+CF3</f>
        <v/>
      </c>
      <c r="CH3" s="0" t="n">
        <v>300</v>
      </c>
      <c r="CI3" s="0">
        <f>0+CH3</f>
        <v/>
      </c>
      <c r="CJ3" s="0" t="n">
        <v>0</v>
      </c>
      <c r="CK3" s="0">
        <f>0+CJ3</f>
        <v/>
      </c>
      <c r="CL3" s="0" t="n">
        <v>1000</v>
      </c>
      <c r="CM3" s="0">
        <f>0+CL3</f>
        <v/>
      </c>
      <c r="CN3" s="0" t="n">
        <v>0</v>
      </c>
      <c r="CO3" s="0">
        <f>0+CN3</f>
        <v/>
      </c>
      <c r="CP3" s="0" t="n">
        <v>0</v>
      </c>
      <c r="CQ3" s="0">
        <f>0+CP3</f>
        <v/>
      </c>
      <c r="CR3" s="0" t="n">
        <v>6000</v>
      </c>
      <c r="CS3" s="0">
        <f>0+CR3</f>
        <v/>
      </c>
      <c r="CT3" s="0" t="n">
        <v>0</v>
      </c>
      <c r="CU3" s="0">
        <f>0+CT3</f>
        <v/>
      </c>
      <c r="CV3" s="0">
        <f>(CI3)/0.4</f>
        <v/>
      </c>
      <c r="CW3" s="0">
        <f>(CM3)/1</f>
        <v/>
      </c>
      <c r="CX3" s="0">
        <f>(CS3)/7</f>
        <v/>
      </c>
      <c r="CY3" s="0">
        <f>ROUNDDOWN(MIN(I3,CE3,CV3,CW3,CX3),0)</f>
        <v/>
      </c>
      <c r="CZ3" s="0">
        <f>'Lotes_Pipeline_sim3'!U3</f>
        <v/>
      </c>
      <c r="DA3" s="0">
        <f>DB3+DD3+DF3</f>
        <v/>
      </c>
      <c r="DB3" s="0">
        <f>'Lotes_Pipeline_sim3'!X3</f>
        <v/>
      </c>
      <c r="DC3" s="0">
        <f>CG3-DB3</f>
        <v/>
      </c>
      <c r="DD3" s="0">
        <f>'Lotes_Pipeline_sim3'!AA3</f>
        <v/>
      </c>
      <c r="DE3" s="0">
        <f>CI3-DD3</f>
        <v/>
      </c>
      <c r="DF3" s="0">
        <f>'Lotes_Pipeline_sim3'!AD3</f>
        <v/>
      </c>
      <c r="DG3" s="0">
        <f>CK3-DF3</f>
        <v/>
      </c>
      <c r="DH3" s="0">
        <f>DI3+DK3</f>
        <v/>
      </c>
      <c r="DI3" s="0">
        <f>'Lotes_Pipeline_sim3'!AG3</f>
        <v/>
      </c>
      <c r="DJ3" s="0">
        <f>CM3-DI3</f>
        <v/>
      </c>
      <c r="DK3" s="0">
        <f>'Lotes_Pipeline_sim3'!AJ3</f>
        <v/>
      </c>
      <c r="DL3" s="0">
        <f>CO3-DK3</f>
        <v/>
      </c>
      <c r="DM3" s="0">
        <f>DN3+DP3+DR3</f>
        <v/>
      </c>
      <c r="DN3" s="0">
        <f>'Lotes_Pipeline_sim3'!AM3</f>
        <v/>
      </c>
      <c r="DO3" s="0">
        <f>CQ3-DN3</f>
        <v/>
      </c>
      <c r="DP3" s="0">
        <f>'Lotes_Pipeline_sim3'!AP3</f>
        <v/>
      </c>
      <c r="DQ3" s="0">
        <f>CS3-DP3</f>
        <v/>
      </c>
      <c r="DR3" s="0">
        <f>'Lotes_Pipeline_sim3'!AS3</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f>
        <v/>
      </c>
      <c r="DW3" s="0">
        <f>1*(2375.0/10/12*1)+1*(3325.0/10/12*1)+1*(1140.0/8/12*1)+1*(285.0/5/12*1)</f>
        <v/>
      </c>
      <c r="DX3" s="0">
        <f>IFERROR((0)/CZ3,0)*10+IFERROR(CA3/BZ3,0)*10+(IFERROR(DF3/(DB3+DD3+DF3),0)+IFERROR(DK3/(DI3+DK3),0)+IFERROR(DR3/(DP3+DR3),0))/3*10+L3/10000*10</f>
        <v/>
      </c>
      <c r="DY3" s="0">
        <f>DX3+AJ3</f>
        <v/>
      </c>
      <c r="DZ3" s="0">
        <f>0+CZ3</f>
        <v/>
      </c>
      <c r="EA3" s="0" t="n">
        <v>40</v>
      </c>
      <c r="EB3" s="0" t="n">
        <v>100</v>
      </c>
      <c r="EC3" s="0">
        <f>'Lotes_Pipeline_sim3'!AY3</f>
        <v/>
      </c>
      <c r="ED3" s="0">
        <f>IF(D3="SEG-01",IFERROR(100*(_xlfn.MAXIFS($J$2:$J$13,$C$2:$C$13,C3)-J3)/(_xlfn.MAXIFS($J$2:$J$13,$C$2:$C$13,C3)-_xlfn.MINIFS($J$2:$J$13,$C$2:$C$13,C3)),100),100-ABS(J3-EB3)/EB3*100)</f>
        <v/>
      </c>
      <c r="EE3" s="0">
        <f>IFERROR(ROUND(DY3/SUMIF($C$2:$C$13,"1|SEG-01",$DY$2:$DY$13)*100,0),0)</f>
        <v/>
      </c>
      <c r="EF3" s="0">
        <f>0.4*ED3+0.35*DY3*10+0.25*EE3</f>
        <v/>
      </c>
      <c r="EG3" s="0">
        <f>IFERROR(EF3/SUMIF($C$2:$C$13,C3,$EF$2:$EF$13),0)</f>
        <v/>
      </c>
      <c r="EH3" s="0">
        <f>'Mercados_Pipeline_sim3'!J3</f>
        <v/>
      </c>
      <c r="EI3" s="0">
        <f>'Mercados_Pipeline_sim3'!I3</f>
        <v/>
      </c>
      <c r="EJ3" s="0">
        <f>'Lotes_Pipeline_sim3'!AW3</f>
        <v/>
      </c>
      <c r="EK3" s="0">
        <f>'Lotes_Pipeline_sim3'!AX3</f>
        <v/>
      </c>
      <c r="EL3" s="0">
        <f>EC3*2</f>
        <v/>
      </c>
      <c r="EM3" s="0">
        <f>IF(CZ3&gt;CE3,0.25*DT3*IFERROR(MIN(1,(CZ3-CE3)/CE3),1),0)</f>
        <v/>
      </c>
      <c r="EN3" s="0">
        <f>0</f>
        <v/>
      </c>
      <c r="EO3" s="0">
        <f>(IFERROR(INDEX('Catalogo_Numerico_sim3'!$G$2:$G$69,MATCH("COM-01C",'Catalogo_Numerico_sim3'!$A$2:$A$69,0)),0)+IFERROR(INDEX('Catalogo_Numerico_sim3'!$G$2:$G$69,MATCH("INV-01B",'Catalogo_Numerico_sim3'!$A$2:$A$69,0)),0))*1</f>
        <v/>
      </c>
      <c r="EP3" s="0">
        <f>0</f>
        <v/>
      </c>
      <c r="EQ3" s="0" t="n">
        <v>0</v>
      </c>
      <c r="ER3" s="0">
        <f>DT3+DU3+DV3+DW3+L3+EL3+EM3+EN3+EO3+EP3+EQ3</f>
        <v/>
      </c>
      <c r="ES3" s="0">
        <f>EK3-ER3</f>
        <v/>
      </c>
      <c r="ET3" s="0">
        <f>OR(AND('Lotes_Pipeline_sim3'!C3="SEG-03",'Lotes_Pipeline_sim3'!H3&gt;0,'Lotes_Pipeline_sim3'!J3&lt;4))</f>
        <v/>
      </c>
      <c r="EU3" s="0">
        <f>OR(AND('Lotes_Pipeline_sim3'!C3="SEG-03",'Lotes_Pipeline_sim3'!H3&gt;0,'Lotes_Pipeline_sim3'!J3&gt;=7))</f>
        <v/>
      </c>
      <c r="EV3" s="0">
        <f>AF3&lt;4</f>
        <v/>
      </c>
      <c r="EW3" s="0">
        <f>AM3&gt;=2</f>
        <v/>
      </c>
      <c r="EX3" s="0">
        <f>AH3&lt;3</f>
        <v/>
      </c>
      <c r="EY3" s="0">
        <f>CZ3&gt;CE3</f>
        <v/>
      </c>
      <c r="EZ3" s="0">
        <f>CZ3&gt;EJ3</f>
        <v/>
      </c>
      <c r="FA3" s="0">
        <f>AND(K3=0,AF3&lt;5)</f>
        <v/>
      </c>
      <c r="FB3" t="n">
        <v>1000000</v>
      </c>
      <c r="FC3">
        <f>1*2500*(1+0.03+0.02)+1*3500*(1+0.03+0.02)+1*1200*(1+0.03+0.02)+1*300*(1+0+0.01)</f>
        <v/>
      </c>
      <c r="FD3">
        <f>1*2500+1*3500+1*1200+1*300</f>
        <v/>
      </c>
      <c r="FE3">
        <f>(CF3*25+CH3*45+CJ3*80+CL3*4+CN3*9+CP3*2+CR3*4+CT3*7)*0.92</f>
        <v/>
      </c>
      <c r="FF3">
        <f>(DC3*25+DE3*45+DG3*80+DJ3*4+DL3*9+DO3*2+DQ3*4+DS3*7)*0.92</f>
        <v/>
      </c>
      <c r="FG3">
        <f>FB3</f>
        <v/>
      </c>
      <c r="FH3">
        <f>(1+AR3/100)^(1/12)-1</f>
        <v/>
      </c>
      <c r="FI3">
        <f>0*0+AP3*FH3</f>
        <v/>
      </c>
      <c r="FJ3">
        <f>IFERROR(FI3/(0+AP3),0)</f>
        <v/>
      </c>
      <c r="FK3">
        <f>FI3*1</f>
        <v/>
      </c>
      <c r="FL3">
        <f>ER3-DW3-DU3+FE3+FK3</f>
        <v/>
      </c>
      <c r="FM3">
        <f>FG3+EK3+AP3-FL3-FC3</f>
        <v/>
      </c>
      <c r="FN3">
        <f>0+DW3</f>
        <v/>
      </c>
      <c r="FO3">
        <f>0+FD3</f>
        <v/>
      </c>
      <c r="FP3">
        <f>FO3-FN3</f>
        <v/>
      </c>
      <c r="FQ3">
        <f>EK3</f>
        <v/>
      </c>
      <c r="FR3">
        <f>EK3</f>
        <v/>
      </c>
      <c r="FS3">
        <f>ER3+FK3</f>
        <v/>
      </c>
      <c r="FT3">
        <f>ES3-FK3</f>
        <v/>
      </c>
      <c r="FU3">
        <f>DW3</f>
        <v/>
      </c>
      <c r="FV3">
        <f>FK3</f>
        <v/>
      </c>
      <c r="FW3">
        <f>ER3</f>
        <v/>
      </c>
      <c r="FX3">
        <f>FG3</f>
        <v/>
      </c>
      <c r="FY3">
        <f>EK3+AP3</f>
        <v/>
      </c>
      <c r="FZ3">
        <f>FL3+FC3</f>
        <v/>
      </c>
      <c r="GA3">
        <f>FM3</f>
        <v/>
      </c>
      <c r="GB3">
        <f>FG3</f>
        <v/>
      </c>
      <c r="GC3">
        <f>EK3</f>
        <v/>
      </c>
      <c r="GD3">
        <f>FL3</f>
        <v/>
      </c>
      <c r="GE3">
        <f>FC3</f>
        <v/>
      </c>
      <c r="GF3">
        <f>AP3</f>
        <v/>
      </c>
      <c r="GG3">
        <f>EK3-FL3</f>
        <v/>
      </c>
      <c r="GH3">
        <f>-FC3</f>
        <v/>
      </c>
      <c r="GI3">
        <f>FM3-FG3</f>
        <v/>
      </c>
      <c r="GJ3">
        <f>FM3</f>
        <v/>
      </c>
      <c r="GK3">
        <f>FM3</f>
        <v/>
      </c>
      <c r="GL3">
        <f>FP3</f>
        <v/>
      </c>
      <c r="GM3">
        <f>FF3</f>
        <v/>
      </c>
      <c r="GN3">
        <f>FM3+FP3+FF3</f>
        <v/>
      </c>
      <c r="GO3">
        <f>AS3</f>
        <v/>
      </c>
      <c r="GP3">
        <f>FM3+FP3+FF3-AS3</f>
        <v/>
      </c>
      <c r="GQ3">
        <f>FM3+FP3+FF3</f>
        <v/>
      </c>
      <c r="GR3">
        <f>AP3</f>
        <v/>
      </c>
      <c r="GS3">
        <f>AR3</f>
        <v/>
      </c>
      <c r="GT3">
        <f>AS3</f>
        <v/>
      </c>
      <c r="GU3">
        <f>AT3</f>
        <v/>
      </c>
      <c r="GV3">
        <f>FJ3</f>
        <v/>
      </c>
      <c r="GW3">
        <f>FK3</f>
        <v/>
      </c>
    </row>
    <row r="4">
      <c r="A4" s="0" t="n">
        <v>1</v>
      </c>
      <c r="B4" s="0" t="inlineStr">
        <is>
          <t>C</t>
        </is>
      </c>
      <c r="C4" s="0" t="inlineStr">
        <is>
          <t>1|SEG-03</t>
        </is>
      </c>
      <c r="D4" s="0" t="inlineStr">
        <is>
          <t>SEG-03</t>
        </is>
      </c>
      <c r="E4" s="0" t="inlineStr">
        <is>
          <t>INF-10</t>
        </is>
      </c>
      <c r="F4" s="0" t="inlineStr">
        <is>
          <t>INS-03</t>
        </is>
      </c>
      <c r="G4" s="0" t="inlineStr">
        <is>
          <t>INS-05</t>
        </is>
      </c>
      <c r="H4" s="0" t="inlineStr">
        <is>
          <t>INS-08</t>
        </is>
      </c>
      <c r="I4" s="0" t="n">
        <v>200</v>
      </c>
      <c r="J4" s="0" t="n">
        <v>260</v>
      </c>
      <c r="K4" s="0" t="n">
        <v>1</v>
      </c>
      <c r="L4" s="0" t="n">
        <v>6000</v>
      </c>
      <c r="M4" s="0" t="inlineStr">
        <is>
          <t>NO_MYPE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INV-01B</t>
        </is>
      </c>
      <c r="X4" s="0" t="inlineStr">
        <is>
          <t>COM-06C</t>
        </is>
      </c>
      <c r="Y4" s="0" t="inlineStr">
        <is>
          <t>INV-02B</t>
        </is>
      </c>
      <c r="Z4" s="0" t="inlineStr"/>
      <c r="AA4" s="0" t="inlineStr"/>
      <c r="AB4" s="0" t="inlineStr"/>
      <c r="AC4" s="0" t="inlineStr"/>
      <c r="AD4" s="0" t="inlineStr"/>
      <c r="AE4" s="0" t="inlineStr"/>
      <c r="AF4" s="0">
        <f>IFERROR(INDEX('Catalogo_Numerico_sim3'!$I$2:$I$69,MATCH(N4,'Catalogo_Numerico_sim3'!$A$2:$A$69,0)),0)+IFERROR(INDEX('Catalogo_Numerico_sim3'!$I$2:$I$69,MATCH(O4,'Catalogo_Numerico_sim3'!$A$2:$A$69,0)),0)+IFERROR(INDEX('Catalogo_Numerico_sim3'!$I$2:$I$69,MATCH(P4,'Catalogo_Numerico_sim3'!$A$2:$A$69,0)),0)+IFERROR(INDEX('Catalogo_Numerico_sim3'!$I$2:$I$69,MATCH(Q4,'Catalogo_Numerico_sim3'!$A$2:$A$69,0)),0)+IFERROR(INDEX('Catalogo_Numerico_sim3'!$I$2:$I$69,MATCH(R4,'Catalogo_Numerico_sim3'!$A$2:$A$69,0)),0)+IFERROR(INDEX('Catalogo_Numerico_sim3'!$I$2:$I$69,MATCH(S4,'Catalogo_Numerico_sim3'!$A$2:$A$69,0)),0)+IFERROR(INDEX('Catalogo_Numerico_sim3'!$I$2:$I$69,MATCH(T4,'Catalogo_Numerico_sim3'!$A$2:$A$69,0)),0)+IFERROR(INDEX('Catalogo_Numerico_sim3'!$I$2:$I$69,MATCH(U4,'Catalogo_Numerico_sim3'!$A$2:$A$69,0)),0)+IFERROR(INDEX('Catalogo_Numerico_sim3'!$I$2:$I$69,MATCH(V4,'Catalogo_Numerico_sim3'!$A$2:$A$69,0)),0)+IFERROR(INDEX('Catalogo_Numerico_sim3'!$I$2:$I$69,MATCH(W4,'Catalogo_Numerico_sim3'!$A$2:$A$69,0)),0)+IFERROR(INDEX('Catalogo_Numerico_sim3'!$I$2:$I$69,MATCH(X4,'Catalogo_Numerico_sim3'!$A$2:$A$69,0)),0)+IFERROR(INDEX('Catalogo_Numerico_sim3'!$I$2:$I$69,MATCH(Y4,'Catalogo_Numerico_sim3'!$A$2:$A$69,0)),0)</f>
        <v/>
      </c>
      <c r="AG4" s="0">
        <f>IFERROR(INDEX('Catalogo_Numerico_sim3'!$J$2:$J$69,MATCH(N4,'Catalogo_Numerico_sim3'!$A$2:$A$69,0)),0)+IFERROR(INDEX('Catalogo_Numerico_sim3'!$J$2:$J$69,MATCH(O4,'Catalogo_Numerico_sim3'!$A$2:$A$69,0)),0)+IFERROR(INDEX('Catalogo_Numerico_sim3'!$J$2:$J$69,MATCH(P4,'Catalogo_Numerico_sim3'!$A$2:$A$69,0)),0)+IFERROR(INDEX('Catalogo_Numerico_sim3'!$J$2:$J$69,MATCH(Q4,'Catalogo_Numerico_sim3'!$A$2:$A$69,0)),0)+IFERROR(INDEX('Catalogo_Numerico_sim3'!$J$2:$J$69,MATCH(R4,'Catalogo_Numerico_sim3'!$A$2:$A$69,0)),0)+IFERROR(INDEX('Catalogo_Numerico_sim3'!$J$2:$J$69,MATCH(S4,'Catalogo_Numerico_sim3'!$A$2:$A$69,0)),0)+IFERROR(INDEX('Catalogo_Numerico_sim3'!$J$2:$J$69,MATCH(T4,'Catalogo_Numerico_sim3'!$A$2:$A$69,0)),0)+IFERROR(INDEX('Catalogo_Numerico_sim3'!$J$2:$J$69,MATCH(U4,'Catalogo_Numerico_sim3'!$A$2:$A$69,0)),0)+IFERROR(INDEX('Catalogo_Numerico_sim3'!$J$2:$J$69,MATCH(V4,'Catalogo_Numerico_sim3'!$A$2:$A$69,0)),0)+IFERROR(INDEX('Catalogo_Numerico_sim3'!$J$2:$J$69,MATCH(W4,'Catalogo_Numerico_sim3'!$A$2:$A$69,0)),0)+IFERROR(INDEX('Catalogo_Numerico_sim3'!$J$2:$J$69,MATCH(X4,'Catalogo_Numerico_sim3'!$A$2:$A$69,0)),0)+IFERROR(INDEX('Catalogo_Numerico_sim3'!$J$2:$J$69,MATCH(Y4,'Catalogo_Numerico_sim3'!$A$2:$A$69,0)),0)</f>
        <v/>
      </c>
      <c r="AH4" s="0">
        <f>IFERROR(INDEX('Catalogo_Numerico_sim3'!$K$2:$K$69,MATCH(N4,'Catalogo_Numerico_sim3'!$A$2:$A$69,0)),0)+IFERROR(INDEX('Catalogo_Numerico_sim3'!$K$2:$K$69,MATCH(O4,'Catalogo_Numerico_sim3'!$A$2:$A$69,0)),0)+IFERROR(INDEX('Catalogo_Numerico_sim3'!$K$2:$K$69,MATCH(P4,'Catalogo_Numerico_sim3'!$A$2:$A$69,0)),0)+IFERROR(INDEX('Catalogo_Numerico_sim3'!$K$2:$K$69,MATCH(Q4,'Catalogo_Numerico_sim3'!$A$2:$A$69,0)),0)+IFERROR(INDEX('Catalogo_Numerico_sim3'!$K$2:$K$69,MATCH(R4,'Catalogo_Numerico_sim3'!$A$2:$A$69,0)),0)+IFERROR(INDEX('Catalogo_Numerico_sim3'!$K$2:$K$69,MATCH(S4,'Catalogo_Numerico_sim3'!$A$2:$A$69,0)),0)+IFERROR(INDEX('Catalogo_Numerico_sim3'!$K$2:$K$69,MATCH(T4,'Catalogo_Numerico_sim3'!$A$2:$A$69,0)),0)+IFERROR(INDEX('Catalogo_Numerico_sim3'!$K$2:$K$69,MATCH(U4,'Catalogo_Numerico_sim3'!$A$2:$A$69,0)),0)+IFERROR(INDEX('Catalogo_Numerico_sim3'!$K$2:$K$69,MATCH(V4,'Catalogo_Numerico_sim3'!$A$2:$A$69,0)),0)+IFERROR(INDEX('Catalogo_Numerico_sim3'!$K$2:$K$69,MATCH(W4,'Catalogo_Numerico_sim3'!$A$2:$A$69,0)),0)+IFERROR(INDEX('Catalogo_Numerico_sim3'!$K$2:$K$69,MATCH(X4,'Catalogo_Numerico_sim3'!$A$2:$A$69,0)),0)+IFERROR(INDEX('Catalogo_Numerico_sim3'!$K$2:$K$69,MATCH(Y4,'Catalogo_Numerico_sim3'!$A$2:$A$69,0)),0)</f>
        <v/>
      </c>
      <c r="AI4" s="0">
        <f>IFERROR(('Lotes_Pipeline_sim3'!H4*'Lotes_Pipeline_sim3'!J4)/I4,0)</f>
        <v/>
      </c>
      <c r="AJ4" s="0">
        <f>IF(OR(AND('Lotes_Pipeline_sim3'!C4="SEG-03",'Lotes_Pipeline_sim3'!H4&gt;0,'Lotes_Pipeline_sim3'!J4&lt;4)),-2,0)+IF(OR(AND('Lotes_Pipeline_sim3'!C4="SEG-03",'Lotes_Pipeline_sim3'!H4&gt;0,'Lotes_Pipeline_sim3'!J4&gt;=7)),2,0)</f>
        <v/>
      </c>
      <c r="AK4" s="0">
        <f>IF(AND(D4="SEG-03",I4&gt;0),IF(AI4&lt;4,0.65,IF(AI4&gt;=7,1.4,1)),1)</f>
        <v/>
      </c>
      <c r="AL4" s="0">
        <f>AG4+AJ4</f>
        <v/>
      </c>
      <c r="AM4" s="0">
        <f>IF(AL4&lt;3,0+1,0)</f>
        <v/>
      </c>
      <c r="AN4" s="0">
        <f>IF(AM4&gt;=2,0.8,1)</f>
        <v/>
      </c>
      <c r="AO4" s="0">
        <f>IF(AH4&lt;3,3,0)</f>
        <v/>
      </c>
      <c r="AP4" s="0" t="n">
        <v>0</v>
      </c>
      <c r="AQ4" s="0" t="n">
        <v>20</v>
      </c>
      <c r="AR4" s="0">
        <f>AQ4+0</f>
        <v/>
      </c>
      <c r="AS4" s="0">
        <f>0+AP4</f>
        <v/>
      </c>
      <c r="AT4" s="0">
        <f>IF(AP4&gt;0,AO4,MAX(0,AO4))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0+CF4</f>
        <v/>
      </c>
      <c r="CH4" s="0" t="n">
        <v>0</v>
      </c>
      <c r="CI4" s="0">
        <f>0+CH4</f>
        <v/>
      </c>
      <c r="CJ4" s="0" t="n">
        <v>300</v>
      </c>
      <c r="CK4" s="0">
        <f>0+CJ4</f>
        <v/>
      </c>
      <c r="CL4" s="0" t="n">
        <v>0</v>
      </c>
      <c r="CM4" s="0">
        <f>0+CL4</f>
        <v/>
      </c>
      <c r="CN4" s="0" t="n">
        <v>1000</v>
      </c>
      <c r="CO4" s="0">
        <f>0+CN4</f>
        <v/>
      </c>
      <c r="CP4" s="0" t="n">
        <v>0</v>
      </c>
      <c r="CQ4" s="0">
        <f>0+CP4</f>
        <v/>
      </c>
      <c r="CR4" s="0" t="n">
        <v>0</v>
      </c>
      <c r="CS4" s="0">
        <f>0+CR4</f>
        <v/>
      </c>
      <c r="CT4" s="0" t="n">
        <v>6000</v>
      </c>
      <c r="CU4" s="0">
        <f>0+CT4</f>
        <v/>
      </c>
      <c r="CV4" s="0">
        <f>(CK4)/0.7</f>
        <v/>
      </c>
      <c r="CW4" s="0">
        <f>(CO4)/1</f>
        <v/>
      </c>
      <c r="CX4" s="0">
        <f>(CU4)/13</f>
        <v/>
      </c>
      <c r="CY4" s="0">
        <f>ROUNDDOWN(MIN(I4,CE4,CV4,CW4,CX4),0)</f>
        <v/>
      </c>
      <c r="CZ4" s="0">
        <f>'Lotes_Pipeline_sim3'!U4</f>
        <v/>
      </c>
      <c r="DA4" s="0">
        <f>DB4+DD4+DF4</f>
        <v/>
      </c>
      <c r="DB4" s="0">
        <f>'Lotes_Pipeline_sim3'!X4</f>
        <v/>
      </c>
      <c r="DC4" s="0">
        <f>CG4-DB4</f>
        <v/>
      </c>
      <c r="DD4" s="0">
        <f>'Lotes_Pipeline_sim3'!AA4</f>
        <v/>
      </c>
      <c r="DE4" s="0">
        <f>CI4-DD4</f>
        <v/>
      </c>
      <c r="DF4" s="0">
        <f>'Lotes_Pipeline_sim3'!AD4</f>
        <v/>
      </c>
      <c r="DG4" s="0">
        <f>CK4-DF4</f>
        <v/>
      </c>
      <c r="DH4" s="0">
        <f>DI4+DK4</f>
        <v/>
      </c>
      <c r="DI4" s="0">
        <f>'Lotes_Pipeline_sim3'!AG4</f>
        <v/>
      </c>
      <c r="DJ4" s="0">
        <f>CM4-DI4</f>
        <v/>
      </c>
      <c r="DK4" s="0">
        <f>'Lotes_Pipeline_sim3'!AJ4</f>
        <v/>
      </c>
      <c r="DL4" s="0">
        <f>CO4-DK4</f>
        <v/>
      </c>
      <c r="DM4" s="0">
        <f>DN4+DP4+DR4</f>
        <v/>
      </c>
      <c r="DN4" s="0">
        <f>'Lotes_Pipeline_sim3'!AM4</f>
        <v/>
      </c>
      <c r="DO4" s="0">
        <f>CQ4-DN4</f>
        <v/>
      </c>
      <c r="DP4" s="0">
        <f>'Lotes_Pipeline_sim3'!AP4</f>
        <v/>
      </c>
      <c r="DQ4" s="0">
        <f>CS4-DP4</f>
        <v/>
      </c>
      <c r="DR4" s="0">
        <f>'Lotes_Pipeline_sim3'!AS4</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(DB4*25+DD4*45+DF4*80+DI4*4+DK4*9+DN4*2+DP4*4+DR4*7)*0.92</f>
        <v/>
      </c>
      <c r="DV4" s="0">
        <f>1*2500*0.08/12*1+1*3500*0.08/12*1+1*1200*0.08/12*1+1*300*0.08/12*1</f>
        <v/>
      </c>
      <c r="DW4" s="0">
        <f>1*(2250.0/10/12*1)+1*(3150.0/10/12*1)+1*(1080.0/8/12*1)+1*(270.0/5/12*1)</f>
        <v/>
      </c>
      <c r="DX4" s="0">
        <f>IFERROR(('Lotes_Pipeline_sim3'!U4)/CZ4,0)*10+IFERROR(CA4/BZ4,0)*10+(IFERROR(DF4/(DB4+DD4+DF4),0)+IFERROR(DK4/(DI4+DK4),0)+IFERROR(DR4/(DP4+DR4),0))/3*10+L4/10000*10</f>
        <v/>
      </c>
      <c r="DY4" s="0">
        <f>DX4+AJ4</f>
        <v/>
      </c>
      <c r="DZ4" s="0">
        <f>0+CZ4</f>
        <v/>
      </c>
      <c r="EA4" s="0" t="n">
        <v>40</v>
      </c>
      <c r="EB4" s="0" t="n">
        <v>250</v>
      </c>
      <c r="EC4" s="0">
        <f>'Lotes_Pipeline_sim3'!AY4</f>
        <v/>
      </c>
      <c r="ED4" s="0">
        <f>IF(D4="SEG-01",IFERROR(100*(_xlfn.MAXIFS($J$2:$J$13,$C$2:$C$13,C4)-J4)/(_xlfn.MAXIFS($J$2:$J$13,$C$2:$C$13,C4)-_xlfn.MINIFS($J$2:$J$13,$C$2:$C$13,C4)),100),100-ABS(J4-EB4)/EB4*100)</f>
        <v/>
      </c>
      <c r="EE4" s="0">
        <f>IFERROR(ROUND(DY4/SUMIF($C$2:$C$13,"1|SEG-01",$DY$2:$DY$13)*100,0),0)</f>
        <v/>
      </c>
      <c r="EF4" s="0">
        <f>0.1*ED4+0.5*DY4*10+0.4*EE4</f>
        <v/>
      </c>
      <c r="EG4" s="0">
        <f>IFERROR(EF4/SUMIF($C$2:$C$13,C4,$EF$2:$EF$13),0)</f>
        <v/>
      </c>
      <c r="EH4" s="0">
        <f>'Mercados_Pipeline_sim3'!J4</f>
        <v/>
      </c>
      <c r="EI4" s="0">
        <f>'Mercados_Pipeline_sim3'!I4</f>
        <v/>
      </c>
      <c r="EJ4" s="0">
        <f>'Lotes_Pipeline_sim3'!AW4</f>
        <v/>
      </c>
      <c r="EK4" s="0">
        <f>'Lotes_Pipeline_sim3'!AX4</f>
        <v/>
      </c>
      <c r="EL4" s="0">
        <f>EC4*2</f>
        <v/>
      </c>
      <c r="EM4" s="0">
        <f>IF(CZ4&gt;CE4,0.25*DT4*IFERROR(MIN(1,(CZ4-CE4)/CE4),1),0)</f>
        <v/>
      </c>
      <c r="EN4" s="0">
        <f>0</f>
        <v/>
      </c>
      <c r="EO4" s="0">
        <f>(IFERROR(INDEX('Catalogo_Numerico_sim3'!$G$2:$G$69,MATCH("COM-01C",'Catalogo_Numerico_sim3'!$A$2:$A$69,0)),0)+IFERROR(INDEX('Catalogo_Numerico_sim3'!$G$2:$G$69,MATCH("INV-01B",'Catalogo_Numerico_sim3'!$A$2:$A$69,0)),0))*1</f>
        <v/>
      </c>
      <c r="EP4" s="0">
        <f>0</f>
        <v/>
      </c>
      <c r="EQ4" s="0" t="n">
        <v>0</v>
      </c>
      <c r="ER4" s="0">
        <f>DT4+DU4+DV4+DW4+L4+EL4+EM4+EN4+EO4+EP4+EQ4</f>
        <v/>
      </c>
      <c r="ES4" s="0">
        <f>EK4-ER4</f>
        <v/>
      </c>
      <c r="ET4" s="0">
        <f>OR(AND('Lotes_Pipeline_sim3'!C4="SEG-03",'Lotes_Pipeline_sim3'!H4&gt;0,'Lotes_Pipeline_sim3'!J4&lt;4))</f>
        <v/>
      </c>
      <c r="EU4" s="0">
        <f>OR(AND('Lotes_Pipeline_sim3'!C4="SEG-03",'Lotes_Pipeline_sim3'!H4&gt;0,'Lotes_Pipeline_sim3'!J4&gt;=7))</f>
        <v/>
      </c>
      <c r="EV4" s="0">
        <f>AF4&lt;4</f>
        <v/>
      </c>
      <c r="EW4" s="0">
        <f>AM4&gt;=2</f>
        <v/>
      </c>
      <c r="EX4" s="0">
        <f>AH4&lt;3</f>
        <v/>
      </c>
      <c r="EY4" s="0">
        <f>CZ4&gt;CE4</f>
        <v/>
      </c>
      <c r="EZ4" s="0">
        <f>CZ4&gt;EJ4</f>
        <v/>
      </c>
      <c r="FA4" s="0">
        <f>AND(K4=0,AF4&lt;5)</f>
        <v/>
      </c>
      <c r="FB4" t="n">
        <v>1000000</v>
      </c>
      <c r="FC4">
        <f>1*2500*(1+0.05+0.03)+1*3500*(1+0.05+0.03)+1*1200*(1+0.05+0.03)+1*300*(1+0+0.02)</f>
        <v/>
      </c>
      <c r="FD4">
        <f>1*2500+1*3500+1*1200+1*300</f>
        <v/>
      </c>
      <c r="FE4">
        <f>(CF4*25+CH4*45+CJ4*80+CL4*4+CN4*9+CP4*2+CR4*4+CT4*7)*0.92</f>
        <v/>
      </c>
      <c r="FF4">
        <f>(DC4*25+DE4*45+DG4*80+DJ4*4+DL4*9+DO4*2+DQ4*4+DS4*7)*0.92</f>
        <v/>
      </c>
      <c r="FG4">
        <f>FB4</f>
        <v/>
      </c>
      <c r="FH4">
        <f>(1+AR4/100)^(1/12)-1</f>
        <v/>
      </c>
      <c r="FI4">
        <f>0*0+AP4*FH4</f>
        <v/>
      </c>
      <c r="FJ4">
        <f>IFERROR(FI4/(0+AP4),0)</f>
        <v/>
      </c>
      <c r="FK4">
        <f>FI4*1</f>
        <v/>
      </c>
      <c r="FL4">
        <f>ER4-DW4-DU4+FE4+FK4</f>
        <v/>
      </c>
      <c r="FM4">
        <f>FG4+EK4+AP4-FL4-FC4</f>
        <v/>
      </c>
      <c r="FN4">
        <f>0+DW4</f>
        <v/>
      </c>
      <c r="FO4">
        <f>0+FD4</f>
        <v/>
      </c>
      <c r="FP4">
        <f>FO4-FN4</f>
        <v/>
      </c>
      <c r="FQ4">
        <f>EK4</f>
        <v/>
      </c>
      <c r="FR4">
        <f>EK4</f>
        <v/>
      </c>
      <c r="FS4">
        <f>ER4+FK4</f>
        <v/>
      </c>
      <c r="FT4">
        <f>ES4-FK4</f>
        <v/>
      </c>
      <c r="FU4">
        <f>DW4</f>
        <v/>
      </c>
      <c r="FV4">
        <f>FK4</f>
        <v/>
      </c>
      <c r="FW4">
        <f>ER4</f>
        <v/>
      </c>
      <c r="FX4">
        <f>FG4</f>
        <v/>
      </c>
      <c r="FY4">
        <f>EK4+AP4</f>
        <v/>
      </c>
      <c r="FZ4">
        <f>FL4+FC4</f>
        <v/>
      </c>
      <c r="GA4">
        <f>FM4</f>
        <v/>
      </c>
      <c r="GB4">
        <f>FG4</f>
        <v/>
      </c>
      <c r="GC4">
        <f>EK4</f>
        <v/>
      </c>
      <c r="GD4">
        <f>FL4</f>
        <v/>
      </c>
      <c r="GE4">
        <f>FC4</f>
        <v/>
      </c>
      <c r="GF4">
        <f>AP4</f>
        <v/>
      </c>
      <c r="GG4">
        <f>EK4-FL4</f>
        <v/>
      </c>
      <c r="GH4">
        <f>-FC4</f>
        <v/>
      </c>
      <c r="GI4">
        <f>FM4-FG4</f>
        <v/>
      </c>
      <c r="GJ4">
        <f>FM4</f>
        <v/>
      </c>
      <c r="GK4">
        <f>FM4</f>
        <v/>
      </c>
      <c r="GL4">
        <f>FP4</f>
        <v/>
      </c>
      <c r="GM4">
        <f>FF4</f>
        <v/>
      </c>
      <c r="GN4">
        <f>FM4+FP4+FF4</f>
        <v/>
      </c>
      <c r="GO4">
        <f>AS4</f>
        <v/>
      </c>
      <c r="GP4">
        <f>FM4+FP4+FF4-AS4</f>
        <v/>
      </c>
      <c r="GQ4">
        <f>FM4+FP4+FF4</f>
        <v/>
      </c>
      <c r="GR4">
        <f>AP4</f>
        <v/>
      </c>
      <c r="GS4">
        <f>AR4</f>
        <v/>
      </c>
      <c r="GT4">
        <f>AS4</f>
        <v/>
      </c>
      <c r="GU4">
        <f>AT4</f>
        <v/>
      </c>
      <c r="GV4">
        <f>FJ4</f>
        <v/>
      </c>
      <c r="GW4">
        <f>FK4</f>
        <v/>
      </c>
    </row>
    <row r="5">
      <c r="A5" s="0" t="n">
        <v>1</v>
      </c>
      <c r="B5" s="0" t="inlineStr">
        <is>
          <t>D</t>
        </is>
      </c>
      <c r="C5" s="0" t="inlineStr">
        <is>
          <t>1|SEG-01</t>
        </is>
      </c>
      <c r="D5" s="0" t="inlineStr">
        <is>
          <t>SEG-01</t>
        </is>
      </c>
      <c r="E5" s="0" t="inlineStr">
        <is>
          <t>INF-08</t>
        </is>
      </c>
      <c r="F5" s="0" t="inlineStr">
        <is>
          <t>INS-01</t>
        </is>
      </c>
      <c r="G5" s="0" t="inlineStr">
        <is>
          <t>INS-04</t>
        </is>
      </c>
      <c r="H5" s="0" t="inlineStr">
        <is>
          <t>INS-06</t>
        </is>
      </c>
      <c r="I5" s="0" t="n">
        <v>200</v>
      </c>
      <c r="J5" s="0" t="n">
        <v>45</v>
      </c>
      <c r="K5" s="0" t="n">
        <v>1</v>
      </c>
      <c r="L5" s="0" t="n">
        <v>6000</v>
      </c>
      <c r="M5" s="0" t="inlineStr">
        <is>
          <t>MYPE</t>
        </is>
      </c>
      <c r="N5" s="0" t="inlineStr">
        <is>
          <t>INF-03</t>
        </is>
      </c>
      <c r="O5" s="0" t="inlineStr">
        <is>
          <t>INF-06</t>
        </is>
      </c>
      <c r="P5" s="0" t="inlineStr">
        <is>
          <t>INF-09</t>
        </is>
      </c>
      <c r="Q5" s="0" t="inlineStr">
        <is>
          <t>RH-02</t>
        </is>
      </c>
      <c r="R5" s="0" t="inlineStr">
        <is>
          <t>RH-05</t>
        </is>
      </c>
      <c r="S5" s="0" t="inlineStr">
        <is>
          <t>RH-08</t>
        </is>
      </c>
      <c r="T5" s="0" t="inlineStr">
        <is>
          <t>RH-10A</t>
        </is>
      </c>
      <c r="U5" s="0" t="inlineStr">
        <is>
          <t>COM-01C</t>
        </is>
      </c>
      <c r="V5" s="0" t="inlineStr">
        <is>
          <t>FIN-01B</t>
        </is>
      </c>
      <c r="W5" s="0" t="inlineStr">
        <is>
          <t>INV-01B</t>
        </is>
      </c>
      <c r="X5" s="0" t="inlineStr">
        <is>
          <t>INV-02B</t>
        </is>
      </c>
      <c r="Y5" s="0" t="inlineStr"/>
      <c r="Z5" s="0" t="inlineStr"/>
      <c r="AA5" s="0" t="inlineStr"/>
      <c r="AB5" s="0" t="inlineStr"/>
      <c r="AC5" s="0" t="inlineStr"/>
      <c r="AD5" s="0" t="inlineStr"/>
      <c r="AE5" s="0" t="inlineStr"/>
      <c r="AF5" s="0">
        <f>IFERROR(INDEX('Catalogo_Numerico_sim3'!$I$2:$I$69,MATCH(N5,'Catalogo_Numerico_sim3'!$A$2:$A$69,0)),0)+IFERROR(INDEX('Catalogo_Numerico_sim3'!$I$2:$I$69,MATCH(O5,'Catalogo_Numerico_sim3'!$A$2:$A$69,0)),0)+IFERROR(INDEX('Catalogo_Numerico_sim3'!$I$2:$I$69,MATCH(P5,'Catalogo_Numerico_sim3'!$A$2:$A$69,0)),0)+IFERROR(INDEX('Catalogo_Numerico_sim3'!$I$2:$I$69,MATCH(Q5,'Catalogo_Numerico_sim3'!$A$2:$A$69,0)),0)+IFERROR(INDEX('Catalogo_Numerico_sim3'!$I$2:$I$69,MATCH(R5,'Catalogo_Numerico_sim3'!$A$2:$A$69,0)),0)+IFERROR(INDEX('Catalogo_Numerico_sim3'!$I$2:$I$69,MATCH(S5,'Catalogo_Numerico_sim3'!$A$2:$A$69,0)),0)+IFERROR(INDEX('Catalogo_Numerico_sim3'!$I$2:$I$69,MATCH(T5,'Catalogo_Numerico_sim3'!$A$2:$A$69,0)),0)+IFERROR(INDEX('Catalogo_Numerico_sim3'!$I$2:$I$69,MATCH(U5,'Catalogo_Numerico_sim3'!$A$2:$A$69,0)),0)+IFERROR(INDEX('Catalogo_Numerico_sim3'!$I$2:$I$69,MATCH(V5,'Catalogo_Numerico_sim3'!$A$2:$A$69,0)),0)+IFERROR(INDEX('Catalogo_Numerico_sim3'!$I$2:$I$69,MATCH(W5,'Catalogo_Numerico_sim3'!$A$2:$A$69,0)),0)+IFERROR(INDEX('Catalogo_Numerico_sim3'!$I$2:$I$69,MATCH(X5,'Catalogo_Numerico_sim3'!$A$2:$A$69,0)),0)</f>
        <v/>
      </c>
      <c r="AG5" s="0">
        <f>IFERROR(INDEX('Catalogo_Numerico_sim3'!$J$2:$J$69,MATCH(N5,'Catalogo_Numerico_sim3'!$A$2:$A$69,0)),0)+IFERROR(INDEX('Catalogo_Numerico_sim3'!$J$2:$J$69,MATCH(O5,'Catalogo_Numerico_sim3'!$A$2:$A$69,0)),0)+IFERROR(INDEX('Catalogo_Numerico_sim3'!$J$2:$J$69,MATCH(P5,'Catalogo_Numerico_sim3'!$A$2:$A$69,0)),0)+IFERROR(INDEX('Catalogo_Numerico_sim3'!$J$2:$J$69,MATCH(Q5,'Catalogo_Numerico_sim3'!$A$2:$A$69,0)),0)+IFERROR(INDEX('Catalogo_Numerico_sim3'!$J$2:$J$69,MATCH(R5,'Catalogo_Numerico_sim3'!$A$2:$A$69,0)),0)+IFERROR(INDEX('Catalogo_Numerico_sim3'!$J$2:$J$69,MATCH(S5,'Catalogo_Numerico_sim3'!$A$2:$A$69,0)),0)+IFERROR(INDEX('Catalogo_Numerico_sim3'!$J$2:$J$69,MATCH(T5,'Catalogo_Numerico_sim3'!$A$2:$A$69,0)),0)+IFERROR(INDEX('Catalogo_Numerico_sim3'!$J$2:$J$69,MATCH(U5,'Catalogo_Numerico_sim3'!$A$2:$A$69,0)),0)+IFERROR(INDEX('Catalogo_Numerico_sim3'!$J$2:$J$69,MATCH(V5,'Catalogo_Numerico_sim3'!$A$2:$A$69,0)),0)+IFERROR(INDEX('Catalogo_Numerico_sim3'!$J$2:$J$69,MATCH(W5,'Catalogo_Numerico_sim3'!$A$2:$A$69,0)),0)+IFERROR(INDEX('Catalogo_Numerico_sim3'!$J$2:$J$69,MATCH(X5,'Catalogo_Numerico_sim3'!$A$2:$A$69,0)),0)</f>
        <v/>
      </c>
      <c r="AH5" s="0">
        <f>IFERROR(INDEX('Catalogo_Numerico_sim3'!$K$2:$K$69,MATCH(N5,'Catalogo_Numerico_sim3'!$A$2:$A$69,0)),0)+IFERROR(INDEX('Catalogo_Numerico_sim3'!$K$2:$K$69,MATCH(O5,'Catalogo_Numerico_sim3'!$A$2:$A$69,0)),0)+IFERROR(INDEX('Catalogo_Numerico_sim3'!$K$2:$K$69,MATCH(P5,'Catalogo_Numerico_sim3'!$A$2:$A$69,0)),0)+IFERROR(INDEX('Catalogo_Numerico_sim3'!$K$2:$K$69,MATCH(Q5,'Catalogo_Numerico_sim3'!$A$2:$A$69,0)),0)+IFERROR(INDEX('Catalogo_Numerico_sim3'!$K$2:$K$69,MATCH(R5,'Catalogo_Numerico_sim3'!$A$2:$A$69,0)),0)+IFERROR(INDEX('Catalogo_Numerico_sim3'!$K$2:$K$69,MATCH(S5,'Catalogo_Numerico_sim3'!$A$2:$A$69,0)),0)+IFERROR(INDEX('Catalogo_Numerico_sim3'!$K$2:$K$69,MATCH(T5,'Catalogo_Numerico_sim3'!$A$2:$A$69,0)),0)+IFERROR(INDEX('Catalogo_Numerico_sim3'!$K$2:$K$69,MATCH(U5,'Catalogo_Numerico_sim3'!$A$2:$A$69,0)),0)+IFERROR(INDEX('Catalogo_Numerico_sim3'!$K$2:$K$69,MATCH(V5,'Catalogo_Numerico_sim3'!$A$2:$A$69,0)),0)+IFERROR(INDEX('Catalogo_Numerico_sim3'!$K$2:$K$69,MATCH(W5,'Catalogo_Numerico_sim3'!$A$2:$A$69,0)),0)+IFERROR(INDEX('Catalogo_Numerico_sim3'!$K$2:$K$69,MATCH(X5,'Catalogo_Numerico_sim3'!$A$2:$A$69,0)),0)</f>
        <v/>
      </c>
      <c r="AI5" s="0">
        <f>IFERROR(('Lotes_Pipeline_sim3'!H5*'Lotes_Pipeline_sim3'!J5)/I5,0)</f>
        <v/>
      </c>
      <c r="AJ5" s="0">
        <f>IF(OR(AND('Lotes_Pipeline_sim3'!C5="SEG-03",'Lotes_Pipeline_sim3'!H5&gt;0,'Lotes_Pipeline_sim3'!J5&lt;4)),-2,0)+IF(OR(AND('Lotes_Pipeline_sim3'!C5="SEG-03",'Lotes_Pipeline_sim3'!H5&gt;0,'Lotes_Pipeline_sim3'!J5&gt;=7)),2,0)</f>
        <v/>
      </c>
      <c r="AK5" s="0">
        <f>IF(AND(D5="SEG-03",I5&gt;0),IF(AI5&lt;4,0.65,IF(AI5&gt;=7,1.4,1)),1)</f>
        <v/>
      </c>
      <c r="AL5" s="0">
        <f>AG5+AJ5</f>
        <v/>
      </c>
      <c r="AM5" s="0">
        <f>IF(AL5&lt;3,0+1,0)</f>
        <v/>
      </c>
      <c r="AN5" s="0">
        <f>IF(AM5&gt;=2,0.8,1)</f>
        <v/>
      </c>
      <c r="AO5" s="0">
        <f>IF(AH5&lt;3,3,0)</f>
        <v/>
      </c>
      <c r="AP5" s="0" t="n">
        <v>0</v>
      </c>
      <c r="AQ5" s="0" t="n">
        <v>20</v>
      </c>
      <c r="AR5" s="0">
        <f>AQ5+0</f>
        <v/>
      </c>
      <c r="AS5" s="0">
        <f>0+AP5</f>
        <v/>
      </c>
      <c r="AT5" s="0">
        <f>IF(AP5&gt;0,AO5,MAX(0,AO5))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CC5*24*1.08</f>
        <v/>
      </c>
      <c r="CE5" s="0">
        <f>ROUND(CD5*CB5,0)</f>
        <v/>
      </c>
      <c r="CF5" s="0" t="n">
        <v>300</v>
      </c>
      <c r="CG5" s="0">
        <f>0+CF5</f>
        <v/>
      </c>
      <c r="CH5" s="0" t="n">
        <v>0</v>
      </c>
      <c r="CI5" s="0">
        <f>0+CH5</f>
        <v/>
      </c>
      <c r="CJ5" s="0" t="n">
        <v>0</v>
      </c>
      <c r="CK5" s="0">
        <f>0+CJ5</f>
        <v/>
      </c>
      <c r="CL5" s="0" t="n">
        <v>1000</v>
      </c>
      <c r="CM5" s="0">
        <f>0+CL5</f>
        <v/>
      </c>
      <c r="CN5" s="0" t="n">
        <v>0</v>
      </c>
      <c r="CO5" s="0">
        <f>0+CN5</f>
        <v/>
      </c>
      <c r="CP5" s="0" t="n">
        <v>6000</v>
      </c>
      <c r="CQ5" s="0">
        <f>0+CP5</f>
        <v/>
      </c>
      <c r="CR5" s="0" t="n">
        <v>0</v>
      </c>
      <c r="CS5" s="0">
        <f>0+CR5</f>
        <v/>
      </c>
      <c r="CT5" s="0" t="n">
        <v>0</v>
      </c>
      <c r="CU5" s="0">
        <f>0+CT5</f>
        <v/>
      </c>
      <c r="CV5" s="0">
        <f>(CG5)/0.3</f>
        <v/>
      </c>
      <c r="CW5" s="0">
        <f>(CM5)/1</f>
        <v/>
      </c>
      <c r="CX5" s="0">
        <f>(CQ5)/6</f>
        <v/>
      </c>
      <c r="CY5" s="0">
        <f>ROUNDDOWN(MIN(I5,CE5,CV5,CW5,CX5),0)</f>
        <v/>
      </c>
      <c r="CZ5" s="0">
        <f>'Lotes_Pipeline_sim3'!U5</f>
        <v/>
      </c>
      <c r="DA5" s="0">
        <f>DB5+DD5+DF5</f>
        <v/>
      </c>
      <c r="DB5" s="0">
        <f>'Lotes_Pipeline_sim3'!X5</f>
        <v/>
      </c>
      <c r="DC5" s="0">
        <f>CG5-DB5</f>
        <v/>
      </c>
      <c r="DD5" s="0">
        <f>'Lotes_Pipeline_sim3'!AA5</f>
        <v/>
      </c>
      <c r="DE5" s="0">
        <f>CI5-DD5</f>
        <v/>
      </c>
      <c r="DF5" s="0">
        <f>'Lotes_Pipeline_sim3'!AD5</f>
        <v/>
      </c>
      <c r="DG5" s="0">
        <f>CK5-DF5</f>
        <v/>
      </c>
      <c r="DH5" s="0">
        <f>DI5+DK5</f>
        <v/>
      </c>
      <c r="DI5" s="0">
        <f>'Lotes_Pipeline_sim3'!AG5</f>
        <v/>
      </c>
      <c r="DJ5" s="0">
        <f>CM5-DI5</f>
        <v/>
      </c>
      <c r="DK5" s="0">
        <f>'Lotes_Pipeline_sim3'!AJ5</f>
        <v/>
      </c>
      <c r="DL5" s="0">
        <f>CO5-DK5</f>
        <v/>
      </c>
      <c r="DM5" s="0">
        <f>DN5+DP5+DR5</f>
        <v/>
      </c>
      <c r="DN5" s="0">
        <f>'Lotes_Pipeline_sim3'!AM5</f>
        <v/>
      </c>
      <c r="DO5" s="0">
        <f>CQ5-DN5</f>
        <v/>
      </c>
      <c r="DP5" s="0">
        <f>'Lotes_Pipeline_sim3'!AP5</f>
        <v/>
      </c>
      <c r="DQ5" s="0">
        <f>CS5-DP5</f>
        <v/>
      </c>
      <c r="DR5" s="0">
        <f>'Lotes_Pipeline_sim3'!AS5</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(DB5*25+DD5*45+DF5*80+DI5*4+DK5*9+DN5*2+DP5*4+DR5*7)*0.8096</f>
        <v/>
      </c>
      <c r="DV5" s="0">
        <f>1*2500*0.05/12*1+1*3500*0.05/12*1+1*1200*0.05/12*1+1*300*0.05/12*1+200</f>
        <v/>
      </c>
      <c r="DW5" s="0">
        <f>1*(2375.0/10/12*1)+1*(3325.0/10/12*1)+1*(1140.0/8/12*1)+1*(285.0/5/12*1)</f>
        <v/>
      </c>
      <c r="DX5" s="0">
        <f>IFERROR((0)/CZ5,0)*10+IFERROR(CA5/BZ5,0)*10+(IFERROR(DF5/(DB5+DD5+DF5),0)+IFERROR(DK5/(DI5+DK5),0)+IFERROR(DR5/(DP5+DR5),0))/3*10+L5/10000*10</f>
        <v/>
      </c>
      <c r="DY5" s="0">
        <f>DX5+AJ5</f>
        <v/>
      </c>
      <c r="DZ5" s="0">
        <f>0+CZ5</f>
        <v/>
      </c>
      <c r="EA5" s="0" t="n">
        <v>40</v>
      </c>
      <c r="EB5" s="0" t="n">
        <v>0</v>
      </c>
      <c r="EC5" s="0">
        <f>'Lotes_Pipeline_sim3'!AY5</f>
        <v/>
      </c>
      <c r="ED5" s="0">
        <f>IF(D5="SEG-01",IFERROR(100*(_xlfn.MAXIFS($J$2:$J$13,$C$2:$C$13,C5)-J5)/(_xlfn.MAXIFS($J$2:$J$13,$C$2:$C$13,C5)-_xlfn.MINIFS($J$2:$J$13,$C$2:$C$13,C5)),100),100-ABS(J5-EB5)/EB5*100)</f>
        <v/>
      </c>
      <c r="EE5" s="0">
        <f>IFERROR(ROUND(DY5/SUMIF($C$2:$C$13,"1|SEG-01",$DY$2:$DY$13)*100,0),0)</f>
        <v/>
      </c>
      <c r="EF5" s="0">
        <f>0.7*ED5+0.2*DY5*10+0.1*EE5</f>
        <v/>
      </c>
      <c r="EG5" s="0">
        <f>IFERROR(EF5/SUMIF($C$2:$C$13,C5,$EF$2:$EF$13),0)</f>
        <v/>
      </c>
      <c r="EH5" s="0">
        <f>'Mercados_Pipeline_sim3'!J5</f>
        <v/>
      </c>
      <c r="EI5" s="0">
        <f>'Mercados_Pipeline_sim3'!I5</f>
        <v/>
      </c>
      <c r="EJ5" s="0">
        <f>'Lotes_Pipeline_sim3'!AW5</f>
        <v/>
      </c>
      <c r="EK5" s="0">
        <f>'Lotes_Pipeline_sim3'!AX5</f>
        <v/>
      </c>
      <c r="EL5" s="0">
        <f>EC5*2</f>
        <v/>
      </c>
      <c r="EM5" s="0">
        <f>IF(CZ5&gt;CE5,0.25*DT5*IFERROR(MIN(1,(CZ5-CE5)/CE5),1),0)</f>
        <v/>
      </c>
      <c r="EN5" s="0">
        <f>0</f>
        <v/>
      </c>
      <c r="EO5" s="0">
        <f>(IFERROR(INDEX('Catalogo_Numerico_sim3'!$G$2:$G$69,MATCH("COM-01C",'Catalogo_Numerico_sim3'!$A$2:$A$69,0)),0)+IFERROR(INDEX('Catalogo_Numerico_sim3'!$G$2:$G$69,MATCH("INV-01B",'Catalogo_Numerico_sim3'!$A$2:$A$69,0)),0))*1</f>
        <v/>
      </c>
      <c r="EP5" s="0">
        <f>0</f>
        <v/>
      </c>
      <c r="EQ5" s="0" t="n">
        <v>5000</v>
      </c>
      <c r="ER5" s="0">
        <f>DT5+DU5+DV5+DW5+L5+EL5+EM5+EN5+EO5+EP5+EQ5</f>
        <v/>
      </c>
      <c r="ES5" s="0">
        <f>EK5-ER5</f>
        <v/>
      </c>
      <c r="ET5" s="0">
        <f>OR(AND('Lotes_Pipeline_sim3'!C5="SEG-03",'Lotes_Pipeline_sim3'!H5&gt;0,'Lotes_Pipeline_sim3'!J5&lt;4))</f>
        <v/>
      </c>
      <c r="EU5" s="0">
        <f>OR(AND('Lotes_Pipeline_sim3'!C5="SEG-03",'Lotes_Pipeline_sim3'!H5&gt;0,'Lotes_Pipeline_sim3'!J5&gt;=7))</f>
        <v/>
      </c>
      <c r="EV5" s="0">
        <f>AF5&lt;4</f>
        <v/>
      </c>
      <c r="EW5" s="0">
        <f>AM5&gt;=2</f>
        <v/>
      </c>
      <c r="EX5" s="0">
        <f>AH5&lt;3</f>
        <v/>
      </c>
      <c r="EY5" s="0">
        <f>CZ5&gt;CE5</f>
        <v/>
      </c>
      <c r="EZ5" s="0">
        <f>CZ5&gt;EJ5</f>
        <v/>
      </c>
      <c r="FA5" s="0">
        <f>AND(K5=0,AF5&lt;5)</f>
        <v/>
      </c>
      <c r="FB5" t="n">
        <v>1000000</v>
      </c>
      <c r="FC5">
        <f>1*2500*(1+0.03+0.02)+1*3500*(1+0.03+0.02)+1*1200*(1+0.03+0.02)+1*300*(1+0+0.01)</f>
        <v/>
      </c>
      <c r="FD5">
        <f>1*2500+1*3500+1*1200+1*300</f>
        <v/>
      </c>
      <c r="FE5">
        <f>(CF5*25+CH5*45+CJ5*80+CL5*4+CN5*9+CP5*2+CR5*4+CT5*7)*0.8096</f>
        <v/>
      </c>
      <c r="FF5">
        <f>(DC5*25+DE5*45+DG5*80+DJ5*4+DL5*9+DO5*2+DQ5*4+DS5*7)*0.8096</f>
        <v/>
      </c>
      <c r="FG5">
        <f>FB5</f>
        <v/>
      </c>
      <c r="FH5">
        <f>(1+AR5/100)^(1/12)-1</f>
        <v/>
      </c>
      <c r="FI5">
        <f>0*0+AP5*FH5</f>
        <v/>
      </c>
      <c r="FJ5">
        <f>IFERROR(FI5/(0+AP5),0)</f>
        <v/>
      </c>
      <c r="FK5">
        <f>FI5*1</f>
        <v/>
      </c>
      <c r="FL5">
        <f>ER5-DW5-DU5+FE5+FK5</f>
        <v/>
      </c>
      <c r="FM5">
        <f>FG5+EK5+AP5-FL5-FC5</f>
        <v/>
      </c>
      <c r="FN5">
        <f>0+DW5</f>
        <v/>
      </c>
      <c r="FO5">
        <f>0+FD5</f>
        <v/>
      </c>
      <c r="FP5">
        <f>FO5-FN5</f>
        <v/>
      </c>
      <c r="FQ5">
        <f>EK5</f>
        <v/>
      </c>
      <c r="FR5">
        <f>EK5</f>
        <v/>
      </c>
      <c r="FS5">
        <f>ER5+FK5</f>
        <v/>
      </c>
      <c r="FT5">
        <f>ES5-FK5</f>
        <v/>
      </c>
      <c r="FU5">
        <f>DW5</f>
        <v/>
      </c>
      <c r="FV5">
        <f>FK5</f>
        <v/>
      </c>
      <c r="FW5">
        <f>ER5</f>
        <v/>
      </c>
      <c r="FX5">
        <f>FG5</f>
        <v/>
      </c>
      <c r="FY5">
        <f>EK5+AP5</f>
        <v/>
      </c>
      <c r="FZ5">
        <f>FL5+FC5</f>
        <v/>
      </c>
      <c r="GA5">
        <f>FM5</f>
        <v/>
      </c>
      <c r="GB5">
        <f>FG5</f>
        <v/>
      </c>
      <c r="GC5">
        <f>EK5</f>
        <v/>
      </c>
      <c r="GD5">
        <f>FL5</f>
        <v/>
      </c>
      <c r="GE5">
        <f>FC5</f>
        <v/>
      </c>
      <c r="GF5">
        <f>AP5</f>
        <v/>
      </c>
      <c r="GG5">
        <f>EK5-FL5</f>
        <v/>
      </c>
      <c r="GH5">
        <f>-FC5</f>
        <v/>
      </c>
      <c r="GI5">
        <f>FM5-FG5</f>
        <v/>
      </c>
      <c r="GJ5">
        <f>FM5</f>
        <v/>
      </c>
      <c r="GK5">
        <f>FM5</f>
        <v/>
      </c>
      <c r="GL5">
        <f>FP5</f>
        <v/>
      </c>
      <c r="GM5">
        <f>FF5</f>
        <v/>
      </c>
      <c r="GN5">
        <f>FM5+FP5+FF5</f>
        <v/>
      </c>
      <c r="GO5">
        <f>AS5</f>
        <v/>
      </c>
      <c r="GP5">
        <f>FM5+FP5+FF5-AS5</f>
        <v/>
      </c>
      <c r="GQ5">
        <f>FM5+FP5+FF5</f>
        <v/>
      </c>
      <c r="GR5">
        <f>AP5</f>
        <v/>
      </c>
      <c r="GS5">
        <f>AR5</f>
        <v/>
      </c>
      <c r="GT5">
        <f>AS5</f>
        <v/>
      </c>
      <c r="GU5">
        <f>AT5</f>
        <v/>
      </c>
      <c r="GV5">
        <f>FJ5</f>
        <v/>
      </c>
      <c r="GW5">
        <f>FK5</f>
        <v/>
      </c>
    </row>
    <row r="6">
      <c r="A6" s="0" t="n">
        <v>2</v>
      </c>
      <c r="B6" s="0" t="inlineStr">
        <is>
          <t>A</t>
        </is>
      </c>
      <c r="C6" s="0" t="inlineStr">
        <is>
          <t>2|SEG-01</t>
        </is>
      </c>
      <c r="D6" s="0" t="inlineStr">
        <is>
          <t>SEG-01</t>
        </is>
      </c>
      <c r="E6" s="0" t="inlineStr">
        <is>
          <t>INF-08</t>
        </is>
      </c>
      <c r="F6" s="0" t="inlineStr">
        <is>
          <t>INS-01</t>
        </is>
      </c>
      <c r="G6" s="0" t="inlineStr">
        <is>
          <t>INS-04</t>
        </is>
      </c>
      <c r="H6" s="0" t="inlineStr">
        <is>
          <t>INS-06</t>
        </is>
      </c>
      <c r="I6" s="0" t="n">
        <v>200</v>
      </c>
      <c r="J6" s="0" t="n">
        <v>40</v>
      </c>
      <c r="K6" s="0" t="n">
        <v>1</v>
      </c>
      <c r="L6" s="0" t="n">
        <v>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COM-06B</t>
        </is>
      </c>
      <c r="X6" s="0" t="inlineStr"/>
      <c r="Y6" s="0" t="inlineStr"/>
      <c r="Z6" s="0" t="inlineStr"/>
      <c r="AA6" s="0" t="inlineStr"/>
      <c r="AB6" s="0" t="inlineStr"/>
      <c r="AC6" s="0" t="inlineStr"/>
      <c r="AD6" s="0" t="inlineStr"/>
      <c r="AE6" s="0" t="inlineStr"/>
      <c r="AF6" s="0">
        <f>IFERROR(INDEX('Catalogo_Numerico_sim3'!$I$2:$I$69,MATCH(N6,'Catalogo_Numerico_sim3'!$A$2:$A$69,0)),0)+IFERROR(INDEX('Catalogo_Numerico_sim3'!$I$2:$I$69,MATCH(O6,'Catalogo_Numerico_sim3'!$A$2:$A$69,0)),0)+IFERROR(INDEX('Catalogo_Numerico_sim3'!$I$2:$I$69,MATCH(P6,'Catalogo_Numerico_sim3'!$A$2:$A$69,0)),0)+IFERROR(INDEX('Catalogo_Numerico_sim3'!$I$2:$I$69,MATCH(Q6,'Catalogo_Numerico_sim3'!$A$2:$A$69,0)),0)+IFERROR(INDEX('Catalogo_Numerico_sim3'!$I$2:$I$69,MATCH(R6,'Catalogo_Numerico_sim3'!$A$2:$A$69,0)),0)+IFERROR(INDEX('Catalogo_Numerico_sim3'!$I$2:$I$69,MATCH(S6,'Catalogo_Numerico_sim3'!$A$2:$A$69,0)),0)+IFERROR(INDEX('Catalogo_Numerico_sim3'!$I$2:$I$69,MATCH(T6,'Catalogo_Numerico_sim3'!$A$2:$A$69,0)),0)+IFERROR(INDEX('Catalogo_Numerico_sim3'!$I$2:$I$69,MATCH(U6,'Catalogo_Numerico_sim3'!$A$2:$A$69,0)),0)+IFERROR(INDEX('Catalogo_Numerico_sim3'!$I$2:$I$69,MATCH(V6,'Catalogo_Numerico_sim3'!$A$2:$A$69,0)),0)+IFERROR(INDEX('Catalogo_Numerico_sim3'!$I$2:$I$69,MATCH(W6,'Catalogo_Numerico_sim3'!$A$2:$A$69,0)),0)</f>
        <v/>
      </c>
      <c r="AG6" s="0">
        <f>IFERROR(INDEX('Catalogo_Numerico_sim3'!$J$2:$J$69,MATCH(N6,'Catalogo_Numerico_sim3'!$A$2:$A$69,0)),0)+IFERROR(INDEX('Catalogo_Numerico_sim3'!$J$2:$J$69,MATCH(O6,'Catalogo_Numerico_sim3'!$A$2:$A$69,0)),0)+IFERROR(INDEX('Catalogo_Numerico_sim3'!$J$2:$J$69,MATCH(P6,'Catalogo_Numerico_sim3'!$A$2:$A$69,0)),0)+IFERROR(INDEX('Catalogo_Numerico_sim3'!$J$2:$J$69,MATCH(Q6,'Catalogo_Numerico_sim3'!$A$2:$A$69,0)),0)+IFERROR(INDEX('Catalogo_Numerico_sim3'!$J$2:$J$69,MATCH(R6,'Catalogo_Numerico_sim3'!$A$2:$A$69,0)),0)+IFERROR(INDEX('Catalogo_Numerico_sim3'!$J$2:$J$69,MATCH(S6,'Catalogo_Numerico_sim3'!$A$2:$A$69,0)),0)+IFERROR(INDEX('Catalogo_Numerico_sim3'!$J$2:$J$69,MATCH(T6,'Catalogo_Numerico_sim3'!$A$2:$A$69,0)),0)+IFERROR(INDEX('Catalogo_Numerico_sim3'!$J$2:$J$69,MATCH(U6,'Catalogo_Numerico_sim3'!$A$2:$A$69,0)),0)+IFERROR(INDEX('Catalogo_Numerico_sim3'!$J$2:$J$69,MATCH(V6,'Catalogo_Numerico_sim3'!$A$2:$A$69,0)),0)+IFERROR(INDEX('Catalogo_Numerico_sim3'!$J$2:$J$69,MATCH(W6,'Catalogo_Numerico_sim3'!$A$2:$A$69,0)),0)</f>
        <v/>
      </c>
      <c r="AH6" s="0">
        <f>IFERROR(INDEX('Catalogo_Numerico_sim3'!$K$2:$K$69,MATCH(N6,'Catalogo_Numerico_sim3'!$A$2:$A$69,0)),0)+IFERROR(INDEX('Catalogo_Numerico_sim3'!$K$2:$K$69,MATCH(O6,'Catalogo_Numerico_sim3'!$A$2:$A$69,0)),0)+IFERROR(INDEX('Catalogo_Numerico_sim3'!$K$2:$K$69,MATCH(P6,'Catalogo_Numerico_sim3'!$A$2:$A$69,0)),0)+IFERROR(INDEX('Catalogo_Numerico_sim3'!$K$2:$K$69,MATCH(Q6,'Catalogo_Numerico_sim3'!$A$2:$A$69,0)),0)+IFERROR(INDEX('Catalogo_Numerico_sim3'!$K$2:$K$69,MATCH(R6,'Catalogo_Numerico_sim3'!$A$2:$A$69,0)),0)+IFERROR(INDEX('Catalogo_Numerico_sim3'!$K$2:$K$69,MATCH(S6,'Catalogo_Numerico_sim3'!$A$2:$A$69,0)),0)+IFERROR(INDEX('Catalogo_Numerico_sim3'!$K$2:$K$69,MATCH(T6,'Catalogo_Numerico_sim3'!$A$2:$A$69,0)),0)+IFERROR(INDEX('Catalogo_Numerico_sim3'!$K$2:$K$69,MATCH(U6,'Catalogo_Numerico_sim3'!$A$2:$A$69,0)),0)+IFERROR(INDEX('Catalogo_Numerico_sim3'!$K$2:$K$69,MATCH(V6,'Catalogo_Numerico_sim3'!$A$2:$A$69,0)),0)+IFERROR(INDEX('Catalogo_Numerico_sim3'!$K$2:$K$69,MATCH(W6,'Catalogo_Numerico_sim3'!$A$2:$A$69,0)),0)</f>
        <v/>
      </c>
      <c r="AI6" s="0">
        <f>IFERROR(('Lotes_Pipeline_sim3'!H6*'Lotes_Pipeline_sim3'!J6)/I6,0)</f>
        <v/>
      </c>
      <c r="AJ6" s="0">
        <f>IF(OR(AND('Lotes_Pipeline_sim3'!C6="SEG-03",'Lotes_Pipeline_sim3'!H6&gt;0,'Lotes_Pipeline_sim3'!J6&lt;4)),-2,0)+IF(OR(AND('Lotes_Pipeline_sim3'!C6="SEG-03",'Lotes_Pipeline_sim3'!H6&gt;0,'Lotes_Pipeline_sim3'!J6&gt;=7)),2,0)</f>
        <v/>
      </c>
      <c r="AK6" s="0">
        <f>IF(AND(D6="SEG-03",I6&gt;0),IF(AI6&lt;4,0.65,IF(AI6&gt;=7,1.4,1)),1)</f>
        <v/>
      </c>
      <c r="AL6" s="0">
        <f>AG6+AJ6</f>
        <v/>
      </c>
      <c r="AM6" s="0">
        <f>IF(AL6&lt;3,AM2+1,0)</f>
        <v/>
      </c>
      <c r="AN6" s="0">
        <f>IF(AM6&gt;=2,0.8,1)</f>
        <v/>
      </c>
      <c r="AO6" s="0">
        <f>IF(AH6&lt;3,3,0)</f>
        <v/>
      </c>
      <c r="AP6" s="0" t="n">
        <v>0</v>
      </c>
      <c r="AQ6" s="0" t="n">
        <v>20</v>
      </c>
      <c r="AR6" s="0">
        <f>AQ6+AT2</f>
        <v/>
      </c>
      <c r="AS6" s="0">
        <f>AS2+AP6</f>
        <v/>
      </c>
      <c r="AT6" s="0">
        <f>IF(AP6&gt;0,AO6,MAX(AT2,AO6))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f>
        <v/>
      </c>
      <c r="CE6" s="0">
        <f>ROUND(CD6*CB6,0)</f>
        <v/>
      </c>
      <c r="CF6" s="0" t="n">
        <v>300</v>
      </c>
      <c r="CG6" s="0">
        <f>DC2+CF6</f>
        <v/>
      </c>
      <c r="CH6" s="0" t="n">
        <v>0</v>
      </c>
      <c r="CI6" s="0">
        <f>DE2+CH6</f>
        <v/>
      </c>
      <c r="CJ6" s="0" t="n">
        <v>0</v>
      </c>
      <c r="CK6" s="0">
        <f>DG2+CJ6</f>
        <v/>
      </c>
      <c r="CL6" s="0" t="n">
        <v>1000</v>
      </c>
      <c r="CM6" s="0">
        <f>DJ2+CL6</f>
        <v/>
      </c>
      <c r="CN6" s="0" t="n">
        <v>0</v>
      </c>
      <c r="CO6" s="0">
        <f>DL2+CN6</f>
        <v/>
      </c>
      <c r="CP6" s="0" t="n">
        <v>6000</v>
      </c>
      <c r="CQ6" s="0">
        <f>DO2+CP6</f>
        <v/>
      </c>
      <c r="CR6" s="0" t="n">
        <v>0</v>
      </c>
      <c r="CS6" s="0">
        <f>DQ2+CR6</f>
        <v/>
      </c>
      <c r="CT6" s="0" t="n">
        <v>0</v>
      </c>
      <c r="CU6" s="0">
        <f>DS2+CT6</f>
        <v/>
      </c>
      <c r="CV6" s="0">
        <f>(CG6)/0.3</f>
        <v/>
      </c>
      <c r="CW6" s="0">
        <f>(CM6)/1</f>
        <v/>
      </c>
      <c r="CX6" s="0">
        <f>(CQ6)/6</f>
        <v/>
      </c>
      <c r="CY6" s="0">
        <f>ROUNDDOWN(MIN(I6,CE6,CV6,CW6,CX6),0)</f>
        <v/>
      </c>
      <c r="CZ6" s="0">
        <f>'Lotes_Pipeline_sim3'!U6</f>
        <v/>
      </c>
      <c r="DA6" s="0">
        <f>DB6+DD6+DF6</f>
        <v/>
      </c>
      <c r="DB6" s="0">
        <f>'Lotes_Pipeline_sim3'!X6</f>
        <v/>
      </c>
      <c r="DC6" s="0">
        <f>CG6-DB6</f>
        <v/>
      </c>
      <c r="DD6" s="0">
        <f>'Lotes_Pipeline_sim3'!AA6</f>
        <v/>
      </c>
      <c r="DE6" s="0">
        <f>CI6-DD6</f>
        <v/>
      </c>
      <c r="DF6" s="0">
        <f>'Lotes_Pipeline_sim3'!AD6</f>
        <v/>
      </c>
      <c r="DG6" s="0">
        <f>CK6-DF6</f>
        <v/>
      </c>
      <c r="DH6" s="0">
        <f>DI6+DK6</f>
        <v/>
      </c>
      <c r="DI6" s="0">
        <f>'Lotes_Pipeline_sim3'!AG6</f>
        <v/>
      </c>
      <c r="DJ6" s="0">
        <f>CM6-DI6</f>
        <v/>
      </c>
      <c r="DK6" s="0">
        <f>'Lotes_Pipeline_sim3'!AJ6</f>
        <v/>
      </c>
      <c r="DL6" s="0">
        <f>CO6-DK6</f>
        <v/>
      </c>
      <c r="DM6" s="0">
        <f>DN6+DP6+DR6</f>
        <v/>
      </c>
      <c r="DN6" s="0">
        <f>'Lotes_Pipeline_sim3'!AM6</f>
        <v/>
      </c>
      <c r="DO6" s="0">
        <f>CQ6-DN6</f>
        <v/>
      </c>
      <c r="DP6" s="0">
        <f>'Lotes_Pipeline_sim3'!AP6</f>
        <v/>
      </c>
      <c r="DQ6" s="0">
        <f>CS6-DP6</f>
        <v/>
      </c>
      <c r="DR6" s="0">
        <f>'Lotes_Pipeline_sim3'!AS6</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(DB6*25+DD6*45+DF6*80+DI6*4+DK6*9+DN6*2+DP6*4+DR6*7)*0.92</f>
        <v/>
      </c>
      <c r="DV6" s="0">
        <f>1*2500*0.05/12*1+1*3500*0.05/12*1+1*1200*0.05/12*1+1*300*0.05/12*1</f>
        <v/>
      </c>
      <c r="DW6" s="0">
        <f>1*(2375.0/10/12*1)+1*(3325.0/10/12*1)+1*(1140.0/8/12*1)+1*(285.0/5/12*1)</f>
        <v/>
      </c>
      <c r="DX6" s="0">
        <f>IFERROR((0)/CZ6,0)*10+IFERROR(CA6/BZ6,0)*10+(IFERROR(DF6/(DB6+DD6+DF6),0)+IFERROR(DK6/(DI6+DK6),0)+IFERROR(DR6/(DP6+DR6),0))/3*10+L6/10000*10</f>
        <v/>
      </c>
      <c r="DY6" s="0">
        <f>DX6+AJ6</f>
        <v/>
      </c>
      <c r="DZ6" s="0">
        <f>EC2+CZ6</f>
        <v/>
      </c>
      <c r="EA6" s="0" t="n">
        <v>40</v>
      </c>
      <c r="EB6" s="0" t="n">
        <v>0</v>
      </c>
      <c r="EC6" s="0">
        <f>'Lotes_Pipeline_sim3'!AY6</f>
        <v/>
      </c>
      <c r="ED6" s="0">
        <f>IF(D6="SEG-01",IFERROR(100*(_xlfn.MAXIFS($J$2:$J$13,$C$2:$C$13,C6)-J6)/(_xlfn.MAXIFS($J$2:$J$13,$C$2:$C$13,C6)-_xlfn.MINIFS($J$2:$J$13,$C$2:$C$13,C6)),100),100-ABS(J6-EB6)/EB6*100)</f>
        <v/>
      </c>
      <c r="EE6" s="0">
        <f>IFERROR(ROUND(DY6/SUMIF($C$2:$C$13,"2|SEG-01",$DY$2:$DY$13)*100,0),0)</f>
        <v/>
      </c>
      <c r="EF6" s="0">
        <f>0.7*ED6+0.2*DY6*10+0.1*EE6</f>
        <v/>
      </c>
      <c r="EG6" s="0">
        <f>IFERROR(EF6/SUMIF($C$2:$C$13,C6,$EF$2:$EF$13),0)</f>
        <v/>
      </c>
      <c r="EH6" s="0">
        <f>'Mercados_Pipeline_sim3'!J6</f>
        <v/>
      </c>
      <c r="EI6" s="0">
        <f>'Mercados_Pipeline_sim3'!I6</f>
        <v/>
      </c>
      <c r="EJ6" s="0">
        <f>'Lotes_Pipeline_sim3'!AW6</f>
        <v/>
      </c>
      <c r="EK6" s="0">
        <f>'Lotes_Pipeline_sim3'!AX6</f>
        <v/>
      </c>
      <c r="EL6" s="0">
        <f>EC6*2</f>
        <v/>
      </c>
      <c r="EM6" s="0">
        <f>IF(CZ6&gt;CE6,0.25*DT6*IFERROR(MIN(1,(CZ6-CE6)/CE6),1),0)</f>
        <v/>
      </c>
      <c r="EN6" s="0">
        <f>0</f>
        <v/>
      </c>
      <c r="EO6" s="0">
        <f>(IFERROR(INDEX('Catalogo_Numerico_sim3'!$G$2:$G$69,MATCH("COM-01C",'Catalogo_Numerico_sim3'!$A$2:$A$69,0)),0))*1</f>
        <v/>
      </c>
      <c r="EP6" s="0">
        <f>0</f>
        <v/>
      </c>
      <c r="EQ6" s="0" t="n">
        <v>0</v>
      </c>
      <c r="ER6" s="0">
        <f>DT6+DU6+DV6+DW6+L6+EL6+EM6+EN6+EO6+EP6+EQ6</f>
        <v/>
      </c>
      <c r="ES6" s="0">
        <f>EK6-ER6</f>
        <v/>
      </c>
      <c r="ET6" s="0">
        <f>OR(AND('Lotes_Pipeline_sim3'!C6="SEG-03",'Lotes_Pipeline_sim3'!H6&gt;0,'Lotes_Pipeline_sim3'!J6&lt;4))</f>
        <v/>
      </c>
      <c r="EU6" s="0">
        <f>OR(AND('Lotes_Pipeline_sim3'!C6="SEG-03",'Lotes_Pipeline_sim3'!H6&gt;0,'Lotes_Pipeline_sim3'!J6&gt;=7))</f>
        <v/>
      </c>
      <c r="EV6" s="0">
        <f>AF6&lt;4</f>
        <v/>
      </c>
      <c r="EW6" s="0">
        <f>AM6&gt;=2</f>
        <v/>
      </c>
      <c r="EX6" s="0">
        <f>AH6&lt;3</f>
        <v/>
      </c>
      <c r="EY6" s="0">
        <f>CZ6&gt;CE6</f>
        <v/>
      </c>
      <c r="EZ6" s="0">
        <f>CZ6&gt;EJ6</f>
        <v/>
      </c>
      <c r="FA6" s="0">
        <f>AND(K6=0,AF6&lt;5)</f>
        <v/>
      </c>
      <c r="FB6" t="n">
        <v>1000000</v>
      </c>
      <c r="FC6">
        <f>0*2500*(1+0.03+0.02)+0*3500*(1+0.03+0.02)+0*1200*(1+0.03+0.02)+0*300*(1+0+0.01)</f>
        <v/>
      </c>
      <c r="FD6">
        <f>0*2500+0*3500+0*1200+0*300</f>
        <v/>
      </c>
      <c r="FE6">
        <f>(CF6*25+CH6*45+CJ6*80+CL6*4+CN6*9+CP6*2+CR6*4+CT6*7)*0.92</f>
        <v/>
      </c>
      <c r="FF6">
        <f>(DC6*25+DE6*45+DG6*80+DJ6*4+DL6*9+DO6*2+DQ6*4+DS6*7)*0.92</f>
        <v/>
      </c>
      <c r="FG6">
        <f>FM2</f>
        <v/>
      </c>
      <c r="FH6">
        <f>(1+AR6/100)^(1/12)-1</f>
        <v/>
      </c>
      <c r="FI6">
        <f>AS2*FJ2+AP6*FH6</f>
        <v/>
      </c>
      <c r="FJ6">
        <f>IFERROR(FI6/(AS2+AP6),0)</f>
        <v/>
      </c>
      <c r="FK6">
        <f>FI6*1</f>
        <v/>
      </c>
      <c r="FL6">
        <f>ER6-DW6-DU6+FE6+FK6</f>
        <v/>
      </c>
      <c r="FM6">
        <f>FG6+EK6+AP6-FL6-FC6</f>
        <v/>
      </c>
      <c r="FN6">
        <f>FN2+DW6</f>
        <v/>
      </c>
      <c r="FO6">
        <f>FO2+FD6</f>
        <v/>
      </c>
      <c r="FP6">
        <f>FO6-FN6</f>
        <v/>
      </c>
      <c r="FQ6">
        <f>EK6</f>
        <v/>
      </c>
      <c r="FR6">
        <f>EK6</f>
        <v/>
      </c>
      <c r="FS6">
        <f>ER6+FK6</f>
        <v/>
      </c>
      <c r="FT6">
        <f>ES6-FK6</f>
        <v/>
      </c>
      <c r="FU6">
        <f>DW6</f>
        <v/>
      </c>
      <c r="FV6">
        <f>FK6</f>
        <v/>
      </c>
      <c r="FW6">
        <f>ER6</f>
        <v/>
      </c>
      <c r="FX6">
        <f>FG6</f>
        <v/>
      </c>
      <c r="FY6">
        <f>EK6+AP6</f>
        <v/>
      </c>
      <c r="FZ6">
        <f>FL6+FC6</f>
        <v/>
      </c>
      <c r="GA6">
        <f>FM6</f>
        <v/>
      </c>
      <c r="GB6">
        <f>FG6</f>
        <v/>
      </c>
      <c r="GC6">
        <f>EK6</f>
        <v/>
      </c>
      <c r="GD6">
        <f>FL6</f>
        <v/>
      </c>
      <c r="GE6">
        <f>FC6</f>
        <v/>
      </c>
      <c r="GF6">
        <f>AP6</f>
        <v/>
      </c>
      <c r="GG6">
        <f>EK6-FL6</f>
        <v/>
      </c>
      <c r="GH6">
        <f>-FC6</f>
        <v/>
      </c>
      <c r="GI6">
        <f>FM6-FG6</f>
        <v/>
      </c>
      <c r="GJ6">
        <f>FM6</f>
        <v/>
      </c>
      <c r="GK6">
        <f>FM6</f>
        <v/>
      </c>
      <c r="GL6">
        <f>FP6</f>
        <v/>
      </c>
      <c r="GM6">
        <f>FF6</f>
        <v/>
      </c>
      <c r="GN6">
        <f>FM6+FP6+FF6</f>
        <v/>
      </c>
      <c r="GO6">
        <f>AS6</f>
        <v/>
      </c>
      <c r="GP6">
        <f>FM6+FP6+FF6-AS6</f>
        <v/>
      </c>
      <c r="GQ6">
        <f>FM6+FP6+FF6</f>
        <v/>
      </c>
      <c r="GR6">
        <f>AP6</f>
        <v/>
      </c>
      <c r="GS6">
        <f>AR6</f>
        <v/>
      </c>
      <c r="GT6">
        <f>AS6</f>
        <v/>
      </c>
      <c r="GU6">
        <f>AT6</f>
        <v/>
      </c>
      <c r="GV6">
        <f>FJ6</f>
        <v/>
      </c>
      <c r="GW6">
        <f>FK6</f>
        <v/>
      </c>
    </row>
    <row r="7">
      <c r="A7" s="0" t="n">
        <v>2</v>
      </c>
      <c r="B7" s="0" t="inlineStr">
        <is>
          <t>B</t>
        </is>
      </c>
      <c r="C7" s="0" t="inlineStr">
        <is>
          <t>2|SEG-02</t>
        </is>
      </c>
      <c r="D7" s="0" t="inlineStr">
        <is>
          <t>SEG-02</t>
        </is>
      </c>
      <c r="E7" s="0" t="inlineStr">
        <is>
          <t>INF-09</t>
        </is>
      </c>
      <c r="F7" s="0" t="inlineStr">
        <is>
          <t>INS-02</t>
        </is>
      </c>
      <c r="G7" s="0" t="inlineStr">
        <is>
          <t>INS-04</t>
        </is>
      </c>
      <c r="H7" s="0" t="inlineStr">
        <is>
          <t>INS-07</t>
        </is>
      </c>
      <c r="I7" s="0" t="n">
        <v>200</v>
      </c>
      <c r="J7" s="0" t="n">
        <v>110</v>
      </c>
      <c r="K7" s="0" t="n">
        <v>1</v>
      </c>
      <c r="L7" s="0" t="n">
        <v>6000</v>
      </c>
      <c r="M7" s="0" t="inlineStr">
        <is>
          <t>MYPE</t>
        </is>
      </c>
      <c r="N7" s="0" t="inlineStr">
        <is>
          <t>INF-03</t>
        </is>
      </c>
      <c r="O7" s="0" t="inlineStr">
        <is>
          <t>INF-06</t>
        </is>
      </c>
      <c r="P7" s="0" t="inlineStr">
        <is>
          <t>INF-09</t>
        </is>
      </c>
      <c r="Q7" s="0" t="inlineStr">
        <is>
          <t>RH-02</t>
        </is>
      </c>
      <c r="R7" s="0" t="inlineStr">
        <is>
          <t>RH-05</t>
        </is>
      </c>
      <c r="S7" s="0" t="inlineStr">
        <is>
          <t>RH-08</t>
        </is>
      </c>
      <c r="T7" s="0" t="inlineStr">
        <is>
          <t>RH-10A</t>
        </is>
      </c>
      <c r="U7" s="0" t="inlineStr">
        <is>
          <t>COM-01C</t>
        </is>
      </c>
      <c r="V7" s="0" t="inlineStr">
        <is>
          <t>FIN-01B</t>
        </is>
      </c>
      <c r="W7" s="0" t="inlineStr">
        <is>
          <t>INV-01B</t>
        </is>
      </c>
      <c r="X7" s="0" t="inlineStr">
        <is>
          <t>COM-06B</t>
        </is>
      </c>
      <c r="Y7" s="0" t="inlineStr">
        <is>
          <t>INV-02B</t>
        </is>
      </c>
      <c r="Z7" s="0" t="inlineStr"/>
      <c r="AA7" s="0" t="inlineStr"/>
      <c r="AB7" s="0" t="inlineStr"/>
      <c r="AC7" s="0" t="inlineStr"/>
      <c r="AD7" s="0" t="inlineStr"/>
      <c r="AE7" s="0" t="inlineStr"/>
      <c r="AF7" s="0">
        <f>IFERROR(INDEX('Catalogo_Numerico_sim3'!$I$2:$I$69,MATCH(N7,'Catalogo_Numerico_sim3'!$A$2:$A$69,0)),0)+IFERROR(INDEX('Catalogo_Numerico_sim3'!$I$2:$I$69,MATCH(O7,'Catalogo_Numerico_sim3'!$A$2:$A$69,0)),0)+IFERROR(INDEX('Catalogo_Numerico_sim3'!$I$2:$I$69,MATCH(P7,'Catalogo_Numerico_sim3'!$A$2:$A$69,0)),0)+IFERROR(INDEX('Catalogo_Numerico_sim3'!$I$2:$I$69,MATCH(Q7,'Catalogo_Numerico_sim3'!$A$2:$A$69,0)),0)+IFERROR(INDEX('Catalogo_Numerico_sim3'!$I$2:$I$69,MATCH(R7,'Catalogo_Numerico_sim3'!$A$2:$A$69,0)),0)+IFERROR(INDEX('Catalogo_Numerico_sim3'!$I$2:$I$69,MATCH(S7,'Catalogo_Numerico_sim3'!$A$2:$A$69,0)),0)+IFERROR(INDEX('Catalogo_Numerico_sim3'!$I$2:$I$69,MATCH(T7,'Catalogo_Numerico_sim3'!$A$2:$A$69,0)),0)+IFERROR(INDEX('Catalogo_Numerico_sim3'!$I$2:$I$69,MATCH(U7,'Catalogo_Numerico_sim3'!$A$2:$A$69,0)),0)+IFERROR(INDEX('Catalogo_Numerico_sim3'!$I$2:$I$69,MATCH(V7,'Catalogo_Numerico_sim3'!$A$2:$A$69,0)),0)+IFERROR(INDEX('Catalogo_Numerico_sim3'!$I$2:$I$69,MATCH(W7,'Catalogo_Numerico_sim3'!$A$2:$A$69,0)),0)+IFERROR(INDEX('Catalogo_Numerico_sim3'!$I$2:$I$69,MATCH(X7,'Catalogo_Numerico_sim3'!$A$2:$A$69,0)),0)+IFERROR(INDEX('Catalogo_Numerico_sim3'!$I$2:$I$69,MATCH(Y7,'Catalogo_Numerico_sim3'!$A$2:$A$69,0)),0)</f>
        <v/>
      </c>
      <c r="AG7" s="0">
        <f>IFERROR(INDEX('Catalogo_Numerico_sim3'!$J$2:$J$69,MATCH(N7,'Catalogo_Numerico_sim3'!$A$2:$A$69,0)),0)+IFERROR(INDEX('Catalogo_Numerico_sim3'!$J$2:$J$69,MATCH(O7,'Catalogo_Numerico_sim3'!$A$2:$A$69,0)),0)+IFERROR(INDEX('Catalogo_Numerico_sim3'!$J$2:$J$69,MATCH(P7,'Catalogo_Numerico_sim3'!$A$2:$A$69,0)),0)+IFERROR(INDEX('Catalogo_Numerico_sim3'!$J$2:$J$69,MATCH(Q7,'Catalogo_Numerico_sim3'!$A$2:$A$69,0)),0)+IFERROR(INDEX('Catalogo_Numerico_sim3'!$J$2:$J$69,MATCH(R7,'Catalogo_Numerico_sim3'!$A$2:$A$69,0)),0)+IFERROR(INDEX('Catalogo_Numerico_sim3'!$J$2:$J$69,MATCH(S7,'Catalogo_Numerico_sim3'!$A$2:$A$69,0)),0)+IFERROR(INDEX('Catalogo_Numerico_sim3'!$J$2:$J$69,MATCH(T7,'Catalogo_Numerico_sim3'!$A$2:$A$69,0)),0)+IFERROR(INDEX('Catalogo_Numerico_sim3'!$J$2:$J$69,MATCH(U7,'Catalogo_Numerico_sim3'!$A$2:$A$69,0)),0)+IFERROR(INDEX('Catalogo_Numerico_sim3'!$J$2:$J$69,MATCH(V7,'Catalogo_Numerico_sim3'!$A$2:$A$69,0)),0)+IFERROR(INDEX('Catalogo_Numerico_sim3'!$J$2:$J$69,MATCH(W7,'Catalogo_Numerico_sim3'!$A$2:$A$69,0)),0)+IFERROR(INDEX('Catalogo_Numerico_sim3'!$J$2:$J$69,MATCH(X7,'Catalogo_Numerico_sim3'!$A$2:$A$69,0)),0)+IFERROR(INDEX('Catalogo_Numerico_sim3'!$J$2:$J$69,MATCH(Y7,'Catalogo_Numerico_sim3'!$A$2:$A$69,0)),0)</f>
        <v/>
      </c>
      <c r="AH7" s="0">
        <f>IFERROR(INDEX('Catalogo_Numerico_sim3'!$K$2:$K$69,MATCH(N7,'Catalogo_Numerico_sim3'!$A$2:$A$69,0)),0)+IFERROR(INDEX('Catalogo_Numerico_sim3'!$K$2:$K$69,MATCH(O7,'Catalogo_Numerico_sim3'!$A$2:$A$69,0)),0)+IFERROR(INDEX('Catalogo_Numerico_sim3'!$K$2:$K$69,MATCH(P7,'Catalogo_Numerico_sim3'!$A$2:$A$69,0)),0)+IFERROR(INDEX('Catalogo_Numerico_sim3'!$K$2:$K$69,MATCH(Q7,'Catalogo_Numerico_sim3'!$A$2:$A$69,0)),0)+IFERROR(INDEX('Catalogo_Numerico_sim3'!$K$2:$K$69,MATCH(R7,'Catalogo_Numerico_sim3'!$A$2:$A$69,0)),0)+IFERROR(INDEX('Catalogo_Numerico_sim3'!$K$2:$K$69,MATCH(S7,'Catalogo_Numerico_sim3'!$A$2:$A$69,0)),0)+IFERROR(INDEX('Catalogo_Numerico_sim3'!$K$2:$K$69,MATCH(T7,'Catalogo_Numerico_sim3'!$A$2:$A$69,0)),0)+IFERROR(INDEX('Catalogo_Numerico_sim3'!$K$2:$K$69,MATCH(U7,'Catalogo_Numerico_sim3'!$A$2:$A$69,0)),0)+IFERROR(INDEX('Catalogo_Numerico_sim3'!$K$2:$K$69,MATCH(V7,'Catalogo_Numerico_sim3'!$A$2:$A$69,0)),0)+IFERROR(INDEX('Catalogo_Numerico_sim3'!$K$2:$K$69,MATCH(W7,'Catalogo_Numerico_sim3'!$A$2:$A$69,0)),0)+IFERROR(INDEX('Catalogo_Numerico_sim3'!$K$2:$K$69,MATCH(X7,'Catalogo_Numerico_sim3'!$A$2:$A$69,0)),0)+IFERROR(INDEX('Catalogo_Numerico_sim3'!$K$2:$K$69,MATCH(Y7,'Catalogo_Numerico_sim3'!$A$2:$A$69,0)),0)</f>
        <v/>
      </c>
      <c r="AI7" s="0">
        <f>IFERROR(('Lotes_Pipeline_sim3'!H7*'Lotes_Pipeline_sim3'!J7)/I7,0)</f>
        <v/>
      </c>
      <c r="AJ7" s="0">
        <f>IF(OR(AND('Lotes_Pipeline_sim3'!C7="SEG-03",'Lotes_Pipeline_sim3'!H7&gt;0,'Lotes_Pipeline_sim3'!J7&lt;4)),-2,0)+IF(OR(AND('Lotes_Pipeline_sim3'!C7="SEG-03",'Lotes_Pipeline_sim3'!H7&gt;0,'Lotes_Pipeline_sim3'!J7&gt;=7)),2,0)</f>
        <v/>
      </c>
      <c r="AK7" s="0">
        <f>IF(AND(D7="SEG-03",I7&gt;0),IF(AI7&lt;4,0.65,IF(AI7&gt;=7,1.4,1)),1)</f>
        <v/>
      </c>
      <c r="AL7" s="0">
        <f>AG7+AJ7</f>
        <v/>
      </c>
      <c r="AM7" s="0">
        <f>IF(AL7&lt;3,AM3+1,0)</f>
        <v/>
      </c>
      <c r="AN7" s="0">
        <f>IF(AM7&gt;=2,0.8,1)</f>
        <v/>
      </c>
      <c r="AO7" s="0">
        <f>IF(AH7&lt;3,3,0)</f>
        <v/>
      </c>
      <c r="AP7" s="0" t="n">
        <v>0</v>
      </c>
      <c r="AQ7" s="0" t="n">
        <v>20</v>
      </c>
      <c r="AR7" s="0">
        <f>AQ7+AT3</f>
        <v/>
      </c>
      <c r="AS7" s="0">
        <f>AS3+AP7</f>
        <v/>
      </c>
      <c r="AT7" s="0">
        <f>IF(AP7&gt;0,AO7,MAX(AT3,AO7))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CC7*24*1.08</f>
        <v/>
      </c>
      <c r="CE7" s="0">
        <f>ROUND(CD7*CB7,0)</f>
        <v/>
      </c>
      <c r="CF7" s="0" t="n">
        <v>0</v>
      </c>
      <c r="CG7" s="0">
        <f>DC3+CF7</f>
        <v/>
      </c>
      <c r="CH7" s="0" t="n">
        <v>300</v>
      </c>
      <c r="CI7" s="0">
        <f>DE3+CH7</f>
        <v/>
      </c>
      <c r="CJ7" s="0" t="n">
        <v>0</v>
      </c>
      <c r="CK7" s="0">
        <f>DG3+CJ7</f>
        <v/>
      </c>
      <c r="CL7" s="0" t="n">
        <v>1000</v>
      </c>
      <c r="CM7" s="0">
        <f>DJ3+CL7</f>
        <v/>
      </c>
      <c r="CN7" s="0" t="n">
        <v>0</v>
      </c>
      <c r="CO7" s="0">
        <f>DL3+CN7</f>
        <v/>
      </c>
      <c r="CP7" s="0" t="n">
        <v>0</v>
      </c>
      <c r="CQ7" s="0">
        <f>DO3+CP7</f>
        <v/>
      </c>
      <c r="CR7" s="0" t="n">
        <v>6000</v>
      </c>
      <c r="CS7" s="0">
        <f>DQ3+CR7</f>
        <v/>
      </c>
      <c r="CT7" s="0" t="n">
        <v>0</v>
      </c>
      <c r="CU7" s="0">
        <f>DS3+CT7</f>
        <v/>
      </c>
      <c r="CV7" s="0">
        <f>(CI7)/0.4</f>
        <v/>
      </c>
      <c r="CW7" s="0">
        <f>(CM7)/1</f>
        <v/>
      </c>
      <c r="CX7" s="0">
        <f>(CS7)/7</f>
        <v/>
      </c>
      <c r="CY7" s="0">
        <f>ROUNDDOWN(MIN(I7,CE7,CV7,CW7,CX7),0)</f>
        <v/>
      </c>
      <c r="CZ7" s="0">
        <f>'Lotes_Pipeline_sim3'!U7</f>
        <v/>
      </c>
      <c r="DA7" s="0">
        <f>DB7+DD7+DF7</f>
        <v/>
      </c>
      <c r="DB7" s="0">
        <f>'Lotes_Pipeline_sim3'!X7</f>
        <v/>
      </c>
      <c r="DC7" s="0">
        <f>CG7-DB7</f>
        <v/>
      </c>
      <c r="DD7" s="0">
        <f>'Lotes_Pipeline_sim3'!AA7</f>
        <v/>
      </c>
      <c r="DE7" s="0">
        <f>CI7-DD7</f>
        <v/>
      </c>
      <c r="DF7" s="0">
        <f>'Lotes_Pipeline_sim3'!AD7</f>
        <v/>
      </c>
      <c r="DG7" s="0">
        <f>CK7-DF7</f>
        <v/>
      </c>
      <c r="DH7" s="0">
        <f>DI7+DK7</f>
        <v/>
      </c>
      <c r="DI7" s="0">
        <f>'Lotes_Pipeline_sim3'!AG7</f>
        <v/>
      </c>
      <c r="DJ7" s="0">
        <f>CM7-DI7</f>
        <v/>
      </c>
      <c r="DK7" s="0">
        <f>'Lotes_Pipeline_sim3'!AJ7</f>
        <v/>
      </c>
      <c r="DL7" s="0">
        <f>CO7-DK7</f>
        <v/>
      </c>
      <c r="DM7" s="0">
        <f>DN7+DP7+DR7</f>
        <v/>
      </c>
      <c r="DN7" s="0">
        <f>'Lotes_Pipeline_sim3'!AM7</f>
        <v/>
      </c>
      <c r="DO7" s="0">
        <f>CQ7-DN7</f>
        <v/>
      </c>
      <c r="DP7" s="0">
        <f>'Lotes_Pipeline_sim3'!AP7</f>
        <v/>
      </c>
      <c r="DQ7" s="0">
        <f>CS7-DP7</f>
        <v/>
      </c>
      <c r="DR7" s="0">
        <f>'Lotes_Pipeline_sim3'!AS7</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(DB7*25+DD7*45+DF7*80+DI7*4+DK7*9+DN7*2+DP7*4+DR7*7)*0.92</f>
        <v/>
      </c>
      <c r="DV7" s="0">
        <f>1*2500*0.05/12*1+1*3500*0.05/12*1+1*1200*0.05/12*1+1*300*0.05/12*1</f>
        <v/>
      </c>
      <c r="DW7" s="0">
        <f>1*(2375.0/10/12*1)+1*(3325.0/10/12*1)+1*(1140.0/8/12*1)+1*(285.0/5/12*1)</f>
        <v/>
      </c>
      <c r="DX7" s="0">
        <f>IFERROR((0)/CZ7,0)*10+IFERROR(CA7/BZ7,0)*10+(IFERROR(DF7/(DB7+DD7+DF7),0)+IFERROR(DK7/(DI7+DK7),0)+IFERROR(DR7/(DP7+DR7),0))/3*10+L7/10000*10</f>
        <v/>
      </c>
      <c r="DY7" s="0">
        <f>DX7+AJ7</f>
        <v/>
      </c>
      <c r="DZ7" s="0">
        <f>EC3+CZ7</f>
        <v/>
      </c>
      <c r="EA7" s="0" t="n">
        <v>40</v>
      </c>
      <c r="EB7" s="0" t="n">
        <v>100</v>
      </c>
      <c r="EC7" s="0">
        <f>'Lotes_Pipeline_sim3'!AY7</f>
        <v/>
      </c>
      <c r="ED7" s="0">
        <f>IF(D7="SEG-01",IFERROR(100*(_xlfn.MAXIFS($J$2:$J$13,$C$2:$C$13,C7)-J7)/(_xlfn.MAXIFS($J$2:$J$13,$C$2:$C$13,C7)-_xlfn.MINIFS($J$2:$J$13,$C$2:$C$13,C7)),100),100-ABS(J7-EB7)/EB7*100)</f>
        <v/>
      </c>
      <c r="EE7" s="0">
        <f>IFERROR(ROUND(DY7/SUMIF($C$2:$C$13,"2|SEG-01",$DY$2:$DY$13)*100,0),0)</f>
        <v/>
      </c>
      <c r="EF7" s="0">
        <f>0.4*ED7+0.35*DY7*10+0.25*EE7</f>
        <v/>
      </c>
      <c r="EG7" s="0">
        <f>IFERROR(EF7/SUMIF($C$2:$C$13,C7,$EF$2:$EF$13),0)</f>
        <v/>
      </c>
      <c r="EH7" s="0">
        <f>'Mercados_Pipeline_sim3'!J7</f>
        <v/>
      </c>
      <c r="EI7" s="0">
        <f>'Mercados_Pipeline_sim3'!I7</f>
        <v/>
      </c>
      <c r="EJ7" s="0">
        <f>'Lotes_Pipeline_sim3'!AW7</f>
        <v/>
      </c>
      <c r="EK7" s="0">
        <f>'Lotes_Pipeline_sim3'!AX7</f>
        <v/>
      </c>
      <c r="EL7" s="0">
        <f>EC7*2</f>
        <v/>
      </c>
      <c r="EM7" s="0">
        <f>IF(CZ7&gt;CE7,0.25*DT7*IFERROR(MIN(1,(CZ7-CE7)/CE7),1),0)</f>
        <v/>
      </c>
      <c r="EN7" s="0">
        <f>0</f>
        <v/>
      </c>
      <c r="EO7" s="0">
        <f>(IFERROR(INDEX('Catalogo_Numerico_sim3'!$G$2:$G$69,MATCH("COM-01C",'Catalogo_Numerico_sim3'!$A$2:$A$69,0)),0)+IFERROR(INDEX('Catalogo_Numerico_sim3'!$G$2:$G$69,MATCH("INV-01B",'Catalogo_Numerico_sim3'!$A$2:$A$69,0)),0))*1</f>
        <v/>
      </c>
      <c r="EP7" s="0">
        <f>0</f>
        <v/>
      </c>
      <c r="EQ7" s="0" t="n">
        <v>0</v>
      </c>
      <c r="ER7" s="0">
        <f>DT7+DU7+DV7+DW7+L7+EL7+EM7+EN7+EO7+EP7+EQ7</f>
        <v/>
      </c>
      <c r="ES7" s="0">
        <f>EK7-ER7</f>
        <v/>
      </c>
      <c r="ET7" s="0">
        <f>OR(AND('Lotes_Pipeline_sim3'!C7="SEG-03",'Lotes_Pipeline_sim3'!H7&gt;0,'Lotes_Pipeline_sim3'!J7&lt;4))</f>
        <v/>
      </c>
      <c r="EU7" s="0">
        <f>OR(AND('Lotes_Pipeline_sim3'!C7="SEG-03",'Lotes_Pipeline_sim3'!H7&gt;0,'Lotes_Pipeline_sim3'!J7&gt;=7))</f>
        <v/>
      </c>
      <c r="EV7" s="0">
        <f>AF7&lt;4</f>
        <v/>
      </c>
      <c r="EW7" s="0">
        <f>AM7&gt;=2</f>
        <v/>
      </c>
      <c r="EX7" s="0">
        <f>AH7&lt;3</f>
        <v/>
      </c>
      <c r="EY7" s="0">
        <f>CZ7&gt;CE7</f>
        <v/>
      </c>
      <c r="EZ7" s="0">
        <f>CZ7&gt;EJ7</f>
        <v/>
      </c>
      <c r="FA7" s="0">
        <f>AND(K7=0,AF7&lt;5)</f>
        <v/>
      </c>
      <c r="FB7" t="n">
        <v>1000000</v>
      </c>
      <c r="FC7">
        <f>0*2500*(1+0.03+0.02)+0*3500*(1+0.03+0.02)+0*1200*(1+0.03+0.02)+0*300*(1+0+0.01)</f>
        <v/>
      </c>
      <c r="FD7">
        <f>0*2500+0*3500+0*1200+0*300</f>
        <v/>
      </c>
      <c r="FE7">
        <f>(CF7*25+CH7*45+CJ7*80+CL7*4+CN7*9+CP7*2+CR7*4+CT7*7)*0.92</f>
        <v/>
      </c>
      <c r="FF7">
        <f>(DC7*25+DE7*45+DG7*80+DJ7*4+DL7*9+DO7*2+DQ7*4+DS7*7)*0.92</f>
        <v/>
      </c>
      <c r="FG7">
        <f>FM3</f>
        <v/>
      </c>
      <c r="FH7">
        <f>(1+AR7/100)^(1/12)-1</f>
        <v/>
      </c>
      <c r="FI7">
        <f>AS3*FJ3+AP7*FH7</f>
        <v/>
      </c>
      <c r="FJ7">
        <f>IFERROR(FI7/(AS3+AP7),0)</f>
        <v/>
      </c>
      <c r="FK7">
        <f>FI7*1</f>
        <v/>
      </c>
      <c r="FL7">
        <f>ER7-DW7-DU7+FE7+FK7</f>
        <v/>
      </c>
      <c r="FM7">
        <f>FG7+EK7+AP7-FL7-FC7</f>
        <v/>
      </c>
      <c r="FN7">
        <f>FN3+DW7</f>
        <v/>
      </c>
      <c r="FO7">
        <f>FO3+FD7</f>
        <v/>
      </c>
      <c r="FP7">
        <f>FO7-FN7</f>
        <v/>
      </c>
      <c r="FQ7">
        <f>EK7</f>
        <v/>
      </c>
      <c r="FR7">
        <f>EK7</f>
        <v/>
      </c>
      <c r="FS7">
        <f>ER7+FK7</f>
        <v/>
      </c>
      <c r="FT7">
        <f>ES7-FK7</f>
        <v/>
      </c>
      <c r="FU7">
        <f>DW7</f>
        <v/>
      </c>
      <c r="FV7">
        <f>FK7</f>
        <v/>
      </c>
      <c r="FW7">
        <f>ER7</f>
        <v/>
      </c>
      <c r="FX7">
        <f>FG7</f>
        <v/>
      </c>
      <c r="FY7">
        <f>EK7+AP7</f>
        <v/>
      </c>
      <c r="FZ7">
        <f>FL7+FC7</f>
        <v/>
      </c>
      <c r="GA7">
        <f>FM7</f>
        <v/>
      </c>
      <c r="GB7">
        <f>FG7</f>
        <v/>
      </c>
      <c r="GC7">
        <f>EK7</f>
        <v/>
      </c>
      <c r="GD7">
        <f>FL7</f>
        <v/>
      </c>
      <c r="GE7">
        <f>FC7</f>
        <v/>
      </c>
      <c r="GF7">
        <f>AP7</f>
        <v/>
      </c>
      <c r="GG7">
        <f>EK7-FL7</f>
        <v/>
      </c>
      <c r="GH7">
        <f>-FC7</f>
        <v/>
      </c>
      <c r="GI7">
        <f>FM7-FG7</f>
        <v/>
      </c>
      <c r="GJ7">
        <f>FM7</f>
        <v/>
      </c>
      <c r="GK7">
        <f>FM7</f>
        <v/>
      </c>
      <c r="GL7">
        <f>FP7</f>
        <v/>
      </c>
      <c r="GM7">
        <f>FF7</f>
        <v/>
      </c>
      <c r="GN7">
        <f>FM7+FP7+FF7</f>
        <v/>
      </c>
      <c r="GO7">
        <f>AS7</f>
        <v/>
      </c>
      <c r="GP7">
        <f>FM7+FP7+FF7-AS7</f>
        <v/>
      </c>
      <c r="GQ7">
        <f>FM7+FP7+FF7</f>
        <v/>
      </c>
      <c r="GR7">
        <f>AP7</f>
        <v/>
      </c>
      <c r="GS7">
        <f>AR7</f>
        <v/>
      </c>
      <c r="GT7">
        <f>AS7</f>
        <v/>
      </c>
      <c r="GU7">
        <f>AT7</f>
        <v/>
      </c>
      <c r="GV7">
        <f>FJ7</f>
        <v/>
      </c>
      <c r="GW7">
        <f>FK7</f>
        <v/>
      </c>
    </row>
    <row r="8">
      <c r="A8" s="0" t="n">
        <v>2</v>
      </c>
      <c r="B8" s="0" t="inlineStr">
        <is>
          <t>C</t>
        </is>
      </c>
      <c r="C8" s="0" t="inlineStr">
        <is>
          <t>2|SEG-03</t>
        </is>
      </c>
      <c r="D8" s="0" t="inlineStr">
        <is>
          <t>SEG-03</t>
        </is>
      </c>
      <c r="E8" s="0" t="inlineStr">
        <is>
          <t>INF-10</t>
        </is>
      </c>
      <c r="F8" s="0" t="inlineStr">
        <is>
          <t>INS-03</t>
        </is>
      </c>
      <c r="G8" s="0" t="inlineStr">
        <is>
          <t>INS-05</t>
        </is>
      </c>
      <c r="H8" s="0" t="inlineStr">
        <is>
          <t>INS-08</t>
        </is>
      </c>
      <c r="I8" s="0" t="n">
        <v>200</v>
      </c>
      <c r="J8" s="0" t="n">
        <v>260</v>
      </c>
      <c r="K8" s="0" t="n">
        <v>1</v>
      </c>
      <c r="L8" s="0" t="n">
        <v>6000</v>
      </c>
      <c r="M8" s="0" t="inlineStr">
        <is>
          <t>NO_MYPE</t>
        </is>
      </c>
      <c r="N8" s="0" t="inlineStr">
        <is>
          <t>INF-03</t>
        </is>
      </c>
      <c r="O8" s="0" t="inlineStr">
        <is>
          <t>INF-06</t>
        </is>
      </c>
      <c r="P8" s="0" t="inlineStr">
        <is>
          <t>INF-09</t>
        </is>
      </c>
      <c r="Q8" s="0" t="inlineStr">
        <is>
          <t>RH-02</t>
        </is>
      </c>
      <c r="R8" s="0" t="inlineStr">
        <is>
          <t>RH-05</t>
        </is>
      </c>
      <c r="S8" s="0" t="inlineStr">
        <is>
          <t>RH-08</t>
        </is>
      </c>
      <c r="T8" s="0" t="inlineStr">
        <is>
          <t>RH-10A</t>
        </is>
      </c>
      <c r="U8" s="0" t="inlineStr">
        <is>
          <t>COM-01C</t>
        </is>
      </c>
      <c r="V8" s="0" t="inlineStr">
        <is>
          <t>FIN-01B</t>
        </is>
      </c>
      <c r="W8" s="0" t="inlineStr">
        <is>
          <t>INV-01B</t>
        </is>
      </c>
      <c r="X8" s="0" t="inlineStr">
        <is>
          <t>COM-06C</t>
        </is>
      </c>
      <c r="Y8" s="0" t="inlineStr">
        <is>
          <t>INV-02B</t>
        </is>
      </c>
      <c r="Z8" s="0" t="inlineStr"/>
      <c r="AA8" s="0" t="inlineStr"/>
      <c r="AB8" s="0" t="inlineStr"/>
      <c r="AC8" s="0" t="inlineStr"/>
      <c r="AD8" s="0" t="inlineStr"/>
      <c r="AE8" s="0" t="inlineStr"/>
      <c r="AF8" s="0">
        <f>IFERROR(INDEX('Catalogo_Numerico_sim3'!$I$2:$I$69,MATCH(N8,'Catalogo_Numerico_sim3'!$A$2:$A$69,0)),0)+IFERROR(INDEX('Catalogo_Numerico_sim3'!$I$2:$I$69,MATCH(O8,'Catalogo_Numerico_sim3'!$A$2:$A$69,0)),0)+IFERROR(INDEX('Catalogo_Numerico_sim3'!$I$2:$I$69,MATCH(P8,'Catalogo_Numerico_sim3'!$A$2:$A$69,0)),0)+IFERROR(INDEX('Catalogo_Numerico_sim3'!$I$2:$I$69,MATCH(Q8,'Catalogo_Numerico_sim3'!$A$2:$A$69,0)),0)+IFERROR(INDEX('Catalogo_Numerico_sim3'!$I$2:$I$69,MATCH(R8,'Catalogo_Numerico_sim3'!$A$2:$A$69,0)),0)+IFERROR(INDEX('Catalogo_Numerico_sim3'!$I$2:$I$69,MATCH(S8,'Catalogo_Numerico_sim3'!$A$2:$A$69,0)),0)+IFERROR(INDEX('Catalogo_Numerico_sim3'!$I$2:$I$69,MATCH(T8,'Catalogo_Numerico_sim3'!$A$2:$A$69,0)),0)+IFERROR(INDEX('Catalogo_Numerico_sim3'!$I$2:$I$69,MATCH(U8,'Catalogo_Numerico_sim3'!$A$2:$A$69,0)),0)+IFERROR(INDEX('Catalogo_Numerico_sim3'!$I$2:$I$69,MATCH(V8,'Catalogo_Numerico_sim3'!$A$2:$A$69,0)),0)+IFERROR(INDEX('Catalogo_Numerico_sim3'!$I$2:$I$69,MATCH(W8,'Catalogo_Numerico_sim3'!$A$2:$A$69,0)),0)+IFERROR(INDEX('Catalogo_Numerico_sim3'!$I$2:$I$69,MATCH(X8,'Catalogo_Numerico_sim3'!$A$2:$A$69,0)),0)+IFERROR(INDEX('Catalogo_Numerico_sim3'!$I$2:$I$69,MATCH(Y8,'Catalogo_Numerico_sim3'!$A$2:$A$69,0)),0)</f>
        <v/>
      </c>
      <c r="AG8" s="0">
        <f>IFERROR(INDEX('Catalogo_Numerico_sim3'!$J$2:$J$69,MATCH(N8,'Catalogo_Numerico_sim3'!$A$2:$A$69,0)),0)+IFERROR(INDEX('Catalogo_Numerico_sim3'!$J$2:$J$69,MATCH(O8,'Catalogo_Numerico_sim3'!$A$2:$A$69,0)),0)+IFERROR(INDEX('Catalogo_Numerico_sim3'!$J$2:$J$69,MATCH(P8,'Catalogo_Numerico_sim3'!$A$2:$A$69,0)),0)+IFERROR(INDEX('Catalogo_Numerico_sim3'!$J$2:$J$69,MATCH(Q8,'Catalogo_Numerico_sim3'!$A$2:$A$69,0)),0)+IFERROR(INDEX('Catalogo_Numerico_sim3'!$J$2:$J$69,MATCH(R8,'Catalogo_Numerico_sim3'!$A$2:$A$69,0)),0)+IFERROR(INDEX('Catalogo_Numerico_sim3'!$J$2:$J$69,MATCH(S8,'Catalogo_Numerico_sim3'!$A$2:$A$69,0)),0)+IFERROR(INDEX('Catalogo_Numerico_sim3'!$J$2:$J$69,MATCH(T8,'Catalogo_Numerico_sim3'!$A$2:$A$69,0)),0)+IFERROR(INDEX('Catalogo_Numerico_sim3'!$J$2:$J$69,MATCH(U8,'Catalogo_Numerico_sim3'!$A$2:$A$69,0)),0)+IFERROR(INDEX('Catalogo_Numerico_sim3'!$J$2:$J$69,MATCH(V8,'Catalogo_Numerico_sim3'!$A$2:$A$69,0)),0)+IFERROR(INDEX('Catalogo_Numerico_sim3'!$J$2:$J$69,MATCH(W8,'Catalogo_Numerico_sim3'!$A$2:$A$69,0)),0)+IFERROR(INDEX('Catalogo_Numerico_sim3'!$J$2:$J$69,MATCH(X8,'Catalogo_Numerico_sim3'!$A$2:$A$69,0)),0)+IFERROR(INDEX('Catalogo_Numerico_sim3'!$J$2:$J$69,MATCH(Y8,'Catalogo_Numerico_sim3'!$A$2:$A$69,0)),0)</f>
        <v/>
      </c>
      <c r="AH8" s="0">
        <f>IFERROR(INDEX('Catalogo_Numerico_sim3'!$K$2:$K$69,MATCH(N8,'Catalogo_Numerico_sim3'!$A$2:$A$69,0)),0)+IFERROR(INDEX('Catalogo_Numerico_sim3'!$K$2:$K$69,MATCH(O8,'Catalogo_Numerico_sim3'!$A$2:$A$69,0)),0)+IFERROR(INDEX('Catalogo_Numerico_sim3'!$K$2:$K$69,MATCH(P8,'Catalogo_Numerico_sim3'!$A$2:$A$69,0)),0)+IFERROR(INDEX('Catalogo_Numerico_sim3'!$K$2:$K$69,MATCH(Q8,'Catalogo_Numerico_sim3'!$A$2:$A$69,0)),0)+IFERROR(INDEX('Catalogo_Numerico_sim3'!$K$2:$K$69,MATCH(R8,'Catalogo_Numerico_sim3'!$A$2:$A$69,0)),0)+IFERROR(INDEX('Catalogo_Numerico_sim3'!$K$2:$K$69,MATCH(S8,'Catalogo_Numerico_sim3'!$A$2:$A$69,0)),0)+IFERROR(INDEX('Catalogo_Numerico_sim3'!$K$2:$K$69,MATCH(T8,'Catalogo_Numerico_sim3'!$A$2:$A$69,0)),0)+IFERROR(INDEX('Catalogo_Numerico_sim3'!$K$2:$K$69,MATCH(U8,'Catalogo_Numerico_sim3'!$A$2:$A$69,0)),0)+IFERROR(INDEX('Catalogo_Numerico_sim3'!$K$2:$K$69,MATCH(V8,'Catalogo_Numerico_sim3'!$A$2:$A$69,0)),0)+IFERROR(INDEX('Catalogo_Numerico_sim3'!$K$2:$K$69,MATCH(W8,'Catalogo_Numerico_sim3'!$A$2:$A$69,0)),0)+IFERROR(INDEX('Catalogo_Numerico_sim3'!$K$2:$K$69,MATCH(X8,'Catalogo_Numerico_sim3'!$A$2:$A$69,0)),0)+IFERROR(INDEX('Catalogo_Numerico_sim3'!$K$2:$K$69,MATCH(Y8,'Catalogo_Numerico_sim3'!$A$2:$A$69,0)),0)</f>
        <v/>
      </c>
      <c r="AI8" s="0">
        <f>IFERROR(('Lotes_Pipeline_sim3'!H8*'Lotes_Pipeline_sim3'!J8)/I8,0)</f>
        <v/>
      </c>
      <c r="AJ8" s="0">
        <f>IF(OR(AND('Lotes_Pipeline_sim3'!C8="SEG-03",'Lotes_Pipeline_sim3'!H8&gt;0,'Lotes_Pipeline_sim3'!J8&lt;4)),-2,0)+IF(OR(AND('Lotes_Pipeline_sim3'!C8="SEG-03",'Lotes_Pipeline_sim3'!H8&gt;0,'Lotes_Pipeline_sim3'!J8&gt;=7)),2,0)</f>
        <v/>
      </c>
      <c r="AK8" s="0">
        <f>IF(AND(D8="SEG-03",I8&gt;0),IF(AI8&lt;4,0.65,IF(AI8&gt;=7,1.4,1)),1)</f>
        <v/>
      </c>
      <c r="AL8" s="0">
        <f>AG8+AJ8</f>
        <v/>
      </c>
      <c r="AM8" s="0">
        <f>IF(AL8&lt;3,AM4+1,0)</f>
        <v/>
      </c>
      <c r="AN8" s="0">
        <f>IF(AM8&gt;=2,0.8,1)</f>
        <v/>
      </c>
      <c r="AO8" s="0">
        <f>IF(AH8&lt;3,3,0)</f>
        <v/>
      </c>
      <c r="AP8" s="0" t="n">
        <v>0</v>
      </c>
      <c r="AQ8" s="0" t="n">
        <v>20</v>
      </c>
      <c r="AR8" s="0">
        <f>AQ8+AT4</f>
        <v/>
      </c>
      <c r="AS8" s="0">
        <f>AS4+AP8</f>
        <v/>
      </c>
      <c r="AT8" s="0">
        <f>IF(AP8&gt;0,AO8,MAX(AT4,AO8))</f>
        <v/>
      </c>
      <c r="AU8" s="0">
        <f>IF(AF8&lt;4,0.7,1)*IF(AND(K8=0,AF8&lt;5),0.95,1)</f>
        <v/>
      </c>
      <c r="AV8" s="0" t="n">
        <v>1</v>
      </c>
      <c r="AW8" s="0" t="n">
        <v>0</v>
      </c>
      <c r="AX8" s="0" t="n">
        <v>0</v>
      </c>
      <c r="AY8" s="0" t="n">
        <v>0</v>
      </c>
      <c r="AZ8" s="0" t="n">
        <v>0</v>
      </c>
      <c r="BA8" s="0" t="n">
        <v>0</v>
      </c>
      <c r="BB8" s="0" t="n">
        <v>0</v>
      </c>
      <c r="BC8" s="0" t="n">
        <v>0</v>
      </c>
      <c r="BD8" s="0" t="n">
        <v>0</v>
      </c>
      <c r="BE8" s="0">
        <f>AV8*5*1+AY8*7*1+BB8*9*1</f>
        <v/>
      </c>
      <c r="BF8" s="0" t="n">
        <v>1</v>
      </c>
      <c r="BG8" s="0" t="n">
        <v>0</v>
      </c>
      <c r="BH8" s="0" t="n">
        <v>0</v>
      </c>
      <c r="BI8" s="0" t="n">
        <v>0</v>
      </c>
      <c r="BJ8" s="0" t="n">
        <v>0</v>
      </c>
      <c r="BK8" s="0" t="n">
        <v>0</v>
      </c>
      <c r="BL8" s="0" t="n">
        <v>0</v>
      </c>
      <c r="BM8" s="0" t="n">
        <v>0</v>
      </c>
      <c r="BN8" s="0" t="n">
        <v>0</v>
      </c>
      <c r="BO8" s="0">
        <f>BF8*6*1+BG8*6*1.2+BH8*6*1.5+BI8*8*1+BJ8*8*1.2+BK8*8*1.5+BL8*12*1+BM8*12*1.2+BN8*12*1.5</f>
        <v/>
      </c>
      <c r="BP8" s="0" t="n">
        <v>1</v>
      </c>
      <c r="BQ8" s="0" t="n">
        <v>0</v>
      </c>
      <c r="BR8" s="0" t="n">
        <v>0</v>
      </c>
      <c r="BS8" s="0" t="n">
        <v>0</v>
      </c>
      <c r="BT8" s="0" t="n">
        <v>0</v>
      </c>
      <c r="BU8" s="0" t="n">
        <v>0</v>
      </c>
      <c r="BV8" s="0" t="n">
        <v>0</v>
      </c>
      <c r="BW8" s="0" t="n">
        <v>0</v>
      </c>
      <c r="BX8" s="0" t="n">
        <v>0</v>
      </c>
      <c r="BY8" s="0">
        <f>BP8*6*1+BQ8*6*1.2+BR8*6*1.5+BS8*7*1+BT8*7*1.2+BU8*7*1.5+BV8*10*1+BW8*10*1.2+BX8*10*1.5</f>
        <v/>
      </c>
      <c r="BZ8" s="0">
        <f>AV8+AY8+BB8+BF8+BG8+BH8+BI8+BJ8+BK8+BL8+BM8+BN8+BP8+BQ8+BR8+BS8+BT8+BU8+BV8+BW8+BX8</f>
        <v/>
      </c>
      <c r="CA8" s="0">
        <f>BB8+BL8+BM8+BN8+BV8+BW8+BX8</f>
        <v/>
      </c>
      <c r="CB8" s="0">
        <f>0.9+(BB8+BL8+BV8)*0.01+K8*0.04</f>
        <v/>
      </c>
      <c r="CC8" s="0">
        <f>MIN(BE8,BO8,BY8)</f>
        <v/>
      </c>
      <c r="CD8" s="0">
        <f>CC8*24*1.08</f>
        <v/>
      </c>
      <c r="CE8" s="0">
        <f>ROUND(CD8*CB8,0)</f>
        <v/>
      </c>
      <c r="CF8" s="0" t="n">
        <v>0</v>
      </c>
      <c r="CG8" s="0">
        <f>DC4+CF8</f>
        <v/>
      </c>
      <c r="CH8" s="0" t="n">
        <v>0</v>
      </c>
      <c r="CI8" s="0">
        <f>DE4+CH8</f>
        <v/>
      </c>
      <c r="CJ8" s="0" t="n">
        <v>300</v>
      </c>
      <c r="CK8" s="0">
        <f>DG4+CJ8</f>
        <v/>
      </c>
      <c r="CL8" s="0" t="n">
        <v>0</v>
      </c>
      <c r="CM8" s="0">
        <f>DJ4+CL8</f>
        <v/>
      </c>
      <c r="CN8" s="0" t="n">
        <v>1000</v>
      </c>
      <c r="CO8" s="0">
        <f>DL4+CN8</f>
        <v/>
      </c>
      <c r="CP8" s="0" t="n">
        <v>0</v>
      </c>
      <c r="CQ8" s="0">
        <f>DO4+CP8</f>
        <v/>
      </c>
      <c r="CR8" s="0" t="n">
        <v>0</v>
      </c>
      <c r="CS8" s="0">
        <f>DQ4+CR8</f>
        <v/>
      </c>
      <c r="CT8" s="0" t="n">
        <v>6000</v>
      </c>
      <c r="CU8" s="0">
        <f>DS4+CT8</f>
        <v/>
      </c>
      <c r="CV8" s="0">
        <f>(CK8)/0.7</f>
        <v/>
      </c>
      <c r="CW8" s="0">
        <f>(CO8)/1</f>
        <v/>
      </c>
      <c r="CX8" s="0">
        <f>(CU8)/13</f>
        <v/>
      </c>
      <c r="CY8" s="0">
        <f>ROUNDDOWN(MIN(I8,CE8,CV8,CW8,CX8),0)</f>
        <v/>
      </c>
      <c r="CZ8" s="0">
        <f>'Lotes_Pipeline_sim3'!U8</f>
        <v/>
      </c>
      <c r="DA8" s="0">
        <f>DB8+DD8+DF8</f>
        <v/>
      </c>
      <c r="DB8" s="0">
        <f>'Lotes_Pipeline_sim3'!X8</f>
        <v/>
      </c>
      <c r="DC8" s="0">
        <f>CG8-DB8</f>
        <v/>
      </c>
      <c r="DD8" s="0">
        <f>'Lotes_Pipeline_sim3'!AA8</f>
        <v/>
      </c>
      <c r="DE8" s="0">
        <f>CI8-DD8</f>
        <v/>
      </c>
      <c r="DF8" s="0">
        <f>'Lotes_Pipeline_sim3'!AD8</f>
        <v/>
      </c>
      <c r="DG8" s="0">
        <f>CK8-DF8</f>
        <v/>
      </c>
      <c r="DH8" s="0">
        <f>DI8+DK8</f>
        <v/>
      </c>
      <c r="DI8" s="0">
        <f>'Lotes_Pipeline_sim3'!AG8</f>
        <v/>
      </c>
      <c r="DJ8" s="0">
        <f>CM8-DI8</f>
        <v/>
      </c>
      <c r="DK8" s="0">
        <f>'Lotes_Pipeline_sim3'!AJ8</f>
        <v/>
      </c>
      <c r="DL8" s="0">
        <f>CO8-DK8</f>
        <v/>
      </c>
      <c r="DM8" s="0">
        <f>DN8+DP8+DR8</f>
        <v/>
      </c>
      <c r="DN8" s="0">
        <f>'Lotes_Pipeline_sim3'!AM8</f>
        <v/>
      </c>
      <c r="DO8" s="0">
        <f>CQ8-DN8</f>
        <v/>
      </c>
      <c r="DP8" s="0">
        <f>'Lotes_Pipeline_sim3'!AP8</f>
        <v/>
      </c>
      <c r="DQ8" s="0">
        <f>CS8-DP8</f>
        <v/>
      </c>
      <c r="DR8" s="0">
        <f>'Lotes_Pipeline_sim3'!AS8</f>
        <v/>
      </c>
      <c r="DS8" s="0">
        <f>CU8-DR8</f>
        <v/>
      </c>
      <c r="DT8" s="0">
        <f>((AV8+AW8+AX8)*IF(M8="NO_MYPE",'Costos De Producción'!V11,'Costos De Producción'!U11)+(AY8+AZ8+BA8)*IF(M8="NO_MYPE",'Costos De Producción'!V20,'Costos De Producción'!U20)+(BB8+BC8+BD8)*IF(M8="NO_MYPE",'Costos De Producción'!V29,'Costos De Producción'!U29)+(BF8+BG8+BH8)*IF(M8="NO_MYPE",'Costos De Producción'!Z11,'Costos De Producción'!Y11)+(BI8+BJ8+BK8)*IF(M8="NO_MYPE",'Costos De Producción'!Z20,'Costos De Producción'!Y20)+(BL8+BM8+BN8)*IF(M8="NO_MYPE",'Costos De Producción'!Z29,'Costos De Producción'!Y29)+(BP8+BQ8+BR8)*IF(M8="NO_MYPE",'Costos De Producción'!AD11,'Costos De Producción'!AC11)+(BS8+BT8+BU8)*IF(M8="NO_MYPE",'Costos De Producción'!AD20,'Costos De Producción'!AC20)+(BV8+BW8+BX8)*IF(M8="NO_MYPE",'Costos De Producción'!AD29,'Costos De Producción'!AC29)+K8*IF(M8="NO_MYPE",'Costos De Producción'!V39,'Costos De Producción'!U39)+IF(M8="NO_MYPE",'Costos De Producción'!Z39,'Costos De Producción'!Y39)+'Costos De Producción'!AC33)*1</f>
        <v/>
      </c>
      <c r="DU8" s="0">
        <f>(DB8*25+DD8*45+DF8*80+DI8*4+DK8*9+DN8*2+DP8*4+DR8*7)*0.92</f>
        <v/>
      </c>
      <c r="DV8" s="0">
        <f>1*2500*0.08/12*1+1*3500*0.08/12*1+1*1200*0.08/12*1+1*300*0.08/12*1</f>
        <v/>
      </c>
      <c r="DW8" s="0">
        <f>1*(2250.0/10/12*1)+1*(3150.0/10/12*1)+1*(1080.0/8/12*1)+1*(270.0/5/12*1)</f>
        <v/>
      </c>
      <c r="DX8" s="0">
        <f>IFERROR(('Lotes_Pipeline_sim3'!U8)/CZ8,0)*10+IFERROR(CA8/BZ8,0)*10+(IFERROR(DF8/(DB8+DD8+DF8),0)+IFERROR(DK8/(DI8+DK8),0)+IFERROR(DR8/(DP8+DR8),0))/3*10+L8/10000*10</f>
        <v/>
      </c>
      <c r="DY8" s="0">
        <f>DX8+AJ8</f>
        <v/>
      </c>
      <c r="DZ8" s="0">
        <f>EC4+CZ8</f>
        <v/>
      </c>
      <c r="EA8" s="0" t="n">
        <v>40</v>
      </c>
      <c r="EB8" s="0" t="n">
        <v>250</v>
      </c>
      <c r="EC8" s="0">
        <f>'Lotes_Pipeline_sim3'!AY8</f>
        <v/>
      </c>
      <c r="ED8" s="0">
        <f>IF(D8="SEG-01",IFERROR(100*(_xlfn.MAXIFS($J$2:$J$13,$C$2:$C$13,C8)-J8)/(_xlfn.MAXIFS($J$2:$J$13,$C$2:$C$13,C8)-_xlfn.MINIFS($J$2:$J$13,$C$2:$C$13,C8)),100),100-ABS(J8-EB8)/EB8*100)</f>
        <v/>
      </c>
      <c r="EE8" s="0">
        <f>IFERROR(ROUND(DY8/SUMIF($C$2:$C$13,"2|SEG-01",$DY$2:$DY$13)*100,0),0)</f>
        <v/>
      </c>
      <c r="EF8" s="0">
        <f>0.1*ED8+0.5*DY8*10+0.4*EE8</f>
        <v/>
      </c>
      <c r="EG8" s="0">
        <f>IFERROR(EF8/SUMIF($C$2:$C$13,C8,$EF$2:$EF$13),0)</f>
        <v/>
      </c>
      <c r="EH8" s="0">
        <f>'Mercados_Pipeline_sim3'!J8</f>
        <v/>
      </c>
      <c r="EI8" s="0">
        <f>'Mercados_Pipeline_sim3'!I8</f>
        <v/>
      </c>
      <c r="EJ8" s="0">
        <f>'Lotes_Pipeline_sim3'!AW8</f>
        <v/>
      </c>
      <c r="EK8" s="0">
        <f>'Lotes_Pipeline_sim3'!AX8</f>
        <v/>
      </c>
      <c r="EL8" s="0">
        <f>EC8*2</f>
        <v/>
      </c>
      <c r="EM8" s="0">
        <f>IF(CZ8&gt;CE8,0.25*DT8*IFERROR(MIN(1,(CZ8-CE8)/CE8),1),0)</f>
        <v/>
      </c>
      <c r="EN8" s="0">
        <f>0</f>
        <v/>
      </c>
      <c r="EO8" s="0">
        <f>(IFERROR(INDEX('Catalogo_Numerico_sim3'!$G$2:$G$69,MATCH("COM-01C",'Catalogo_Numerico_sim3'!$A$2:$A$69,0)),0)+IFERROR(INDEX('Catalogo_Numerico_sim3'!$G$2:$G$69,MATCH("INV-01B",'Catalogo_Numerico_sim3'!$A$2:$A$69,0)),0))*1</f>
        <v/>
      </c>
      <c r="EP8" s="0">
        <f>0</f>
        <v/>
      </c>
      <c r="EQ8" s="0" t="n">
        <v>0</v>
      </c>
      <c r="ER8" s="0">
        <f>DT8+DU8+DV8+DW8+L8+EL8+EM8+EN8+EO8+EP8+EQ8</f>
        <v/>
      </c>
      <c r="ES8" s="0">
        <f>EK8-ER8</f>
        <v/>
      </c>
      <c r="ET8" s="0">
        <f>OR(AND('Lotes_Pipeline_sim3'!C8="SEG-03",'Lotes_Pipeline_sim3'!H8&gt;0,'Lotes_Pipeline_sim3'!J8&lt;4))</f>
        <v/>
      </c>
      <c r="EU8" s="0">
        <f>OR(AND('Lotes_Pipeline_sim3'!C8="SEG-03",'Lotes_Pipeline_sim3'!H8&gt;0,'Lotes_Pipeline_sim3'!J8&gt;=7))</f>
        <v/>
      </c>
      <c r="EV8" s="0">
        <f>AF8&lt;4</f>
        <v/>
      </c>
      <c r="EW8" s="0">
        <f>AM8&gt;=2</f>
        <v/>
      </c>
      <c r="EX8" s="0">
        <f>AH8&lt;3</f>
        <v/>
      </c>
      <c r="EY8" s="0">
        <f>CZ8&gt;CE8</f>
        <v/>
      </c>
      <c r="EZ8" s="0">
        <f>CZ8&gt;EJ8</f>
        <v/>
      </c>
      <c r="FA8" s="0">
        <f>AND(K8=0,AF8&lt;5)</f>
        <v/>
      </c>
      <c r="FB8" t="n">
        <v>1000000</v>
      </c>
      <c r="FC8">
        <f>0*2500*(1+0.05+0.03)+0*3500*(1+0.05+0.03)+0*1200*(1+0.05+0.03)+0*300*(1+0+0.02)</f>
        <v/>
      </c>
      <c r="FD8">
        <f>0*2500+0*3500+0*1200+0*300</f>
        <v/>
      </c>
      <c r="FE8">
        <f>(CF8*25+CH8*45+CJ8*80+CL8*4+CN8*9+CP8*2+CR8*4+CT8*7)*0.92</f>
        <v/>
      </c>
      <c r="FF8">
        <f>(DC8*25+DE8*45+DG8*80+DJ8*4+DL8*9+DO8*2+DQ8*4+DS8*7)*0.92</f>
        <v/>
      </c>
      <c r="FG8">
        <f>FM4</f>
        <v/>
      </c>
      <c r="FH8">
        <f>(1+AR8/100)^(1/12)-1</f>
        <v/>
      </c>
      <c r="FI8">
        <f>AS4*FJ4+AP8*FH8</f>
        <v/>
      </c>
      <c r="FJ8">
        <f>IFERROR(FI8/(AS4+AP8),0)</f>
        <v/>
      </c>
      <c r="FK8">
        <f>FI8*1</f>
        <v/>
      </c>
      <c r="FL8">
        <f>ER8-DW8-DU8+FE8+FK8</f>
        <v/>
      </c>
      <c r="FM8">
        <f>FG8+EK8+AP8-FL8-FC8</f>
        <v/>
      </c>
      <c r="FN8">
        <f>FN4+DW8</f>
        <v/>
      </c>
      <c r="FO8">
        <f>FO4+FD8</f>
        <v/>
      </c>
      <c r="FP8">
        <f>FO8-FN8</f>
        <v/>
      </c>
      <c r="FQ8">
        <f>EK8</f>
        <v/>
      </c>
      <c r="FR8">
        <f>EK8</f>
        <v/>
      </c>
      <c r="FS8">
        <f>ER8+FK8</f>
        <v/>
      </c>
      <c r="FT8">
        <f>ES8-FK8</f>
        <v/>
      </c>
      <c r="FU8">
        <f>DW8</f>
        <v/>
      </c>
      <c r="FV8">
        <f>FK8</f>
        <v/>
      </c>
      <c r="FW8">
        <f>ER8</f>
        <v/>
      </c>
      <c r="FX8">
        <f>FG8</f>
        <v/>
      </c>
      <c r="FY8">
        <f>EK8+AP8</f>
        <v/>
      </c>
      <c r="FZ8">
        <f>FL8+FC8</f>
        <v/>
      </c>
      <c r="GA8">
        <f>FM8</f>
        <v/>
      </c>
      <c r="GB8">
        <f>FG8</f>
        <v/>
      </c>
      <c r="GC8">
        <f>EK8</f>
        <v/>
      </c>
      <c r="GD8">
        <f>FL8</f>
        <v/>
      </c>
      <c r="GE8">
        <f>FC8</f>
        <v/>
      </c>
      <c r="GF8">
        <f>AP8</f>
        <v/>
      </c>
      <c r="GG8">
        <f>EK8-FL8</f>
        <v/>
      </c>
      <c r="GH8">
        <f>-FC8</f>
        <v/>
      </c>
      <c r="GI8">
        <f>FM8-FG8</f>
        <v/>
      </c>
      <c r="GJ8">
        <f>FM8</f>
        <v/>
      </c>
      <c r="GK8">
        <f>FM8</f>
        <v/>
      </c>
      <c r="GL8">
        <f>FP8</f>
        <v/>
      </c>
      <c r="GM8">
        <f>FF8</f>
        <v/>
      </c>
      <c r="GN8">
        <f>FM8+FP8+FF8</f>
        <v/>
      </c>
      <c r="GO8">
        <f>AS8</f>
        <v/>
      </c>
      <c r="GP8">
        <f>FM8+FP8+FF8-AS8</f>
        <v/>
      </c>
      <c r="GQ8">
        <f>FM8+FP8+FF8</f>
        <v/>
      </c>
      <c r="GR8">
        <f>AP8</f>
        <v/>
      </c>
      <c r="GS8">
        <f>AR8</f>
        <v/>
      </c>
      <c r="GT8">
        <f>AS8</f>
        <v/>
      </c>
      <c r="GU8">
        <f>AT8</f>
        <v/>
      </c>
      <c r="GV8">
        <f>FJ8</f>
        <v/>
      </c>
      <c r="GW8">
        <f>FK8</f>
        <v/>
      </c>
    </row>
    <row r="9">
      <c r="A9" s="0" t="n">
        <v>2</v>
      </c>
      <c r="B9" s="0" t="inlineStr">
        <is>
          <t>D</t>
        </is>
      </c>
      <c r="C9" s="0" t="inlineStr">
        <is>
          <t>2|SEG-01</t>
        </is>
      </c>
      <c r="D9" s="0" t="inlineStr">
        <is>
          <t>SEG-01</t>
        </is>
      </c>
      <c r="E9" s="0" t="inlineStr">
        <is>
          <t>INF-08</t>
        </is>
      </c>
      <c r="F9" s="0" t="inlineStr">
        <is>
          <t>INS-01</t>
        </is>
      </c>
      <c r="G9" s="0" t="inlineStr">
        <is>
          <t>INS-04</t>
        </is>
      </c>
      <c r="H9" s="0" t="inlineStr">
        <is>
          <t>INS-06</t>
        </is>
      </c>
      <c r="I9" s="0" t="n">
        <v>200</v>
      </c>
      <c r="J9" s="0" t="n">
        <v>45</v>
      </c>
      <c r="K9" s="0" t="n">
        <v>1</v>
      </c>
      <c r="L9" s="0" t="n">
        <v>6000</v>
      </c>
      <c r="M9" s="0" t="inlineStr">
        <is>
          <t>MYPE</t>
        </is>
      </c>
      <c r="N9" s="0" t="inlineStr">
        <is>
          <t>INF-03</t>
        </is>
      </c>
      <c r="O9" s="0" t="inlineStr">
        <is>
          <t>INF-06</t>
        </is>
      </c>
      <c r="P9" s="0" t="inlineStr">
        <is>
          <t>INF-09</t>
        </is>
      </c>
      <c r="Q9" s="0" t="inlineStr">
        <is>
          <t>RH-02</t>
        </is>
      </c>
      <c r="R9" s="0" t="inlineStr">
        <is>
          <t>RH-05</t>
        </is>
      </c>
      <c r="S9" s="0" t="inlineStr">
        <is>
          <t>RH-08</t>
        </is>
      </c>
      <c r="T9" s="0" t="inlineStr">
        <is>
          <t>RH-10A</t>
        </is>
      </c>
      <c r="U9" s="0" t="inlineStr">
        <is>
          <t>COM-01C</t>
        </is>
      </c>
      <c r="V9" s="0" t="inlineStr">
        <is>
          <t>FIN-01B</t>
        </is>
      </c>
      <c r="W9" s="0" t="inlineStr">
        <is>
          <t>INV-01B</t>
        </is>
      </c>
      <c r="X9" s="0" t="inlineStr">
        <is>
          <t>INV-02B</t>
        </is>
      </c>
      <c r="Y9" s="0" t="inlineStr"/>
      <c r="Z9" s="0" t="inlineStr"/>
      <c r="AA9" s="0" t="inlineStr"/>
      <c r="AB9" s="0" t="inlineStr"/>
      <c r="AC9" s="0" t="inlineStr"/>
      <c r="AD9" s="0" t="inlineStr"/>
      <c r="AE9" s="0" t="inlineStr"/>
      <c r="AF9" s="0">
        <f>IFERROR(INDEX('Catalogo_Numerico_sim3'!$I$2:$I$69,MATCH(N9,'Catalogo_Numerico_sim3'!$A$2:$A$69,0)),0)+IFERROR(INDEX('Catalogo_Numerico_sim3'!$I$2:$I$69,MATCH(O9,'Catalogo_Numerico_sim3'!$A$2:$A$69,0)),0)+IFERROR(INDEX('Catalogo_Numerico_sim3'!$I$2:$I$69,MATCH(P9,'Catalogo_Numerico_sim3'!$A$2:$A$69,0)),0)+IFERROR(INDEX('Catalogo_Numerico_sim3'!$I$2:$I$69,MATCH(Q9,'Catalogo_Numerico_sim3'!$A$2:$A$69,0)),0)+IFERROR(INDEX('Catalogo_Numerico_sim3'!$I$2:$I$69,MATCH(R9,'Catalogo_Numerico_sim3'!$A$2:$A$69,0)),0)+IFERROR(INDEX('Catalogo_Numerico_sim3'!$I$2:$I$69,MATCH(S9,'Catalogo_Numerico_sim3'!$A$2:$A$69,0)),0)+IFERROR(INDEX('Catalogo_Numerico_sim3'!$I$2:$I$69,MATCH(T9,'Catalogo_Numerico_sim3'!$A$2:$A$69,0)),0)+IFERROR(INDEX('Catalogo_Numerico_sim3'!$I$2:$I$69,MATCH(U9,'Catalogo_Numerico_sim3'!$A$2:$A$69,0)),0)+IFERROR(INDEX('Catalogo_Numerico_sim3'!$I$2:$I$69,MATCH(V9,'Catalogo_Numerico_sim3'!$A$2:$A$69,0)),0)+IFERROR(INDEX('Catalogo_Numerico_sim3'!$I$2:$I$69,MATCH(W9,'Catalogo_Numerico_sim3'!$A$2:$A$69,0)),0)+IFERROR(INDEX('Catalogo_Numerico_sim3'!$I$2:$I$69,MATCH(X9,'Catalogo_Numerico_sim3'!$A$2:$A$69,0)),0)</f>
        <v/>
      </c>
      <c r="AG9" s="0">
        <f>IFERROR(INDEX('Catalogo_Numerico_sim3'!$J$2:$J$69,MATCH(N9,'Catalogo_Numerico_sim3'!$A$2:$A$69,0)),0)+IFERROR(INDEX('Catalogo_Numerico_sim3'!$J$2:$J$69,MATCH(O9,'Catalogo_Numerico_sim3'!$A$2:$A$69,0)),0)+IFERROR(INDEX('Catalogo_Numerico_sim3'!$J$2:$J$69,MATCH(P9,'Catalogo_Numerico_sim3'!$A$2:$A$69,0)),0)+IFERROR(INDEX('Catalogo_Numerico_sim3'!$J$2:$J$69,MATCH(Q9,'Catalogo_Numerico_sim3'!$A$2:$A$69,0)),0)+IFERROR(INDEX('Catalogo_Numerico_sim3'!$J$2:$J$69,MATCH(R9,'Catalogo_Numerico_sim3'!$A$2:$A$69,0)),0)+IFERROR(INDEX('Catalogo_Numerico_sim3'!$J$2:$J$69,MATCH(S9,'Catalogo_Numerico_sim3'!$A$2:$A$69,0)),0)+IFERROR(INDEX('Catalogo_Numerico_sim3'!$J$2:$J$69,MATCH(T9,'Catalogo_Numerico_sim3'!$A$2:$A$69,0)),0)+IFERROR(INDEX('Catalogo_Numerico_sim3'!$J$2:$J$69,MATCH(U9,'Catalogo_Numerico_sim3'!$A$2:$A$69,0)),0)+IFERROR(INDEX('Catalogo_Numerico_sim3'!$J$2:$J$69,MATCH(V9,'Catalogo_Numerico_sim3'!$A$2:$A$69,0)),0)+IFERROR(INDEX('Catalogo_Numerico_sim3'!$J$2:$J$69,MATCH(W9,'Catalogo_Numerico_sim3'!$A$2:$A$69,0)),0)+IFERROR(INDEX('Catalogo_Numerico_sim3'!$J$2:$J$69,MATCH(X9,'Catalogo_Numerico_sim3'!$A$2:$A$69,0)),0)</f>
        <v/>
      </c>
      <c r="AH9" s="0">
        <f>IFERROR(INDEX('Catalogo_Numerico_sim3'!$K$2:$K$69,MATCH(N9,'Catalogo_Numerico_sim3'!$A$2:$A$69,0)),0)+IFERROR(INDEX('Catalogo_Numerico_sim3'!$K$2:$K$69,MATCH(O9,'Catalogo_Numerico_sim3'!$A$2:$A$69,0)),0)+IFERROR(INDEX('Catalogo_Numerico_sim3'!$K$2:$K$69,MATCH(P9,'Catalogo_Numerico_sim3'!$A$2:$A$69,0)),0)+IFERROR(INDEX('Catalogo_Numerico_sim3'!$K$2:$K$69,MATCH(Q9,'Catalogo_Numerico_sim3'!$A$2:$A$69,0)),0)+IFERROR(INDEX('Catalogo_Numerico_sim3'!$K$2:$K$69,MATCH(R9,'Catalogo_Numerico_sim3'!$A$2:$A$69,0)),0)+IFERROR(INDEX('Catalogo_Numerico_sim3'!$K$2:$K$69,MATCH(S9,'Catalogo_Numerico_sim3'!$A$2:$A$69,0)),0)+IFERROR(INDEX('Catalogo_Numerico_sim3'!$K$2:$K$69,MATCH(T9,'Catalogo_Numerico_sim3'!$A$2:$A$69,0)),0)+IFERROR(INDEX('Catalogo_Numerico_sim3'!$K$2:$K$69,MATCH(U9,'Catalogo_Numerico_sim3'!$A$2:$A$69,0)),0)+IFERROR(INDEX('Catalogo_Numerico_sim3'!$K$2:$K$69,MATCH(V9,'Catalogo_Numerico_sim3'!$A$2:$A$69,0)),0)+IFERROR(INDEX('Catalogo_Numerico_sim3'!$K$2:$K$69,MATCH(W9,'Catalogo_Numerico_sim3'!$A$2:$A$69,0)),0)+IFERROR(INDEX('Catalogo_Numerico_sim3'!$K$2:$K$69,MATCH(X9,'Catalogo_Numerico_sim3'!$A$2:$A$69,0)),0)</f>
        <v/>
      </c>
      <c r="AI9" s="0">
        <f>IFERROR(('Lotes_Pipeline_sim3'!H9*'Lotes_Pipeline_sim3'!J9)/I9,0)</f>
        <v/>
      </c>
      <c r="AJ9" s="0">
        <f>IF(OR(AND('Lotes_Pipeline_sim3'!C9="SEG-03",'Lotes_Pipeline_sim3'!H9&gt;0,'Lotes_Pipeline_sim3'!J9&lt;4)),-2,0)+IF(OR(AND('Lotes_Pipeline_sim3'!C9="SEG-03",'Lotes_Pipeline_sim3'!H9&gt;0,'Lotes_Pipeline_sim3'!J9&gt;=7)),2,0)</f>
        <v/>
      </c>
      <c r="AK9" s="0">
        <f>IF(AND(D9="SEG-03",I9&gt;0),IF(AI9&lt;4,0.65,IF(AI9&gt;=7,1.4,1)),1)</f>
        <v/>
      </c>
      <c r="AL9" s="0">
        <f>AG9+AJ9</f>
        <v/>
      </c>
      <c r="AM9" s="0">
        <f>IF(AL9&lt;3,AM5+1,0)</f>
        <v/>
      </c>
      <c r="AN9" s="0">
        <f>IF(AM9&gt;=2,0.8,1)</f>
        <v/>
      </c>
      <c r="AO9" s="0">
        <f>IF(AH9&lt;3,3,0)</f>
        <v/>
      </c>
      <c r="AP9" s="0" t="n">
        <v>0</v>
      </c>
      <c r="AQ9" s="0" t="n">
        <v>20</v>
      </c>
      <c r="AR9" s="0">
        <f>AQ9+AT5</f>
        <v/>
      </c>
      <c r="AS9" s="0">
        <f>AS5+AP9</f>
        <v/>
      </c>
      <c r="AT9" s="0">
        <f>IF(AP9&gt;0,AO9,MAX(AT5,AO9))</f>
        <v/>
      </c>
      <c r="AU9" s="0">
        <f>IF(AF9&lt;4,0.7,1)*IF(AND(K9=0,AF9&lt;5),0.95,1)</f>
        <v/>
      </c>
      <c r="AV9" s="0" t="n">
        <v>1</v>
      </c>
      <c r="AW9" s="0" t="n">
        <v>0</v>
      </c>
      <c r="AX9" s="0" t="n">
        <v>0</v>
      </c>
      <c r="AY9" s="0" t="n">
        <v>0</v>
      </c>
      <c r="AZ9" s="0" t="n">
        <v>0</v>
      </c>
      <c r="BA9" s="0" t="n">
        <v>0</v>
      </c>
      <c r="BB9" s="0" t="n">
        <v>0</v>
      </c>
      <c r="BC9" s="0" t="n">
        <v>0</v>
      </c>
      <c r="BD9" s="0" t="n">
        <v>0</v>
      </c>
      <c r="BE9" s="0">
        <f>AV9*5*1+AY9*7*1+BB9*9*1</f>
        <v/>
      </c>
      <c r="BF9" s="0" t="n">
        <v>1</v>
      </c>
      <c r="BG9" s="0" t="n">
        <v>0</v>
      </c>
      <c r="BH9" s="0" t="n">
        <v>0</v>
      </c>
      <c r="BI9" s="0" t="n">
        <v>0</v>
      </c>
      <c r="BJ9" s="0" t="n">
        <v>0</v>
      </c>
      <c r="BK9" s="0" t="n">
        <v>0</v>
      </c>
      <c r="BL9" s="0" t="n">
        <v>0</v>
      </c>
      <c r="BM9" s="0" t="n">
        <v>0</v>
      </c>
      <c r="BN9" s="0" t="n">
        <v>0</v>
      </c>
      <c r="BO9" s="0">
        <f>BF9*6*1+BG9*6*1.2+BH9*6*1.5+BI9*8*1+BJ9*8*1.2+BK9*8*1.5+BL9*12*1+BM9*12*1.2+BN9*12*1.5</f>
        <v/>
      </c>
      <c r="BP9" s="0" t="n">
        <v>1</v>
      </c>
      <c r="BQ9" s="0" t="n">
        <v>0</v>
      </c>
      <c r="BR9" s="0" t="n">
        <v>0</v>
      </c>
      <c r="BS9" s="0" t="n">
        <v>0</v>
      </c>
      <c r="BT9" s="0" t="n">
        <v>0</v>
      </c>
      <c r="BU9" s="0" t="n">
        <v>0</v>
      </c>
      <c r="BV9" s="0" t="n">
        <v>0</v>
      </c>
      <c r="BW9" s="0" t="n">
        <v>0</v>
      </c>
      <c r="BX9" s="0" t="n">
        <v>0</v>
      </c>
      <c r="BY9" s="0">
        <f>BP9*6*1+BQ9*6*1.2+BR9*6*1.5+BS9*7*1+BT9*7*1.2+BU9*7*1.5+BV9*10*1+BW9*10*1.2+BX9*10*1.5</f>
        <v/>
      </c>
      <c r="BZ9" s="0">
        <f>AV9+AY9+BB9+BF9+BG9+BH9+BI9+BJ9+BK9+BL9+BM9+BN9+BP9+BQ9+BR9+BS9+BT9+BU9+BV9+BW9+BX9</f>
        <v/>
      </c>
      <c r="CA9" s="0">
        <f>BB9+BL9+BM9+BN9+BV9+BW9+BX9</f>
        <v/>
      </c>
      <c r="CB9" s="0">
        <f>0.9+(BB9+BL9+BV9)*0.01+K9*0.04</f>
        <v/>
      </c>
      <c r="CC9" s="0">
        <f>MIN(BE9,BO9,BY9)</f>
        <v/>
      </c>
      <c r="CD9" s="0">
        <f>CC9*24*1.08</f>
        <v/>
      </c>
      <c r="CE9" s="0">
        <f>ROUND(CD9*CB9,0)</f>
        <v/>
      </c>
      <c r="CF9" s="0" t="n">
        <v>300</v>
      </c>
      <c r="CG9" s="0">
        <f>DC5+CF9</f>
        <v/>
      </c>
      <c r="CH9" s="0" t="n">
        <v>0</v>
      </c>
      <c r="CI9" s="0">
        <f>DE5+CH9</f>
        <v/>
      </c>
      <c r="CJ9" s="0" t="n">
        <v>0</v>
      </c>
      <c r="CK9" s="0">
        <f>DG5+CJ9</f>
        <v/>
      </c>
      <c r="CL9" s="0" t="n">
        <v>1000</v>
      </c>
      <c r="CM9" s="0">
        <f>DJ5+CL9</f>
        <v/>
      </c>
      <c r="CN9" s="0" t="n">
        <v>0</v>
      </c>
      <c r="CO9" s="0">
        <f>DL5+CN9</f>
        <v/>
      </c>
      <c r="CP9" s="0" t="n">
        <v>6000</v>
      </c>
      <c r="CQ9" s="0">
        <f>DO5+CP9</f>
        <v/>
      </c>
      <c r="CR9" s="0" t="n">
        <v>0</v>
      </c>
      <c r="CS9" s="0">
        <f>DQ5+CR9</f>
        <v/>
      </c>
      <c r="CT9" s="0" t="n">
        <v>0</v>
      </c>
      <c r="CU9" s="0">
        <f>DS5+CT9</f>
        <v/>
      </c>
      <c r="CV9" s="0">
        <f>(CG9)/0.3</f>
        <v/>
      </c>
      <c r="CW9" s="0">
        <f>(CM9)/1</f>
        <v/>
      </c>
      <c r="CX9" s="0">
        <f>(CQ9)/6</f>
        <v/>
      </c>
      <c r="CY9" s="0">
        <f>ROUNDDOWN(MIN(I9,CE9,CV9,CW9,CX9),0)</f>
        <v/>
      </c>
      <c r="CZ9" s="0">
        <f>'Lotes_Pipeline_sim3'!U9</f>
        <v/>
      </c>
      <c r="DA9" s="0">
        <f>DB9+DD9+DF9</f>
        <v/>
      </c>
      <c r="DB9" s="0">
        <f>'Lotes_Pipeline_sim3'!X9</f>
        <v/>
      </c>
      <c r="DC9" s="0">
        <f>CG9-DB9</f>
        <v/>
      </c>
      <c r="DD9" s="0">
        <f>'Lotes_Pipeline_sim3'!AA9</f>
        <v/>
      </c>
      <c r="DE9" s="0">
        <f>CI9-DD9</f>
        <v/>
      </c>
      <c r="DF9" s="0">
        <f>'Lotes_Pipeline_sim3'!AD9</f>
        <v/>
      </c>
      <c r="DG9" s="0">
        <f>CK9-DF9</f>
        <v/>
      </c>
      <c r="DH9" s="0">
        <f>DI9+DK9</f>
        <v/>
      </c>
      <c r="DI9" s="0">
        <f>'Lotes_Pipeline_sim3'!AG9</f>
        <v/>
      </c>
      <c r="DJ9" s="0">
        <f>CM9-DI9</f>
        <v/>
      </c>
      <c r="DK9" s="0">
        <f>'Lotes_Pipeline_sim3'!AJ9</f>
        <v/>
      </c>
      <c r="DL9" s="0">
        <f>CO9-DK9</f>
        <v/>
      </c>
      <c r="DM9" s="0">
        <f>DN9+DP9+DR9</f>
        <v/>
      </c>
      <c r="DN9" s="0">
        <f>'Lotes_Pipeline_sim3'!AM9</f>
        <v/>
      </c>
      <c r="DO9" s="0">
        <f>CQ9-DN9</f>
        <v/>
      </c>
      <c r="DP9" s="0">
        <f>'Lotes_Pipeline_sim3'!AP9</f>
        <v/>
      </c>
      <c r="DQ9" s="0">
        <f>CS9-DP9</f>
        <v/>
      </c>
      <c r="DR9" s="0">
        <f>'Lotes_Pipeline_sim3'!AS9</f>
        <v/>
      </c>
      <c r="DS9" s="0">
        <f>CU9-DR9</f>
        <v/>
      </c>
      <c r="DT9" s="0">
        <f>((AV9+AW9+AX9)*IF(M9="NO_MYPE",'Costos De Producción'!V11,'Costos De Producción'!U11)+(AY9+AZ9+BA9)*IF(M9="NO_MYPE",'Costos De Producción'!V20,'Costos De Producción'!U20)+(BB9+BC9+BD9)*IF(M9="NO_MYPE",'Costos De Producción'!V29,'Costos De Producción'!U29)+(BF9+BG9+BH9)*IF(M9="NO_MYPE",'Costos De Producción'!Z11,'Costos De Producción'!Y11)+(BI9+BJ9+BK9)*IF(M9="NO_MYPE",'Costos De Producción'!Z20,'Costos De Producción'!Y20)+(BL9+BM9+BN9)*IF(M9="NO_MYPE",'Costos De Producción'!Z29,'Costos De Producción'!Y29)+(BP9+BQ9+BR9)*IF(M9="NO_MYPE",'Costos De Producción'!AD11,'Costos De Producción'!AC11)+(BS9+BT9+BU9)*IF(M9="NO_MYPE",'Costos De Producción'!AD20,'Costos De Producción'!AC20)+(BV9+BW9+BX9)*IF(M9="NO_MYPE",'Costos De Producción'!AD29,'Costos De Producción'!AC29)+K9*IF(M9="NO_MYPE",'Costos De Producción'!V39,'Costos De Producción'!U39)+IF(M9="NO_MYPE",'Costos De Producción'!Z39,'Costos De Producción'!Y39)+'Costos De Producción'!AC33)*1</f>
        <v/>
      </c>
      <c r="DU9" s="0">
        <f>(DB9*25+DD9*45+DF9*80+DI9*4+DK9*9+DN9*2+DP9*4+DR9*7)*0.8280000000000001</f>
        <v/>
      </c>
      <c r="DV9" s="0">
        <f>1*2500*0.05/12*1+1*3500*0.05/12*1+1*1200*0.05/12*1+1*300*0.05/12*1+200</f>
        <v/>
      </c>
      <c r="DW9" s="0">
        <f>1*(2375.0/10/12*1)+1*(3325.0/10/12*1)+1*(1140.0/8/12*1)+1*(285.0/5/12*1)</f>
        <v/>
      </c>
      <c r="DX9" s="0">
        <f>IFERROR((0)/CZ9,0)*10+IFERROR(CA9/BZ9,0)*10+(IFERROR(DF9/(DB9+DD9+DF9),0)+IFERROR(DK9/(DI9+DK9),0)+IFERROR(DR9/(DP9+DR9),0))/3*10+L9/10000*10</f>
        <v/>
      </c>
      <c r="DY9" s="0">
        <f>DX9+AJ9</f>
        <v/>
      </c>
      <c r="DZ9" s="0">
        <f>EC5+CZ9</f>
        <v/>
      </c>
      <c r="EA9" s="0" t="n">
        <v>40</v>
      </c>
      <c r="EB9" s="0" t="n">
        <v>0</v>
      </c>
      <c r="EC9" s="0">
        <f>'Lotes_Pipeline_sim3'!AY9</f>
        <v/>
      </c>
      <c r="ED9" s="0">
        <f>IF(D9="SEG-01",IFERROR(100*(_xlfn.MAXIFS($J$2:$J$13,$C$2:$C$13,C9)-J9)/(_xlfn.MAXIFS($J$2:$J$13,$C$2:$C$13,C9)-_xlfn.MINIFS($J$2:$J$13,$C$2:$C$13,C9)),100),100-ABS(J9-EB9)/EB9*100)</f>
        <v/>
      </c>
      <c r="EE9" s="0">
        <f>IFERROR(ROUND(DY9/SUMIF($C$2:$C$13,"2|SEG-01",$DY$2:$DY$13)*100,0),0)</f>
        <v/>
      </c>
      <c r="EF9" s="0">
        <f>0.7*ED9+0.2*DY9*10+0.1*EE9</f>
        <v/>
      </c>
      <c r="EG9" s="0">
        <f>IFERROR(EF9/SUMIF($C$2:$C$13,C9,$EF$2:$EF$13),0)</f>
        <v/>
      </c>
      <c r="EH9" s="0">
        <f>'Mercados_Pipeline_sim3'!J9</f>
        <v/>
      </c>
      <c r="EI9" s="0">
        <f>'Mercados_Pipeline_sim3'!I9</f>
        <v/>
      </c>
      <c r="EJ9" s="0">
        <f>'Lotes_Pipeline_sim3'!AW9</f>
        <v/>
      </c>
      <c r="EK9" s="0">
        <f>'Lotes_Pipeline_sim3'!AX9</f>
        <v/>
      </c>
      <c r="EL9" s="0">
        <f>EC9*2</f>
        <v/>
      </c>
      <c r="EM9" s="0">
        <f>IF(CZ9&gt;CE9,0.25*DT9*IFERROR(MIN(1,(CZ9-CE9)/CE9),1),0)</f>
        <v/>
      </c>
      <c r="EN9" s="0">
        <f>0</f>
        <v/>
      </c>
      <c r="EO9" s="0">
        <f>(IFERROR(INDEX('Catalogo_Numerico_sim3'!$G$2:$G$69,MATCH("COM-01C",'Catalogo_Numerico_sim3'!$A$2:$A$69,0)),0)+IFERROR(INDEX('Catalogo_Numerico_sim3'!$G$2:$G$69,MATCH("INV-01B",'Catalogo_Numerico_sim3'!$A$2:$A$69,0)),0))*1</f>
        <v/>
      </c>
      <c r="EP9" s="0">
        <f>0</f>
        <v/>
      </c>
      <c r="EQ9" s="0" t="n">
        <v>5000</v>
      </c>
      <c r="ER9" s="0">
        <f>DT9+DU9+DV9+DW9+L9+EL9+EM9+EN9+EO9+EP9+EQ9</f>
        <v/>
      </c>
      <c r="ES9" s="0">
        <f>EK9-ER9</f>
        <v/>
      </c>
      <c r="ET9" s="0">
        <f>OR(AND('Lotes_Pipeline_sim3'!C9="SEG-03",'Lotes_Pipeline_sim3'!H9&gt;0,'Lotes_Pipeline_sim3'!J9&lt;4))</f>
        <v/>
      </c>
      <c r="EU9" s="0">
        <f>OR(AND('Lotes_Pipeline_sim3'!C9="SEG-03",'Lotes_Pipeline_sim3'!H9&gt;0,'Lotes_Pipeline_sim3'!J9&gt;=7))</f>
        <v/>
      </c>
      <c r="EV9" s="0">
        <f>AF9&lt;4</f>
        <v/>
      </c>
      <c r="EW9" s="0">
        <f>AM9&gt;=2</f>
        <v/>
      </c>
      <c r="EX9" s="0">
        <f>AH9&lt;3</f>
        <v/>
      </c>
      <c r="EY9" s="0">
        <f>CZ9&gt;CE9</f>
        <v/>
      </c>
      <c r="EZ9" s="0">
        <f>CZ9&gt;EJ9</f>
        <v/>
      </c>
      <c r="FA9" s="0">
        <f>AND(K9=0,AF9&lt;5)</f>
        <v/>
      </c>
      <c r="FB9" t="n">
        <v>1000000</v>
      </c>
      <c r="FC9">
        <f>0*2500*(1+0.03+0.02)+0*3500*(1+0.03+0.02)+0*1200*(1+0.03+0.02)+0*300*(1+0+0.01)</f>
        <v/>
      </c>
      <c r="FD9">
        <f>0*2500+0*3500+0*1200+0*300</f>
        <v/>
      </c>
      <c r="FE9">
        <f>(CF9*25+CH9*45+CJ9*80+CL9*4+CN9*9+CP9*2+CR9*4+CT9*7)*0.8280000000000001</f>
        <v/>
      </c>
      <c r="FF9">
        <f>(DC9*25+DE9*45+DG9*80+DJ9*4+DL9*9+DO9*2+DQ9*4+DS9*7)*0.8280000000000001</f>
        <v/>
      </c>
      <c r="FG9">
        <f>FM5</f>
        <v/>
      </c>
      <c r="FH9">
        <f>(1+AR9/100)^(1/12)-1</f>
        <v/>
      </c>
      <c r="FI9">
        <f>AS5*FJ5+AP9*FH9</f>
        <v/>
      </c>
      <c r="FJ9">
        <f>IFERROR(FI9/(AS5+AP9),0)</f>
        <v/>
      </c>
      <c r="FK9">
        <f>FI9*1</f>
        <v/>
      </c>
      <c r="FL9">
        <f>ER9-DW9-DU9+FE9+FK9</f>
        <v/>
      </c>
      <c r="FM9">
        <f>FG9+EK9+AP9-FL9-FC9</f>
        <v/>
      </c>
      <c r="FN9">
        <f>FN5+DW9</f>
        <v/>
      </c>
      <c r="FO9">
        <f>FO5+FD9</f>
        <v/>
      </c>
      <c r="FP9">
        <f>FO9-FN9</f>
        <v/>
      </c>
      <c r="FQ9">
        <f>EK9</f>
        <v/>
      </c>
      <c r="FR9">
        <f>EK9</f>
        <v/>
      </c>
      <c r="FS9">
        <f>ER9+FK9</f>
        <v/>
      </c>
      <c r="FT9">
        <f>ES9-FK9</f>
        <v/>
      </c>
      <c r="FU9">
        <f>DW9</f>
        <v/>
      </c>
      <c r="FV9">
        <f>FK9</f>
        <v/>
      </c>
      <c r="FW9">
        <f>ER9</f>
        <v/>
      </c>
      <c r="FX9">
        <f>FG9</f>
        <v/>
      </c>
      <c r="FY9">
        <f>EK9+AP9</f>
        <v/>
      </c>
      <c r="FZ9">
        <f>FL9+FC9</f>
        <v/>
      </c>
      <c r="GA9">
        <f>FM9</f>
        <v/>
      </c>
      <c r="GB9">
        <f>FG9</f>
        <v/>
      </c>
      <c r="GC9">
        <f>EK9</f>
        <v/>
      </c>
      <c r="GD9">
        <f>FL9</f>
        <v/>
      </c>
      <c r="GE9">
        <f>FC9</f>
        <v/>
      </c>
      <c r="GF9">
        <f>AP9</f>
        <v/>
      </c>
      <c r="GG9">
        <f>EK9-FL9</f>
        <v/>
      </c>
      <c r="GH9">
        <f>-FC9</f>
        <v/>
      </c>
      <c r="GI9">
        <f>FM9-FG9</f>
        <v/>
      </c>
      <c r="GJ9">
        <f>FM9</f>
        <v/>
      </c>
      <c r="GK9">
        <f>FM9</f>
        <v/>
      </c>
      <c r="GL9">
        <f>FP9</f>
        <v/>
      </c>
      <c r="GM9">
        <f>FF9</f>
        <v/>
      </c>
      <c r="GN9">
        <f>FM9+FP9+FF9</f>
        <v/>
      </c>
      <c r="GO9">
        <f>AS9</f>
        <v/>
      </c>
      <c r="GP9">
        <f>FM9+FP9+FF9-AS9</f>
        <v/>
      </c>
      <c r="GQ9">
        <f>FM9+FP9+FF9</f>
        <v/>
      </c>
      <c r="GR9">
        <f>AP9</f>
        <v/>
      </c>
      <c r="GS9">
        <f>AR9</f>
        <v/>
      </c>
      <c r="GT9">
        <f>AS9</f>
        <v/>
      </c>
      <c r="GU9">
        <f>AT9</f>
        <v/>
      </c>
      <c r="GV9">
        <f>FJ9</f>
        <v/>
      </c>
      <c r="GW9">
        <f>FK9</f>
        <v/>
      </c>
    </row>
    <row r="10">
      <c r="A10" s="0" t="n">
        <v>3</v>
      </c>
      <c r="B10" s="0" t="inlineStr">
        <is>
          <t>A</t>
        </is>
      </c>
      <c r="C10" s="0" t="inlineStr">
        <is>
          <t>3|SEG-01</t>
        </is>
      </c>
      <c r="D10" s="0" t="inlineStr">
        <is>
          <t>SEG-01</t>
        </is>
      </c>
      <c r="E10" s="0" t="inlineStr">
        <is>
          <t>INF-08</t>
        </is>
      </c>
      <c r="F10" s="0" t="inlineStr">
        <is>
          <t>INS-01</t>
        </is>
      </c>
      <c r="G10" s="0" t="inlineStr">
        <is>
          <t>INS-04</t>
        </is>
      </c>
      <c r="H10" s="0" t="inlineStr">
        <is>
          <t>INS-06</t>
        </is>
      </c>
      <c r="I10" s="0" t="n">
        <v>200</v>
      </c>
      <c r="J10" s="0" t="n">
        <v>40</v>
      </c>
      <c r="K10" s="0" t="n">
        <v>1</v>
      </c>
      <c r="L10" s="0" t="n">
        <v>0</v>
      </c>
      <c r="M10" s="0" t="inlineStr">
        <is>
          <t>MYPE</t>
        </is>
      </c>
      <c r="N10" s="0" t="inlineStr">
        <is>
          <t>INF-03</t>
        </is>
      </c>
      <c r="O10" s="0" t="inlineStr">
        <is>
          <t>INF-06</t>
        </is>
      </c>
      <c r="P10" s="0" t="inlineStr">
        <is>
          <t>INF-09</t>
        </is>
      </c>
      <c r="Q10" s="0" t="inlineStr">
        <is>
          <t>RH-02</t>
        </is>
      </c>
      <c r="R10" s="0" t="inlineStr">
        <is>
          <t>RH-05</t>
        </is>
      </c>
      <c r="S10" s="0" t="inlineStr">
        <is>
          <t>RH-08</t>
        </is>
      </c>
      <c r="T10" s="0" t="inlineStr">
        <is>
          <t>RH-10A</t>
        </is>
      </c>
      <c r="U10" s="0" t="inlineStr">
        <is>
          <t>COM-01C</t>
        </is>
      </c>
      <c r="V10" s="0" t="inlineStr">
        <is>
          <t>FIN-01B</t>
        </is>
      </c>
      <c r="W10" s="0" t="inlineStr">
        <is>
          <t>COM-06B</t>
        </is>
      </c>
      <c r="X10" s="0" t="inlineStr"/>
      <c r="Y10" s="0" t="inlineStr"/>
      <c r="Z10" s="0" t="inlineStr"/>
      <c r="AA10" s="0" t="inlineStr"/>
      <c r="AB10" s="0" t="inlineStr"/>
      <c r="AC10" s="0" t="inlineStr"/>
      <c r="AD10" s="0" t="inlineStr"/>
      <c r="AE10" s="0" t="inlineStr"/>
      <c r="AF10" s="0">
        <f>IFERROR(INDEX('Catalogo_Numerico_sim3'!$I$2:$I$69,MATCH(N10,'Catalogo_Numerico_sim3'!$A$2:$A$69,0)),0)+IFERROR(INDEX('Catalogo_Numerico_sim3'!$I$2:$I$69,MATCH(O10,'Catalogo_Numerico_sim3'!$A$2:$A$69,0)),0)+IFERROR(INDEX('Catalogo_Numerico_sim3'!$I$2:$I$69,MATCH(P10,'Catalogo_Numerico_sim3'!$A$2:$A$69,0)),0)+IFERROR(INDEX('Catalogo_Numerico_sim3'!$I$2:$I$69,MATCH(Q10,'Catalogo_Numerico_sim3'!$A$2:$A$69,0)),0)+IFERROR(INDEX('Catalogo_Numerico_sim3'!$I$2:$I$69,MATCH(R10,'Catalogo_Numerico_sim3'!$A$2:$A$69,0)),0)+IFERROR(INDEX('Catalogo_Numerico_sim3'!$I$2:$I$69,MATCH(S10,'Catalogo_Numerico_sim3'!$A$2:$A$69,0)),0)+IFERROR(INDEX('Catalogo_Numerico_sim3'!$I$2:$I$69,MATCH(T10,'Catalogo_Numerico_sim3'!$A$2:$A$69,0)),0)+IFERROR(INDEX('Catalogo_Numerico_sim3'!$I$2:$I$69,MATCH(U10,'Catalogo_Numerico_sim3'!$A$2:$A$69,0)),0)+IFERROR(INDEX('Catalogo_Numerico_sim3'!$I$2:$I$69,MATCH(V10,'Catalogo_Numerico_sim3'!$A$2:$A$69,0)),0)+IFERROR(INDEX('Catalogo_Numerico_sim3'!$I$2:$I$69,MATCH(W10,'Catalogo_Numerico_sim3'!$A$2:$A$69,0)),0)</f>
        <v/>
      </c>
      <c r="AG10" s="0">
        <f>IFERROR(INDEX('Catalogo_Numerico_sim3'!$J$2:$J$69,MATCH(N10,'Catalogo_Numerico_sim3'!$A$2:$A$69,0)),0)+IFERROR(INDEX('Catalogo_Numerico_sim3'!$J$2:$J$69,MATCH(O10,'Catalogo_Numerico_sim3'!$A$2:$A$69,0)),0)+IFERROR(INDEX('Catalogo_Numerico_sim3'!$J$2:$J$69,MATCH(P10,'Catalogo_Numerico_sim3'!$A$2:$A$69,0)),0)+IFERROR(INDEX('Catalogo_Numerico_sim3'!$J$2:$J$69,MATCH(Q10,'Catalogo_Numerico_sim3'!$A$2:$A$69,0)),0)+IFERROR(INDEX('Catalogo_Numerico_sim3'!$J$2:$J$69,MATCH(R10,'Catalogo_Numerico_sim3'!$A$2:$A$69,0)),0)+IFERROR(INDEX('Catalogo_Numerico_sim3'!$J$2:$J$69,MATCH(S10,'Catalogo_Numerico_sim3'!$A$2:$A$69,0)),0)+IFERROR(INDEX('Catalogo_Numerico_sim3'!$J$2:$J$69,MATCH(T10,'Catalogo_Numerico_sim3'!$A$2:$A$69,0)),0)+IFERROR(INDEX('Catalogo_Numerico_sim3'!$J$2:$J$69,MATCH(U10,'Catalogo_Numerico_sim3'!$A$2:$A$69,0)),0)+IFERROR(INDEX('Catalogo_Numerico_sim3'!$J$2:$J$69,MATCH(V10,'Catalogo_Numerico_sim3'!$A$2:$A$69,0)),0)+IFERROR(INDEX('Catalogo_Numerico_sim3'!$J$2:$J$69,MATCH(W10,'Catalogo_Numerico_sim3'!$A$2:$A$69,0)),0)</f>
        <v/>
      </c>
      <c r="AH10" s="0">
        <f>IFERROR(INDEX('Catalogo_Numerico_sim3'!$K$2:$K$69,MATCH(N10,'Catalogo_Numerico_sim3'!$A$2:$A$69,0)),0)+IFERROR(INDEX('Catalogo_Numerico_sim3'!$K$2:$K$69,MATCH(O10,'Catalogo_Numerico_sim3'!$A$2:$A$69,0)),0)+IFERROR(INDEX('Catalogo_Numerico_sim3'!$K$2:$K$69,MATCH(P10,'Catalogo_Numerico_sim3'!$A$2:$A$69,0)),0)+IFERROR(INDEX('Catalogo_Numerico_sim3'!$K$2:$K$69,MATCH(Q10,'Catalogo_Numerico_sim3'!$A$2:$A$69,0)),0)+IFERROR(INDEX('Catalogo_Numerico_sim3'!$K$2:$K$69,MATCH(R10,'Catalogo_Numerico_sim3'!$A$2:$A$69,0)),0)+IFERROR(INDEX('Catalogo_Numerico_sim3'!$K$2:$K$69,MATCH(S10,'Catalogo_Numerico_sim3'!$A$2:$A$69,0)),0)+IFERROR(INDEX('Catalogo_Numerico_sim3'!$K$2:$K$69,MATCH(T10,'Catalogo_Numerico_sim3'!$A$2:$A$69,0)),0)+IFERROR(INDEX('Catalogo_Numerico_sim3'!$K$2:$K$69,MATCH(U10,'Catalogo_Numerico_sim3'!$A$2:$A$69,0)),0)+IFERROR(INDEX('Catalogo_Numerico_sim3'!$K$2:$K$69,MATCH(V10,'Catalogo_Numerico_sim3'!$A$2:$A$69,0)),0)+IFERROR(INDEX('Catalogo_Numerico_sim3'!$K$2:$K$69,MATCH(W10,'Catalogo_Numerico_sim3'!$A$2:$A$69,0)),0)</f>
        <v/>
      </c>
      <c r="AI10" s="0">
        <f>IFERROR(('Lotes_Pipeline_sim3'!H10*'Lotes_Pipeline_sim3'!J10)/I10,0)</f>
        <v/>
      </c>
      <c r="AJ10" s="0">
        <f>IF(OR(AND('Lotes_Pipeline_sim3'!C10="SEG-03",'Lotes_Pipeline_sim3'!H10&gt;0,'Lotes_Pipeline_sim3'!J10&lt;4)),-2,0)+IF(OR(AND('Lotes_Pipeline_sim3'!C10="SEG-03",'Lotes_Pipeline_sim3'!H10&gt;0,'Lotes_Pipeline_sim3'!J10&gt;=7)),2,0)</f>
        <v/>
      </c>
      <c r="AK10" s="0">
        <f>IF(AND(D10="SEG-03",I10&gt;0),IF(AI10&lt;4,0.65,IF(AI10&gt;=7,1.4,1)),1)</f>
        <v/>
      </c>
      <c r="AL10" s="0">
        <f>AG10+AJ10</f>
        <v/>
      </c>
      <c r="AM10" s="0">
        <f>IF(AL10&lt;3,AM6+1,0)</f>
        <v/>
      </c>
      <c r="AN10" s="0">
        <f>IF(AM10&gt;=2,0.8,1)</f>
        <v/>
      </c>
      <c r="AO10" s="0">
        <f>IF(AH10&lt;3,3,0)</f>
        <v/>
      </c>
      <c r="AP10" s="0" t="n">
        <v>0</v>
      </c>
      <c r="AQ10" s="0" t="n">
        <v>20</v>
      </c>
      <c r="AR10" s="0">
        <f>AQ10+AT6</f>
        <v/>
      </c>
      <c r="AS10" s="0">
        <f>AS6+AP10</f>
        <v/>
      </c>
      <c r="AT10" s="0">
        <f>IF(AP10&gt;0,AO10,MAX(AT6,AO10))</f>
        <v/>
      </c>
      <c r="AU10" s="0">
        <f>IF(AF10&lt;4,0.7,1)*IF(AND(K10=0,AF10&lt;5),0.95,1)</f>
        <v/>
      </c>
      <c r="AV10" s="0" t="n">
        <v>1</v>
      </c>
      <c r="AW10" s="0" t="n">
        <v>0</v>
      </c>
      <c r="AX10" s="0" t="n">
        <v>0</v>
      </c>
      <c r="AY10" s="0" t="n">
        <v>0</v>
      </c>
      <c r="AZ10" s="0" t="n">
        <v>0</v>
      </c>
      <c r="BA10" s="0" t="n">
        <v>0</v>
      </c>
      <c r="BB10" s="0" t="n">
        <v>0</v>
      </c>
      <c r="BC10" s="0" t="n">
        <v>0</v>
      </c>
      <c r="BD10" s="0" t="n">
        <v>0</v>
      </c>
      <c r="BE10" s="0">
        <f>AV10*5*1+AY10*7*1+BB10*9*1</f>
        <v/>
      </c>
      <c r="BF10" s="0" t="n">
        <v>1</v>
      </c>
      <c r="BG10" s="0" t="n">
        <v>0</v>
      </c>
      <c r="BH10" s="0" t="n">
        <v>0</v>
      </c>
      <c r="BI10" s="0" t="n">
        <v>0</v>
      </c>
      <c r="BJ10" s="0" t="n">
        <v>0</v>
      </c>
      <c r="BK10" s="0" t="n">
        <v>0</v>
      </c>
      <c r="BL10" s="0" t="n">
        <v>0</v>
      </c>
      <c r="BM10" s="0" t="n">
        <v>0</v>
      </c>
      <c r="BN10" s="0" t="n">
        <v>0</v>
      </c>
      <c r="BO10" s="0">
        <f>BF10*6*1+BG10*6*1.2+BH10*6*1.5+BI10*8*1+BJ10*8*1.2+BK10*8*1.5+BL10*12*1+BM10*12*1.2+BN10*12*1.5</f>
        <v/>
      </c>
      <c r="BP10" s="0" t="n">
        <v>1</v>
      </c>
      <c r="BQ10" s="0" t="n">
        <v>0</v>
      </c>
      <c r="BR10" s="0" t="n">
        <v>0</v>
      </c>
      <c r="BS10" s="0" t="n">
        <v>0</v>
      </c>
      <c r="BT10" s="0" t="n">
        <v>0</v>
      </c>
      <c r="BU10" s="0" t="n">
        <v>0</v>
      </c>
      <c r="BV10" s="0" t="n">
        <v>0</v>
      </c>
      <c r="BW10" s="0" t="n">
        <v>0</v>
      </c>
      <c r="BX10" s="0" t="n">
        <v>0</v>
      </c>
      <c r="BY10" s="0">
        <f>BP10*6*1+BQ10*6*1.2+BR10*6*1.5+BS10*7*1+BT10*7*1.2+BU10*7*1.5+BV10*10*1+BW10*10*1.2+BX10*10*1.5</f>
        <v/>
      </c>
      <c r="BZ10" s="0">
        <f>AV10+AY10+BB10+BF10+BG10+BH10+BI10+BJ10+BK10+BL10+BM10+BN10+BP10+BQ10+BR10+BS10+BT10+BU10+BV10+BW10+BX10</f>
        <v/>
      </c>
      <c r="CA10" s="0">
        <f>BB10+BL10+BM10+BN10+BV10+BW10+BX10</f>
        <v/>
      </c>
      <c r="CB10" s="0">
        <f>0.9+(BB10+BL10+BV10)*0.01+K10*0.04</f>
        <v/>
      </c>
      <c r="CC10" s="0">
        <f>MIN(BE10,BO10,BY10)</f>
        <v/>
      </c>
      <c r="CD10" s="0">
        <f>CC10*24*1</f>
        <v/>
      </c>
      <c r="CE10" s="0">
        <f>ROUND(CD10*CB10,0)</f>
        <v/>
      </c>
      <c r="CF10" s="0" t="n">
        <v>300</v>
      </c>
      <c r="CG10" s="0">
        <f>DC6+CF10</f>
        <v/>
      </c>
      <c r="CH10" s="0" t="n">
        <v>0</v>
      </c>
      <c r="CI10" s="0">
        <f>DE6+CH10</f>
        <v/>
      </c>
      <c r="CJ10" s="0" t="n">
        <v>0</v>
      </c>
      <c r="CK10" s="0">
        <f>DG6+CJ10</f>
        <v/>
      </c>
      <c r="CL10" s="0" t="n">
        <v>1000</v>
      </c>
      <c r="CM10" s="0">
        <f>DJ6+CL10</f>
        <v/>
      </c>
      <c r="CN10" s="0" t="n">
        <v>0</v>
      </c>
      <c r="CO10" s="0">
        <f>DL6+CN10</f>
        <v/>
      </c>
      <c r="CP10" s="0" t="n">
        <v>6000</v>
      </c>
      <c r="CQ10" s="0">
        <f>DO6+CP10</f>
        <v/>
      </c>
      <c r="CR10" s="0" t="n">
        <v>0</v>
      </c>
      <c r="CS10" s="0">
        <f>DQ6+CR10</f>
        <v/>
      </c>
      <c r="CT10" s="0" t="n">
        <v>0</v>
      </c>
      <c r="CU10" s="0">
        <f>DS6+CT10</f>
        <v/>
      </c>
      <c r="CV10" s="0">
        <f>(CG10)/0.3</f>
        <v/>
      </c>
      <c r="CW10" s="0">
        <f>(CM10)/1</f>
        <v/>
      </c>
      <c r="CX10" s="0">
        <f>(CQ10)/6</f>
        <v/>
      </c>
      <c r="CY10" s="0">
        <f>ROUNDDOWN(MIN(I10,CE10,CV10,CW10,CX10),0)</f>
        <v/>
      </c>
      <c r="CZ10" s="0">
        <f>'Lotes_Pipeline_sim3'!U10</f>
        <v/>
      </c>
      <c r="DA10" s="0">
        <f>DB10+DD10+DF10</f>
        <v/>
      </c>
      <c r="DB10" s="0">
        <f>'Lotes_Pipeline_sim3'!X10</f>
        <v/>
      </c>
      <c r="DC10" s="0">
        <f>CG10-DB10</f>
        <v/>
      </c>
      <c r="DD10" s="0">
        <f>'Lotes_Pipeline_sim3'!AA10</f>
        <v/>
      </c>
      <c r="DE10" s="0">
        <f>CI10-DD10</f>
        <v/>
      </c>
      <c r="DF10" s="0">
        <f>'Lotes_Pipeline_sim3'!AD10</f>
        <v/>
      </c>
      <c r="DG10" s="0">
        <f>CK10-DF10</f>
        <v/>
      </c>
      <c r="DH10" s="0">
        <f>DI10+DK10</f>
        <v/>
      </c>
      <c r="DI10" s="0">
        <f>'Lotes_Pipeline_sim3'!AG10</f>
        <v/>
      </c>
      <c r="DJ10" s="0">
        <f>CM10-DI10</f>
        <v/>
      </c>
      <c r="DK10" s="0">
        <f>'Lotes_Pipeline_sim3'!AJ10</f>
        <v/>
      </c>
      <c r="DL10" s="0">
        <f>CO10-DK10</f>
        <v/>
      </c>
      <c r="DM10" s="0">
        <f>DN10+DP10+DR10</f>
        <v/>
      </c>
      <c r="DN10" s="0">
        <f>'Lotes_Pipeline_sim3'!AM10</f>
        <v/>
      </c>
      <c r="DO10" s="0">
        <f>CQ10-DN10</f>
        <v/>
      </c>
      <c r="DP10" s="0">
        <f>'Lotes_Pipeline_sim3'!AP10</f>
        <v/>
      </c>
      <c r="DQ10" s="0">
        <f>CS10-DP10</f>
        <v/>
      </c>
      <c r="DR10" s="0">
        <f>'Lotes_Pipeline_sim3'!AS10</f>
        <v/>
      </c>
      <c r="DS10" s="0">
        <f>CU10-DR10</f>
        <v/>
      </c>
      <c r="DT10" s="0">
        <f>((AV10+AW10+AX10)*IF(M10="NO_MYPE",'Costos De Producción'!V11,'Costos De Producción'!U11)+(AY10+AZ10+BA10)*IF(M10="NO_MYPE",'Costos De Producción'!V20,'Costos De Producción'!U20)+(BB10+BC10+BD10)*IF(M10="NO_MYPE",'Costos De Producción'!V29,'Costos De Producción'!U29)+(BF10+BG10+BH10)*IF(M10="NO_MYPE",'Costos De Producción'!Z11,'Costos De Producción'!Y11)+(BI10+BJ10+BK10)*IF(M10="NO_MYPE",'Costos De Producción'!Z20,'Costos De Producción'!Y20)+(BL10+BM10+BN10)*IF(M10="NO_MYPE",'Costos De Producción'!Z29,'Costos De Producción'!Y29)+(BP10+BQ10+BR10)*IF(M10="NO_MYPE",'Costos De Producción'!AD11,'Costos De Producción'!AC11)+(BS10+BT10+BU10)*IF(M10="NO_MYPE",'Costos De Producción'!AD20,'Costos De Producción'!AC20)+(BV10+BW10+BX10)*IF(M10="NO_MYPE",'Costos De Producción'!AD29,'Costos De Producción'!AC29)+K10*IF(M10="NO_MYPE",'Costos De Producción'!V39,'Costos De Producción'!U39)+IF(M10="NO_MYPE",'Costos De Producción'!Z39,'Costos De Producción'!Y39)+'Costos De Producción'!AC33)*1</f>
        <v/>
      </c>
      <c r="DU10" s="0">
        <f>(DB10*25+DD10*45+DF10*80+DI10*4+DK10*9+DN10*2+DP10*4+DR10*7)*0.92</f>
        <v/>
      </c>
      <c r="DV10" s="0">
        <f>1*2500*0.05/12*1+1*3500*0.05/12*1+1*1200*0.05/12*1+1*300*0.05/12*1</f>
        <v/>
      </c>
      <c r="DW10" s="0">
        <f>1*(2375.0/10/12*1)+1*(3325.0/10/12*1)+1*(1140.0/8/12*1)+1*(285.0/5/12*1)</f>
        <v/>
      </c>
      <c r="DX10" s="0">
        <f>IFERROR((0)/CZ10,0)*10+IFERROR(CA10/BZ10,0)*10+(IFERROR(DF10/(DB10+DD10+DF10),0)+IFERROR(DK10/(DI10+DK10),0)+IFERROR(DR10/(DP10+DR10),0))/3*10+L10/10000*10</f>
        <v/>
      </c>
      <c r="DY10" s="0">
        <f>DX10+AJ10</f>
        <v/>
      </c>
      <c r="DZ10" s="0">
        <f>EC6+CZ10</f>
        <v/>
      </c>
      <c r="EA10" s="0" t="n">
        <v>40</v>
      </c>
      <c r="EB10" s="0" t="n">
        <v>0</v>
      </c>
      <c r="EC10" s="0">
        <f>'Lotes_Pipeline_sim3'!AY10</f>
        <v/>
      </c>
      <c r="ED10" s="0">
        <f>IF(D10="SEG-01",IFERROR(100*(_xlfn.MAXIFS($J$2:$J$13,$C$2:$C$13,C10)-J10)/(_xlfn.MAXIFS($J$2:$J$13,$C$2:$C$13,C10)-_xlfn.MINIFS($J$2:$J$13,$C$2:$C$13,C10)),100),100-ABS(J10-EB10)/EB10*100)</f>
        <v/>
      </c>
      <c r="EE10" s="0">
        <f>IFERROR(ROUND(DY10/SUMIF($C$2:$C$13,"3|SEG-01",$DY$2:$DY$13)*100,0),0)</f>
        <v/>
      </c>
      <c r="EF10" s="0">
        <f>0.7*ED10+0.2*DY10*10+0.1*EE10</f>
        <v/>
      </c>
      <c r="EG10" s="0">
        <f>IFERROR(EF10/SUMIF($C$2:$C$13,C10,$EF$2:$EF$13),0)</f>
        <v/>
      </c>
      <c r="EH10" s="0">
        <f>'Mercados_Pipeline_sim3'!J10</f>
        <v/>
      </c>
      <c r="EI10" s="0">
        <f>'Mercados_Pipeline_sim3'!I10</f>
        <v/>
      </c>
      <c r="EJ10" s="0">
        <f>'Lotes_Pipeline_sim3'!AW10</f>
        <v/>
      </c>
      <c r="EK10" s="0">
        <f>'Lotes_Pipeline_sim3'!AX10</f>
        <v/>
      </c>
      <c r="EL10" s="0">
        <f>EC10*2</f>
        <v/>
      </c>
      <c r="EM10" s="0">
        <f>IF(CZ10&gt;CE10,0.25*DT10*IFERROR(MIN(1,(CZ10-CE10)/CE10),1),0)</f>
        <v/>
      </c>
      <c r="EN10" s="0">
        <f>0</f>
        <v/>
      </c>
      <c r="EO10" s="0">
        <f>(IFERROR(INDEX('Catalogo_Numerico_sim3'!$G$2:$G$69,MATCH("COM-01C",'Catalogo_Numerico_sim3'!$A$2:$A$69,0)),0))*1</f>
        <v/>
      </c>
      <c r="EP10" s="0">
        <f>0</f>
        <v/>
      </c>
      <c r="EQ10" s="0" t="n">
        <v>0</v>
      </c>
      <c r="ER10" s="0">
        <f>DT10+DU10+DV10+DW10+L10+EL10+EM10+EN10+EO10+EP10+EQ10</f>
        <v/>
      </c>
      <c r="ES10" s="0">
        <f>EK10-ER10</f>
        <v/>
      </c>
      <c r="ET10" s="0">
        <f>OR(AND('Lotes_Pipeline_sim3'!C10="SEG-03",'Lotes_Pipeline_sim3'!H10&gt;0,'Lotes_Pipeline_sim3'!J10&lt;4))</f>
        <v/>
      </c>
      <c r="EU10" s="0">
        <f>OR(AND('Lotes_Pipeline_sim3'!C10="SEG-03",'Lotes_Pipeline_sim3'!H10&gt;0,'Lotes_Pipeline_sim3'!J10&gt;=7))</f>
        <v/>
      </c>
      <c r="EV10" s="0">
        <f>AF10&lt;4</f>
        <v/>
      </c>
      <c r="EW10" s="0">
        <f>AM10&gt;=2</f>
        <v/>
      </c>
      <c r="EX10" s="0">
        <f>AH10&lt;3</f>
        <v/>
      </c>
      <c r="EY10" s="0">
        <f>CZ10&gt;CE10</f>
        <v/>
      </c>
      <c r="EZ10" s="0">
        <f>CZ10&gt;EJ10</f>
        <v/>
      </c>
      <c r="FA10" s="0">
        <f>AND(K10=0,AF10&lt;5)</f>
        <v/>
      </c>
      <c r="FB10" t="n">
        <v>1000000</v>
      </c>
      <c r="FC10">
        <f>0*2500*(1+0.03+0.02)+0*3500*(1+0.03+0.02)+0*1200*(1+0.03+0.02)+0*300*(1+0+0.01)</f>
        <v/>
      </c>
      <c r="FD10">
        <f>0*2500+0*3500+0*1200+0*300</f>
        <v/>
      </c>
      <c r="FE10">
        <f>(CF10*25+CH10*45+CJ10*80+CL10*4+CN10*9+CP10*2+CR10*4+CT10*7)*0.92</f>
        <v/>
      </c>
      <c r="FF10">
        <f>(DC10*25+DE10*45+DG10*80+DJ10*4+DL10*9+DO10*2+DQ10*4+DS10*7)*0.92</f>
        <v/>
      </c>
      <c r="FG10">
        <f>FM6</f>
        <v/>
      </c>
      <c r="FH10">
        <f>(1+AR10/100)^(1/12)-1</f>
        <v/>
      </c>
      <c r="FI10">
        <f>AS6*FJ6+AP10*FH10</f>
        <v/>
      </c>
      <c r="FJ10">
        <f>IFERROR(FI10/(AS6+AP10),0)</f>
        <v/>
      </c>
      <c r="FK10">
        <f>FI10*1</f>
        <v/>
      </c>
      <c r="FL10">
        <f>ER10-DW10-DU10+FE10+FK10</f>
        <v/>
      </c>
      <c r="FM10">
        <f>FG10+EK10+AP10-FL10-FC10</f>
        <v/>
      </c>
      <c r="FN10">
        <f>FN6+DW10</f>
        <v/>
      </c>
      <c r="FO10">
        <f>FO6+FD10</f>
        <v/>
      </c>
      <c r="FP10">
        <f>FO10-FN10</f>
        <v/>
      </c>
      <c r="FQ10">
        <f>EK10</f>
        <v/>
      </c>
      <c r="FR10">
        <f>EK10</f>
        <v/>
      </c>
      <c r="FS10">
        <f>ER10+FK10</f>
        <v/>
      </c>
      <c r="FT10">
        <f>ES10-FK10</f>
        <v/>
      </c>
      <c r="FU10">
        <f>DW10</f>
        <v/>
      </c>
      <c r="FV10">
        <f>FK10</f>
        <v/>
      </c>
      <c r="FW10">
        <f>ER10</f>
        <v/>
      </c>
      <c r="FX10">
        <f>FG10</f>
        <v/>
      </c>
      <c r="FY10">
        <f>EK10+AP10</f>
        <v/>
      </c>
      <c r="FZ10">
        <f>FL10+FC10</f>
        <v/>
      </c>
      <c r="GA10">
        <f>FM10</f>
        <v/>
      </c>
      <c r="GB10">
        <f>FG10</f>
        <v/>
      </c>
      <c r="GC10">
        <f>EK10</f>
        <v/>
      </c>
      <c r="GD10">
        <f>FL10</f>
        <v/>
      </c>
      <c r="GE10">
        <f>FC10</f>
        <v/>
      </c>
      <c r="GF10">
        <f>AP10</f>
        <v/>
      </c>
      <c r="GG10">
        <f>EK10-FL10</f>
        <v/>
      </c>
      <c r="GH10">
        <f>-FC10</f>
        <v/>
      </c>
      <c r="GI10">
        <f>FM10-FG10</f>
        <v/>
      </c>
      <c r="GJ10">
        <f>FM10</f>
        <v/>
      </c>
      <c r="GK10">
        <f>FM10</f>
        <v/>
      </c>
      <c r="GL10">
        <f>FP10</f>
        <v/>
      </c>
      <c r="GM10">
        <f>FF10</f>
        <v/>
      </c>
      <c r="GN10">
        <f>FM10+FP10+FF10</f>
        <v/>
      </c>
      <c r="GO10">
        <f>AS10</f>
        <v/>
      </c>
      <c r="GP10">
        <f>FM10+FP10+FF10-AS10</f>
        <v/>
      </c>
      <c r="GQ10">
        <f>FM10+FP10+FF10</f>
        <v/>
      </c>
      <c r="GR10">
        <f>AP10</f>
        <v/>
      </c>
      <c r="GS10">
        <f>AR10</f>
        <v/>
      </c>
      <c r="GT10">
        <f>AS10</f>
        <v/>
      </c>
      <c r="GU10">
        <f>AT10</f>
        <v/>
      </c>
      <c r="GV10">
        <f>FJ10</f>
        <v/>
      </c>
      <c r="GW10">
        <f>FK10</f>
        <v/>
      </c>
    </row>
    <row r="11">
      <c r="A11" s="0" t="n">
        <v>3</v>
      </c>
      <c r="B11" s="0" t="inlineStr">
        <is>
          <t>B</t>
        </is>
      </c>
      <c r="C11" s="0" t="inlineStr">
        <is>
          <t>3|SEG-02</t>
        </is>
      </c>
      <c r="D11" s="0" t="inlineStr">
        <is>
          <t>SEG-02</t>
        </is>
      </c>
      <c r="E11" s="0" t="inlineStr">
        <is>
          <t>INF-09</t>
        </is>
      </c>
      <c r="F11" s="0" t="inlineStr">
        <is>
          <t>INS-02</t>
        </is>
      </c>
      <c r="G11" s="0" t="inlineStr">
        <is>
          <t>INS-04</t>
        </is>
      </c>
      <c r="H11" s="0" t="inlineStr">
        <is>
          <t>INS-07</t>
        </is>
      </c>
      <c r="I11" s="0" t="n">
        <v>200</v>
      </c>
      <c r="J11" s="0" t="n">
        <v>110</v>
      </c>
      <c r="K11" s="0" t="n">
        <v>1</v>
      </c>
      <c r="L11" s="0" t="n">
        <v>6000</v>
      </c>
      <c r="M11" s="0" t="inlineStr">
        <is>
          <t>MYPE</t>
        </is>
      </c>
      <c r="N11" s="0" t="inlineStr">
        <is>
          <t>INF-03</t>
        </is>
      </c>
      <c r="O11" s="0" t="inlineStr">
        <is>
          <t>INF-06</t>
        </is>
      </c>
      <c r="P11" s="0" t="inlineStr">
        <is>
          <t>INF-09</t>
        </is>
      </c>
      <c r="Q11" s="0" t="inlineStr">
        <is>
          <t>RH-02</t>
        </is>
      </c>
      <c r="R11" s="0" t="inlineStr">
        <is>
          <t>RH-05</t>
        </is>
      </c>
      <c r="S11" s="0" t="inlineStr">
        <is>
          <t>RH-08</t>
        </is>
      </c>
      <c r="T11" s="0" t="inlineStr">
        <is>
          <t>RH-10A</t>
        </is>
      </c>
      <c r="U11" s="0" t="inlineStr">
        <is>
          <t>COM-01C</t>
        </is>
      </c>
      <c r="V11" s="0" t="inlineStr">
        <is>
          <t>FIN-01B</t>
        </is>
      </c>
      <c r="W11" s="0" t="inlineStr">
        <is>
          <t>INV-01B</t>
        </is>
      </c>
      <c r="X11" s="0" t="inlineStr">
        <is>
          <t>COM-06B</t>
        </is>
      </c>
      <c r="Y11" s="0" t="inlineStr">
        <is>
          <t>INV-02B</t>
        </is>
      </c>
      <c r="Z11" s="0" t="inlineStr"/>
      <c r="AA11" s="0" t="inlineStr"/>
      <c r="AB11" s="0" t="inlineStr"/>
      <c r="AC11" s="0" t="inlineStr"/>
      <c r="AD11" s="0" t="inlineStr"/>
      <c r="AE11" s="0" t="inlineStr"/>
      <c r="AF11" s="0">
        <f>IFERROR(INDEX('Catalogo_Numerico_sim3'!$I$2:$I$69,MATCH(N11,'Catalogo_Numerico_sim3'!$A$2:$A$69,0)),0)+IFERROR(INDEX('Catalogo_Numerico_sim3'!$I$2:$I$69,MATCH(O11,'Catalogo_Numerico_sim3'!$A$2:$A$69,0)),0)+IFERROR(INDEX('Catalogo_Numerico_sim3'!$I$2:$I$69,MATCH(P11,'Catalogo_Numerico_sim3'!$A$2:$A$69,0)),0)+IFERROR(INDEX('Catalogo_Numerico_sim3'!$I$2:$I$69,MATCH(Q11,'Catalogo_Numerico_sim3'!$A$2:$A$69,0)),0)+IFERROR(INDEX('Catalogo_Numerico_sim3'!$I$2:$I$69,MATCH(R11,'Catalogo_Numerico_sim3'!$A$2:$A$69,0)),0)+IFERROR(INDEX('Catalogo_Numerico_sim3'!$I$2:$I$69,MATCH(S11,'Catalogo_Numerico_sim3'!$A$2:$A$69,0)),0)+IFERROR(INDEX('Catalogo_Numerico_sim3'!$I$2:$I$69,MATCH(T11,'Catalogo_Numerico_sim3'!$A$2:$A$69,0)),0)+IFERROR(INDEX('Catalogo_Numerico_sim3'!$I$2:$I$69,MATCH(U11,'Catalogo_Numerico_sim3'!$A$2:$A$69,0)),0)+IFERROR(INDEX('Catalogo_Numerico_sim3'!$I$2:$I$69,MATCH(V11,'Catalogo_Numerico_sim3'!$A$2:$A$69,0)),0)+IFERROR(INDEX('Catalogo_Numerico_sim3'!$I$2:$I$69,MATCH(W11,'Catalogo_Numerico_sim3'!$A$2:$A$69,0)),0)+IFERROR(INDEX('Catalogo_Numerico_sim3'!$I$2:$I$69,MATCH(X11,'Catalogo_Numerico_sim3'!$A$2:$A$69,0)),0)+IFERROR(INDEX('Catalogo_Numerico_sim3'!$I$2:$I$69,MATCH(Y11,'Catalogo_Numerico_sim3'!$A$2:$A$69,0)),0)</f>
        <v/>
      </c>
      <c r="AG11" s="0">
        <f>IFERROR(INDEX('Catalogo_Numerico_sim3'!$J$2:$J$69,MATCH(N11,'Catalogo_Numerico_sim3'!$A$2:$A$69,0)),0)+IFERROR(INDEX('Catalogo_Numerico_sim3'!$J$2:$J$69,MATCH(O11,'Catalogo_Numerico_sim3'!$A$2:$A$69,0)),0)+IFERROR(INDEX('Catalogo_Numerico_sim3'!$J$2:$J$69,MATCH(P11,'Catalogo_Numerico_sim3'!$A$2:$A$69,0)),0)+IFERROR(INDEX('Catalogo_Numerico_sim3'!$J$2:$J$69,MATCH(Q11,'Catalogo_Numerico_sim3'!$A$2:$A$69,0)),0)+IFERROR(INDEX('Catalogo_Numerico_sim3'!$J$2:$J$69,MATCH(R11,'Catalogo_Numerico_sim3'!$A$2:$A$69,0)),0)+IFERROR(INDEX('Catalogo_Numerico_sim3'!$J$2:$J$69,MATCH(S11,'Catalogo_Numerico_sim3'!$A$2:$A$69,0)),0)+IFERROR(INDEX('Catalogo_Numerico_sim3'!$J$2:$J$69,MATCH(T11,'Catalogo_Numerico_sim3'!$A$2:$A$69,0)),0)+IFERROR(INDEX('Catalogo_Numerico_sim3'!$J$2:$J$69,MATCH(U11,'Catalogo_Numerico_sim3'!$A$2:$A$69,0)),0)+IFERROR(INDEX('Catalogo_Numerico_sim3'!$J$2:$J$69,MATCH(V11,'Catalogo_Numerico_sim3'!$A$2:$A$69,0)),0)+IFERROR(INDEX('Catalogo_Numerico_sim3'!$J$2:$J$69,MATCH(W11,'Catalogo_Numerico_sim3'!$A$2:$A$69,0)),0)+IFERROR(INDEX('Catalogo_Numerico_sim3'!$J$2:$J$69,MATCH(X11,'Catalogo_Numerico_sim3'!$A$2:$A$69,0)),0)+IFERROR(INDEX('Catalogo_Numerico_sim3'!$J$2:$J$69,MATCH(Y11,'Catalogo_Numerico_sim3'!$A$2:$A$69,0)),0)</f>
        <v/>
      </c>
      <c r="AH11" s="0">
        <f>IFERROR(INDEX('Catalogo_Numerico_sim3'!$K$2:$K$69,MATCH(N11,'Catalogo_Numerico_sim3'!$A$2:$A$69,0)),0)+IFERROR(INDEX('Catalogo_Numerico_sim3'!$K$2:$K$69,MATCH(O11,'Catalogo_Numerico_sim3'!$A$2:$A$69,0)),0)+IFERROR(INDEX('Catalogo_Numerico_sim3'!$K$2:$K$69,MATCH(P11,'Catalogo_Numerico_sim3'!$A$2:$A$69,0)),0)+IFERROR(INDEX('Catalogo_Numerico_sim3'!$K$2:$K$69,MATCH(Q11,'Catalogo_Numerico_sim3'!$A$2:$A$69,0)),0)+IFERROR(INDEX('Catalogo_Numerico_sim3'!$K$2:$K$69,MATCH(R11,'Catalogo_Numerico_sim3'!$A$2:$A$69,0)),0)+IFERROR(INDEX('Catalogo_Numerico_sim3'!$K$2:$K$69,MATCH(S11,'Catalogo_Numerico_sim3'!$A$2:$A$69,0)),0)+IFERROR(INDEX('Catalogo_Numerico_sim3'!$K$2:$K$69,MATCH(T11,'Catalogo_Numerico_sim3'!$A$2:$A$69,0)),0)+IFERROR(INDEX('Catalogo_Numerico_sim3'!$K$2:$K$69,MATCH(U11,'Catalogo_Numerico_sim3'!$A$2:$A$69,0)),0)+IFERROR(INDEX('Catalogo_Numerico_sim3'!$K$2:$K$69,MATCH(V11,'Catalogo_Numerico_sim3'!$A$2:$A$69,0)),0)+IFERROR(INDEX('Catalogo_Numerico_sim3'!$K$2:$K$69,MATCH(W11,'Catalogo_Numerico_sim3'!$A$2:$A$69,0)),0)+IFERROR(INDEX('Catalogo_Numerico_sim3'!$K$2:$K$69,MATCH(X11,'Catalogo_Numerico_sim3'!$A$2:$A$69,0)),0)+IFERROR(INDEX('Catalogo_Numerico_sim3'!$K$2:$K$69,MATCH(Y11,'Catalogo_Numerico_sim3'!$A$2:$A$69,0)),0)</f>
        <v/>
      </c>
      <c r="AI11" s="0">
        <f>IFERROR(('Lotes_Pipeline_sim3'!H11*'Lotes_Pipeline_sim3'!J11)/I11,0)</f>
        <v/>
      </c>
      <c r="AJ11" s="0">
        <f>IF(OR(AND('Lotes_Pipeline_sim3'!C11="SEG-03",'Lotes_Pipeline_sim3'!H11&gt;0,'Lotes_Pipeline_sim3'!J11&lt;4)),-2,0)+IF(OR(AND('Lotes_Pipeline_sim3'!C11="SEG-03",'Lotes_Pipeline_sim3'!H11&gt;0,'Lotes_Pipeline_sim3'!J11&gt;=7)),2,0)</f>
        <v/>
      </c>
      <c r="AK11" s="0">
        <f>IF(AND(D11="SEG-03",I11&gt;0),IF(AI11&lt;4,0.65,IF(AI11&gt;=7,1.4,1)),1)</f>
        <v/>
      </c>
      <c r="AL11" s="0">
        <f>AG11+AJ11</f>
        <v/>
      </c>
      <c r="AM11" s="0">
        <f>IF(AL11&lt;3,AM7+1,0)</f>
        <v/>
      </c>
      <c r="AN11" s="0">
        <f>IF(AM11&gt;=2,0.8,1)</f>
        <v/>
      </c>
      <c r="AO11" s="0">
        <f>IF(AH11&lt;3,3,0)</f>
        <v/>
      </c>
      <c r="AP11" s="0" t="n">
        <v>0</v>
      </c>
      <c r="AQ11" s="0" t="n">
        <v>20</v>
      </c>
      <c r="AR11" s="0">
        <f>AQ11+AT7</f>
        <v/>
      </c>
      <c r="AS11" s="0">
        <f>AS7+AP11</f>
        <v/>
      </c>
      <c r="AT11" s="0">
        <f>IF(AP11&gt;0,AO11,MAX(AT7,AO11))</f>
        <v/>
      </c>
      <c r="AU11" s="0">
        <f>IF(AF11&lt;4,0.7,1)*IF(AND(K11=0,AF11&lt;5),0.95,1)</f>
        <v/>
      </c>
      <c r="AV11" s="0" t="n">
        <v>1</v>
      </c>
      <c r="AW11" s="0" t="n">
        <v>0</v>
      </c>
      <c r="AX11" s="0" t="n">
        <v>0</v>
      </c>
      <c r="AY11" s="0" t="n">
        <v>0</v>
      </c>
      <c r="AZ11" s="0" t="n">
        <v>0</v>
      </c>
      <c r="BA11" s="0" t="n">
        <v>0</v>
      </c>
      <c r="BB11" s="0" t="n">
        <v>0</v>
      </c>
      <c r="BC11" s="0" t="n">
        <v>0</v>
      </c>
      <c r="BD11" s="0" t="n">
        <v>0</v>
      </c>
      <c r="BE11" s="0">
        <f>AV11*5*1+AY11*7*1+BB11*9*1</f>
        <v/>
      </c>
      <c r="BF11" s="0" t="n">
        <v>1</v>
      </c>
      <c r="BG11" s="0" t="n">
        <v>0</v>
      </c>
      <c r="BH11" s="0" t="n">
        <v>0</v>
      </c>
      <c r="BI11" s="0" t="n">
        <v>0</v>
      </c>
      <c r="BJ11" s="0" t="n">
        <v>0</v>
      </c>
      <c r="BK11" s="0" t="n">
        <v>0</v>
      </c>
      <c r="BL11" s="0" t="n">
        <v>0</v>
      </c>
      <c r="BM11" s="0" t="n">
        <v>0</v>
      </c>
      <c r="BN11" s="0" t="n">
        <v>0</v>
      </c>
      <c r="BO11" s="0">
        <f>BF11*6*1+BG11*6*1.2+BH11*6*1.5+BI11*8*1+BJ11*8*1.2+BK11*8*1.5+BL11*12*1+BM11*12*1.2+BN11*12*1.5</f>
        <v/>
      </c>
      <c r="BP11" s="0" t="n">
        <v>1</v>
      </c>
      <c r="BQ11" s="0" t="n">
        <v>0</v>
      </c>
      <c r="BR11" s="0" t="n">
        <v>0</v>
      </c>
      <c r="BS11" s="0" t="n">
        <v>0</v>
      </c>
      <c r="BT11" s="0" t="n">
        <v>0</v>
      </c>
      <c r="BU11" s="0" t="n">
        <v>0</v>
      </c>
      <c r="BV11" s="0" t="n">
        <v>0</v>
      </c>
      <c r="BW11" s="0" t="n">
        <v>0</v>
      </c>
      <c r="BX11" s="0" t="n">
        <v>0</v>
      </c>
      <c r="BY11" s="0">
        <f>BP11*6*1+BQ11*6*1.2+BR11*6*1.5+BS11*7*1+BT11*7*1.2+BU11*7*1.5+BV11*10*1+BW11*10*1.2+BX11*10*1.5</f>
        <v/>
      </c>
      <c r="BZ11" s="0">
        <f>AV11+AY11+BB11+BF11+BG11+BH11+BI11+BJ11+BK11+BL11+BM11+BN11+BP11+BQ11+BR11+BS11+BT11+BU11+BV11+BW11+BX11</f>
        <v/>
      </c>
      <c r="CA11" s="0">
        <f>BB11+BL11+BM11+BN11+BV11+BW11+BX11</f>
        <v/>
      </c>
      <c r="CB11" s="0">
        <f>0.9+(BB11+BL11+BV11)*0.01+K11*0.04</f>
        <v/>
      </c>
      <c r="CC11" s="0">
        <f>MIN(BE11,BO11,BY11)</f>
        <v/>
      </c>
      <c r="CD11" s="0">
        <f>CC11*24*1.08</f>
        <v/>
      </c>
      <c r="CE11" s="0">
        <f>ROUND(CD11*CB11,0)</f>
        <v/>
      </c>
      <c r="CF11" s="0" t="n">
        <v>0</v>
      </c>
      <c r="CG11" s="0">
        <f>DC7+CF11</f>
        <v/>
      </c>
      <c r="CH11" s="0" t="n">
        <v>300</v>
      </c>
      <c r="CI11" s="0">
        <f>DE7+CH11</f>
        <v/>
      </c>
      <c r="CJ11" s="0" t="n">
        <v>0</v>
      </c>
      <c r="CK11" s="0">
        <f>DG7+CJ11</f>
        <v/>
      </c>
      <c r="CL11" s="0" t="n">
        <v>1000</v>
      </c>
      <c r="CM11" s="0">
        <f>DJ7+CL11</f>
        <v/>
      </c>
      <c r="CN11" s="0" t="n">
        <v>0</v>
      </c>
      <c r="CO11" s="0">
        <f>DL7+CN11</f>
        <v/>
      </c>
      <c r="CP11" s="0" t="n">
        <v>0</v>
      </c>
      <c r="CQ11" s="0">
        <f>DO7+CP11</f>
        <v/>
      </c>
      <c r="CR11" s="0" t="n">
        <v>6000</v>
      </c>
      <c r="CS11" s="0">
        <f>DQ7+CR11</f>
        <v/>
      </c>
      <c r="CT11" s="0" t="n">
        <v>0</v>
      </c>
      <c r="CU11" s="0">
        <f>DS7+CT11</f>
        <v/>
      </c>
      <c r="CV11" s="0">
        <f>(CI11)/0.4</f>
        <v/>
      </c>
      <c r="CW11" s="0">
        <f>(CM11)/1</f>
        <v/>
      </c>
      <c r="CX11" s="0">
        <f>(CS11)/7</f>
        <v/>
      </c>
      <c r="CY11" s="0">
        <f>ROUNDDOWN(MIN(I11,CE11,CV11,CW11,CX11),0)</f>
        <v/>
      </c>
      <c r="CZ11" s="0">
        <f>'Lotes_Pipeline_sim3'!U11</f>
        <v/>
      </c>
      <c r="DA11" s="0">
        <f>DB11+DD11+DF11</f>
        <v/>
      </c>
      <c r="DB11" s="0">
        <f>'Lotes_Pipeline_sim3'!X11</f>
        <v/>
      </c>
      <c r="DC11" s="0">
        <f>CG11-DB11</f>
        <v/>
      </c>
      <c r="DD11" s="0">
        <f>'Lotes_Pipeline_sim3'!AA11</f>
        <v/>
      </c>
      <c r="DE11" s="0">
        <f>CI11-DD11</f>
        <v/>
      </c>
      <c r="DF11" s="0">
        <f>'Lotes_Pipeline_sim3'!AD11</f>
        <v/>
      </c>
      <c r="DG11" s="0">
        <f>CK11-DF11</f>
        <v/>
      </c>
      <c r="DH11" s="0">
        <f>DI11+DK11</f>
        <v/>
      </c>
      <c r="DI11" s="0">
        <f>'Lotes_Pipeline_sim3'!AG11</f>
        <v/>
      </c>
      <c r="DJ11" s="0">
        <f>CM11-DI11</f>
        <v/>
      </c>
      <c r="DK11" s="0">
        <f>'Lotes_Pipeline_sim3'!AJ11</f>
        <v/>
      </c>
      <c r="DL11" s="0">
        <f>CO11-DK11</f>
        <v/>
      </c>
      <c r="DM11" s="0">
        <f>DN11+DP11+DR11</f>
        <v/>
      </c>
      <c r="DN11" s="0">
        <f>'Lotes_Pipeline_sim3'!AM11</f>
        <v/>
      </c>
      <c r="DO11" s="0">
        <f>CQ11-DN11</f>
        <v/>
      </c>
      <c r="DP11" s="0">
        <f>'Lotes_Pipeline_sim3'!AP11</f>
        <v/>
      </c>
      <c r="DQ11" s="0">
        <f>CS11-DP11</f>
        <v/>
      </c>
      <c r="DR11" s="0">
        <f>'Lotes_Pipeline_sim3'!AS11</f>
        <v/>
      </c>
      <c r="DS11" s="0">
        <f>CU11-DR11</f>
        <v/>
      </c>
      <c r="DT11" s="0">
        <f>((AV11+AW11+AX11)*IF(M11="NO_MYPE",'Costos De Producción'!V11,'Costos De Producción'!U11)+(AY11+AZ11+BA11)*IF(M11="NO_MYPE",'Costos De Producción'!V20,'Costos De Producción'!U20)+(BB11+BC11+BD11)*IF(M11="NO_MYPE",'Costos De Producción'!V29,'Costos De Producción'!U29)+(BF11+BG11+BH11)*IF(M11="NO_MYPE",'Costos De Producción'!Z11,'Costos De Producción'!Y11)+(BI11+BJ11+BK11)*IF(M11="NO_MYPE",'Costos De Producción'!Z20,'Costos De Producción'!Y20)+(BL11+BM11+BN11)*IF(M11="NO_MYPE",'Costos De Producción'!Z29,'Costos De Producción'!Y29)+(BP11+BQ11+BR11)*IF(M11="NO_MYPE",'Costos De Producción'!AD11,'Costos De Producción'!AC11)+(BS11+BT11+BU11)*IF(M11="NO_MYPE",'Costos De Producción'!AD20,'Costos De Producción'!AC20)+(BV11+BW11+BX11)*IF(M11="NO_MYPE",'Costos De Producción'!AD29,'Costos De Producción'!AC29)+K11*IF(M11="NO_MYPE",'Costos De Producción'!V39,'Costos De Producción'!U39)+IF(M11="NO_MYPE",'Costos De Producción'!Z39,'Costos De Producción'!Y39)+'Costos De Producción'!AC33)*1</f>
        <v/>
      </c>
      <c r="DU11" s="0">
        <f>(DB11*25+DD11*45+DF11*80+DI11*4+DK11*9+DN11*2+DP11*4+DR11*7)*0.92</f>
        <v/>
      </c>
      <c r="DV11" s="0">
        <f>1*2500*0.05/12*1+1*3500*0.05/12*1+1*1200*0.05/12*1+1*300*0.05/12*1</f>
        <v/>
      </c>
      <c r="DW11" s="0">
        <f>1*(2375.0/10/12*1)+1*(3325.0/10/12*1)+1*(1140.0/8/12*1)+1*(285.0/5/12*1)</f>
        <v/>
      </c>
      <c r="DX11" s="0">
        <f>IFERROR((0)/CZ11,0)*10+IFERROR(CA11/BZ11,0)*10+(IFERROR(DF11/(DB11+DD11+DF11),0)+IFERROR(DK11/(DI11+DK11),0)+IFERROR(DR11/(DP11+DR11),0))/3*10+L11/10000*10</f>
        <v/>
      </c>
      <c r="DY11" s="0">
        <f>DX11+AJ11</f>
        <v/>
      </c>
      <c r="DZ11" s="0">
        <f>EC7+CZ11</f>
        <v/>
      </c>
      <c r="EA11" s="0" t="n">
        <v>40</v>
      </c>
      <c r="EB11" s="0" t="n">
        <v>100</v>
      </c>
      <c r="EC11" s="0">
        <f>'Lotes_Pipeline_sim3'!AY11</f>
        <v/>
      </c>
      <c r="ED11" s="0">
        <f>IF(D11="SEG-01",IFERROR(100*(_xlfn.MAXIFS($J$2:$J$13,$C$2:$C$13,C11)-J11)/(_xlfn.MAXIFS($J$2:$J$13,$C$2:$C$13,C11)-_xlfn.MINIFS($J$2:$J$13,$C$2:$C$13,C11)),100),100-ABS(J11-EB11)/EB11*100)</f>
        <v/>
      </c>
      <c r="EE11" s="0">
        <f>IFERROR(ROUND(DY11/SUMIF($C$2:$C$13,"3|SEG-01",$DY$2:$DY$13)*100,0),0)</f>
        <v/>
      </c>
      <c r="EF11" s="0">
        <f>0.4*ED11+0.35*DY11*10+0.25*EE11</f>
        <v/>
      </c>
      <c r="EG11" s="0">
        <f>IFERROR(EF11/SUMIF($C$2:$C$13,C11,$EF$2:$EF$13),0)</f>
        <v/>
      </c>
      <c r="EH11" s="0">
        <f>'Mercados_Pipeline_sim3'!J11</f>
        <v/>
      </c>
      <c r="EI11" s="0">
        <f>'Mercados_Pipeline_sim3'!I11</f>
        <v/>
      </c>
      <c r="EJ11" s="0">
        <f>'Lotes_Pipeline_sim3'!AW11</f>
        <v/>
      </c>
      <c r="EK11" s="0">
        <f>'Lotes_Pipeline_sim3'!AX11</f>
        <v/>
      </c>
      <c r="EL11" s="0">
        <f>EC11*2</f>
        <v/>
      </c>
      <c r="EM11" s="0">
        <f>IF(CZ11&gt;CE11,0.25*DT11*IFERROR(MIN(1,(CZ11-CE11)/CE11),1),0)</f>
        <v/>
      </c>
      <c r="EN11" s="0">
        <f>0</f>
        <v/>
      </c>
      <c r="EO11" s="0">
        <f>(IFERROR(INDEX('Catalogo_Numerico_sim3'!$G$2:$G$69,MATCH("COM-01C",'Catalogo_Numerico_sim3'!$A$2:$A$69,0)),0)+IFERROR(INDEX('Catalogo_Numerico_sim3'!$G$2:$G$69,MATCH("INV-01B",'Catalogo_Numerico_sim3'!$A$2:$A$69,0)),0))*1</f>
        <v/>
      </c>
      <c r="EP11" s="0">
        <f>0</f>
        <v/>
      </c>
      <c r="EQ11" s="0" t="n">
        <v>0</v>
      </c>
      <c r="ER11" s="0">
        <f>DT11+DU11+DV11+DW11+L11+EL11+EM11+EN11+EO11+EP11+EQ11</f>
        <v/>
      </c>
      <c r="ES11" s="0">
        <f>EK11-ER11</f>
        <v/>
      </c>
      <c r="ET11" s="0">
        <f>OR(AND('Lotes_Pipeline_sim3'!C11="SEG-03",'Lotes_Pipeline_sim3'!H11&gt;0,'Lotes_Pipeline_sim3'!J11&lt;4))</f>
        <v/>
      </c>
      <c r="EU11" s="0">
        <f>OR(AND('Lotes_Pipeline_sim3'!C11="SEG-03",'Lotes_Pipeline_sim3'!H11&gt;0,'Lotes_Pipeline_sim3'!J11&gt;=7))</f>
        <v/>
      </c>
      <c r="EV11" s="0">
        <f>AF11&lt;4</f>
        <v/>
      </c>
      <c r="EW11" s="0">
        <f>AM11&gt;=2</f>
        <v/>
      </c>
      <c r="EX11" s="0">
        <f>AH11&lt;3</f>
        <v/>
      </c>
      <c r="EY11" s="0">
        <f>CZ11&gt;CE11</f>
        <v/>
      </c>
      <c r="EZ11" s="0">
        <f>CZ11&gt;EJ11</f>
        <v/>
      </c>
      <c r="FA11" s="0">
        <f>AND(K11=0,AF11&lt;5)</f>
        <v/>
      </c>
      <c r="FB11" t="n">
        <v>1000000</v>
      </c>
      <c r="FC11">
        <f>0*2500*(1+0.03+0.02)+0*3500*(1+0.03+0.02)+0*1200*(1+0.03+0.02)+0*300*(1+0+0.01)</f>
        <v/>
      </c>
      <c r="FD11">
        <f>0*2500+0*3500+0*1200+0*300</f>
        <v/>
      </c>
      <c r="FE11">
        <f>(CF11*25+CH11*45+CJ11*80+CL11*4+CN11*9+CP11*2+CR11*4+CT11*7)*0.92</f>
        <v/>
      </c>
      <c r="FF11">
        <f>(DC11*25+DE11*45+DG11*80+DJ11*4+DL11*9+DO11*2+DQ11*4+DS11*7)*0.92</f>
        <v/>
      </c>
      <c r="FG11">
        <f>FM7</f>
        <v/>
      </c>
      <c r="FH11">
        <f>(1+AR11/100)^(1/12)-1</f>
        <v/>
      </c>
      <c r="FI11">
        <f>AS7*FJ7+AP11*FH11</f>
        <v/>
      </c>
      <c r="FJ11">
        <f>IFERROR(FI11/(AS7+AP11),0)</f>
        <v/>
      </c>
      <c r="FK11">
        <f>FI11*1</f>
        <v/>
      </c>
      <c r="FL11">
        <f>ER11-DW11-DU11+FE11+FK11</f>
        <v/>
      </c>
      <c r="FM11">
        <f>FG11+EK11+AP11-FL11-FC11</f>
        <v/>
      </c>
      <c r="FN11">
        <f>FN7+DW11</f>
        <v/>
      </c>
      <c r="FO11">
        <f>FO7+FD11</f>
        <v/>
      </c>
      <c r="FP11">
        <f>FO11-FN11</f>
        <v/>
      </c>
      <c r="FQ11">
        <f>EK11</f>
        <v/>
      </c>
      <c r="FR11">
        <f>EK11</f>
        <v/>
      </c>
      <c r="FS11">
        <f>ER11+FK11</f>
        <v/>
      </c>
      <c r="FT11">
        <f>ES11-FK11</f>
        <v/>
      </c>
      <c r="FU11">
        <f>DW11</f>
        <v/>
      </c>
      <c r="FV11">
        <f>FK11</f>
        <v/>
      </c>
      <c r="FW11">
        <f>ER11</f>
        <v/>
      </c>
      <c r="FX11">
        <f>FG11</f>
        <v/>
      </c>
      <c r="FY11">
        <f>EK11+AP11</f>
        <v/>
      </c>
      <c r="FZ11">
        <f>FL11+FC11</f>
        <v/>
      </c>
      <c r="GA11">
        <f>FM11</f>
        <v/>
      </c>
      <c r="GB11">
        <f>FG11</f>
        <v/>
      </c>
      <c r="GC11">
        <f>EK11</f>
        <v/>
      </c>
      <c r="GD11">
        <f>FL11</f>
        <v/>
      </c>
      <c r="GE11">
        <f>FC11</f>
        <v/>
      </c>
      <c r="GF11">
        <f>AP11</f>
        <v/>
      </c>
      <c r="GG11">
        <f>EK11-FL11</f>
        <v/>
      </c>
      <c r="GH11">
        <f>-FC11</f>
        <v/>
      </c>
      <c r="GI11">
        <f>FM11-FG11</f>
        <v/>
      </c>
      <c r="GJ11">
        <f>FM11</f>
        <v/>
      </c>
      <c r="GK11">
        <f>FM11</f>
        <v/>
      </c>
      <c r="GL11">
        <f>FP11</f>
        <v/>
      </c>
      <c r="GM11">
        <f>FF11</f>
        <v/>
      </c>
      <c r="GN11">
        <f>FM11+FP11+FF11</f>
        <v/>
      </c>
      <c r="GO11">
        <f>AS11</f>
        <v/>
      </c>
      <c r="GP11">
        <f>FM11+FP11+FF11-AS11</f>
        <v/>
      </c>
      <c r="GQ11">
        <f>FM11+FP11+FF11</f>
        <v/>
      </c>
      <c r="GR11">
        <f>AP11</f>
        <v/>
      </c>
      <c r="GS11">
        <f>AR11</f>
        <v/>
      </c>
      <c r="GT11">
        <f>AS11</f>
        <v/>
      </c>
      <c r="GU11">
        <f>AT11</f>
        <v/>
      </c>
      <c r="GV11">
        <f>FJ11</f>
        <v/>
      </c>
      <c r="GW11">
        <f>FK11</f>
        <v/>
      </c>
    </row>
    <row r="12">
      <c r="A12" s="0" t="n">
        <v>3</v>
      </c>
      <c r="B12" s="0" t="inlineStr">
        <is>
          <t>C</t>
        </is>
      </c>
      <c r="C12" s="0" t="inlineStr">
        <is>
          <t>3|SEG-03</t>
        </is>
      </c>
      <c r="D12" s="0" t="inlineStr">
        <is>
          <t>SEG-03</t>
        </is>
      </c>
      <c r="E12" s="0" t="inlineStr">
        <is>
          <t>INF-10</t>
        </is>
      </c>
      <c r="F12" s="0" t="inlineStr">
        <is>
          <t>INS-03</t>
        </is>
      </c>
      <c r="G12" s="0" t="inlineStr">
        <is>
          <t>INS-05</t>
        </is>
      </c>
      <c r="H12" s="0" t="inlineStr">
        <is>
          <t>INS-08</t>
        </is>
      </c>
      <c r="I12" s="0" t="n">
        <v>200</v>
      </c>
      <c r="J12" s="0" t="n">
        <v>260</v>
      </c>
      <c r="K12" s="0" t="n">
        <v>1</v>
      </c>
      <c r="L12" s="0" t="n">
        <v>6000</v>
      </c>
      <c r="M12" s="0" t="inlineStr">
        <is>
          <t>NO_MYPE</t>
        </is>
      </c>
      <c r="N12" s="0" t="inlineStr">
        <is>
          <t>INF-03</t>
        </is>
      </c>
      <c r="O12" s="0" t="inlineStr">
        <is>
          <t>INF-06</t>
        </is>
      </c>
      <c r="P12" s="0" t="inlineStr">
        <is>
          <t>INF-09</t>
        </is>
      </c>
      <c r="Q12" s="0" t="inlineStr">
        <is>
          <t>RH-02</t>
        </is>
      </c>
      <c r="R12" s="0" t="inlineStr">
        <is>
          <t>RH-05</t>
        </is>
      </c>
      <c r="S12" s="0" t="inlineStr">
        <is>
          <t>RH-08</t>
        </is>
      </c>
      <c r="T12" s="0" t="inlineStr">
        <is>
          <t>RH-10A</t>
        </is>
      </c>
      <c r="U12" s="0" t="inlineStr">
        <is>
          <t>COM-01C</t>
        </is>
      </c>
      <c r="V12" s="0" t="inlineStr">
        <is>
          <t>FIN-01B</t>
        </is>
      </c>
      <c r="W12" s="0" t="inlineStr">
        <is>
          <t>INV-01B</t>
        </is>
      </c>
      <c r="X12" s="0" t="inlineStr">
        <is>
          <t>COM-06C</t>
        </is>
      </c>
      <c r="Y12" s="0" t="inlineStr">
        <is>
          <t>INV-02B</t>
        </is>
      </c>
      <c r="Z12" s="0" t="inlineStr"/>
      <c r="AA12" s="0" t="inlineStr"/>
      <c r="AB12" s="0" t="inlineStr"/>
      <c r="AC12" s="0" t="inlineStr"/>
      <c r="AD12" s="0" t="inlineStr"/>
      <c r="AE12" s="0" t="inlineStr"/>
      <c r="AF12" s="0">
        <f>IFERROR(INDEX('Catalogo_Numerico_sim3'!$I$2:$I$69,MATCH(N12,'Catalogo_Numerico_sim3'!$A$2:$A$69,0)),0)+IFERROR(INDEX('Catalogo_Numerico_sim3'!$I$2:$I$69,MATCH(O12,'Catalogo_Numerico_sim3'!$A$2:$A$69,0)),0)+IFERROR(INDEX('Catalogo_Numerico_sim3'!$I$2:$I$69,MATCH(P12,'Catalogo_Numerico_sim3'!$A$2:$A$69,0)),0)+IFERROR(INDEX('Catalogo_Numerico_sim3'!$I$2:$I$69,MATCH(Q12,'Catalogo_Numerico_sim3'!$A$2:$A$69,0)),0)+IFERROR(INDEX('Catalogo_Numerico_sim3'!$I$2:$I$69,MATCH(R12,'Catalogo_Numerico_sim3'!$A$2:$A$69,0)),0)+IFERROR(INDEX('Catalogo_Numerico_sim3'!$I$2:$I$69,MATCH(S12,'Catalogo_Numerico_sim3'!$A$2:$A$69,0)),0)+IFERROR(INDEX('Catalogo_Numerico_sim3'!$I$2:$I$69,MATCH(T12,'Catalogo_Numerico_sim3'!$A$2:$A$69,0)),0)+IFERROR(INDEX('Catalogo_Numerico_sim3'!$I$2:$I$69,MATCH(U12,'Catalogo_Numerico_sim3'!$A$2:$A$69,0)),0)+IFERROR(INDEX('Catalogo_Numerico_sim3'!$I$2:$I$69,MATCH(V12,'Catalogo_Numerico_sim3'!$A$2:$A$69,0)),0)+IFERROR(INDEX('Catalogo_Numerico_sim3'!$I$2:$I$69,MATCH(W12,'Catalogo_Numerico_sim3'!$A$2:$A$69,0)),0)+IFERROR(INDEX('Catalogo_Numerico_sim3'!$I$2:$I$69,MATCH(X12,'Catalogo_Numerico_sim3'!$A$2:$A$69,0)),0)+IFERROR(INDEX('Catalogo_Numerico_sim3'!$I$2:$I$69,MATCH(Y12,'Catalogo_Numerico_sim3'!$A$2:$A$69,0)),0)</f>
        <v/>
      </c>
      <c r="AG12" s="0">
        <f>IFERROR(INDEX('Catalogo_Numerico_sim3'!$J$2:$J$69,MATCH(N12,'Catalogo_Numerico_sim3'!$A$2:$A$69,0)),0)+IFERROR(INDEX('Catalogo_Numerico_sim3'!$J$2:$J$69,MATCH(O12,'Catalogo_Numerico_sim3'!$A$2:$A$69,0)),0)+IFERROR(INDEX('Catalogo_Numerico_sim3'!$J$2:$J$69,MATCH(P12,'Catalogo_Numerico_sim3'!$A$2:$A$69,0)),0)+IFERROR(INDEX('Catalogo_Numerico_sim3'!$J$2:$J$69,MATCH(Q12,'Catalogo_Numerico_sim3'!$A$2:$A$69,0)),0)+IFERROR(INDEX('Catalogo_Numerico_sim3'!$J$2:$J$69,MATCH(R12,'Catalogo_Numerico_sim3'!$A$2:$A$69,0)),0)+IFERROR(INDEX('Catalogo_Numerico_sim3'!$J$2:$J$69,MATCH(S12,'Catalogo_Numerico_sim3'!$A$2:$A$69,0)),0)+IFERROR(INDEX('Catalogo_Numerico_sim3'!$J$2:$J$69,MATCH(T12,'Catalogo_Numerico_sim3'!$A$2:$A$69,0)),0)+IFERROR(INDEX('Catalogo_Numerico_sim3'!$J$2:$J$69,MATCH(U12,'Catalogo_Numerico_sim3'!$A$2:$A$69,0)),0)+IFERROR(INDEX('Catalogo_Numerico_sim3'!$J$2:$J$69,MATCH(V12,'Catalogo_Numerico_sim3'!$A$2:$A$69,0)),0)+IFERROR(INDEX('Catalogo_Numerico_sim3'!$J$2:$J$69,MATCH(W12,'Catalogo_Numerico_sim3'!$A$2:$A$69,0)),0)+IFERROR(INDEX('Catalogo_Numerico_sim3'!$J$2:$J$69,MATCH(X12,'Catalogo_Numerico_sim3'!$A$2:$A$69,0)),0)+IFERROR(INDEX('Catalogo_Numerico_sim3'!$J$2:$J$69,MATCH(Y12,'Catalogo_Numerico_sim3'!$A$2:$A$69,0)),0)</f>
        <v/>
      </c>
      <c r="AH12" s="0">
        <f>IFERROR(INDEX('Catalogo_Numerico_sim3'!$K$2:$K$69,MATCH(N12,'Catalogo_Numerico_sim3'!$A$2:$A$69,0)),0)+IFERROR(INDEX('Catalogo_Numerico_sim3'!$K$2:$K$69,MATCH(O12,'Catalogo_Numerico_sim3'!$A$2:$A$69,0)),0)+IFERROR(INDEX('Catalogo_Numerico_sim3'!$K$2:$K$69,MATCH(P12,'Catalogo_Numerico_sim3'!$A$2:$A$69,0)),0)+IFERROR(INDEX('Catalogo_Numerico_sim3'!$K$2:$K$69,MATCH(Q12,'Catalogo_Numerico_sim3'!$A$2:$A$69,0)),0)+IFERROR(INDEX('Catalogo_Numerico_sim3'!$K$2:$K$69,MATCH(R12,'Catalogo_Numerico_sim3'!$A$2:$A$69,0)),0)+IFERROR(INDEX('Catalogo_Numerico_sim3'!$K$2:$K$69,MATCH(S12,'Catalogo_Numerico_sim3'!$A$2:$A$69,0)),0)+IFERROR(INDEX('Catalogo_Numerico_sim3'!$K$2:$K$69,MATCH(T12,'Catalogo_Numerico_sim3'!$A$2:$A$69,0)),0)+IFERROR(INDEX('Catalogo_Numerico_sim3'!$K$2:$K$69,MATCH(U12,'Catalogo_Numerico_sim3'!$A$2:$A$69,0)),0)+IFERROR(INDEX('Catalogo_Numerico_sim3'!$K$2:$K$69,MATCH(V12,'Catalogo_Numerico_sim3'!$A$2:$A$69,0)),0)+IFERROR(INDEX('Catalogo_Numerico_sim3'!$K$2:$K$69,MATCH(W12,'Catalogo_Numerico_sim3'!$A$2:$A$69,0)),0)+IFERROR(INDEX('Catalogo_Numerico_sim3'!$K$2:$K$69,MATCH(X12,'Catalogo_Numerico_sim3'!$A$2:$A$69,0)),0)+IFERROR(INDEX('Catalogo_Numerico_sim3'!$K$2:$K$69,MATCH(Y12,'Catalogo_Numerico_sim3'!$A$2:$A$69,0)),0)</f>
        <v/>
      </c>
      <c r="AI12" s="0">
        <f>IFERROR(('Lotes_Pipeline_sim3'!H12*'Lotes_Pipeline_sim3'!J12)/I12,0)</f>
        <v/>
      </c>
      <c r="AJ12" s="0">
        <f>IF(OR(AND('Lotes_Pipeline_sim3'!C12="SEG-03",'Lotes_Pipeline_sim3'!H12&gt;0,'Lotes_Pipeline_sim3'!J12&lt;4)),-2,0)+IF(OR(AND('Lotes_Pipeline_sim3'!C12="SEG-03",'Lotes_Pipeline_sim3'!H12&gt;0,'Lotes_Pipeline_sim3'!J12&gt;=7)),2,0)</f>
        <v/>
      </c>
      <c r="AK12" s="0">
        <f>IF(AND(D12="SEG-03",I12&gt;0),IF(AI12&lt;4,0.65,IF(AI12&gt;=7,1.4,1)),1)</f>
        <v/>
      </c>
      <c r="AL12" s="0">
        <f>AG12+AJ12</f>
        <v/>
      </c>
      <c r="AM12" s="0">
        <f>IF(AL12&lt;3,AM8+1,0)</f>
        <v/>
      </c>
      <c r="AN12" s="0">
        <f>IF(AM12&gt;=2,0.8,1)</f>
        <v/>
      </c>
      <c r="AO12" s="0">
        <f>IF(AH12&lt;3,3,0)</f>
        <v/>
      </c>
      <c r="AP12" s="0" t="n">
        <v>0</v>
      </c>
      <c r="AQ12" s="0" t="n">
        <v>20</v>
      </c>
      <c r="AR12" s="0">
        <f>AQ12+AT8</f>
        <v/>
      </c>
      <c r="AS12" s="0">
        <f>AS8+AP12</f>
        <v/>
      </c>
      <c r="AT12" s="0">
        <f>IF(AP12&gt;0,AO12,MAX(AT8,AO12))</f>
        <v/>
      </c>
      <c r="AU12" s="0">
        <f>IF(AF12&lt;4,0.7,1)*IF(AND(K12=0,AF12&lt;5),0.95,1)</f>
        <v/>
      </c>
      <c r="AV12" s="0" t="n">
        <v>1</v>
      </c>
      <c r="AW12" s="0" t="n">
        <v>0</v>
      </c>
      <c r="AX12" s="0" t="n">
        <v>0</v>
      </c>
      <c r="AY12" s="0" t="n">
        <v>0</v>
      </c>
      <c r="AZ12" s="0" t="n">
        <v>0</v>
      </c>
      <c r="BA12" s="0" t="n">
        <v>0</v>
      </c>
      <c r="BB12" s="0" t="n">
        <v>0</v>
      </c>
      <c r="BC12" s="0" t="n">
        <v>0</v>
      </c>
      <c r="BD12" s="0" t="n">
        <v>0</v>
      </c>
      <c r="BE12" s="0">
        <f>AV12*5*1+AY12*7*1+BB12*9*1</f>
        <v/>
      </c>
      <c r="BF12" s="0" t="n">
        <v>1</v>
      </c>
      <c r="BG12" s="0" t="n">
        <v>0</v>
      </c>
      <c r="BH12" s="0" t="n">
        <v>0</v>
      </c>
      <c r="BI12" s="0" t="n">
        <v>0</v>
      </c>
      <c r="BJ12" s="0" t="n">
        <v>0</v>
      </c>
      <c r="BK12" s="0" t="n">
        <v>0</v>
      </c>
      <c r="BL12" s="0" t="n">
        <v>0</v>
      </c>
      <c r="BM12" s="0" t="n">
        <v>0</v>
      </c>
      <c r="BN12" s="0" t="n">
        <v>0</v>
      </c>
      <c r="BO12" s="0">
        <f>BF12*6*1+BG12*6*1.2+BH12*6*1.5+BI12*8*1+BJ12*8*1.2+BK12*8*1.5+BL12*12*1+BM12*12*1.2+BN12*12*1.5</f>
        <v/>
      </c>
      <c r="BP12" s="0" t="n">
        <v>1</v>
      </c>
      <c r="BQ12" s="0" t="n">
        <v>0</v>
      </c>
      <c r="BR12" s="0" t="n">
        <v>0</v>
      </c>
      <c r="BS12" s="0" t="n">
        <v>0</v>
      </c>
      <c r="BT12" s="0" t="n">
        <v>0</v>
      </c>
      <c r="BU12" s="0" t="n">
        <v>0</v>
      </c>
      <c r="BV12" s="0" t="n">
        <v>0</v>
      </c>
      <c r="BW12" s="0" t="n">
        <v>0</v>
      </c>
      <c r="BX12" s="0" t="n">
        <v>0</v>
      </c>
      <c r="BY12" s="0">
        <f>BP12*6*1+BQ12*6*1.2+BR12*6*1.5+BS12*7*1+BT12*7*1.2+BU12*7*1.5+BV12*10*1+BW12*10*1.2+BX12*10*1.5</f>
        <v/>
      </c>
      <c r="BZ12" s="0">
        <f>AV12+AY12+BB12+BF12+BG12+BH12+BI12+BJ12+BK12+BL12+BM12+BN12+BP12+BQ12+BR12+BS12+BT12+BU12+BV12+BW12+BX12</f>
        <v/>
      </c>
      <c r="CA12" s="0">
        <f>BB12+BL12+BM12+BN12+BV12+BW12+BX12</f>
        <v/>
      </c>
      <c r="CB12" s="0">
        <f>0.9+(BB12+BL12+BV12)*0.01+K12*0.04</f>
        <v/>
      </c>
      <c r="CC12" s="0">
        <f>MIN(BE12,BO12,BY12)</f>
        <v/>
      </c>
      <c r="CD12" s="0">
        <f>CC12*24*1.08</f>
        <v/>
      </c>
      <c r="CE12" s="0">
        <f>ROUND(CD12*CB12,0)</f>
        <v/>
      </c>
      <c r="CF12" s="0" t="n">
        <v>0</v>
      </c>
      <c r="CG12" s="0">
        <f>DC8+CF12</f>
        <v/>
      </c>
      <c r="CH12" s="0" t="n">
        <v>0</v>
      </c>
      <c r="CI12" s="0">
        <f>DE8+CH12</f>
        <v/>
      </c>
      <c r="CJ12" s="0" t="n">
        <v>300</v>
      </c>
      <c r="CK12" s="0">
        <f>DG8+CJ12</f>
        <v/>
      </c>
      <c r="CL12" s="0" t="n">
        <v>0</v>
      </c>
      <c r="CM12" s="0">
        <f>DJ8+CL12</f>
        <v/>
      </c>
      <c r="CN12" s="0" t="n">
        <v>1000</v>
      </c>
      <c r="CO12" s="0">
        <f>DL8+CN12</f>
        <v/>
      </c>
      <c r="CP12" s="0" t="n">
        <v>0</v>
      </c>
      <c r="CQ12" s="0">
        <f>DO8+CP12</f>
        <v/>
      </c>
      <c r="CR12" s="0" t="n">
        <v>0</v>
      </c>
      <c r="CS12" s="0">
        <f>DQ8+CR12</f>
        <v/>
      </c>
      <c r="CT12" s="0" t="n">
        <v>6000</v>
      </c>
      <c r="CU12" s="0">
        <f>DS8+CT12</f>
        <v/>
      </c>
      <c r="CV12" s="0">
        <f>(CK12)/0.7</f>
        <v/>
      </c>
      <c r="CW12" s="0">
        <f>(CO12)/1</f>
        <v/>
      </c>
      <c r="CX12" s="0">
        <f>(CU12)/13</f>
        <v/>
      </c>
      <c r="CY12" s="0">
        <f>ROUNDDOWN(MIN(I12,CE12,CV12,CW12,CX12),0)</f>
        <v/>
      </c>
      <c r="CZ12" s="0">
        <f>'Lotes_Pipeline_sim3'!U12</f>
        <v/>
      </c>
      <c r="DA12" s="0">
        <f>DB12+DD12+DF12</f>
        <v/>
      </c>
      <c r="DB12" s="0">
        <f>'Lotes_Pipeline_sim3'!X12</f>
        <v/>
      </c>
      <c r="DC12" s="0">
        <f>CG12-DB12</f>
        <v/>
      </c>
      <c r="DD12" s="0">
        <f>'Lotes_Pipeline_sim3'!AA12</f>
        <v/>
      </c>
      <c r="DE12" s="0">
        <f>CI12-DD12</f>
        <v/>
      </c>
      <c r="DF12" s="0">
        <f>'Lotes_Pipeline_sim3'!AD12</f>
        <v/>
      </c>
      <c r="DG12" s="0">
        <f>CK12-DF12</f>
        <v/>
      </c>
      <c r="DH12" s="0">
        <f>DI12+DK12</f>
        <v/>
      </c>
      <c r="DI12" s="0">
        <f>'Lotes_Pipeline_sim3'!AG12</f>
        <v/>
      </c>
      <c r="DJ12" s="0">
        <f>CM12-DI12</f>
        <v/>
      </c>
      <c r="DK12" s="0">
        <f>'Lotes_Pipeline_sim3'!AJ12</f>
        <v/>
      </c>
      <c r="DL12" s="0">
        <f>CO12-DK12</f>
        <v/>
      </c>
      <c r="DM12" s="0">
        <f>DN12+DP12+DR12</f>
        <v/>
      </c>
      <c r="DN12" s="0">
        <f>'Lotes_Pipeline_sim3'!AM12</f>
        <v/>
      </c>
      <c r="DO12" s="0">
        <f>CQ12-DN12</f>
        <v/>
      </c>
      <c r="DP12" s="0">
        <f>'Lotes_Pipeline_sim3'!AP12</f>
        <v/>
      </c>
      <c r="DQ12" s="0">
        <f>CS12-DP12</f>
        <v/>
      </c>
      <c r="DR12" s="0">
        <f>'Lotes_Pipeline_sim3'!AS12</f>
        <v/>
      </c>
      <c r="DS12" s="0">
        <f>CU12-DR12</f>
        <v/>
      </c>
      <c r="DT12" s="0">
        <f>((AV12+AW12+AX12)*IF(M12="NO_MYPE",'Costos De Producción'!V11,'Costos De Producción'!U11)+(AY12+AZ12+BA12)*IF(M12="NO_MYPE",'Costos De Producción'!V20,'Costos De Producción'!U20)+(BB12+BC12+BD12)*IF(M12="NO_MYPE",'Costos De Producción'!V29,'Costos De Producción'!U29)+(BF12+BG12+BH12)*IF(M12="NO_MYPE",'Costos De Producción'!Z11,'Costos De Producción'!Y11)+(BI12+BJ12+BK12)*IF(M12="NO_MYPE",'Costos De Producción'!Z20,'Costos De Producción'!Y20)+(BL12+BM12+BN12)*IF(M12="NO_MYPE",'Costos De Producción'!Z29,'Costos De Producción'!Y29)+(BP12+BQ12+BR12)*IF(M12="NO_MYPE",'Costos De Producción'!AD11,'Costos De Producción'!AC11)+(BS12+BT12+BU12)*IF(M12="NO_MYPE",'Costos De Producción'!AD20,'Costos De Producción'!AC20)+(BV12+BW12+BX12)*IF(M12="NO_MYPE",'Costos De Producción'!AD29,'Costos De Producción'!AC29)+K12*IF(M12="NO_MYPE",'Costos De Producción'!V39,'Costos De Producción'!U39)+IF(M12="NO_MYPE",'Costos De Producción'!Z39,'Costos De Producción'!Y39)+'Costos De Producción'!AC33)*1</f>
        <v/>
      </c>
      <c r="DU12" s="0">
        <f>(DB12*25+DD12*45+DF12*80+DI12*4+DK12*9+DN12*2+DP12*4+DR12*7)*0.92</f>
        <v/>
      </c>
      <c r="DV12" s="0">
        <f>1*2500*0.08/12*1+1*3500*0.08/12*1+1*1200*0.08/12*1+1*300*0.08/12*1</f>
        <v/>
      </c>
      <c r="DW12" s="0">
        <f>1*(2250.0/10/12*1)+1*(3150.0/10/12*1)+1*(1080.0/8/12*1)+1*(270.0/5/12*1)</f>
        <v/>
      </c>
      <c r="DX12" s="0">
        <f>IFERROR(('Lotes_Pipeline_sim3'!U12)/CZ12,0)*10+IFERROR(CA12/BZ12,0)*10+(IFERROR(DF12/(DB12+DD12+DF12),0)+IFERROR(DK12/(DI12+DK12),0)+IFERROR(DR12/(DP12+DR12),0))/3*10+L12/10000*10</f>
        <v/>
      </c>
      <c r="DY12" s="0">
        <f>DX12+AJ12</f>
        <v/>
      </c>
      <c r="DZ12" s="0">
        <f>EC8+CZ12</f>
        <v/>
      </c>
      <c r="EA12" s="0" t="n">
        <v>40</v>
      </c>
      <c r="EB12" s="0" t="n">
        <v>250</v>
      </c>
      <c r="EC12" s="0">
        <f>'Lotes_Pipeline_sim3'!AY12</f>
        <v/>
      </c>
      <c r="ED12" s="0">
        <f>IF(D12="SEG-01",IFERROR(100*(_xlfn.MAXIFS($J$2:$J$13,$C$2:$C$13,C12)-J12)/(_xlfn.MAXIFS($J$2:$J$13,$C$2:$C$13,C12)-_xlfn.MINIFS($J$2:$J$13,$C$2:$C$13,C12)),100),100-ABS(J12-EB12)/EB12*100)</f>
        <v/>
      </c>
      <c r="EE12" s="0">
        <f>IFERROR(ROUND(DY12/SUMIF($C$2:$C$13,"3|SEG-01",$DY$2:$DY$13)*100,0),0)</f>
        <v/>
      </c>
      <c r="EF12" s="0">
        <f>0.1*ED12+0.5*DY12*10+0.4*EE12</f>
        <v/>
      </c>
      <c r="EG12" s="0">
        <f>IFERROR(EF12/SUMIF($C$2:$C$13,C12,$EF$2:$EF$13),0)</f>
        <v/>
      </c>
      <c r="EH12" s="0">
        <f>'Mercados_Pipeline_sim3'!J12</f>
        <v/>
      </c>
      <c r="EI12" s="0">
        <f>'Mercados_Pipeline_sim3'!I12</f>
        <v/>
      </c>
      <c r="EJ12" s="0">
        <f>'Lotes_Pipeline_sim3'!AW12</f>
        <v/>
      </c>
      <c r="EK12" s="0">
        <f>'Lotes_Pipeline_sim3'!AX12</f>
        <v/>
      </c>
      <c r="EL12" s="0">
        <f>EC12*2</f>
        <v/>
      </c>
      <c r="EM12" s="0">
        <f>IF(CZ12&gt;CE12,0.25*DT12*IFERROR(MIN(1,(CZ12-CE12)/CE12),1),0)</f>
        <v/>
      </c>
      <c r="EN12" s="0">
        <f>0</f>
        <v/>
      </c>
      <c r="EO12" s="0">
        <f>(IFERROR(INDEX('Catalogo_Numerico_sim3'!$G$2:$G$69,MATCH("COM-01C",'Catalogo_Numerico_sim3'!$A$2:$A$69,0)),0)+IFERROR(INDEX('Catalogo_Numerico_sim3'!$G$2:$G$69,MATCH("INV-01B",'Catalogo_Numerico_sim3'!$A$2:$A$69,0)),0))*1</f>
        <v/>
      </c>
      <c r="EP12" s="0">
        <f>0</f>
        <v/>
      </c>
      <c r="EQ12" s="0" t="n">
        <v>0</v>
      </c>
      <c r="ER12" s="0">
        <f>DT12+DU12+DV12+DW12+L12+EL12+EM12+EN12+EO12+EP12+EQ12</f>
        <v/>
      </c>
      <c r="ES12" s="0">
        <f>EK12-ER12</f>
        <v/>
      </c>
      <c r="ET12" s="0">
        <f>OR(AND('Lotes_Pipeline_sim3'!C12="SEG-03",'Lotes_Pipeline_sim3'!H12&gt;0,'Lotes_Pipeline_sim3'!J12&lt;4))</f>
        <v/>
      </c>
      <c r="EU12" s="0">
        <f>OR(AND('Lotes_Pipeline_sim3'!C12="SEG-03",'Lotes_Pipeline_sim3'!H12&gt;0,'Lotes_Pipeline_sim3'!J12&gt;=7))</f>
        <v/>
      </c>
      <c r="EV12" s="0">
        <f>AF12&lt;4</f>
        <v/>
      </c>
      <c r="EW12" s="0">
        <f>AM12&gt;=2</f>
        <v/>
      </c>
      <c r="EX12" s="0">
        <f>AH12&lt;3</f>
        <v/>
      </c>
      <c r="EY12" s="0">
        <f>CZ12&gt;CE12</f>
        <v/>
      </c>
      <c r="EZ12" s="0">
        <f>CZ12&gt;EJ12</f>
        <v/>
      </c>
      <c r="FA12" s="0">
        <f>AND(K12=0,AF12&lt;5)</f>
        <v/>
      </c>
      <c r="FB12" t="n">
        <v>1000000</v>
      </c>
      <c r="FC12">
        <f>0*2500*(1+0.05+0.03)+0*3500*(1+0.05+0.03)+0*1200*(1+0.05+0.03)+0*300*(1+0+0.02)</f>
        <v/>
      </c>
      <c r="FD12">
        <f>0*2500+0*3500+0*1200+0*300</f>
        <v/>
      </c>
      <c r="FE12">
        <f>(CF12*25+CH12*45+CJ12*80+CL12*4+CN12*9+CP12*2+CR12*4+CT12*7)*0.92</f>
        <v/>
      </c>
      <c r="FF12">
        <f>(DC12*25+DE12*45+DG12*80+DJ12*4+DL12*9+DO12*2+DQ12*4+DS12*7)*0.92</f>
        <v/>
      </c>
      <c r="FG12">
        <f>FM8</f>
        <v/>
      </c>
      <c r="FH12">
        <f>(1+AR12/100)^(1/12)-1</f>
        <v/>
      </c>
      <c r="FI12">
        <f>AS8*FJ8+AP12*FH12</f>
        <v/>
      </c>
      <c r="FJ12">
        <f>IFERROR(FI12/(AS8+AP12),0)</f>
        <v/>
      </c>
      <c r="FK12">
        <f>FI12*1</f>
        <v/>
      </c>
      <c r="FL12">
        <f>ER12-DW12-DU12+FE12+FK12</f>
        <v/>
      </c>
      <c r="FM12">
        <f>FG12+EK12+AP12-FL12-FC12</f>
        <v/>
      </c>
      <c r="FN12">
        <f>FN8+DW12</f>
        <v/>
      </c>
      <c r="FO12">
        <f>FO8+FD12</f>
        <v/>
      </c>
      <c r="FP12">
        <f>FO12-FN12</f>
        <v/>
      </c>
      <c r="FQ12">
        <f>EK12</f>
        <v/>
      </c>
      <c r="FR12">
        <f>EK12</f>
        <v/>
      </c>
      <c r="FS12">
        <f>ER12+FK12</f>
        <v/>
      </c>
      <c r="FT12">
        <f>ES12-FK12</f>
        <v/>
      </c>
      <c r="FU12">
        <f>DW12</f>
        <v/>
      </c>
      <c r="FV12">
        <f>FK12</f>
        <v/>
      </c>
      <c r="FW12">
        <f>ER12</f>
        <v/>
      </c>
      <c r="FX12">
        <f>FG12</f>
        <v/>
      </c>
      <c r="FY12">
        <f>EK12+AP12</f>
        <v/>
      </c>
      <c r="FZ12">
        <f>FL12+FC12</f>
        <v/>
      </c>
      <c r="GA12">
        <f>FM12</f>
        <v/>
      </c>
      <c r="GB12">
        <f>FG12</f>
        <v/>
      </c>
      <c r="GC12">
        <f>EK12</f>
        <v/>
      </c>
      <c r="GD12">
        <f>FL12</f>
        <v/>
      </c>
      <c r="GE12">
        <f>FC12</f>
        <v/>
      </c>
      <c r="GF12">
        <f>AP12</f>
        <v/>
      </c>
      <c r="GG12">
        <f>EK12-FL12</f>
        <v/>
      </c>
      <c r="GH12">
        <f>-FC12</f>
        <v/>
      </c>
      <c r="GI12">
        <f>FM12-FG12</f>
        <v/>
      </c>
      <c r="GJ12">
        <f>FM12</f>
        <v/>
      </c>
      <c r="GK12">
        <f>FM12</f>
        <v/>
      </c>
      <c r="GL12">
        <f>FP12</f>
        <v/>
      </c>
      <c r="GM12">
        <f>FF12</f>
        <v/>
      </c>
      <c r="GN12">
        <f>FM12+FP12+FF12</f>
        <v/>
      </c>
      <c r="GO12">
        <f>AS12</f>
        <v/>
      </c>
      <c r="GP12">
        <f>FM12+FP12+FF12-AS12</f>
        <v/>
      </c>
      <c r="GQ12">
        <f>FM12+FP12+FF12</f>
        <v/>
      </c>
      <c r="GR12">
        <f>AP12</f>
        <v/>
      </c>
      <c r="GS12">
        <f>AR12</f>
        <v/>
      </c>
      <c r="GT12">
        <f>AS12</f>
        <v/>
      </c>
      <c r="GU12">
        <f>AT12</f>
        <v/>
      </c>
      <c r="GV12">
        <f>FJ12</f>
        <v/>
      </c>
      <c r="GW12">
        <f>FK12</f>
        <v/>
      </c>
    </row>
    <row r="13">
      <c r="A13" s="0" t="n">
        <v>3</v>
      </c>
      <c r="B13" s="0" t="inlineStr">
        <is>
          <t>D</t>
        </is>
      </c>
      <c r="C13" s="0" t="inlineStr">
        <is>
          <t>3|SEG-01</t>
        </is>
      </c>
      <c r="D13" s="0" t="inlineStr">
        <is>
          <t>SEG-01</t>
        </is>
      </c>
      <c r="E13" s="0" t="inlineStr">
        <is>
          <t>INF-08</t>
        </is>
      </c>
      <c r="F13" s="0" t="inlineStr">
        <is>
          <t>INS-01</t>
        </is>
      </c>
      <c r="G13" s="0" t="inlineStr">
        <is>
          <t>INS-04</t>
        </is>
      </c>
      <c r="H13" s="0" t="inlineStr">
        <is>
          <t>INS-06</t>
        </is>
      </c>
      <c r="I13" s="0" t="n">
        <v>200</v>
      </c>
      <c r="J13" s="0" t="n">
        <v>45</v>
      </c>
      <c r="K13" s="0" t="n">
        <v>1</v>
      </c>
      <c r="L13" s="0" t="n">
        <v>6000</v>
      </c>
      <c r="M13" s="0" t="inlineStr">
        <is>
          <t>MYPE</t>
        </is>
      </c>
      <c r="N13" s="0" t="inlineStr">
        <is>
          <t>INF-03</t>
        </is>
      </c>
      <c r="O13" s="0" t="inlineStr">
        <is>
          <t>INF-06</t>
        </is>
      </c>
      <c r="P13" s="0" t="inlineStr">
        <is>
          <t>INF-09</t>
        </is>
      </c>
      <c r="Q13" s="0" t="inlineStr">
        <is>
          <t>RH-02</t>
        </is>
      </c>
      <c r="R13" s="0" t="inlineStr">
        <is>
          <t>RH-05</t>
        </is>
      </c>
      <c r="S13" s="0" t="inlineStr">
        <is>
          <t>RH-08</t>
        </is>
      </c>
      <c r="T13" s="0" t="inlineStr">
        <is>
          <t>RH-10A</t>
        </is>
      </c>
      <c r="U13" s="0" t="inlineStr">
        <is>
          <t>COM-01C</t>
        </is>
      </c>
      <c r="V13" s="0" t="inlineStr">
        <is>
          <t>FIN-01B</t>
        </is>
      </c>
      <c r="W13" s="0" t="inlineStr">
        <is>
          <t>INV-01B</t>
        </is>
      </c>
      <c r="X13" s="0" t="inlineStr">
        <is>
          <t>INV-02B</t>
        </is>
      </c>
      <c r="Y13" s="0" t="inlineStr"/>
      <c r="Z13" s="0" t="inlineStr"/>
      <c r="AA13" s="0" t="inlineStr"/>
      <c r="AB13" s="0" t="inlineStr"/>
      <c r="AC13" s="0" t="inlineStr"/>
      <c r="AD13" s="0" t="inlineStr"/>
      <c r="AE13" s="0" t="inlineStr"/>
      <c r="AF13" s="0">
        <f>IFERROR(INDEX('Catalogo_Numerico_sim3'!$I$2:$I$69,MATCH(N13,'Catalogo_Numerico_sim3'!$A$2:$A$69,0)),0)+IFERROR(INDEX('Catalogo_Numerico_sim3'!$I$2:$I$69,MATCH(O13,'Catalogo_Numerico_sim3'!$A$2:$A$69,0)),0)+IFERROR(INDEX('Catalogo_Numerico_sim3'!$I$2:$I$69,MATCH(P13,'Catalogo_Numerico_sim3'!$A$2:$A$69,0)),0)+IFERROR(INDEX('Catalogo_Numerico_sim3'!$I$2:$I$69,MATCH(Q13,'Catalogo_Numerico_sim3'!$A$2:$A$69,0)),0)+IFERROR(INDEX('Catalogo_Numerico_sim3'!$I$2:$I$69,MATCH(R13,'Catalogo_Numerico_sim3'!$A$2:$A$69,0)),0)+IFERROR(INDEX('Catalogo_Numerico_sim3'!$I$2:$I$69,MATCH(S13,'Catalogo_Numerico_sim3'!$A$2:$A$69,0)),0)+IFERROR(INDEX('Catalogo_Numerico_sim3'!$I$2:$I$69,MATCH(T13,'Catalogo_Numerico_sim3'!$A$2:$A$69,0)),0)+IFERROR(INDEX('Catalogo_Numerico_sim3'!$I$2:$I$69,MATCH(U13,'Catalogo_Numerico_sim3'!$A$2:$A$69,0)),0)+IFERROR(INDEX('Catalogo_Numerico_sim3'!$I$2:$I$69,MATCH(V13,'Catalogo_Numerico_sim3'!$A$2:$A$69,0)),0)+IFERROR(INDEX('Catalogo_Numerico_sim3'!$I$2:$I$69,MATCH(W13,'Catalogo_Numerico_sim3'!$A$2:$A$69,0)),0)+IFERROR(INDEX('Catalogo_Numerico_sim3'!$I$2:$I$69,MATCH(X13,'Catalogo_Numerico_sim3'!$A$2:$A$69,0)),0)</f>
        <v/>
      </c>
      <c r="AG13" s="0">
        <f>IFERROR(INDEX('Catalogo_Numerico_sim3'!$J$2:$J$69,MATCH(N13,'Catalogo_Numerico_sim3'!$A$2:$A$69,0)),0)+IFERROR(INDEX('Catalogo_Numerico_sim3'!$J$2:$J$69,MATCH(O13,'Catalogo_Numerico_sim3'!$A$2:$A$69,0)),0)+IFERROR(INDEX('Catalogo_Numerico_sim3'!$J$2:$J$69,MATCH(P13,'Catalogo_Numerico_sim3'!$A$2:$A$69,0)),0)+IFERROR(INDEX('Catalogo_Numerico_sim3'!$J$2:$J$69,MATCH(Q13,'Catalogo_Numerico_sim3'!$A$2:$A$69,0)),0)+IFERROR(INDEX('Catalogo_Numerico_sim3'!$J$2:$J$69,MATCH(R13,'Catalogo_Numerico_sim3'!$A$2:$A$69,0)),0)+IFERROR(INDEX('Catalogo_Numerico_sim3'!$J$2:$J$69,MATCH(S13,'Catalogo_Numerico_sim3'!$A$2:$A$69,0)),0)+IFERROR(INDEX('Catalogo_Numerico_sim3'!$J$2:$J$69,MATCH(T13,'Catalogo_Numerico_sim3'!$A$2:$A$69,0)),0)+IFERROR(INDEX('Catalogo_Numerico_sim3'!$J$2:$J$69,MATCH(U13,'Catalogo_Numerico_sim3'!$A$2:$A$69,0)),0)+IFERROR(INDEX('Catalogo_Numerico_sim3'!$J$2:$J$69,MATCH(V13,'Catalogo_Numerico_sim3'!$A$2:$A$69,0)),0)+IFERROR(INDEX('Catalogo_Numerico_sim3'!$J$2:$J$69,MATCH(W13,'Catalogo_Numerico_sim3'!$A$2:$A$69,0)),0)+IFERROR(INDEX('Catalogo_Numerico_sim3'!$J$2:$J$69,MATCH(X13,'Catalogo_Numerico_sim3'!$A$2:$A$69,0)),0)</f>
        <v/>
      </c>
      <c r="AH13" s="0">
        <f>IFERROR(INDEX('Catalogo_Numerico_sim3'!$K$2:$K$69,MATCH(N13,'Catalogo_Numerico_sim3'!$A$2:$A$69,0)),0)+IFERROR(INDEX('Catalogo_Numerico_sim3'!$K$2:$K$69,MATCH(O13,'Catalogo_Numerico_sim3'!$A$2:$A$69,0)),0)+IFERROR(INDEX('Catalogo_Numerico_sim3'!$K$2:$K$69,MATCH(P13,'Catalogo_Numerico_sim3'!$A$2:$A$69,0)),0)+IFERROR(INDEX('Catalogo_Numerico_sim3'!$K$2:$K$69,MATCH(Q13,'Catalogo_Numerico_sim3'!$A$2:$A$69,0)),0)+IFERROR(INDEX('Catalogo_Numerico_sim3'!$K$2:$K$69,MATCH(R13,'Catalogo_Numerico_sim3'!$A$2:$A$69,0)),0)+IFERROR(INDEX('Catalogo_Numerico_sim3'!$K$2:$K$69,MATCH(S13,'Catalogo_Numerico_sim3'!$A$2:$A$69,0)),0)+IFERROR(INDEX('Catalogo_Numerico_sim3'!$K$2:$K$69,MATCH(T13,'Catalogo_Numerico_sim3'!$A$2:$A$69,0)),0)+IFERROR(INDEX('Catalogo_Numerico_sim3'!$K$2:$K$69,MATCH(U13,'Catalogo_Numerico_sim3'!$A$2:$A$69,0)),0)+IFERROR(INDEX('Catalogo_Numerico_sim3'!$K$2:$K$69,MATCH(V13,'Catalogo_Numerico_sim3'!$A$2:$A$69,0)),0)+IFERROR(INDEX('Catalogo_Numerico_sim3'!$K$2:$K$69,MATCH(W13,'Catalogo_Numerico_sim3'!$A$2:$A$69,0)),0)+IFERROR(INDEX('Catalogo_Numerico_sim3'!$K$2:$K$69,MATCH(X13,'Catalogo_Numerico_sim3'!$A$2:$A$69,0)),0)</f>
        <v/>
      </c>
      <c r="AI13" s="0">
        <f>IFERROR(('Lotes_Pipeline_sim3'!H13*'Lotes_Pipeline_sim3'!J13)/I13,0)</f>
        <v/>
      </c>
      <c r="AJ13" s="0">
        <f>IF(OR(AND('Lotes_Pipeline_sim3'!C13="SEG-03",'Lotes_Pipeline_sim3'!H13&gt;0,'Lotes_Pipeline_sim3'!J13&lt;4)),-2,0)+IF(OR(AND('Lotes_Pipeline_sim3'!C13="SEG-03",'Lotes_Pipeline_sim3'!H13&gt;0,'Lotes_Pipeline_sim3'!J13&gt;=7)),2,0)</f>
        <v/>
      </c>
      <c r="AK13" s="0">
        <f>IF(AND(D13="SEG-03",I13&gt;0),IF(AI13&lt;4,0.65,IF(AI13&gt;=7,1.4,1)),1)</f>
        <v/>
      </c>
      <c r="AL13" s="0">
        <f>AG13+AJ13</f>
        <v/>
      </c>
      <c r="AM13" s="0">
        <f>IF(AL13&lt;3,AM9+1,0)</f>
        <v/>
      </c>
      <c r="AN13" s="0">
        <f>IF(AM13&gt;=2,0.8,1)</f>
        <v/>
      </c>
      <c r="AO13" s="0">
        <f>IF(AH13&lt;3,3,0)</f>
        <v/>
      </c>
      <c r="AP13" s="0" t="n">
        <v>0</v>
      </c>
      <c r="AQ13" s="0" t="n">
        <v>20</v>
      </c>
      <c r="AR13" s="0">
        <f>AQ13+AT9</f>
        <v/>
      </c>
      <c r="AS13" s="0">
        <f>AS9+AP13</f>
        <v/>
      </c>
      <c r="AT13" s="0">
        <f>IF(AP13&gt;0,AO13,MAX(AT9,AO13))</f>
        <v/>
      </c>
      <c r="AU13" s="0">
        <f>IF(AF13&lt;4,0.7,1)*IF(AND(K13=0,AF13&lt;5),0.95,1)</f>
        <v/>
      </c>
      <c r="AV13" s="0" t="n">
        <v>1</v>
      </c>
      <c r="AW13" s="0" t="n">
        <v>0</v>
      </c>
      <c r="AX13" s="0" t="n">
        <v>0</v>
      </c>
      <c r="AY13" s="0" t="n">
        <v>0</v>
      </c>
      <c r="AZ13" s="0" t="n">
        <v>0</v>
      </c>
      <c r="BA13" s="0" t="n">
        <v>0</v>
      </c>
      <c r="BB13" s="0" t="n">
        <v>0</v>
      </c>
      <c r="BC13" s="0" t="n">
        <v>0</v>
      </c>
      <c r="BD13" s="0" t="n">
        <v>0</v>
      </c>
      <c r="BE13" s="0">
        <f>AV13*5*1+AY13*7*1+BB13*9*1</f>
        <v/>
      </c>
      <c r="BF13" s="0" t="n">
        <v>1</v>
      </c>
      <c r="BG13" s="0" t="n">
        <v>0</v>
      </c>
      <c r="BH13" s="0" t="n">
        <v>0</v>
      </c>
      <c r="BI13" s="0" t="n">
        <v>0</v>
      </c>
      <c r="BJ13" s="0" t="n">
        <v>0</v>
      </c>
      <c r="BK13" s="0" t="n">
        <v>0</v>
      </c>
      <c r="BL13" s="0" t="n">
        <v>0</v>
      </c>
      <c r="BM13" s="0" t="n">
        <v>0</v>
      </c>
      <c r="BN13" s="0" t="n">
        <v>0</v>
      </c>
      <c r="BO13" s="0">
        <f>BF13*6*1+BG13*6*1.2+BH13*6*1.5+BI13*8*1+BJ13*8*1.2+BK13*8*1.5+BL13*12*1+BM13*12*1.2+BN13*12*1.5</f>
        <v/>
      </c>
      <c r="BP13" s="0" t="n">
        <v>1</v>
      </c>
      <c r="BQ13" s="0" t="n">
        <v>0</v>
      </c>
      <c r="BR13" s="0" t="n">
        <v>0</v>
      </c>
      <c r="BS13" s="0" t="n">
        <v>0</v>
      </c>
      <c r="BT13" s="0" t="n">
        <v>0</v>
      </c>
      <c r="BU13" s="0" t="n">
        <v>0</v>
      </c>
      <c r="BV13" s="0" t="n">
        <v>0</v>
      </c>
      <c r="BW13" s="0" t="n">
        <v>0</v>
      </c>
      <c r="BX13" s="0" t="n">
        <v>0</v>
      </c>
      <c r="BY13" s="0">
        <f>BP13*6*1+BQ13*6*1.2+BR13*6*1.5+BS13*7*1+BT13*7*1.2+BU13*7*1.5+BV13*10*1+BW13*10*1.2+BX13*10*1.5</f>
        <v/>
      </c>
      <c r="BZ13" s="0">
        <f>AV13+AY13+BB13+BF13+BG13+BH13+BI13+BJ13+BK13+BL13+BM13+BN13+BP13+BQ13+BR13+BS13+BT13+BU13+BV13+BW13+BX13</f>
        <v/>
      </c>
      <c r="CA13" s="0">
        <f>BB13+BL13+BM13+BN13+BV13+BW13+BX13</f>
        <v/>
      </c>
      <c r="CB13" s="0">
        <f>0.9+(BB13+BL13+BV13)*0.01+K13*0.04</f>
        <v/>
      </c>
      <c r="CC13" s="0">
        <f>MIN(BE13,BO13,BY13)</f>
        <v/>
      </c>
      <c r="CD13" s="0">
        <f>CC13*24*1.08</f>
        <v/>
      </c>
      <c r="CE13" s="0">
        <f>ROUND(CD13*CB13,0)</f>
        <v/>
      </c>
      <c r="CF13" s="0" t="n">
        <v>300</v>
      </c>
      <c r="CG13" s="0">
        <f>DC9+CF13</f>
        <v/>
      </c>
      <c r="CH13" s="0" t="n">
        <v>0</v>
      </c>
      <c r="CI13" s="0">
        <f>DE9+CH13</f>
        <v/>
      </c>
      <c r="CJ13" s="0" t="n">
        <v>0</v>
      </c>
      <c r="CK13" s="0">
        <f>DG9+CJ13</f>
        <v/>
      </c>
      <c r="CL13" s="0" t="n">
        <v>1000</v>
      </c>
      <c r="CM13" s="0">
        <f>DJ9+CL13</f>
        <v/>
      </c>
      <c r="CN13" s="0" t="n">
        <v>0</v>
      </c>
      <c r="CO13" s="0">
        <f>DL9+CN13</f>
        <v/>
      </c>
      <c r="CP13" s="0" t="n">
        <v>6000</v>
      </c>
      <c r="CQ13" s="0">
        <f>DO9+CP13</f>
        <v/>
      </c>
      <c r="CR13" s="0" t="n">
        <v>0</v>
      </c>
      <c r="CS13" s="0">
        <f>DQ9+CR13</f>
        <v/>
      </c>
      <c r="CT13" s="0" t="n">
        <v>0</v>
      </c>
      <c r="CU13" s="0">
        <f>DS9+CT13</f>
        <v/>
      </c>
      <c r="CV13" s="0">
        <f>(CG13)/0.3</f>
        <v/>
      </c>
      <c r="CW13" s="0">
        <f>(CM13)/1</f>
        <v/>
      </c>
      <c r="CX13" s="0">
        <f>(CQ13)/6</f>
        <v/>
      </c>
      <c r="CY13" s="0">
        <f>ROUNDDOWN(MIN(I13,CE13,CV13,CW13,CX13),0)</f>
        <v/>
      </c>
      <c r="CZ13" s="0">
        <f>'Lotes_Pipeline_sim3'!U13</f>
        <v/>
      </c>
      <c r="DA13" s="0">
        <f>DB13+DD13+DF13</f>
        <v/>
      </c>
      <c r="DB13" s="0">
        <f>'Lotes_Pipeline_sim3'!X13</f>
        <v/>
      </c>
      <c r="DC13" s="0">
        <f>CG13-DB13</f>
        <v/>
      </c>
      <c r="DD13" s="0">
        <f>'Lotes_Pipeline_sim3'!AA13</f>
        <v/>
      </c>
      <c r="DE13" s="0">
        <f>CI13-DD13</f>
        <v/>
      </c>
      <c r="DF13" s="0">
        <f>'Lotes_Pipeline_sim3'!AD13</f>
        <v/>
      </c>
      <c r="DG13" s="0">
        <f>CK13-DF13</f>
        <v/>
      </c>
      <c r="DH13" s="0">
        <f>DI13+DK13</f>
        <v/>
      </c>
      <c r="DI13" s="0">
        <f>'Lotes_Pipeline_sim3'!AG13</f>
        <v/>
      </c>
      <c r="DJ13" s="0">
        <f>CM13-DI13</f>
        <v/>
      </c>
      <c r="DK13" s="0">
        <f>'Lotes_Pipeline_sim3'!AJ13</f>
        <v/>
      </c>
      <c r="DL13" s="0">
        <f>CO13-DK13</f>
        <v/>
      </c>
      <c r="DM13" s="0">
        <f>DN13+DP13+DR13</f>
        <v/>
      </c>
      <c r="DN13" s="0">
        <f>'Lotes_Pipeline_sim3'!AM13</f>
        <v/>
      </c>
      <c r="DO13" s="0">
        <f>CQ13-DN13</f>
        <v/>
      </c>
      <c r="DP13" s="0">
        <f>'Lotes_Pipeline_sim3'!AP13</f>
        <v/>
      </c>
      <c r="DQ13" s="0">
        <f>CS13-DP13</f>
        <v/>
      </c>
      <c r="DR13" s="0">
        <f>'Lotes_Pipeline_sim3'!AS13</f>
        <v/>
      </c>
      <c r="DS13" s="0">
        <f>CU13-DR13</f>
        <v/>
      </c>
      <c r="DT13" s="0">
        <f>((AV13+AW13+AX13)*IF(M13="NO_MYPE",'Costos De Producción'!V11,'Costos De Producción'!U11)+(AY13+AZ13+BA13)*IF(M13="NO_MYPE",'Costos De Producción'!V20,'Costos De Producción'!U20)+(BB13+BC13+BD13)*IF(M13="NO_MYPE",'Costos De Producción'!V29,'Costos De Producción'!U29)+(BF13+BG13+BH13)*IF(M13="NO_MYPE",'Costos De Producción'!Z11,'Costos De Producción'!Y11)+(BI13+BJ13+BK13)*IF(M13="NO_MYPE",'Costos De Producción'!Z20,'Costos De Producción'!Y20)+(BL13+BM13+BN13)*IF(M13="NO_MYPE",'Costos De Producción'!Z29,'Costos De Producción'!Y29)+(BP13+BQ13+BR13)*IF(M13="NO_MYPE",'Costos De Producción'!AD11,'Costos De Producción'!AC11)+(BS13+BT13+BU13)*IF(M13="NO_MYPE",'Costos De Producción'!AD20,'Costos De Producción'!AC20)+(BV13+BW13+BX13)*IF(M13="NO_MYPE",'Costos De Producción'!AD29,'Costos De Producción'!AC29)+K13*IF(M13="NO_MYPE",'Costos De Producción'!V39,'Costos De Producción'!U39)+IF(M13="NO_MYPE",'Costos De Producción'!Z39,'Costos De Producción'!Y39)+'Costos De Producción'!AC33)*1</f>
        <v/>
      </c>
      <c r="DU13" s="0">
        <f>(DB13*25+DD13*45+DF13*80+DI13*4+DK13*9+DN13*2+DP13*4+DR13*7)*0.8464</f>
        <v/>
      </c>
      <c r="DV13" s="0">
        <f>1*2500*0.05/12*1+1*3500*0.05/12*1+1*1200*0.05/12*1+1*300*0.05/12*1+200</f>
        <v/>
      </c>
      <c r="DW13" s="0">
        <f>1*(2375.0/10/12*1)+1*(3325.0/10/12*1)+1*(1140.0/8/12*1)+1*(285.0/5/12*1)</f>
        <v/>
      </c>
      <c r="DX13" s="0">
        <f>IFERROR((0)/CZ13,0)*10+IFERROR(CA13/BZ13,0)*10+(IFERROR(DF13/(DB13+DD13+DF13),0)+IFERROR(DK13/(DI13+DK13),0)+IFERROR(DR13/(DP13+DR13),0))/3*10+L13/10000*10</f>
        <v/>
      </c>
      <c r="DY13" s="0">
        <f>DX13+AJ13</f>
        <v/>
      </c>
      <c r="DZ13" s="0">
        <f>EC9+CZ13</f>
        <v/>
      </c>
      <c r="EA13" s="0" t="n">
        <v>40</v>
      </c>
      <c r="EB13" s="0" t="n">
        <v>0</v>
      </c>
      <c r="EC13" s="0">
        <f>'Lotes_Pipeline_sim3'!AY13</f>
        <v/>
      </c>
      <c r="ED13" s="0">
        <f>IF(D13="SEG-01",IFERROR(100*(_xlfn.MAXIFS($J$2:$J$13,$C$2:$C$13,C13)-J13)/(_xlfn.MAXIFS($J$2:$J$13,$C$2:$C$13,C13)-_xlfn.MINIFS($J$2:$J$13,$C$2:$C$13,C13)),100),100-ABS(J13-EB13)/EB13*100)</f>
        <v/>
      </c>
      <c r="EE13" s="0">
        <f>IFERROR(ROUND(DY13/SUMIF($C$2:$C$13,"3|SEG-01",$DY$2:$DY$13)*100,0),0)</f>
        <v/>
      </c>
      <c r="EF13" s="0">
        <f>0.7*ED13+0.2*DY13*10+0.1*EE13</f>
        <v/>
      </c>
      <c r="EG13" s="0">
        <f>IFERROR(EF13/SUMIF($C$2:$C$13,C13,$EF$2:$EF$13),0)</f>
        <v/>
      </c>
      <c r="EH13" s="0">
        <f>'Mercados_Pipeline_sim3'!J13</f>
        <v/>
      </c>
      <c r="EI13" s="0">
        <f>'Mercados_Pipeline_sim3'!I13</f>
        <v/>
      </c>
      <c r="EJ13" s="0">
        <f>'Lotes_Pipeline_sim3'!AW13</f>
        <v/>
      </c>
      <c r="EK13" s="0">
        <f>'Lotes_Pipeline_sim3'!AX13</f>
        <v/>
      </c>
      <c r="EL13" s="0">
        <f>EC13*2</f>
        <v/>
      </c>
      <c r="EM13" s="0">
        <f>IF(CZ13&gt;CE13,0.25*DT13*IFERROR(MIN(1,(CZ13-CE13)/CE13),1),0)</f>
        <v/>
      </c>
      <c r="EN13" s="0">
        <f>0</f>
        <v/>
      </c>
      <c r="EO13" s="0">
        <f>(IFERROR(INDEX('Catalogo_Numerico_sim3'!$G$2:$G$69,MATCH("COM-01C",'Catalogo_Numerico_sim3'!$A$2:$A$69,0)),0)+IFERROR(INDEX('Catalogo_Numerico_sim3'!$G$2:$G$69,MATCH("INV-01B",'Catalogo_Numerico_sim3'!$A$2:$A$69,0)),0))*1</f>
        <v/>
      </c>
      <c r="EP13" s="0">
        <f>0</f>
        <v/>
      </c>
      <c r="EQ13" s="0" t="n">
        <v>5000</v>
      </c>
      <c r="ER13" s="0">
        <f>DT13+DU13+DV13+DW13+L13+EL13+EM13+EN13+EO13+EP13+EQ13</f>
        <v/>
      </c>
      <c r="ES13" s="0">
        <f>EK13-ER13</f>
        <v/>
      </c>
      <c r="ET13" s="0">
        <f>OR(AND('Lotes_Pipeline_sim3'!C13="SEG-03",'Lotes_Pipeline_sim3'!H13&gt;0,'Lotes_Pipeline_sim3'!J13&lt;4))</f>
        <v/>
      </c>
      <c r="EU13" s="0">
        <f>OR(AND('Lotes_Pipeline_sim3'!C13="SEG-03",'Lotes_Pipeline_sim3'!H13&gt;0,'Lotes_Pipeline_sim3'!J13&gt;=7))</f>
        <v/>
      </c>
      <c r="EV13" s="0">
        <f>AF13&lt;4</f>
        <v/>
      </c>
      <c r="EW13" s="0">
        <f>AM13&gt;=2</f>
        <v/>
      </c>
      <c r="EX13" s="0">
        <f>AH13&lt;3</f>
        <v/>
      </c>
      <c r="EY13" s="0">
        <f>CZ13&gt;CE13</f>
        <v/>
      </c>
      <c r="EZ13" s="0">
        <f>CZ13&gt;EJ13</f>
        <v/>
      </c>
      <c r="FA13" s="0">
        <f>AND(K13=0,AF13&lt;5)</f>
        <v/>
      </c>
      <c r="FB13" t="n">
        <v>1000000</v>
      </c>
      <c r="FC13">
        <f>0*2500*(1+0.03+0.02)+0*3500*(1+0.03+0.02)+0*1200*(1+0.03+0.02)+0*300*(1+0+0.01)</f>
        <v/>
      </c>
      <c r="FD13">
        <f>0*2500+0*3500+0*1200+0*300</f>
        <v/>
      </c>
      <c r="FE13">
        <f>(CF13*25+CH13*45+CJ13*80+CL13*4+CN13*9+CP13*2+CR13*4+CT13*7)*0.8464</f>
        <v/>
      </c>
      <c r="FF13">
        <f>(DC13*25+DE13*45+DG13*80+DJ13*4+DL13*9+DO13*2+DQ13*4+DS13*7)*0.8464</f>
        <v/>
      </c>
      <c r="FG13">
        <f>FM9</f>
        <v/>
      </c>
      <c r="FH13">
        <f>(1+AR13/100)^(1/12)-1</f>
        <v/>
      </c>
      <c r="FI13">
        <f>AS9*FJ9+AP13*FH13</f>
        <v/>
      </c>
      <c r="FJ13">
        <f>IFERROR(FI13/(AS9+AP13),0)</f>
        <v/>
      </c>
      <c r="FK13">
        <f>FI13*1</f>
        <v/>
      </c>
      <c r="FL13">
        <f>ER13-DW13-DU13+FE13+FK13</f>
        <v/>
      </c>
      <c r="FM13">
        <f>FG13+EK13+AP13-FL13-FC13</f>
        <v/>
      </c>
      <c r="FN13">
        <f>FN9+DW13</f>
        <v/>
      </c>
      <c r="FO13">
        <f>FO9+FD13</f>
        <v/>
      </c>
      <c r="FP13">
        <f>FO13-FN13</f>
        <v/>
      </c>
      <c r="FQ13">
        <f>EK13</f>
        <v/>
      </c>
      <c r="FR13">
        <f>EK13</f>
        <v/>
      </c>
      <c r="FS13">
        <f>ER13+FK13</f>
        <v/>
      </c>
      <c r="FT13">
        <f>ES13-FK13</f>
        <v/>
      </c>
      <c r="FU13">
        <f>DW13</f>
        <v/>
      </c>
      <c r="FV13">
        <f>FK13</f>
        <v/>
      </c>
      <c r="FW13">
        <f>ER13</f>
        <v/>
      </c>
      <c r="FX13">
        <f>FG13</f>
        <v/>
      </c>
      <c r="FY13">
        <f>EK13+AP13</f>
        <v/>
      </c>
      <c r="FZ13">
        <f>FL13+FC13</f>
        <v/>
      </c>
      <c r="GA13">
        <f>FM13</f>
        <v/>
      </c>
      <c r="GB13">
        <f>FG13</f>
        <v/>
      </c>
      <c r="GC13">
        <f>EK13</f>
        <v/>
      </c>
      <c r="GD13">
        <f>FL13</f>
        <v/>
      </c>
      <c r="GE13">
        <f>FC13</f>
        <v/>
      </c>
      <c r="GF13">
        <f>AP13</f>
        <v/>
      </c>
      <c r="GG13">
        <f>EK13-FL13</f>
        <v/>
      </c>
      <c r="GH13">
        <f>-FC13</f>
        <v/>
      </c>
      <c r="GI13">
        <f>FM13-FG13</f>
        <v/>
      </c>
      <c r="GJ13">
        <f>FM13</f>
        <v/>
      </c>
      <c r="GK13">
        <f>FM13</f>
        <v/>
      </c>
      <c r="GL13">
        <f>FP13</f>
        <v/>
      </c>
      <c r="GM13">
        <f>FF13</f>
        <v/>
      </c>
      <c r="GN13">
        <f>FM13+FP13+FF13</f>
        <v/>
      </c>
      <c r="GO13">
        <f>AS13</f>
        <v/>
      </c>
      <c r="GP13">
        <f>FM13+FP13+FF13-AS13</f>
        <v/>
      </c>
      <c r="GQ13">
        <f>FM13+FP13+FF13</f>
        <v/>
      </c>
      <c r="GR13">
        <f>AP13</f>
        <v/>
      </c>
      <c r="GS13">
        <f>AR13</f>
        <v/>
      </c>
      <c r="GT13">
        <f>AS13</f>
        <v/>
      </c>
      <c r="GU13">
        <f>AT13</f>
        <v/>
      </c>
      <c r="GV13">
        <f>FJ13</f>
        <v/>
      </c>
      <c r="GW13">
        <f>FK13</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s="0" t="inlineStr">
        <is>
          <t>ciclo</t>
        </is>
      </c>
      <c r="B1" s="0" t="inlineStr">
        <is>
          <t>empresa</t>
        </is>
      </c>
      <c r="C1" s="0" t="inlineStr">
        <is>
          <t>segmento</t>
        </is>
      </c>
      <c r="D1" s="0" t="inlineStr">
        <is>
          <t>molde</t>
        </is>
      </c>
      <c r="E1" s="0" t="inlineStr">
        <is>
          <t>cuero</t>
        </is>
      </c>
      <c r="F1" s="0" t="inlineStr">
        <is>
          <t>accesorios</t>
        </is>
      </c>
      <c r="G1" s="0" t="inlineStr">
        <is>
          <t>hilo</t>
        </is>
      </c>
      <c r="H1" s="0" t="inlineStr">
        <is>
          <t>cantidad</t>
        </is>
      </c>
      <c r="I1" s="0" t="inlineStr">
        <is>
          <t>precio</t>
        </is>
      </c>
      <c r="J1" s="0" t="inlineStr">
        <is>
          <t>calidad</t>
        </is>
      </c>
      <c r="K1" s="0" t="inlineStr">
        <is>
          <t>disponible_INS-01</t>
        </is>
      </c>
      <c r="L1" s="0" t="inlineStr">
        <is>
          <t>disponible_INS-02</t>
        </is>
      </c>
      <c r="M1" s="0" t="inlineStr">
        <is>
          <t>disponible_INS-03</t>
        </is>
      </c>
      <c r="N1" s="0" t="inlineStr">
        <is>
          <t>disponible_INS-04</t>
        </is>
      </c>
      <c r="O1" s="0" t="inlineStr">
        <is>
          <t>disponible_INS-05</t>
        </is>
      </c>
      <c r="P1" s="0" t="inlineStr">
        <is>
          <t>disponible_INS-06</t>
        </is>
      </c>
      <c r="Q1" s="0" t="inlineStr">
        <is>
          <t>disponible_INS-07</t>
        </is>
      </c>
      <c r="R1" s="0" t="inlineStr">
        <is>
          <t>disponible_INS-08</t>
        </is>
      </c>
      <c r="S1" s="0" t="inlineStr">
        <is>
          <t>capacidadAsignada</t>
        </is>
      </c>
      <c r="T1" s="0" t="inlineStr">
        <is>
          <t>producidoPre</t>
        </is>
      </c>
      <c r="U1" s="0" t="inlineStr">
        <is>
          <t>producido</t>
        </is>
      </c>
      <c r="V1" s="0" t="inlineStr">
        <is>
          <t>usadoPre_INS-01</t>
        </is>
      </c>
      <c r="W1" s="0" t="inlineStr">
        <is>
          <t>saldoPre_INS-01</t>
        </is>
      </c>
      <c r="X1" s="0" t="inlineStr">
        <is>
          <t>usado_INS-01</t>
        </is>
      </c>
      <c r="Y1" s="0" t="inlineStr">
        <is>
          <t>usadoPre_INS-02</t>
        </is>
      </c>
      <c r="Z1" s="0" t="inlineStr">
        <is>
          <t>saldoPre_INS-02</t>
        </is>
      </c>
      <c r="AA1" s="0" t="inlineStr">
        <is>
          <t>usado_INS-02</t>
        </is>
      </c>
      <c r="AB1" s="0" t="inlineStr">
        <is>
          <t>usadoPre_INS-03</t>
        </is>
      </c>
      <c r="AC1" s="0" t="inlineStr">
        <is>
          <t>saldoPre_INS-03</t>
        </is>
      </c>
      <c r="AD1" s="0" t="inlineStr">
        <is>
          <t>usado_INS-03</t>
        </is>
      </c>
      <c r="AE1" s="0" t="inlineStr">
        <is>
          <t>usadoPre_INS-04</t>
        </is>
      </c>
      <c r="AF1" s="0" t="inlineStr">
        <is>
          <t>saldoPre_INS-04</t>
        </is>
      </c>
      <c r="AG1" s="0" t="inlineStr">
        <is>
          <t>usado_INS-04</t>
        </is>
      </c>
      <c r="AH1" s="0" t="inlineStr">
        <is>
          <t>usadoPre_INS-05</t>
        </is>
      </c>
      <c r="AI1" s="0" t="inlineStr">
        <is>
          <t>saldoPre_INS-05</t>
        </is>
      </c>
      <c r="AJ1" s="0" t="inlineStr">
        <is>
          <t>usado_INS-05</t>
        </is>
      </c>
      <c r="AK1" s="0" t="inlineStr">
        <is>
          <t>usadoPre_INS-06</t>
        </is>
      </c>
      <c r="AL1" s="0" t="inlineStr">
        <is>
          <t>saldoPre_INS-06</t>
        </is>
      </c>
      <c r="AM1" s="0" t="inlineStr">
        <is>
          <t>usado_INS-06</t>
        </is>
      </c>
      <c r="AN1" s="0" t="inlineStr">
        <is>
          <t>usadoPre_INS-07</t>
        </is>
      </c>
      <c r="AO1" s="0" t="inlineStr">
        <is>
          <t>saldoPre_INS-07</t>
        </is>
      </c>
      <c r="AP1" s="0" t="inlineStr">
        <is>
          <t>usado_INS-07</t>
        </is>
      </c>
      <c r="AQ1" s="0" t="inlineStr">
        <is>
          <t>usadoPre_INS-08</t>
        </is>
      </c>
      <c r="AR1" s="0" t="inlineStr">
        <is>
          <t>saldoPre_INS-08</t>
        </is>
      </c>
      <c r="AS1" s="0" t="inlineStr">
        <is>
          <t>usado_INS-08</t>
        </is>
      </c>
      <c r="AT1" s="0" t="inlineStr">
        <is>
          <t>precioFactor</t>
        </is>
      </c>
      <c r="AU1" s="0" t="inlineStr">
        <is>
          <t>precioEfectivo</t>
        </is>
      </c>
      <c r="AV1" s="0" t="inlineStr">
        <is>
          <t>stockAntes</t>
        </is>
      </c>
      <c r="AW1" s="0" t="inlineStr">
        <is>
          <t>vendido</t>
        </is>
      </c>
      <c r="AX1" s="0" t="inlineStr">
        <is>
          <t>ingreso</t>
        </is>
      </c>
      <c r="AY1" s="0" t="inlineStr">
        <is>
          <t>inventarioFinal</t>
        </is>
      </c>
    </row>
    <row r="2">
      <c r="A2" s="0" t="n">
        <v>1</v>
      </c>
      <c r="B2" s="0" t="inlineStr">
        <is>
          <t>A</t>
        </is>
      </c>
      <c r="C2" s="0" t="inlineStr">
        <is>
          <t>SEG-01</t>
        </is>
      </c>
      <c r="D2" s="0" t="inlineStr">
        <is>
          <t>INF-08</t>
        </is>
      </c>
      <c r="E2" s="0" t="inlineStr">
        <is>
          <t>INS-01</t>
        </is>
      </c>
      <c r="F2" s="0" t="inlineStr">
        <is>
          <t>INS-04</t>
        </is>
      </c>
      <c r="G2" s="0" t="inlineStr">
        <is>
          <t>INS-06</t>
        </is>
      </c>
      <c r="H2" s="0" t="n">
        <v>200</v>
      </c>
      <c r="I2" s="0" t="n">
        <v>40</v>
      </c>
      <c r="J2" s="0">
        <f>IFERROR(INDEX('Catalogo_Numerico_sim3'!$H$2:$H$69,MATCH(E2,'Catalogo_Numerico_sim3'!$A$2:$A$69,0)),0)+IFERROR(INDEX('Catalogo_Numerico_sim3'!$H$2:$H$69,MATCH(F2,'Catalogo_Numerico_sim3'!$A$2:$A$69,0)),0)+IFERROR(INDEX('Catalogo_Numerico_sim3'!$H$2:$H$69,MATCH(G2,'Catalogo_Numerico_sim3'!$A$2:$A$69,0)),0)+IFERROR(INDEX('Catalogo_Numerico_sim3'!$H$2:$H$69,MATCH(D2,'Catalogo_Numerico_sim3'!$A$2:$A$69,0)),0)</f>
        <v/>
      </c>
      <c r="K2" s="0">
        <f>'Pipeline_sim3'!CG2</f>
        <v/>
      </c>
      <c r="L2" s="0">
        <f>'Pipeline_sim3'!CI2</f>
        <v/>
      </c>
      <c r="M2" s="0">
        <f>'Pipeline_sim3'!CK2</f>
        <v/>
      </c>
      <c r="N2" s="0">
        <f>'Pipeline_sim3'!CM2</f>
        <v/>
      </c>
      <c r="O2" s="0">
        <f>'Pipeline_sim3'!CO2</f>
        <v/>
      </c>
      <c r="P2" s="0">
        <f>'Pipeline_sim3'!CQ2</f>
        <v/>
      </c>
      <c r="Q2" s="0">
        <f>'Pipeline_sim3'!CS2</f>
        <v/>
      </c>
      <c r="R2" s="0">
        <f>'Pipeline_sim3'!CU2</f>
        <v/>
      </c>
      <c r="S2" s="0">
        <f>IFERROR(ROUNDDOWN(H2*'Pipeline_sim3'!CE2/'Pipeline_sim3'!I2,0),0)</f>
        <v/>
      </c>
      <c r="T2" s="0">
        <f>ROUNDDOWN(MIN(H2,S2,(K2)/0.3,(N2)/1,(P2)/6),0)</f>
        <v/>
      </c>
      <c r="U2" s="0">
        <f>ROUNDDOWN(T2*'Pipeline_sim3'!AU2,0)</f>
        <v/>
      </c>
      <c r="V2" s="0">
        <f>MIN(K2,MAX(0,T2*0.3))</f>
        <v/>
      </c>
      <c r="W2" s="0">
        <f>K2-V2</f>
        <v/>
      </c>
      <c r="X2" s="0">
        <f>IFERROR(V2*U2/T2,0)</f>
        <v/>
      </c>
      <c r="Y2" s="0">
        <f>0</f>
        <v/>
      </c>
      <c r="Z2" s="0">
        <f>L2-Y2</f>
        <v/>
      </c>
      <c r="AA2" s="0">
        <f>IFERROR(Y2*U2/T2,0)</f>
        <v/>
      </c>
      <c r="AB2" s="0">
        <f>0</f>
        <v/>
      </c>
      <c r="AC2" s="0">
        <f>M2-AB2</f>
        <v/>
      </c>
      <c r="AD2" s="0">
        <f>IFERROR(AB2*U2/T2,0)</f>
        <v/>
      </c>
      <c r="AE2" s="0">
        <f>MIN(N2,MAX(0,T2*1))</f>
        <v/>
      </c>
      <c r="AF2" s="0">
        <f>N2-AE2</f>
        <v/>
      </c>
      <c r="AG2" s="0">
        <f>IFERROR(AE2*U2/T2,0)</f>
        <v/>
      </c>
      <c r="AH2" s="0">
        <f>0</f>
        <v/>
      </c>
      <c r="AI2" s="0">
        <f>O2-AH2</f>
        <v/>
      </c>
      <c r="AJ2" s="0">
        <f>IFERROR(AH2*U2/T2,0)</f>
        <v/>
      </c>
      <c r="AK2" s="0">
        <f>MIN(P2,MAX(0,T2*6))</f>
        <v/>
      </c>
      <c r="AL2" s="0">
        <f>P2-AK2</f>
        <v/>
      </c>
      <c r="AM2" s="0">
        <f>IFERROR(AK2*U2/T2,0)</f>
        <v/>
      </c>
      <c r="AN2" s="0">
        <f>0</f>
        <v/>
      </c>
      <c r="AO2" s="0">
        <f>Q2-AN2</f>
        <v/>
      </c>
      <c r="AP2" s="0">
        <f>IFERROR(AN2*U2/T2,0)</f>
        <v/>
      </c>
      <c r="AQ2" s="0">
        <f>0</f>
        <v/>
      </c>
      <c r="AR2" s="0">
        <f>R2-AQ2</f>
        <v/>
      </c>
      <c r="AS2" s="0">
        <f>IFERROR(AQ2*U2/T2,0)</f>
        <v/>
      </c>
      <c r="AT2" s="0">
        <f>IF(AND(C2="SEG-03",H2&gt;0),IF(J2&lt;4,0.65,IF(J2&gt;=7,1.4,1)),1)</f>
        <v/>
      </c>
      <c r="AU2" s="0">
        <f>I2*AT2</f>
        <v/>
      </c>
      <c r="AV2" s="0">
        <f>0+U2</f>
        <v/>
      </c>
      <c r="AW2" s="0">
        <f>MIN(AV2,MAX(0,'Mercados_Pipeline_sim3'!I2))</f>
        <v/>
      </c>
      <c r="AX2" s="0">
        <f>AW2*AU2</f>
        <v/>
      </c>
      <c r="AY2" s="0">
        <f>AV2-AW2</f>
        <v/>
      </c>
    </row>
    <row r="3">
      <c r="A3" s="0" t="n">
        <v>1</v>
      </c>
      <c r="B3" s="0" t="inlineStr">
        <is>
          <t>B</t>
        </is>
      </c>
      <c r="C3" s="0" t="inlineStr">
        <is>
          <t>SEG-02</t>
        </is>
      </c>
      <c r="D3" s="0" t="inlineStr">
        <is>
          <t>INF-09</t>
        </is>
      </c>
      <c r="E3" s="0" t="inlineStr">
        <is>
          <t>INS-02</t>
        </is>
      </c>
      <c r="F3" s="0" t="inlineStr">
        <is>
          <t>INS-04</t>
        </is>
      </c>
      <c r="G3" s="0" t="inlineStr">
        <is>
          <t>INS-07</t>
        </is>
      </c>
      <c r="H3" s="0" t="n">
        <v>200</v>
      </c>
      <c r="I3" s="0" t="n">
        <v>110</v>
      </c>
      <c r="J3" s="0">
        <f>IFERROR(INDEX('Catalogo_Numerico_sim3'!$H$2:$H$69,MATCH(E3,'Catalogo_Numerico_sim3'!$A$2:$A$69,0)),0)+IFERROR(INDEX('Catalogo_Numerico_sim3'!$H$2:$H$69,MATCH(F3,'Catalogo_Numerico_sim3'!$A$2:$A$69,0)),0)+IFERROR(INDEX('Catalogo_Numerico_sim3'!$H$2:$H$69,MATCH(G3,'Catalogo_Numerico_sim3'!$A$2:$A$69,0)),0)+IFERROR(INDEX('Catalogo_Numerico_sim3'!$H$2:$H$69,MATCH(D3,'Catalogo_Numerico_sim3'!$A$2:$A$69,0)),0)</f>
        <v/>
      </c>
      <c r="K3" s="0">
        <f>'Pipeline_sim3'!CG3</f>
        <v/>
      </c>
      <c r="L3" s="0">
        <f>'Pipeline_sim3'!CI3</f>
        <v/>
      </c>
      <c r="M3" s="0">
        <f>'Pipeline_sim3'!CK3</f>
        <v/>
      </c>
      <c r="N3" s="0">
        <f>'Pipeline_sim3'!CM3</f>
        <v/>
      </c>
      <c r="O3" s="0">
        <f>'Pipeline_sim3'!CO3</f>
        <v/>
      </c>
      <c r="P3" s="0">
        <f>'Pipeline_sim3'!CQ3</f>
        <v/>
      </c>
      <c r="Q3" s="0">
        <f>'Pipeline_sim3'!CS3</f>
        <v/>
      </c>
      <c r="R3" s="0">
        <f>'Pipeline_sim3'!CU3</f>
        <v/>
      </c>
      <c r="S3" s="0">
        <f>IFERROR(ROUNDDOWN(H3*'Pipeline_sim3'!CE3/'Pipeline_sim3'!I3,0),0)</f>
        <v/>
      </c>
      <c r="T3" s="0">
        <f>ROUNDDOWN(MIN(H3,S3,(L3)/0.4,(N3)/1,(Q3)/7),0)</f>
        <v/>
      </c>
      <c r="U3" s="0">
        <f>ROUNDDOWN(T3*'Pipeline_sim3'!AU3,0)</f>
        <v/>
      </c>
      <c r="V3" s="0">
        <f>0</f>
        <v/>
      </c>
      <c r="W3" s="0">
        <f>K3-V3</f>
        <v/>
      </c>
      <c r="X3" s="0">
        <f>IFERROR(V3*U3/T3,0)</f>
        <v/>
      </c>
      <c r="Y3" s="0">
        <f>MIN(L3,MAX(0,T3*0.4-(V3)))</f>
        <v/>
      </c>
      <c r="Z3" s="0">
        <f>L3-Y3</f>
        <v/>
      </c>
      <c r="AA3" s="0">
        <f>IFERROR(Y3*U3/T3,0)</f>
        <v/>
      </c>
      <c r="AB3" s="0">
        <f>0</f>
        <v/>
      </c>
      <c r="AC3" s="0">
        <f>M3-AB3</f>
        <v/>
      </c>
      <c r="AD3" s="0">
        <f>IFERROR(AB3*U3/T3,0)</f>
        <v/>
      </c>
      <c r="AE3" s="0">
        <f>MIN(N3,MAX(0,T3*1))</f>
        <v/>
      </c>
      <c r="AF3" s="0">
        <f>N3-AE3</f>
        <v/>
      </c>
      <c r="AG3" s="0">
        <f>IFERROR(AE3*U3/T3,0)</f>
        <v/>
      </c>
      <c r="AH3" s="0">
        <f>0</f>
        <v/>
      </c>
      <c r="AI3" s="0">
        <f>O3-AH3</f>
        <v/>
      </c>
      <c r="AJ3" s="0">
        <f>IFERROR(AH3*U3/T3,0)</f>
        <v/>
      </c>
      <c r="AK3" s="0">
        <f>0</f>
        <v/>
      </c>
      <c r="AL3" s="0">
        <f>P3-AK3</f>
        <v/>
      </c>
      <c r="AM3" s="0">
        <f>IFERROR(AK3*U3/T3,0)</f>
        <v/>
      </c>
      <c r="AN3" s="0">
        <f>MIN(Q3,MAX(0,T3*7-(AK3)))</f>
        <v/>
      </c>
      <c r="AO3" s="0">
        <f>Q3-AN3</f>
        <v/>
      </c>
      <c r="AP3" s="0">
        <f>IFERROR(AN3*U3/T3,0)</f>
        <v/>
      </c>
      <c r="AQ3" s="0">
        <f>0</f>
        <v/>
      </c>
      <c r="AR3" s="0">
        <f>R3-AQ3</f>
        <v/>
      </c>
      <c r="AS3" s="0">
        <f>IFERROR(AQ3*U3/T3,0)</f>
        <v/>
      </c>
      <c r="AT3" s="0">
        <f>IF(AND(C3="SEG-03",H3&gt;0),IF(J3&lt;4,0.65,IF(J3&gt;=7,1.4,1)),1)</f>
        <v/>
      </c>
      <c r="AU3" s="0">
        <f>I3*AT3</f>
        <v/>
      </c>
      <c r="AV3" s="0">
        <f>0+U3</f>
        <v/>
      </c>
      <c r="AW3" s="0">
        <f>MIN(AV3,MAX(0,'Mercados_Pipeline_sim3'!I3))</f>
        <v/>
      </c>
      <c r="AX3" s="0">
        <f>AW3*AU3</f>
        <v/>
      </c>
      <c r="AY3" s="0">
        <f>AV3-AW3</f>
        <v/>
      </c>
    </row>
    <row r="4">
      <c r="A4" s="0" t="n">
        <v>1</v>
      </c>
      <c r="B4" s="0" t="inlineStr">
        <is>
          <t>C</t>
        </is>
      </c>
      <c r="C4" s="0" t="inlineStr">
        <is>
          <t>SEG-03</t>
        </is>
      </c>
      <c r="D4" s="0" t="inlineStr">
        <is>
          <t>INF-10</t>
        </is>
      </c>
      <c r="E4" s="0" t="inlineStr">
        <is>
          <t>INS-03</t>
        </is>
      </c>
      <c r="F4" s="0" t="inlineStr">
        <is>
          <t>INS-05</t>
        </is>
      </c>
      <c r="G4" s="0" t="inlineStr">
        <is>
          <t>INS-08</t>
        </is>
      </c>
      <c r="H4" s="0" t="n">
        <v>200</v>
      </c>
      <c r="I4" s="0" t="n">
        <v>260</v>
      </c>
      <c r="J4" s="0">
        <f>IFERROR(INDEX('Catalogo_Numerico_sim3'!$H$2:$H$69,MATCH(E4,'Catalogo_Numerico_sim3'!$A$2:$A$69,0)),0)+IFERROR(INDEX('Catalogo_Numerico_sim3'!$H$2:$H$69,MATCH(F4,'Catalogo_Numerico_sim3'!$A$2:$A$69,0)),0)+IFERROR(INDEX('Catalogo_Numerico_sim3'!$H$2:$H$69,MATCH(G4,'Catalogo_Numerico_sim3'!$A$2:$A$69,0)),0)+IFERROR(INDEX('Catalogo_Numerico_sim3'!$H$2:$H$69,MATCH(D4,'Catalogo_Numerico_sim3'!$A$2:$A$69,0)),0)</f>
        <v/>
      </c>
      <c r="K4" s="0">
        <f>'Pipeline_sim3'!CG4</f>
        <v/>
      </c>
      <c r="L4" s="0">
        <f>'Pipeline_sim3'!CI4</f>
        <v/>
      </c>
      <c r="M4" s="0">
        <f>'Pipeline_sim3'!CK4</f>
        <v/>
      </c>
      <c r="N4" s="0">
        <f>'Pipeline_sim3'!CM4</f>
        <v/>
      </c>
      <c r="O4" s="0">
        <f>'Pipeline_sim3'!CO4</f>
        <v/>
      </c>
      <c r="P4" s="0">
        <f>'Pipeline_sim3'!CQ4</f>
        <v/>
      </c>
      <c r="Q4" s="0">
        <f>'Pipeline_sim3'!CS4</f>
        <v/>
      </c>
      <c r="R4" s="0">
        <f>'Pipeline_sim3'!CU4</f>
        <v/>
      </c>
      <c r="S4" s="0">
        <f>IFERROR(ROUNDDOWN(H4*'Pipeline_sim3'!CE4/'Pipeline_sim3'!I4,0),0)</f>
        <v/>
      </c>
      <c r="T4" s="0">
        <f>ROUNDDOWN(MIN(H4,S4,(M4)/0.7,(O4)/1,(R4)/13),0)</f>
        <v/>
      </c>
      <c r="U4" s="0">
        <f>ROUNDDOWN(T4*'Pipeline_sim3'!AU4,0)</f>
        <v/>
      </c>
      <c r="V4" s="0">
        <f>0</f>
        <v/>
      </c>
      <c r="W4" s="0">
        <f>K4-V4</f>
        <v/>
      </c>
      <c r="X4" s="0">
        <f>IFERROR(V4*U4/T4,0)</f>
        <v/>
      </c>
      <c r="Y4" s="0">
        <f>0</f>
        <v/>
      </c>
      <c r="Z4" s="0">
        <f>L4-Y4</f>
        <v/>
      </c>
      <c r="AA4" s="0">
        <f>IFERROR(Y4*U4/T4,0)</f>
        <v/>
      </c>
      <c r="AB4" s="0">
        <f>MIN(M4,MAX(0,T4*0.7-(V4+Y4)))</f>
        <v/>
      </c>
      <c r="AC4" s="0">
        <f>M4-AB4</f>
        <v/>
      </c>
      <c r="AD4" s="0">
        <f>IFERROR(AB4*U4/T4,0)</f>
        <v/>
      </c>
      <c r="AE4" s="0">
        <f>0</f>
        <v/>
      </c>
      <c r="AF4" s="0">
        <f>N4-AE4</f>
        <v/>
      </c>
      <c r="AG4" s="0">
        <f>IFERROR(AE4*U4/T4,0)</f>
        <v/>
      </c>
      <c r="AH4" s="0">
        <f>MIN(O4,MAX(0,T4*1-(AE4)))</f>
        <v/>
      </c>
      <c r="AI4" s="0">
        <f>O4-AH4</f>
        <v/>
      </c>
      <c r="AJ4" s="0">
        <f>IFERROR(AH4*U4/T4,0)</f>
        <v/>
      </c>
      <c r="AK4" s="0">
        <f>0</f>
        <v/>
      </c>
      <c r="AL4" s="0">
        <f>P4-AK4</f>
        <v/>
      </c>
      <c r="AM4" s="0">
        <f>IFERROR(AK4*U4/T4,0)</f>
        <v/>
      </c>
      <c r="AN4" s="0">
        <f>0</f>
        <v/>
      </c>
      <c r="AO4" s="0">
        <f>Q4-AN4</f>
        <v/>
      </c>
      <c r="AP4" s="0">
        <f>IFERROR(AN4*U4/T4,0)</f>
        <v/>
      </c>
      <c r="AQ4" s="0">
        <f>MIN(R4,MAX(0,T4*13-(AK4+AN4)))</f>
        <v/>
      </c>
      <c r="AR4" s="0">
        <f>R4-AQ4</f>
        <v/>
      </c>
      <c r="AS4" s="0">
        <f>IFERROR(AQ4*U4/T4,0)</f>
        <v/>
      </c>
      <c r="AT4" s="0">
        <f>IF(AND(C4="SEG-03",H4&gt;0),IF(J4&lt;4,0.65,IF(J4&gt;=7,1.4,1)),1)</f>
        <v/>
      </c>
      <c r="AU4" s="0">
        <f>I4*AT4</f>
        <v/>
      </c>
      <c r="AV4" s="0">
        <f>0+U4</f>
        <v/>
      </c>
      <c r="AW4" s="0">
        <f>MIN(AV4,MAX(0,'Mercados_Pipeline_sim3'!I4))</f>
        <v/>
      </c>
      <c r="AX4" s="0">
        <f>AW4*AU4</f>
        <v/>
      </c>
      <c r="AY4" s="0">
        <f>AV4-AW4</f>
        <v/>
      </c>
    </row>
    <row r="5">
      <c r="A5" s="0" t="n">
        <v>1</v>
      </c>
      <c r="B5" s="0" t="inlineStr">
        <is>
          <t>D</t>
        </is>
      </c>
      <c r="C5" s="0" t="inlineStr">
        <is>
          <t>SEG-01</t>
        </is>
      </c>
      <c r="D5" s="0" t="inlineStr">
        <is>
          <t>INF-08</t>
        </is>
      </c>
      <c r="E5" s="0" t="inlineStr">
        <is>
          <t>INS-01</t>
        </is>
      </c>
      <c r="F5" s="0" t="inlineStr">
        <is>
          <t>INS-04</t>
        </is>
      </c>
      <c r="G5" s="0" t="inlineStr">
        <is>
          <t>INS-06</t>
        </is>
      </c>
      <c r="H5" s="0" t="n">
        <v>200</v>
      </c>
      <c r="I5" s="0" t="n">
        <v>45</v>
      </c>
      <c r="J5" s="0">
        <f>IFERROR(INDEX('Catalogo_Numerico_sim3'!$H$2:$H$69,MATCH(E5,'Catalogo_Numerico_sim3'!$A$2:$A$69,0)),0)+IFERROR(INDEX('Catalogo_Numerico_sim3'!$H$2:$H$69,MATCH(F5,'Catalogo_Numerico_sim3'!$A$2:$A$69,0)),0)+IFERROR(INDEX('Catalogo_Numerico_sim3'!$H$2:$H$69,MATCH(G5,'Catalogo_Numerico_sim3'!$A$2:$A$69,0)),0)+IFERROR(INDEX('Catalogo_Numerico_sim3'!$H$2:$H$69,MATCH(D5,'Catalogo_Numerico_sim3'!$A$2:$A$69,0)),0)</f>
        <v/>
      </c>
      <c r="K5" s="0">
        <f>'Pipeline_sim3'!CG5</f>
        <v/>
      </c>
      <c r="L5" s="0">
        <f>'Pipeline_sim3'!CI5</f>
        <v/>
      </c>
      <c r="M5" s="0">
        <f>'Pipeline_sim3'!CK5</f>
        <v/>
      </c>
      <c r="N5" s="0">
        <f>'Pipeline_sim3'!CM5</f>
        <v/>
      </c>
      <c r="O5" s="0">
        <f>'Pipeline_sim3'!CO5</f>
        <v/>
      </c>
      <c r="P5" s="0">
        <f>'Pipeline_sim3'!CQ5</f>
        <v/>
      </c>
      <c r="Q5" s="0">
        <f>'Pipeline_sim3'!CS5</f>
        <v/>
      </c>
      <c r="R5" s="0">
        <f>'Pipeline_sim3'!CU5</f>
        <v/>
      </c>
      <c r="S5" s="0">
        <f>IFERROR(ROUNDDOWN(H5*'Pipeline_sim3'!CE5/'Pipeline_sim3'!I5,0),0)</f>
        <v/>
      </c>
      <c r="T5" s="0">
        <f>ROUNDDOWN(MIN(H5,S5,(K5)/0.3,(N5)/1,(P5)/6),0)</f>
        <v/>
      </c>
      <c r="U5" s="0">
        <f>ROUNDDOWN(T5*'Pipeline_sim3'!AU5,0)</f>
        <v/>
      </c>
      <c r="V5" s="0">
        <f>MIN(K5,MAX(0,T5*0.3))</f>
        <v/>
      </c>
      <c r="W5" s="0">
        <f>K5-V5</f>
        <v/>
      </c>
      <c r="X5" s="0">
        <f>IFERROR(V5*U5/T5,0)</f>
        <v/>
      </c>
      <c r="Y5" s="0">
        <f>0</f>
        <v/>
      </c>
      <c r="Z5" s="0">
        <f>L5-Y5</f>
        <v/>
      </c>
      <c r="AA5" s="0">
        <f>IFERROR(Y5*U5/T5,0)</f>
        <v/>
      </c>
      <c r="AB5" s="0">
        <f>0</f>
        <v/>
      </c>
      <c r="AC5" s="0">
        <f>M5-AB5</f>
        <v/>
      </c>
      <c r="AD5" s="0">
        <f>IFERROR(AB5*U5/T5,0)</f>
        <v/>
      </c>
      <c r="AE5" s="0">
        <f>MIN(N5,MAX(0,T5*1))</f>
        <v/>
      </c>
      <c r="AF5" s="0">
        <f>N5-AE5</f>
        <v/>
      </c>
      <c r="AG5" s="0">
        <f>IFERROR(AE5*U5/T5,0)</f>
        <v/>
      </c>
      <c r="AH5" s="0">
        <f>0</f>
        <v/>
      </c>
      <c r="AI5" s="0">
        <f>O5-AH5</f>
        <v/>
      </c>
      <c r="AJ5" s="0">
        <f>IFERROR(AH5*U5/T5,0)</f>
        <v/>
      </c>
      <c r="AK5" s="0">
        <f>MIN(P5,MAX(0,T5*6))</f>
        <v/>
      </c>
      <c r="AL5" s="0">
        <f>P5-AK5</f>
        <v/>
      </c>
      <c r="AM5" s="0">
        <f>IFERROR(AK5*U5/T5,0)</f>
        <v/>
      </c>
      <c r="AN5" s="0">
        <f>0</f>
        <v/>
      </c>
      <c r="AO5" s="0">
        <f>Q5-AN5</f>
        <v/>
      </c>
      <c r="AP5" s="0">
        <f>IFERROR(AN5*U5/T5,0)</f>
        <v/>
      </c>
      <c r="AQ5" s="0">
        <f>0</f>
        <v/>
      </c>
      <c r="AR5" s="0">
        <f>R5-AQ5</f>
        <v/>
      </c>
      <c r="AS5" s="0">
        <f>IFERROR(AQ5*U5/T5,0)</f>
        <v/>
      </c>
      <c r="AT5" s="0">
        <f>IF(AND(C5="SEG-03",H5&gt;0),IF(J5&lt;4,0.65,IF(J5&gt;=7,1.4,1)),1)</f>
        <v/>
      </c>
      <c r="AU5" s="0">
        <f>I5*AT5</f>
        <v/>
      </c>
      <c r="AV5" s="0">
        <f>0+U5</f>
        <v/>
      </c>
      <c r="AW5" s="0">
        <f>MIN(AV5,MAX(0,'Mercados_Pipeline_sim3'!I5))</f>
        <v/>
      </c>
      <c r="AX5" s="0">
        <f>AW5*AU5</f>
        <v/>
      </c>
      <c r="AY5" s="0">
        <f>AV5-AW5</f>
        <v/>
      </c>
    </row>
    <row r="6">
      <c r="A6" s="0" t="n">
        <v>2</v>
      </c>
      <c r="B6" s="0" t="inlineStr">
        <is>
          <t>A</t>
        </is>
      </c>
      <c r="C6" s="0" t="inlineStr">
        <is>
          <t>SEG-01</t>
        </is>
      </c>
      <c r="D6" s="0" t="inlineStr">
        <is>
          <t>INF-08</t>
        </is>
      </c>
      <c r="E6" s="0" t="inlineStr">
        <is>
          <t>INS-01</t>
        </is>
      </c>
      <c r="F6" s="0" t="inlineStr">
        <is>
          <t>INS-04</t>
        </is>
      </c>
      <c r="G6" s="0" t="inlineStr">
        <is>
          <t>INS-06</t>
        </is>
      </c>
      <c r="H6" s="0" t="n">
        <v>200</v>
      </c>
      <c r="I6" s="0" t="n">
        <v>40</v>
      </c>
      <c r="J6" s="0">
        <f>IFERROR(INDEX('Catalogo_Numerico_sim3'!$H$2:$H$69,MATCH(E6,'Catalogo_Numerico_sim3'!$A$2:$A$69,0)),0)+IFERROR(INDEX('Catalogo_Numerico_sim3'!$H$2:$H$69,MATCH(F6,'Catalogo_Numerico_sim3'!$A$2:$A$69,0)),0)+IFERROR(INDEX('Catalogo_Numerico_sim3'!$H$2:$H$69,MATCH(G6,'Catalogo_Numerico_sim3'!$A$2:$A$69,0)),0)+IFERROR(INDEX('Catalogo_Numerico_sim3'!$H$2:$H$69,MATCH(D6,'Catalogo_Numerico_sim3'!$A$2:$A$69,0)),0)</f>
        <v/>
      </c>
      <c r="K6" s="0">
        <f>'Pipeline_sim3'!CG6</f>
        <v/>
      </c>
      <c r="L6" s="0">
        <f>'Pipeline_sim3'!CI6</f>
        <v/>
      </c>
      <c r="M6" s="0">
        <f>'Pipeline_sim3'!CK6</f>
        <v/>
      </c>
      <c r="N6" s="0">
        <f>'Pipeline_sim3'!CM6</f>
        <v/>
      </c>
      <c r="O6" s="0">
        <f>'Pipeline_sim3'!CO6</f>
        <v/>
      </c>
      <c r="P6" s="0">
        <f>'Pipeline_sim3'!CQ6</f>
        <v/>
      </c>
      <c r="Q6" s="0">
        <f>'Pipeline_sim3'!CS6</f>
        <v/>
      </c>
      <c r="R6" s="0">
        <f>'Pipeline_sim3'!CU6</f>
        <v/>
      </c>
      <c r="S6" s="0">
        <f>IFERROR(ROUNDDOWN(H6*'Pipeline_sim3'!CE6/'Pipeline_sim3'!I6,0),0)</f>
        <v/>
      </c>
      <c r="T6" s="0">
        <f>ROUNDDOWN(MIN(H6,S6,(K6)/0.3,(N6)/1,(P6)/6),0)</f>
        <v/>
      </c>
      <c r="U6" s="0">
        <f>ROUNDDOWN(T6*'Pipeline_sim3'!AU6,0)</f>
        <v/>
      </c>
      <c r="V6" s="0">
        <f>MIN(K6,MAX(0,T6*0.3))</f>
        <v/>
      </c>
      <c r="W6" s="0">
        <f>K6-V6</f>
        <v/>
      </c>
      <c r="X6" s="0">
        <f>IFERROR(V6*U6/T6,0)</f>
        <v/>
      </c>
      <c r="Y6" s="0">
        <f>0</f>
        <v/>
      </c>
      <c r="Z6" s="0">
        <f>L6-Y6</f>
        <v/>
      </c>
      <c r="AA6" s="0">
        <f>IFERROR(Y6*U6/T6,0)</f>
        <v/>
      </c>
      <c r="AB6" s="0">
        <f>0</f>
        <v/>
      </c>
      <c r="AC6" s="0">
        <f>M6-AB6</f>
        <v/>
      </c>
      <c r="AD6" s="0">
        <f>IFERROR(AB6*U6/T6,0)</f>
        <v/>
      </c>
      <c r="AE6" s="0">
        <f>MIN(N6,MAX(0,T6*1))</f>
        <v/>
      </c>
      <c r="AF6" s="0">
        <f>N6-AE6</f>
        <v/>
      </c>
      <c r="AG6" s="0">
        <f>IFERROR(AE6*U6/T6,0)</f>
        <v/>
      </c>
      <c r="AH6" s="0">
        <f>0</f>
        <v/>
      </c>
      <c r="AI6" s="0">
        <f>O6-AH6</f>
        <v/>
      </c>
      <c r="AJ6" s="0">
        <f>IFERROR(AH6*U6/T6,0)</f>
        <v/>
      </c>
      <c r="AK6" s="0">
        <f>MIN(P6,MAX(0,T6*6))</f>
        <v/>
      </c>
      <c r="AL6" s="0">
        <f>P6-AK6</f>
        <v/>
      </c>
      <c r="AM6" s="0">
        <f>IFERROR(AK6*U6/T6,0)</f>
        <v/>
      </c>
      <c r="AN6" s="0">
        <f>0</f>
        <v/>
      </c>
      <c r="AO6" s="0">
        <f>Q6-AN6</f>
        <v/>
      </c>
      <c r="AP6" s="0">
        <f>IFERROR(AN6*U6/T6,0)</f>
        <v/>
      </c>
      <c r="AQ6" s="0">
        <f>0</f>
        <v/>
      </c>
      <c r="AR6" s="0">
        <f>R6-AQ6</f>
        <v/>
      </c>
      <c r="AS6" s="0">
        <f>IFERROR(AQ6*U6/T6,0)</f>
        <v/>
      </c>
      <c r="AT6" s="0">
        <f>IF(AND(C6="SEG-03",H6&gt;0),IF(J6&lt;4,0.65,IF(J6&gt;=7,1.4,1)),1)</f>
        <v/>
      </c>
      <c r="AU6" s="0">
        <f>I6*AT6</f>
        <v/>
      </c>
      <c r="AV6" s="0">
        <f>'Lotes_Pipeline_sim3'!AY2+U6</f>
        <v/>
      </c>
      <c r="AW6" s="0">
        <f>MIN(AV6,MAX(0,'Mercados_Pipeline_sim3'!I6))</f>
        <v/>
      </c>
      <c r="AX6" s="0">
        <f>AW6*AU6</f>
        <v/>
      </c>
      <c r="AY6" s="0">
        <f>AV6-AW6</f>
        <v/>
      </c>
    </row>
    <row r="7">
      <c r="A7" s="0" t="n">
        <v>2</v>
      </c>
      <c r="B7" s="0" t="inlineStr">
        <is>
          <t>B</t>
        </is>
      </c>
      <c r="C7" s="0" t="inlineStr">
        <is>
          <t>SEG-02</t>
        </is>
      </c>
      <c r="D7" s="0" t="inlineStr">
        <is>
          <t>INF-09</t>
        </is>
      </c>
      <c r="E7" s="0" t="inlineStr">
        <is>
          <t>INS-02</t>
        </is>
      </c>
      <c r="F7" s="0" t="inlineStr">
        <is>
          <t>INS-04</t>
        </is>
      </c>
      <c r="G7" s="0" t="inlineStr">
        <is>
          <t>INS-07</t>
        </is>
      </c>
      <c r="H7" s="0" t="n">
        <v>200</v>
      </c>
      <c r="I7" s="0" t="n">
        <v>110</v>
      </c>
      <c r="J7" s="0">
        <f>IFERROR(INDEX('Catalogo_Numerico_sim3'!$H$2:$H$69,MATCH(E7,'Catalogo_Numerico_sim3'!$A$2:$A$69,0)),0)+IFERROR(INDEX('Catalogo_Numerico_sim3'!$H$2:$H$69,MATCH(F7,'Catalogo_Numerico_sim3'!$A$2:$A$69,0)),0)+IFERROR(INDEX('Catalogo_Numerico_sim3'!$H$2:$H$69,MATCH(G7,'Catalogo_Numerico_sim3'!$A$2:$A$69,0)),0)+IFERROR(INDEX('Catalogo_Numerico_sim3'!$H$2:$H$69,MATCH(D7,'Catalogo_Numerico_sim3'!$A$2:$A$69,0)),0)</f>
        <v/>
      </c>
      <c r="K7" s="0">
        <f>'Pipeline_sim3'!CG7</f>
        <v/>
      </c>
      <c r="L7" s="0">
        <f>'Pipeline_sim3'!CI7</f>
        <v/>
      </c>
      <c r="M7" s="0">
        <f>'Pipeline_sim3'!CK7</f>
        <v/>
      </c>
      <c r="N7" s="0">
        <f>'Pipeline_sim3'!CM7</f>
        <v/>
      </c>
      <c r="O7" s="0">
        <f>'Pipeline_sim3'!CO7</f>
        <v/>
      </c>
      <c r="P7" s="0">
        <f>'Pipeline_sim3'!CQ7</f>
        <v/>
      </c>
      <c r="Q7" s="0">
        <f>'Pipeline_sim3'!CS7</f>
        <v/>
      </c>
      <c r="R7" s="0">
        <f>'Pipeline_sim3'!CU7</f>
        <v/>
      </c>
      <c r="S7" s="0">
        <f>IFERROR(ROUNDDOWN(H7*'Pipeline_sim3'!CE7/'Pipeline_sim3'!I7,0),0)</f>
        <v/>
      </c>
      <c r="T7" s="0">
        <f>ROUNDDOWN(MIN(H7,S7,(L7)/0.4,(N7)/1,(Q7)/7),0)</f>
        <v/>
      </c>
      <c r="U7" s="0">
        <f>ROUNDDOWN(T7*'Pipeline_sim3'!AU7,0)</f>
        <v/>
      </c>
      <c r="V7" s="0">
        <f>0</f>
        <v/>
      </c>
      <c r="W7" s="0">
        <f>K7-V7</f>
        <v/>
      </c>
      <c r="X7" s="0">
        <f>IFERROR(V7*U7/T7,0)</f>
        <v/>
      </c>
      <c r="Y7" s="0">
        <f>MIN(L7,MAX(0,T7*0.4-(V7)))</f>
        <v/>
      </c>
      <c r="Z7" s="0">
        <f>L7-Y7</f>
        <v/>
      </c>
      <c r="AA7" s="0">
        <f>IFERROR(Y7*U7/T7,0)</f>
        <v/>
      </c>
      <c r="AB7" s="0">
        <f>0</f>
        <v/>
      </c>
      <c r="AC7" s="0">
        <f>M7-AB7</f>
        <v/>
      </c>
      <c r="AD7" s="0">
        <f>IFERROR(AB7*U7/T7,0)</f>
        <v/>
      </c>
      <c r="AE7" s="0">
        <f>MIN(N7,MAX(0,T7*1))</f>
        <v/>
      </c>
      <c r="AF7" s="0">
        <f>N7-AE7</f>
        <v/>
      </c>
      <c r="AG7" s="0">
        <f>IFERROR(AE7*U7/T7,0)</f>
        <v/>
      </c>
      <c r="AH7" s="0">
        <f>0</f>
        <v/>
      </c>
      <c r="AI7" s="0">
        <f>O7-AH7</f>
        <v/>
      </c>
      <c r="AJ7" s="0">
        <f>IFERROR(AH7*U7/T7,0)</f>
        <v/>
      </c>
      <c r="AK7" s="0">
        <f>0</f>
        <v/>
      </c>
      <c r="AL7" s="0">
        <f>P7-AK7</f>
        <v/>
      </c>
      <c r="AM7" s="0">
        <f>IFERROR(AK7*U7/T7,0)</f>
        <v/>
      </c>
      <c r="AN7" s="0">
        <f>MIN(Q7,MAX(0,T7*7-(AK7)))</f>
        <v/>
      </c>
      <c r="AO7" s="0">
        <f>Q7-AN7</f>
        <v/>
      </c>
      <c r="AP7" s="0">
        <f>IFERROR(AN7*U7/T7,0)</f>
        <v/>
      </c>
      <c r="AQ7" s="0">
        <f>0</f>
        <v/>
      </c>
      <c r="AR7" s="0">
        <f>R7-AQ7</f>
        <v/>
      </c>
      <c r="AS7" s="0">
        <f>IFERROR(AQ7*U7/T7,0)</f>
        <v/>
      </c>
      <c r="AT7" s="0">
        <f>IF(AND(C7="SEG-03",H7&gt;0),IF(J7&lt;4,0.65,IF(J7&gt;=7,1.4,1)),1)</f>
        <v/>
      </c>
      <c r="AU7" s="0">
        <f>I7*AT7</f>
        <v/>
      </c>
      <c r="AV7" s="0">
        <f>'Lotes_Pipeline_sim3'!AY3+U7</f>
        <v/>
      </c>
      <c r="AW7" s="0">
        <f>MIN(AV7,MAX(0,'Mercados_Pipeline_sim3'!I7))</f>
        <v/>
      </c>
      <c r="AX7" s="0">
        <f>AW7*AU7</f>
        <v/>
      </c>
      <c r="AY7" s="0">
        <f>AV7-AW7</f>
        <v/>
      </c>
    </row>
    <row r="8">
      <c r="A8" s="0" t="n">
        <v>2</v>
      </c>
      <c r="B8" s="0" t="inlineStr">
        <is>
          <t>C</t>
        </is>
      </c>
      <c r="C8" s="0" t="inlineStr">
        <is>
          <t>SEG-03</t>
        </is>
      </c>
      <c r="D8" s="0" t="inlineStr">
        <is>
          <t>INF-10</t>
        </is>
      </c>
      <c r="E8" s="0" t="inlineStr">
        <is>
          <t>INS-03</t>
        </is>
      </c>
      <c r="F8" s="0" t="inlineStr">
        <is>
          <t>INS-05</t>
        </is>
      </c>
      <c r="G8" s="0" t="inlineStr">
        <is>
          <t>INS-08</t>
        </is>
      </c>
      <c r="H8" s="0" t="n">
        <v>200</v>
      </c>
      <c r="I8" s="0" t="n">
        <v>260</v>
      </c>
      <c r="J8" s="0">
        <f>IFERROR(INDEX('Catalogo_Numerico_sim3'!$H$2:$H$69,MATCH(E8,'Catalogo_Numerico_sim3'!$A$2:$A$69,0)),0)+IFERROR(INDEX('Catalogo_Numerico_sim3'!$H$2:$H$69,MATCH(F8,'Catalogo_Numerico_sim3'!$A$2:$A$69,0)),0)+IFERROR(INDEX('Catalogo_Numerico_sim3'!$H$2:$H$69,MATCH(G8,'Catalogo_Numerico_sim3'!$A$2:$A$69,0)),0)+IFERROR(INDEX('Catalogo_Numerico_sim3'!$H$2:$H$69,MATCH(D8,'Catalogo_Numerico_sim3'!$A$2:$A$69,0)),0)</f>
        <v/>
      </c>
      <c r="K8" s="0">
        <f>'Pipeline_sim3'!CG8</f>
        <v/>
      </c>
      <c r="L8" s="0">
        <f>'Pipeline_sim3'!CI8</f>
        <v/>
      </c>
      <c r="M8" s="0">
        <f>'Pipeline_sim3'!CK8</f>
        <v/>
      </c>
      <c r="N8" s="0">
        <f>'Pipeline_sim3'!CM8</f>
        <v/>
      </c>
      <c r="O8" s="0">
        <f>'Pipeline_sim3'!CO8</f>
        <v/>
      </c>
      <c r="P8" s="0">
        <f>'Pipeline_sim3'!CQ8</f>
        <v/>
      </c>
      <c r="Q8" s="0">
        <f>'Pipeline_sim3'!CS8</f>
        <v/>
      </c>
      <c r="R8" s="0">
        <f>'Pipeline_sim3'!CU8</f>
        <v/>
      </c>
      <c r="S8" s="0">
        <f>IFERROR(ROUNDDOWN(H8*'Pipeline_sim3'!CE8/'Pipeline_sim3'!I8,0),0)</f>
        <v/>
      </c>
      <c r="T8" s="0">
        <f>ROUNDDOWN(MIN(H8,S8,(M8)/0.7,(O8)/1,(R8)/13),0)</f>
        <v/>
      </c>
      <c r="U8" s="0">
        <f>ROUNDDOWN(T8*'Pipeline_sim3'!AU8,0)</f>
        <v/>
      </c>
      <c r="V8" s="0">
        <f>0</f>
        <v/>
      </c>
      <c r="W8" s="0">
        <f>K8-V8</f>
        <v/>
      </c>
      <c r="X8" s="0">
        <f>IFERROR(V8*U8/T8,0)</f>
        <v/>
      </c>
      <c r="Y8" s="0">
        <f>0</f>
        <v/>
      </c>
      <c r="Z8" s="0">
        <f>L8-Y8</f>
        <v/>
      </c>
      <c r="AA8" s="0">
        <f>IFERROR(Y8*U8/T8,0)</f>
        <v/>
      </c>
      <c r="AB8" s="0">
        <f>MIN(M8,MAX(0,T8*0.7-(V8+Y8)))</f>
        <v/>
      </c>
      <c r="AC8" s="0">
        <f>M8-AB8</f>
        <v/>
      </c>
      <c r="AD8" s="0">
        <f>IFERROR(AB8*U8/T8,0)</f>
        <v/>
      </c>
      <c r="AE8" s="0">
        <f>0</f>
        <v/>
      </c>
      <c r="AF8" s="0">
        <f>N8-AE8</f>
        <v/>
      </c>
      <c r="AG8" s="0">
        <f>IFERROR(AE8*U8/T8,0)</f>
        <v/>
      </c>
      <c r="AH8" s="0">
        <f>MIN(O8,MAX(0,T8*1-(AE8)))</f>
        <v/>
      </c>
      <c r="AI8" s="0">
        <f>O8-AH8</f>
        <v/>
      </c>
      <c r="AJ8" s="0">
        <f>IFERROR(AH8*U8/T8,0)</f>
        <v/>
      </c>
      <c r="AK8" s="0">
        <f>0</f>
        <v/>
      </c>
      <c r="AL8" s="0">
        <f>P8-AK8</f>
        <v/>
      </c>
      <c r="AM8" s="0">
        <f>IFERROR(AK8*U8/T8,0)</f>
        <v/>
      </c>
      <c r="AN8" s="0">
        <f>0</f>
        <v/>
      </c>
      <c r="AO8" s="0">
        <f>Q8-AN8</f>
        <v/>
      </c>
      <c r="AP8" s="0">
        <f>IFERROR(AN8*U8/T8,0)</f>
        <v/>
      </c>
      <c r="AQ8" s="0">
        <f>MIN(R8,MAX(0,T8*13-(AK8+AN8)))</f>
        <v/>
      </c>
      <c r="AR8" s="0">
        <f>R8-AQ8</f>
        <v/>
      </c>
      <c r="AS8" s="0">
        <f>IFERROR(AQ8*U8/T8,0)</f>
        <v/>
      </c>
      <c r="AT8" s="0">
        <f>IF(AND(C8="SEG-03",H8&gt;0),IF(J8&lt;4,0.65,IF(J8&gt;=7,1.4,1)),1)</f>
        <v/>
      </c>
      <c r="AU8" s="0">
        <f>I8*AT8</f>
        <v/>
      </c>
      <c r="AV8" s="0">
        <f>'Lotes_Pipeline_sim3'!AY4+U8</f>
        <v/>
      </c>
      <c r="AW8" s="0">
        <f>MIN(AV8,MAX(0,'Mercados_Pipeline_sim3'!I8))</f>
        <v/>
      </c>
      <c r="AX8" s="0">
        <f>AW8*AU8</f>
        <v/>
      </c>
      <c r="AY8" s="0">
        <f>AV8-AW8</f>
        <v/>
      </c>
    </row>
    <row r="9">
      <c r="A9" s="0" t="n">
        <v>2</v>
      </c>
      <c r="B9" s="0" t="inlineStr">
        <is>
          <t>D</t>
        </is>
      </c>
      <c r="C9" s="0" t="inlineStr">
        <is>
          <t>SEG-01</t>
        </is>
      </c>
      <c r="D9" s="0" t="inlineStr">
        <is>
          <t>INF-08</t>
        </is>
      </c>
      <c r="E9" s="0" t="inlineStr">
        <is>
          <t>INS-01</t>
        </is>
      </c>
      <c r="F9" s="0" t="inlineStr">
        <is>
          <t>INS-04</t>
        </is>
      </c>
      <c r="G9" s="0" t="inlineStr">
        <is>
          <t>INS-06</t>
        </is>
      </c>
      <c r="H9" s="0" t="n">
        <v>200</v>
      </c>
      <c r="I9" s="0" t="n">
        <v>45</v>
      </c>
      <c r="J9" s="0">
        <f>IFERROR(INDEX('Catalogo_Numerico_sim3'!$H$2:$H$69,MATCH(E9,'Catalogo_Numerico_sim3'!$A$2:$A$69,0)),0)+IFERROR(INDEX('Catalogo_Numerico_sim3'!$H$2:$H$69,MATCH(F9,'Catalogo_Numerico_sim3'!$A$2:$A$69,0)),0)+IFERROR(INDEX('Catalogo_Numerico_sim3'!$H$2:$H$69,MATCH(G9,'Catalogo_Numerico_sim3'!$A$2:$A$69,0)),0)+IFERROR(INDEX('Catalogo_Numerico_sim3'!$H$2:$H$69,MATCH(D9,'Catalogo_Numerico_sim3'!$A$2:$A$69,0)),0)</f>
        <v/>
      </c>
      <c r="K9" s="0">
        <f>'Pipeline_sim3'!CG9</f>
        <v/>
      </c>
      <c r="L9" s="0">
        <f>'Pipeline_sim3'!CI9</f>
        <v/>
      </c>
      <c r="M9" s="0">
        <f>'Pipeline_sim3'!CK9</f>
        <v/>
      </c>
      <c r="N9" s="0">
        <f>'Pipeline_sim3'!CM9</f>
        <v/>
      </c>
      <c r="O9" s="0">
        <f>'Pipeline_sim3'!CO9</f>
        <v/>
      </c>
      <c r="P9" s="0">
        <f>'Pipeline_sim3'!CQ9</f>
        <v/>
      </c>
      <c r="Q9" s="0">
        <f>'Pipeline_sim3'!CS9</f>
        <v/>
      </c>
      <c r="R9" s="0">
        <f>'Pipeline_sim3'!CU9</f>
        <v/>
      </c>
      <c r="S9" s="0">
        <f>IFERROR(ROUNDDOWN(H9*'Pipeline_sim3'!CE9/'Pipeline_sim3'!I9,0),0)</f>
        <v/>
      </c>
      <c r="T9" s="0">
        <f>ROUNDDOWN(MIN(H9,S9,(K9)/0.3,(N9)/1,(P9)/6),0)</f>
        <v/>
      </c>
      <c r="U9" s="0">
        <f>ROUNDDOWN(T9*'Pipeline_sim3'!AU9,0)</f>
        <v/>
      </c>
      <c r="V9" s="0">
        <f>MIN(K9,MAX(0,T9*0.3))</f>
        <v/>
      </c>
      <c r="W9" s="0">
        <f>K9-V9</f>
        <v/>
      </c>
      <c r="X9" s="0">
        <f>IFERROR(V9*U9/T9,0)</f>
        <v/>
      </c>
      <c r="Y9" s="0">
        <f>0</f>
        <v/>
      </c>
      <c r="Z9" s="0">
        <f>L9-Y9</f>
        <v/>
      </c>
      <c r="AA9" s="0">
        <f>IFERROR(Y9*U9/T9,0)</f>
        <v/>
      </c>
      <c r="AB9" s="0">
        <f>0</f>
        <v/>
      </c>
      <c r="AC9" s="0">
        <f>M9-AB9</f>
        <v/>
      </c>
      <c r="AD9" s="0">
        <f>IFERROR(AB9*U9/T9,0)</f>
        <v/>
      </c>
      <c r="AE9" s="0">
        <f>MIN(N9,MAX(0,T9*1))</f>
        <v/>
      </c>
      <c r="AF9" s="0">
        <f>N9-AE9</f>
        <v/>
      </c>
      <c r="AG9" s="0">
        <f>IFERROR(AE9*U9/T9,0)</f>
        <v/>
      </c>
      <c r="AH9" s="0">
        <f>0</f>
        <v/>
      </c>
      <c r="AI9" s="0">
        <f>O9-AH9</f>
        <v/>
      </c>
      <c r="AJ9" s="0">
        <f>IFERROR(AH9*U9/T9,0)</f>
        <v/>
      </c>
      <c r="AK9" s="0">
        <f>MIN(P9,MAX(0,T9*6))</f>
        <v/>
      </c>
      <c r="AL9" s="0">
        <f>P9-AK9</f>
        <v/>
      </c>
      <c r="AM9" s="0">
        <f>IFERROR(AK9*U9/T9,0)</f>
        <v/>
      </c>
      <c r="AN9" s="0">
        <f>0</f>
        <v/>
      </c>
      <c r="AO9" s="0">
        <f>Q9-AN9</f>
        <v/>
      </c>
      <c r="AP9" s="0">
        <f>IFERROR(AN9*U9/T9,0)</f>
        <v/>
      </c>
      <c r="AQ9" s="0">
        <f>0</f>
        <v/>
      </c>
      <c r="AR9" s="0">
        <f>R9-AQ9</f>
        <v/>
      </c>
      <c r="AS9" s="0">
        <f>IFERROR(AQ9*U9/T9,0)</f>
        <v/>
      </c>
      <c r="AT9" s="0">
        <f>IF(AND(C9="SEG-03",H9&gt;0),IF(J9&lt;4,0.65,IF(J9&gt;=7,1.4,1)),1)</f>
        <v/>
      </c>
      <c r="AU9" s="0">
        <f>I9*AT9</f>
        <v/>
      </c>
      <c r="AV9" s="0">
        <f>'Lotes_Pipeline_sim3'!AY5+U9</f>
        <v/>
      </c>
      <c r="AW9" s="0">
        <f>MIN(AV9,MAX(0,'Mercados_Pipeline_sim3'!I9))</f>
        <v/>
      </c>
      <c r="AX9" s="0">
        <f>AW9*AU9</f>
        <v/>
      </c>
      <c r="AY9" s="0">
        <f>AV9-AW9</f>
        <v/>
      </c>
    </row>
    <row r="10">
      <c r="A10" s="0" t="n">
        <v>3</v>
      </c>
      <c r="B10" s="0" t="inlineStr">
        <is>
          <t>A</t>
        </is>
      </c>
      <c r="C10" s="0" t="inlineStr">
        <is>
          <t>SEG-01</t>
        </is>
      </c>
      <c r="D10" s="0" t="inlineStr">
        <is>
          <t>INF-08</t>
        </is>
      </c>
      <c r="E10" s="0" t="inlineStr">
        <is>
          <t>INS-01</t>
        </is>
      </c>
      <c r="F10" s="0" t="inlineStr">
        <is>
          <t>INS-04</t>
        </is>
      </c>
      <c r="G10" s="0" t="inlineStr">
        <is>
          <t>INS-06</t>
        </is>
      </c>
      <c r="H10" s="0" t="n">
        <v>200</v>
      </c>
      <c r="I10" s="0" t="n">
        <v>40</v>
      </c>
      <c r="J10" s="0">
        <f>IFERROR(INDEX('Catalogo_Numerico_sim3'!$H$2:$H$69,MATCH(E10,'Catalogo_Numerico_sim3'!$A$2:$A$69,0)),0)+IFERROR(INDEX('Catalogo_Numerico_sim3'!$H$2:$H$69,MATCH(F10,'Catalogo_Numerico_sim3'!$A$2:$A$69,0)),0)+IFERROR(INDEX('Catalogo_Numerico_sim3'!$H$2:$H$69,MATCH(G10,'Catalogo_Numerico_sim3'!$A$2:$A$69,0)),0)+IFERROR(INDEX('Catalogo_Numerico_sim3'!$H$2:$H$69,MATCH(D10,'Catalogo_Numerico_sim3'!$A$2:$A$69,0)),0)</f>
        <v/>
      </c>
      <c r="K10" s="0">
        <f>'Pipeline_sim3'!CG10</f>
        <v/>
      </c>
      <c r="L10" s="0">
        <f>'Pipeline_sim3'!CI10</f>
        <v/>
      </c>
      <c r="M10" s="0">
        <f>'Pipeline_sim3'!CK10</f>
        <v/>
      </c>
      <c r="N10" s="0">
        <f>'Pipeline_sim3'!CM10</f>
        <v/>
      </c>
      <c r="O10" s="0">
        <f>'Pipeline_sim3'!CO10</f>
        <v/>
      </c>
      <c r="P10" s="0">
        <f>'Pipeline_sim3'!CQ10</f>
        <v/>
      </c>
      <c r="Q10" s="0">
        <f>'Pipeline_sim3'!CS10</f>
        <v/>
      </c>
      <c r="R10" s="0">
        <f>'Pipeline_sim3'!CU10</f>
        <v/>
      </c>
      <c r="S10" s="0">
        <f>IFERROR(ROUNDDOWN(H10*'Pipeline_sim3'!CE10/'Pipeline_sim3'!I10,0),0)</f>
        <v/>
      </c>
      <c r="T10" s="0">
        <f>ROUNDDOWN(MIN(H10,S10,(K10)/0.3,(N10)/1,(P10)/6),0)</f>
        <v/>
      </c>
      <c r="U10" s="0">
        <f>ROUNDDOWN(T10*'Pipeline_sim3'!AU10,0)</f>
        <v/>
      </c>
      <c r="V10" s="0">
        <f>MIN(K10,MAX(0,T10*0.3))</f>
        <v/>
      </c>
      <c r="W10" s="0">
        <f>K10-V10</f>
        <v/>
      </c>
      <c r="X10" s="0">
        <f>IFERROR(V10*U10/T10,0)</f>
        <v/>
      </c>
      <c r="Y10" s="0">
        <f>0</f>
        <v/>
      </c>
      <c r="Z10" s="0">
        <f>L10-Y10</f>
        <v/>
      </c>
      <c r="AA10" s="0">
        <f>IFERROR(Y10*U10/T10,0)</f>
        <v/>
      </c>
      <c r="AB10" s="0">
        <f>0</f>
        <v/>
      </c>
      <c r="AC10" s="0">
        <f>M10-AB10</f>
        <v/>
      </c>
      <c r="AD10" s="0">
        <f>IFERROR(AB10*U10/T10,0)</f>
        <v/>
      </c>
      <c r="AE10" s="0">
        <f>MIN(N10,MAX(0,T10*1))</f>
        <v/>
      </c>
      <c r="AF10" s="0">
        <f>N10-AE10</f>
        <v/>
      </c>
      <c r="AG10" s="0">
        <f>IFERROR(AE10*U10/T10,0)</f>
        <v/>
      </c>
      <c r="AH10" s="0">
        <f>0</f>
        <v/>
      </c>
      <c r="AI10" s="0">
        <f>O10-AH10</f>
        <v/>
      </c>
      <c r="AJ10" s="0">
        <f>IFERROR(AH10*U10/T10,0)</f>
        <v/>
      </c>
      <c r="AK10" s="0">
        <f>MIN(P10,MAX(0,T10*6))</f>
        <v/>
      </c>
      <c r="AL10" s="0">
        <f>P10-AK10</f>
        <v/>
      </c>
      <c r="AM10" s="0">
        <f>IFERROR(AK10*U10/T10,0)</f>
        <v/>
      </c>
      <c r="AN10" s="0">
        <f>0</f>
        <v/>
      </c>
      <c r="AO10" s="0">
        <f>Q10-AN10</f>
        <v/>
      </c>
      <c r="AP10" s="0">
        <f>IFERROR(AN10*U10/T10,0)</f>
        <v/>
      </c>
      <c r="AQ10" s="0">
        <f>0</f>
        <v/>
      </c>
      <c r="AR10" s="0">
        <f>R10-AQ10</f>
        <v/>
      </c>
      <c r="AS10" s="0">
        <f>IFERROR(AQ10*U10/T10,0)</f>
        <v/>
      </c>
      <c r="AT10" s="0">
        <f>IF(AND(C10="SEG-03",H10&gt;0),IF(J10&lt;4,0.65,IF(J10&gt;=7,1.4,1)),1)</f>
        <v/>
      </c>
      <c r="AU10" s="0">
        <f>I10*AT10</f>
        <v/>
      </c>
      <c r="AV10" s="0">
        <f>'Lotes_Pipeline_sim3'!AY6+U10</f>
        <v/>
      </c>
      <c r="AW10" s="0">
        <f>MIN(AV10,MAX(0,'Mercados_Pipeline_sim3'!I10))</f>
        <v/>
      </c>
      <c r="AX10" s="0">
        <f>AW10*AU10</f>
        <v/>
      </c>
      <c r="AY10" s="0">
        <f>AV10-AW10</f>
        <v/>
      </c>
    </row>
    <row r="11">
      <c r="A11" s="0" t="n">
        <v>3</v>
      </c>
      <c r="B11" s="0" t="inlineStr">
        <is>
          <t>B</t>
        </is>
      </c>
      <c r="C11" s="0" t="inlineStr">
        <is>
          <t>SEG-02</t>
        </is>
      </c>
      <c r="D11" s="0" t="inlineStr">
        <is>
          <t>INF-09</t>
        </is>
      </c>
      <c r="E11" s="0" t="inlineStr">
        <is>
          <t>INS-02</t>
        </is>
      </c>
      <c r="F11" s="0" t="inlineStr">
        <is>
          <t>INS-04</t>
        </is>
      </c>
      <c r="G11" s="0" t="inlineStr">
        <is>
          <t>INS-07</t>
        </is>
      </c>
      <c r="H11" s="0" t="n">
        <v>200</v>
      </c>
      <c r="I11" s="0" t="n">
        <v>110</v>
      </c>
      <c r="J11" s="0">
        <f>IFERROR(INDEX('Catalogo_Numerico_sim3'!$H$2:$H$69,MATCH(E11,'Catalogo_Numerico_sim3'!$A$2:$A$69,0)),0)+IFERROR(INDEX('Catalogo_Numerico_sim3'!$H$2:$H$69,MATCH(F11,'Catalogo_Numerico_sim3'!$A$2:$A$69,0)),0)+IFERROR(INDEX('Catalogo_Numerico_sim3'!$H$2:$H$69,MATCH(G11,'Catalogo_Numerico_sim3'!$A$2:$A$69,0)),0)+IFERROR(INDEX('Catalogo_Numerico_sim3'!$H$2:$H$69,MATCH(D11,'Catalogo_Numerico_sim3'!$A$2:$A$69,0)),0)</f>
        <v/>
      </c>
      <c r="K11" s="0">
        <f>'Pipeline_sim3'!CG11</f>
        <v/>
      </c>
      <c r="L11" s="0">
        <f>'Pipeline_sim3'!CI11</f>
        <v/>
      </c>
      <c r="M11" s="0">
        <f>'Pipeline_sim3'!CK11</f>
        <v/>
      </c>
      <c r="N11" s="0">
        <f>'Pipeline_sim3'!CM11</f>
        <v/>
      </c>
      <c r="O11" s="0">
        <f>'Pipeline_sim3'!CO11</f>
        <v/>
      </c>
      <c r="P11" s="0">
        <f>'Pipeline_sim3'!CQ11</f>
        <v/>
      </c>
      <c r="Q11" s="0">
        <f>'Pipeline_sim3'!CS11</f>
        <v/>
      </c>
      <c r="R11" s="0">
        <f>'Pipeline_sim3'!CU11</f>
        <v/>
      </c>
      <c r="S11" s="0">
        <f>IFERROR(ROUNDDOWN(H11*'Pipeline_sim3'!CE11/'Pipeline_sim3'!I11,0),0)</f>
        <v/>
      </c>
      <c r="T11" s="0">
        <f>ROUNDDOWN(MIN(H11,S11,(L11)/0.4,(N11)/1,(Q11)/7),0)</f>
        <v/>
      </c>
      <c r="U11" s="0">
        <f>ROUNDDOWN(T11*'Pipeline_sim3'!AU11,0)</f>
        <v/>
      </c>
      <c r="V11" s="0">
        <f>0</f>
        <v/>
      </c>
      <c r="W11" s="0">
        <f>K11-V11</f>
        <v/>
      </c>
      <c r="X11" s="0">
        <f>IFERROR(V11*U11/T11,0)</f>
        <v/>
      </c>
      <c r="Y11" s="0">
        <f>MIN(L11,MAX(0,T11*0.4-(V11)))</f>
        <v/>
      </c>
      <c r="Z11" s="0">
        <f>L11-Y11</f>
        <v/>
      </c>
      <c r="AA11" s="0">
        <f>IFERROR(Y11*U11/T11,0)</f>
        <v/>
      </c>
      <c r="AB11" s="0">
        <f>0</f>
        <v/>
      </c>
      <c r="AC11" s="0">
        <f>M11-AB11</f>
        <v/>
      </c>
      <c r="AD11" s="0">
        <f>IFERROR(AB11*U11/T11,0)</f>
        <v/>
      </c>
      <c r="AE11" s="0">
        <f>MIN(N11,MAX(0,T11*1))</f>
        <v/>
      </c>
      <c r="AF11" s="0">
        <f>N11-AE11</f>
        <v/>
      </c>
      <c r="AG11" s="0">
        <f>IFERROR(AE11*U11/T11,0)</f>
        <v/>
      </c>
      <c r="AH11" s="0">
        <f>0</f>
        <v/>
      </c>
      <c r="AI11" s="0">
        <f>O11-AH11</f>
        <v/>
      </c>
      <c r="AJ11" s="0">
        <f>IFERROR(AH11*U11/T11,0)</f>
        <v/>
      </c>
      <c r="AK11" s="0">
        <f>0</f>
        <v/>
      </c>
      <c r="AL11" s="0">
        <f>P11-AK11</f>
        <v/>
      </c>
      <c r="AM11" s="0">
        <f>IFERROR(AK11*U11/T11,0)</f>
        <v/>
      </c>
      <c r="AN11" s="0">
        <f>MIN(Q11,MAX(0,T11*7-(AK11)))</f>
        <v/>
      </c>
      <c r="AO11" s="0">
        <f>Q11-AN11</f>
        <v/>
      </c>
      <c r="AP11" s="0">
        <f>IFERROR(AN11*U11/T11,0)</f>
        <v/>
      </c>
      <c r="AQ11" s="0">
        <f>0</f>
        <v/>
      </c>
      <c r="AR11" s="0">
        <f>R11-AQ11</f>
        <v/>
      </c>
      <c r="AS11" s="0">
        <f>IFERROR(AQ11*U11/T11,0)</f>
        <v/>
      </c>
      <c r="AT11" s="0">
        <f>IF(AND(C11="SEG-03",H11&gt;0),IF(J11&lt;4,0.65,IF(J11&gt;=7,1.4,1)),1)</f>
        <v/>
      </c>
      <c r="AU11" s="0">
        <f>I11*AT11</f>
        <v/>
      </c>
      <c r="AV11" s="0">
        <f>'Lotes_Pipeline_sim3'!AY7+U11</f>
        <v/>
      </c>
      <c r="AW11" s="0">
        <f>MIN(AV11,MAX(0,'Mercados_Pipeline_sim3'!I11))</f>
        <v/>
      </c>
      <c r="AX11" s="0">
        <f>AW11*AU11</f>
        <v/>
      </c>
      <c r="AY11" s="0">
        <f>AV11-AW11</f>
        <v/>
      </c>
    </row>
    <row r="12">
      <c r="A12" s="0" t="n">
        <v>3</v>
      </c>
      <c r="B12" s="0" t="inlineStr">
        <is>
          <t>C</t>
        </is>
      </c>
      <c r="C12" s="0" t="inlineStr">
        <is>
          <t>SEG-03</t>
        </is>
      </c>
      <c r="D12" s="0" t="inlineStr">
        <is>
          <t>INF-10</t>
        </is>
      </c>
      <c r="E12" s="0" t="inlineStr">
        <is>
          <t>INS-03</t>
        </is>
      </c>
      <c r="F12" s="0" t="inlineStr">
        <is>
          <t>INS-05</t>
        </is>
      </c>
      <c r="G12" s="0" t="inlineStr">
        <is>
          <t>INS-08</t>
        </is>
      </c>
      <c r="H12" s="0" t="n">
        <v>200</v>
      </c>
      <c r="I12" s="0" t="n">
        <v>260</v>
      </c>
      <c r="J12" s="0">
        <f>IFERROR(INDEX('Catalogo_Numerico_sim3'!$H$2:$H$69,MATCH(E12,'Catalogo_Numerico_sim3'!$A$2:$A$69,0)),0)+IFERROR(INDEX('Catalogo_Numerico_sim3'!$H$2:$H$69,MATCH(F12,'Catalogo_Numerico_sim3'!$A$2:$A$69,0)),0)+IFERROR(INDEX('Catalogo_Numerico_sim3'!$H$2:$H$69,MATCH(G12,'Catalogo_Numerico_sim3'!$A$2:$A$69,0)),0)+IFERROR(INDEX('Catalogo_Numerico_sim3'!$H$2:$H$69,MATCH(D12,'Catalogo_Numerico_sim3'!$A$2:$A$69,0)),0)</f>
        <v/>
      </c>
      <c r="K12" s="0">
        <f>'Pipeline_sim3'!CG12</f>
        <v/>
      </c>
      <c r="L12" s="0">
        <f>'Pipeline_sim3'!CI12</f>
        <v/>
      </c>
      <c r="M12" s="0">
        <f>'Pipeline_sim3'!CK12</f>
        <v/>
      </c>
      <c r="N12" s="0">
        <f>'Pipeline_sim3'!CM12</f>
        <v/>
      </c>
      <c r="O12" s="0">
        <f>'Pipeline_sim3'!CO12</f>
        <v/>
      </c>
      <c r="P12" s="0">
        <f>'Pipeline_sim3'!CQ12</f>
        <v/>
      </c>
      <c r="Q12" s="0">
        <f>'Pipeline_sim3'!CS12</f>
        <v/>
      </c>
      <c r="R12" s="0">
        <f>'Pipeline_sim3'!CU12</f>
        <v/>
      </c>
      <c r="S12" s="0">
        <f>IFERROR(ROUNDDOWN(H12*'Pipeline_sim3'!CE12/'Pipeline_sim3'!I12,0),0)</f>
        <v/>
      </c>
      <c r="T12" s="0">
        <f>ROUNDDOWN(MIN(H12,S12,(M12)/0.7,(O12)/1,(R12)/13),0)</f>
        <v/>
      </c>
      <c r="U12" s="0">
        <f>ROUNDDOWN(T12*'Pipeline_sim3'!AU12,0)</f>
        <v/>
      </c>
      <c r="V12" s="0">
        <f>0</f>
        <v/>
      </c>
      <c r="W12" s="0">
        <f>K12-V12</f>
        <v/>
      </c>
      <c r="X12" s="0">
        <f>IFERROR(V12*U12/T12,0)</f>
        <v/>
      </c>
      <c r="Y12" s="0">
        <f>0</f>
        <v/>
      </c>
      <c r="Z12" s="0">
        <f>L12-Y12</f>
        <v/>
      </c>
      <c r="AA12" s="0">
        <f>IFERROR(Y12*U12/T12,0)</f>
        <v/>
      </c>
      <c r="AB12" s="0">
        <f>MIN(M12,MAX(0,T12*0.7-(V12+Y12)))</f>
        <v/>
      </c>
      <c r="AC12" s="0">
        <f>M12-AB12</f>
        <v/>
      </c>
      <c r="AD12" s="0">
        <f>IFERROR(AB12*U12/T12,0)</f>
        <v/>
      </c>
      <c r="AE12" s="0">
        <f>0</f>
        <v/>
      </c>
      <c r="AF12" s="0">
        <f>N12-AE12</f>
        <v/>
      </c>
      <c r="AG12" s="0">
        <f>IFERROR(AE12*U12/T12,0)</f>
        <v/>
      </c>
      <c r="AH12" s="0">
        <f>MIN(O12,MAX(0,T12*1-(AE12)))</f>
        <v/>
      </c>
      <c r="AI12" s="0">
        <f>O12-AH12</f>
        <v/>
      </c>
      <c r="AJ12" s="0">
        <f>IFERROR(AH12*U12/T12,0)</f>
        <v/>
      </c>
      <c r="AK12" s="0">
        <f>0</f>
        <v/>
      </c>
      <c r="AL12" s="0">
        <f>P12-AK12</f>
        <v/>
      </c>
      <c r="AM12" s="0">
        <f>IFERROR(AK12*U12/T12,0)</f>
        <v/>
      </c>
      <c r="AN12" s="0">
        <f>0</f>
        <v/>
      </c>
      <c r="AO12" s="0">
        <f>Q12-AN12</f>
        <v/>
      </c>
      <c r="AP12" s="0">
        <f>IFERROR(AN12*U12/T12,0)</f>
        <v/>
      </c>
      <c r="AQ12" s="0">
        <f>MIN(R12,MAX(0,T12*13-(AK12+AN12)))</f>
        <v/>
      </c>
      <c r="AR12" s="0">
        <f>R12-AQ12</f>
        <v/>
      </c>
      <c r="AS12" s="0">
        <f>IFERROR(AQ12*U12/T12,0)</f>
        <v/>
      </c>
      <c r="AT12" s="0">
        <f>IF(AND(C12="SEG-03",H12&gt;0),IF(J12&lt;4,0.65,IF(J12&gt;=7,1.4,1)),1)</f>
        <v/>
      </c>
      <c r="AU12" s="0">
        <f>I12*AT12</f>
        <v/>
      </c>
      <c r="AV12" s="0">
        <f>'Lotes_Pipeline_sim3'!AY8+U12</f>
        <v/>
      </c>
      <c r="AW12" s="0">
        <f>MIN(AV12,MAX(0,'Mercados_Pipeline_sim3'!I12))</f>
        <v/>
      </c>
      <c r="AX12" s="0">
        <f>AW12*AU12</f>
        <v/>
      </c>
      <c r="AY12" s="0">
        <f>AV12-AW12</f>
        <v/>
      </c>
    </row>
    <row r="13">
      <c r="A13" s="0" t="n">
        <v>3</v>
      </c>
      <c r="B13" s="0" t="inlineStr">
        <is>
          <t>D</t>
        </is>
      </c>
      <c r="C13" s="0" t="inlineStr">
        <is>
          <t>SEG-01</t>
        </is>
      </c>
      <c r="D13" s="0" t="inlineStr">
        <is>
          <t>INF-08</t>
        </is>
      </c>
      <c r="E13" s="0" t="inlineStr">
        <is>
          <t>INS-01</t>
        </is>
      </c>
      <c r="F13" s="0" t="inlineStr">
        <is>
          <t>INS-04</t>
        </is>
      </c>
      <c r="G13" s="0" t="inlineStr">
        <is>
          <t>INS-06</t>
        </is>
      </c>
      <c r="H13" s="0" t="n">
        <v>200</v>
      </c>
      <c r="I13" s="0" t="n">
        <v>45</v>
      </c>
      <c r="J13" s="0">
        <f>IFERROR(INDEX('Catalogo_Numerico_sim3'!$H$2:$H$69,MATCH(E13,'Catalogo_Numerico_sim3'!$A$2:$A$69,0)),0)+IFERROR(INDEX('Catalogo_Numerico_sim3'!$H$2:$H$69,MATCH(F13,'Catalogo_Numerico_sim3'!$A$2:$A$69,0)),0)+IFERROR(INDEX('Catalogo_Numerico_sim3'!$H$2:$H$69,MATCH(G13,'Catalogo_Numerico_sim3'!$A$2:$A$69,0)),0)+IFERROR(INDEX('Catalogo_Numerico_sim3'!$H$2:$H$69,MATCH(D13,'Catalogo_Numerico_sim3'!$A$2:$A$69,0)),0)</f>
        <v/>
      </c>
      <c r="K13" s="0">
        <f>'Pipeline_sim3'!CG13</f>
        <v/>
      </c>
      <c r="L13" s="0">
        <f>'Pipeline_sim3'!CI13</f>
        <v/>
      </c>
      <c r="M13" s="0">
        <f>'Pipeline_sim3'!CK13</f>
        <v/>
      </c>
      <c r="N13" s="0">
        <f>'Pipeline_sim3'!CM13</f>
        <v/>
      </c>
      <c r="O13" s="0">
        <f>'Pipeline_sim3'!CO13</f>
        <v/>
      </c>
      <c r="P13" s="0">
        <f>'Pipeline_sim3'!CQ13</f>
        <v/>
      </c>
      <c r="Q13" s="0">
        <f>'Pipeline_sim3'!CS13</f>
        <v/>
      </c>
      <c r="R13" s="0">
        <f>'Pipeline_sim3'!CU13</f>
        <v/>
      </c>
      <c r="S13" s="0">
        <f>IFERROR(ROUNDDOWN(H13*'Pipeline_sim3'!CE13/'Pipeline_sim3'!I13,0),0)</f>
        <v/>
      </c>
      <c r="T13" s="0">
        <f>ROUNDDOWN(MIN(H13,S13,(K13)/0.3,(N13)/1,(P13)/6),0)</f>
        <v/>
      </c>
      <c r="U13" s="0">
        <f>ROUNDDOWN(T13*'Pipeline_sim3'!AU13,0)</f>
        <v/>
      </c>
      <c r="V13" s="0">
        <f>MIN(K13,MAX(0,T13*0.3))</f>
        <v/>
      </c>
      <c r="W13" s="0">
        <f>K13-V13</f>
        <v/>
      </c>
      <c r="X13" s="0">
        <f>IFERROR(V13*U13/T13,0)</f>
        <v/>
      </c>
      <c r="Y13" s="0">
        <f>0</f>
        <v/>
      </c>
      <c r="Z13" s="0">
        <f>L13-Y13</f>
        <v/>
      </c>
      <c r="AA13" s="0">
        <f>IFERROR(Y13*U13/T13,0)</f>
        <v/>
      </c>
      <c r="AB13" s="0">
        <f>0</f>
        <v/>
      </c>
      <c r="AC13" s="0">
        <f>M13-AB13</f>
        <v/>
      </c>
      <c r="AD13" s="0">
        <f>IFERROR(AB13*U13/T13,0)</f>
        <v/>
      </c>
      <c r="AE13" s="0">
        <f>MIN(N13,MAX(0,T13*1))</f>
        <v/>
      </c>
      <c r="AF13" s="0">
        <f>N13-AE13</f>
        <v/>
      </c>
      <c r="AG13" s="0">
        <f>IFERROR(AE13*U13/T13,0)</f>
        <v/>
      </c>
      <c r="AH13" s="0">
        <f>0</f>
        <v/>
      </c>
      <c r="AI13" s="0">
        <f>O13-AH13</f>
        <v/>
      </c>
      <c r="AJ13" s="0">
        <f>IFERROR(AH13*U13/T13,0)</f>
        <v/>
      </c>
      <c r="AK13" s="0">
        <f>MIN(P13,MAX(0,T13*6))</f>
        <v/>
      </c>
      <c r="AL13" s="0">
        <f>P13-AK13</f>
        <v/>
      </c>
      <c r="AM13" s="0">
        <f>IFERROR(AK13*U13/T13,0)</f>
        <v/>
      </c>
      <c r="AN13" s="0">
        <f>0</f>
        <v/>
      </c>
      <c r="AO13" s="0">
        <f>Q13-AN13</f>
        <v/>
      </c>
      <c r="AP13" s="0">
        <f>IFERROR(AN13*U13/T13,0)</f>
        <v/>
      </c>
      <c r="AQ13" s="0">
        <f>0</f>
        <v/>
      </c>
      <c r="AR13" s="0">
        <f>R13-AQ13</f>
        <v/>
      </c>
      <c r="AS13" s="0">
        <f>IFERROR(AQ13*U13/T13,0)</f>
        <v/>
      </c>
      <c r="AT13" s="0">
        <f>IF(AND(C13="SEG-03",H13&gt;0),IF(J13&lt;4,0.65,IF(J13&gt;=7,1.4,1)),1)</f>
        <v/>
      </c>
      <c r="AU13" s="0">
        <f>I13*AT13</f>
        <v/>
      </c>
      <c r="AV13" s="0">
        <f>'Lotes_Pipeline_sim3'!AY9+U13</f>
        <v/>
      </c>
      <c r="AW13" s="0">
        <f>MIN(AV13,MAX(0,'Mercados_Pipeline_sim3'!I13))</f>
        <v/>
      </c>
      <c r="AX13" s="0">
        <f>AW13*AU13</f>
        <v/>
      </c>
      <c r="AY13" s="0">
        <f>AV13-AW13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1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s="0" t="inlineStr">
        <is>
          <t>ciclo</t>
        </is>
      </c>
      <c r="B1" s="0" t="inlineStr">
        <is>
          <t>empresa</t>
        </is>
      </c>
      <c r="C1" s="0" t="inlineStr">
        <is>
          <t>segmento</t>
        </is>
      </c>
      <c r="D1" s="0" t="inlineStr">
        <is>
          <t>grupo</t>
        </is>
      </c>
      <c r="E1" s="0" t="inlineStr">
        <is>
          <t>activo</t>
        </is>
      </c>
      <c r="F1" s="0" t="inlineStr">
        <is>
          <t>precio</t>
        </is>
      </c>
      <c r="G1" s="0" t="inlineStr">
        <is>
          <t>reputacion</t>
        </is>
      </c>
      <c r="H1" s="0" t="inlineStr">
        <is>
          <t>calidad</t>
        </is>
      </c>
      <c r="I1" s="0" t="inlineStr">
        <is>
          <t>demandaAjustada</t>
        </is>
      </c>
      <c r="J1" s="0" t="inlineStr">
        <is>
          <t>asignado</t>
        </is>
      </c>
      <c r="K1" s="0" t="inlineStr">
        <is>
          <t>puntajePrecio</t>
        </is>
      </c>
      <c r="L1" s="0" t="inlineStr">
        <is>
          <t>puntajeTotal</t>
        </is>
      </c>
      <c r="M1" s="0" t="inlineStr">
        <is>
          <t>reputacionEscalada</t>
        </is>
      </c>
      <c r="N1" s="0" t="inlineStr">
        <is>
          <t>porcentaje</t>
        </is>
      </c>
    </row>
    <row r="2">
      <c r="A2" s="0" t="n">
        <v>1</v>
      </c>
      <c r="B2" s="0" t="inlineStr">
        <is>
          <t>A</t>
        </is>
      </c>
      <c r="C2" s="0" t="inlineStr">
        <is>
          <t>SEG-01</t>
        </is>
      </c>
      <c r="D2" s="0" t="inlineStr">
        <is>
          <t>1|SEG-01</t>
        </is>
      </c>
      <c r="E2" s="0">
        <f>TRUE()</f>
        <v/>
      </c>
      <c r="F2" s="0">
        <f>IFERROR(('Lotes_Pipeline_sim3'!I2*'Lotes_Pipeline_sim3'!H2)/('Lotes_Pipeline_sim3'!H2),0)</f>
        <v/>
      </c>
      <c r="G2" s="0">
        <f>'Pipeline_sim3'!DY2</f>
        <v/>
      </c>
      <c r="H2" s="0">
        <f>IFERROR(ROUND(G2/SUMIFS($G$2:$G$13,$D$2:$D$13,"1|SEG-01",$E$2:$E$13,TRUE())*100,0),0)</f>
        <v/>
      </c>
      <c r="I2" s="0">
        <f>MAX(0,ROUNDDOWN(J2*'Pipeline_sim3'!AN2*1,0))</f>
        <v/>
      </c>
      <c r="J2" s="0">
        <f>IFERROR(ROUND(L2/SUMIF($D$2:$D$13,D2,$L$2:$L$13)*40*1,0),0)</f>
        <v/>
      </c>
      <c r="K2" s="0">
        <f>IFERROR(100*(_xlfn.MAXIFS($F$2:$F$13,$D$2:$D$13,D2,$E$2:$E$13,TRUE())-F2)/(_xlfn.MAXIFS($F$2:$F$13,$D$2:$D$13,D2,$E$2:$E$13,TRUE())-_xlfn.MINIFS($F$2:$F$13,$D$2:$D$13,D2,$E$2:$E$13,TRUE())),100)</f>
        <v/>
      </c>
      <c r="L2" s="0">
        <f>IF(E2,0.7*K2+0.2*G2*10+0.1*H2,0)</f>
        <v/>
      </c>
      <c r="M2" s="0">
        <f>G2*10</f>
        <v/>
      </c>
      <c r="N2" s="0">
        <f>IFERROR(L2/SUMIF($D$2:$D$13,D2,$L$2:$L$13),0)</f>
        <v/>
      </c>
    </row>
    <row r="3">
      <c r="A3" s="0" t="n">
        <v>1</v>
      </c>
      <c r="B3" s="0" t="inlineStr">
        <is>
          <t>B</t>
        </is>
      </c>
      <c r="C3" s="0" t="inlineStr">
        <is>
          <t>SEG-02</t>
        </is>
      </c>
      <c r="D3" s="0" t="inlineStr">
        <is>
          <t>1|SEG-02</t>
        </is>
      </c>
      <c r="E3" s="0">
        <f>TRUE()</f>
        <v/>
      </c>
      <c r="F3" s="0">
        <f>IFERROR(('Lotes_Pipeline_sim3'!I3*'Lotes_Pipeline_sim3'!H3)/('Lotes_Pipeline_sim3'!H3),0)</f>
        <v/>
      </c>
      <c r="G3" s="0">
        <f>'Pipeline_sim3'!DY3</f>
        <v/>
      </c>
      <c r="H3" s="0">
        <f>IFERROR(ROUND(G3/SUMIFS($G$2:$G$13,$D$2:$D$13,"1|SEG-01",$E$2:$E$13,TRUE())*100,0),0)</f>
        <v/>
      </c>
      <c r="I3" s="0">
        <f>MAX(0,ROUNDDOWN(J3*'Pipeline_sim3'!AN3*1.12,0))</f>
        <v/>
      </c>
      <c r="J3" s="0">
        <f>IFERROR(ROUND(L3/SUMIF($D$2:$D$13,D3,$L$2:$L$13)*40*1,0),0)</f>
        <v/>
      </c>
      <c r="K3" s="0">
        <f>100-ABS(F3-100)/100*100</f>
        <v/>
      </c>
      <c r="L3" s="0">
        <f>IF(E3,0.4*K3+0.35*G3*10+0.25*H3,0)</f>
        <v/>
      </c>
      <c r="M3" s="0">
        <f>G3*10</f>
        <v/>
      </c>
      <c r="N3" s="0">
        <f>IFERROR(L3/SUMIF($D$2:$D$13,D3,$L$2:$L$13),0)</f>
        <v/>
      </c>
    </row>
    <row r="4">
      <c r="A4" s="0" t="n">
        <v>1</v>
      </c>
      <c r="B4" s="0" t="inlineStr">
        <is>
          <t>C</t>
        </is>
      </c>
      <c r="C4" s="0" t="inlineStr">
        <is>
          <t>SEG-03</t>
        </is>
      </c>
      <c r="D4" s="0" t="inlineStr">
        <is>
          <t>1|SEG-03</t>
        </is>
      </c>
      <c r="E4" s="0">
        <f>TRUE()</f>
        <v/>
      </c>
      <c r="F4" s="0">
        <f>IFERROR(('Lotes_Pipeline_sim3'!I4*'Lotes_Pipeline_sim3'!H4)/('Lotes_Pipeline_sim3'!H4),0)</f>
        <v/>
      </c>
      <c r="G4" s="0">
        <f>'Pipeline_sim3'!DY4</f>
        <v/>
      </c>
      <c r="H4" s="0">
        <f>IFERROR(ROUND(G4/SUMIFS($G$2:$G$13,$D$2:$D$13,"1|SEG-01",$E$2:$E$13,TRUE())*100,0),0)</f>
        <v/>
      </c>
      <c r="I4" s="0">
        <f>MAX(0,ROUNDDOWN(J4*'Pipeline_sim3'!AN4*1.12,0))</f>
        <v/>
      </c>
      <c r="J4" s="0">
        <f>IFERROR(ROUND(L4/SUMIF($D$2:$D$13,D4,$L$2:$L$13)*40*1,0),0)</f>
        <v/>
      </c>
      <c r="K4" s="0">
        <f>100-ABS(F4-250)/250*100</f>
        <v/>
      </c>
      <c r="L4" s="0">
        <f>IF(E4,0.1*K4+0.5*G4*10+0.4*H4,0)</f>
        <v/>
      </c>
      <c r="M4" s="0">
        <f>G4*10</f>
        <v/>
      </c>
      <c r="N4" s="0">
        <f>IFERROR(L4/SUMIF($D$2:$D$13,D4,$L$2:$L$13),0)</f>
        <v/>
      </c>
    </row>
    <row r="5">
      <c r="A5" s="0" t="n">
        <v>1</v>
      </c>
      <c r="B5" s="0" t="inlineStr">
        <is>
          <t>D</t>
        </is>
      </c>
      <c r="C5" s="0" t="inlineStr">
        <is>
          <t>SEG-01</t>
        </is>
      </c>
      <c r="D5" s="0" t="inlineStr">
        <is>
          <t>1|SEG-01</t>
        </is>
      </c>
      <c r="E5" s="0">
        <f>TRUE()</f>
        <v/>
      </c>
      <c r="F5" s="0">
        <f>IFERROR(('Lotes_Pipeline_sim3'!I5*'Lotes_Pipeline_sim3'!H5)/('Lotes_Pipeline_sim3'!H5),0)</f>
        <v/>
      </c>
      <c r="G5" s="0">
        <f>'Pipeline_sim3'!DY5</f>
        <v/>
      </c>
      <c r="H5" s="0">
        <f>IFERROR(ROUND(G5/SUMIFS($G$2:$G$13,$D$2:$D$13,"1|SEG-01",$E$2:$E$13,TRUE())*100,0),0)</f>
        <v/>
      </c>
      <c r="I5" s="0">
        <f>MAX(0,ROUNDDOWN(J5*'Pipeline_sim3'!AN5*1.12,0))</f>
        <v/>
      </c>
      <c r="J5" s="0">
        <f>IFERROR(ROUND(L5/SUMIF($D$2:$D$13,D5,$L$2:$L$13)*40*1,0),0)</f>
        <v/>
      </c>
      <c r="K5" s="0">
        <f>IFERROR(100*(_xlfn.MAXIFS($F$2:$F$13,$D$2:$D$13,D5,$E$2:$E$13,TRUE())-F5)/(_xlfn.MAXIFS($F$2:$F$13,$D$2:$D$13,D5,$E$2:$E$13,TRUE())-_xlfn.MINIFS($F$2:$F$13,$D$2:$D$13,D5,$E$2:$E$13,TRUE())),100)</f>
        <v/>
      </c>
      <c r="L5" s="0">
        <f>IF(E5,0.7*K5+0.2*G5*10+0.1*H5,0)</f>
        <v/>
      </c>
      <c r="M5" s="0">
        <f>G5*10</f>
        <v/>
      </c>
      <c r="N5" s="0">
        <f>IFERROR(L5/SUMIF($D$2:$D$13,D5,$L$2:$L$13),0)</f>
        <v/>
      </c>
    </row>
    <row r="6">
      <c r="A6" s="0" t="n">
        <v>2</v>
      </c>
      <c r="B6" s="0" t="inlineStr">
        <is>
          <t>A</t>
        </is>
      </c>
      <c r="C6" s="0" t="inlineStr">
        <is>
          <t>SEG-01</t>
        </is>
      </c>
      <c r="D6" s="0" t="inlineStr">
        <is>
          <t>2|SEG-01</t>
        </is>
      </c>
      <c r="E6" s="0">
        <f>TRUE()</f>
        <v/>
      </c>
      <c r="F6" s="0">
        <f>IFERROR(('Lotes_Pipeline_sim3'!I6*'Lotes_Pipeline_sim3'!H6)/('Lotes_Pipeline_sim3'!H6),0)</f>
        <v/>
      </c>
      <c r="G6" s="0">
        <f>'Pipeline_sim3'!DY6</f>
        <v/>
      </c>
      <c r="H6" s="0">
        <f>IFERROR(ROUND(G6/SUMIFS($G$2:$G$13,$D$2:$D$13,"2|SEG-01",$E$2:$E$13,TRUE())*100,0),0)</f>
        <v/>
      </c>
      <c r="I6" s="0">
        <f>MAX(0,ROUNDDOWN(J6*'Pipeline_sim3'!AN6*1,0))</f>
        <v/>
      </c>
      <c r="J6" s="0">
        <f>IFERROR(ROUND(L6/SUMIF($D$2:$D$13,D6,$L$2:$L$13)*40*1,0),0)</f>
        <v/>
      </c>
      <c r="K6" s="0">
        <f>IFERROR(100*(_xlfn.MAXIFS($F$2:$F$13,$D$2:$D$13,D6,$E$2:$E$13,TRUE())-F6)/(_xlfn.MAXIFS($F$2:$F$13,$D$2:$D$13,D6,$E$2:$E$13,TRUE())-_xlfn.MINIFS($F$2:$F$13,$D$2:$D$13,D6,$E$2:$E$13,TRUE())),100)</f>
        <v/>
      </c>
      <c r="L6" s="0">
        <f>IF(E6,0.7*K6+0.2*G6*10+0.1*H6,0)</f>
        <v/>
      </c>
      <c r="M6" s="0">
        <f>G6*10</f>
        <v/>
      </c>
      <c r="N6" s="0">
        <f>IFERROR(L6/SUMIF($D$2:$D$13,D6,$L$2:$L$13),0)</f>
        <v/>
      </c>
    </row>
    <row r="7">
      <c r="A7" s="0" t="n">
        <v>2</v>
      </c>
      <c r="B7" s="0" t="inlineStr">
        <is>
          <t>B</t>
        </is>
      </c>
      <c r="C7" s="0" t="inlineStr">
        <is>
          <t>SEG-02</t>
        </is>
      </c>
      <c r="D7" s="0" t="inlineStr">
        <is>
          <t>2|SEG-02</t>
        </is>
      </c>
      <c r="E7" s="0">
        <f>TRUE()</f>
        <v/>
      </c>
      <c r="F7" s="0">
        <f>IFERROR(('Lotes_Pipeline_sim3'!I7*'Lotes_Pipeline_sim3'!H7)/('Lotes_Pipeline_sim3'!H7),0)</f>
        <v/>
      </c>
      <c r="G7" s="0">
        <f>'Pipeline_sim3'!DY7</f>
        <v/>
      </c>
      <c r="H7" s="0">
        <f>IFERROR(ROUND(G7/SUMIFS($G$2:$G$13,$D$2:$D$13,"2|SEG-01",$E$2:$E$13,TRUE())*100,0),0)</f>
        <v/>
      </c>
      <c r="I7" s="0">
        <f>MAX(0,ROUNDDOWN(J7*'Pipeline_sim3'!AN7*1.12,0))</f>
        <v/>
      </c>
      <c r="J7" s="0">
        <f>IFERROR(ROUND(L7/SUMIF($D$2:$D$13,D7,$L$2:$L$13)*40*1,0),0)</f>
        <v/>
      </c>
      <c r="K7" s="0">
        <f>100-ABS(F7-100)/100*100</f>
        <v/>
      </c>
      <c r="L7" s="0">
        <f>IF(E7,0.4*K7+0.35*G7*10+0.25*H7,0)</f>
        <v/>
      </c>
      <c r="M7" s="0">
        <f>G7*10</f>
        <v/>
      </c>
      <c r="N7" s="0">
        <f>IFERROR(L7/SUMIF($D$2:$D$13,D7,$L$2:$L$13),0)</f>
        <v/>
      </c>
    </row>
    <row r="8">
      <c r="A8" s="0" t="n">
        <v>2</v>
      </c>
      <c r="B8" s="0" t="inlineStr">
        <is>
          <t>C</t>
        </is>
      </c>
      <c r="C8" s="0" t="inlineStr">
        <is>
          <t>SEG-03</t>
        </is>
      </c>
      <c r="D8" s="0" t="inlineStr">
        <is>
          <t>2|SEG-03</t>
        </is>
      </c>
      <c r="E8" s="0">
        <f>TRUE()</f>
        <v/>
      </c>
      <c r="F8" s="0">
        <f>IFERROR(('Lotes_Pipeline_sim3'!I8*'Lotes_Pipeline_sim3'!H8)/('Lotes_Pipeline_sim3'!H8),0)</f>
        <v/>
      </c>
      <c r="G8" s="0">
        <f>'Pipeline_sim3'!DY8</f>
        <v/>
      </c>
      <c r="H8" s="0">
        <f>IFERROR(ROUND(G8/SUMIFS($G$2:$G$13,$D$2:$D$13,"2|SEG-01",$E$2:$E$13,TRUE())*100,0),0)</f>
        <v/>
      </c>
      <c r="I8" s="0">
        <f>MAX(0,ROUNDDOWN(J8*'Pipeline_sim3'!AN8*1.12,0))</f>
        <v/>
      </c>
      <c r="J8" s="0">
        <f>IFERROR(ROUND(L8/SUMIF($D$2:$D$13,D8,$L$2:$L$13)*40*1,0),0)</f>
        <v/>
      </c>
      <c r="K8" s="0">
        <f>100-ABS(F8-250)/250*100</f>
        <v/>
      </c>
      <c r="L8" s="0">
        <f>IF(E8,0.1*K8+0.5*G8*10+0.4*H8,0)</f>
        <v/>
      </c>
      <c r="M8" s="0">
        <f>G8*10</f>
        <v/>
      </c>
      <c r="N8" s="0">
        <f>IFERROR(L8/SUMIF($D$2:$D$13,D8,$L$2:$L$13),0)</f>
        <v/>
      </c>
    </row>
    <row r="9">
      <c r="A9" s="0" t="n">
        <v>2</v>
      </c>
      <c r="B9" s="0" t="inlineStr">
        <is>
          <t>D</t>
        </is>
      </c>
      <c r="C9" s="0" t="inlineStr">
        <is>
          <t>SEG-01</t>
        </is>
      </c>
      <c r="D9" s="0" t="inlineStr">
        <is>
          <t>2|SEG-01</t>
        </is>
      </c>
      <c r="E9" s="0">
        <f>TRUE()</f>
        <v/>
      </c>
      <c r="F9" s="0">
        <f>IFERROR(('Lotes_Pipeline_sim3'!I9*'Lotes_Pipeline_sim3'!H9)/('Lotes_Pipeline_sim3'!H9),0)</f>
        <v/>
      </c>
      <c r="G9" s="0">
        <f>'Pipeline_sim3'!DY9</f>
        <v/>
      </c>
      <c r="H9" s="0">
        <f>IFERROR(ROUND(G9/SUMIFS($G$2:$G$13,$D$2:$D$13,"2|SEG-01",$E$2:$E$13,TRUE())*100,0),0)</f>
        <v/>
      </c>
      <c r="I9" s="0">
        <f>MAX(0,ROUNDDOWN(J9*'Pipeline_sim3'!AN9*1.12,0))</f>
        <v/>
      </c>
      <c r="J9" s="0">
        <f>IFERROR(ROUND(L9/SUMIF($D$2:$D$13,D9,$L$2:$L$13)*40*1,0),0)</f>
        <v/>
      </c>
      <c r="K9" s="0">
        <f>IFERROR(100*(_xlfn.MAXIFS($F$2:$F$13,$D$2:$D$13,D9,$E$2:$E$13,TRUE())-F9)/(_xlfn.MAXIFS($F$2:$F$13,$D$2:$D$13,D9,$E$2:$E$13,TRUE())-_xlfn.MINIFS($F$2:$F$13,$D$2:$D$13,D9,$E$2:$E$13,TRUE())),100)</f>
        <v/>
      </c>
      <c r="L9" s="0">
        <f>IF(E9,0.7*K9+0.2*G9*10+0.1*H9,0)</f>
        <v/>
      </c>
      <c r="M9" s="0">
        <f>G9*10</f>
        <v/>
      </c>
      <c r="N9" s="0">
        <f>IFERROR(L9/SUMIF($D$2:$D$13,D9,$L$2:$L$13),0)</f>
        <v/>
      </c>
    </row>
    <row r="10">
      <c r="A10" s="0" t="n">
        <v>3</v>
      </c>
      <c r="B10" s="0" t="inlineStr">
        <is>
          <t>A</t>
        </is>
      </c>
      <c r="C10" s="0" t="inlineStr">
        <is>
          <t>SEG-01</t>
        </is>
      </c>
      <c r="D10" s="0" t="inlineStr">
        <is>
          <t>3|SEG-01</t>
        </is>
      </c>
      <c r="E10" s="0">
        <f>TRUE()</f>
        <v/>
      </c>
      <c r="F10" s="0">
        <f>IFERROR(('Lotes_Pipeline_sim3'!I10*'Lotes_Pipeline_sim3'!H10)/('Lotes_Pipeline_sim3'!H10),0)</f>
        <v/>
      </c>
      <c r="G10" s="0">
        <f>'Pipeline_sim3'!DY10</f>
        <v/>
      </c>
      <c r="H10" s="0">
        <f>IFERROR(ROUND(G10/SUMIFS($G$2:$G$13,$D$2:$D$13,"3|SEG-01",$E$2:$E$13,TRUE())*100,0),0)</f>
        <v/>
      </c>
      <c r="I10" s="0">
        <f>MAX(0,ROUNDDOWN(J10*'Pipeline_sim3'!AN10*1,0))</f>
        <v/>
      </c>
      <c r="J10" s="0">
        <f>IFERROR(ROUND(L10/SUMIF($D$2:$D$13,D10,$L$2:$L$13)*40*1,0),0)</f>
        <v/>
      </c>
      <c r="K10" s="0">
        <f>IFERROR(100*(_xlfn.MAXIFS($F$2:$F$13,$D$2:$D$13,D10,$E$2:$E$13,TRUE())-F10)/(_xlfn.MAXIFS($F$2:$F$13,$D$2:$D$13,D10,$E$2:$E$13,TRUE())-_xlfn.MINIFS($F$2:$F$13,$D$2:$D$13,D10,$E$2:$E$13,TRUE())),100)</f>
        <v/>
      </c>
      <c r="L10" s="0">
        <f>IF(E10,0.7*K10+0.2*G10*10+0.1*H10,0)</f>
        <v/>
      </c>
      <c r="M10" s="0">
        <f>G10*10</f>
        <v/>
      </c>
      <c r="N10" s="0">
        <f>IFERROR(L10/SUMIF($D$2:$D$13,D10,$L$2:$L$13),0)</f>
        <v/>
      </c>
    </row>
    <row r="11">
      <c r="A11" s="0" t="n">
        <v>3</v>
      </c>
      <c r="B11" s="0" t="inlineStr">
        <is>
          <t>B</t>
        </is>
      </c>
      <c r="C11" s="0" t="inlineStr">
        <is>
          <t>SEG-02</t>
        </is>
      </c>
      <c r="D11" s="0" t="inlineStr">
        <is>
          <t>3|SEG-02</t>
        </is>
      </c>
      <c r="E11" s="0">
        <f>TRUE()</f>
        <v/>
      </c>
      <c r="F11" s="0">
        <f>IFERROR(('Lotes_Pipeline_sim3'!I11*'Lotes_Pipeline_sim3'!H11)/('Lotes_Pipeline_sim3'!H11),0)</f>
        <v/>
      </c>
      <c r="G11" s="0">
        <f>'Pipeline_sim3'!DY11</f>
        <v/>
      </c>
      <c r="H11" s="0">
        <f>IFERROR(ROUND(G11/SUMIFS($G$2:$G$13,$D$2:$D$13,"3|SEG-01",$E$2:$E$13,TRUE())*100,0),0)</f>
        <v/>
      </c>
      <c r="I11" s="0">
        <f>MAX(0,ROUNDDOWN(J11*'Pipeline_sim3'!AN11*1.12,0))</f>
        <v/>
      </c>
      <c r="J11" s="0">
        <f>IFERROR(ROUND(L11/SUMIF($D$2:$D$13,D11,$L$2:$L$13)*40*1,0),0)</f>
        <v/>
      </c>
      <c r="K11" s="0">
        <f>100-ABS(F11-100)/100*100</f>
        <v/>
      </c>
      <c r="L11" s="0">
        <f>IF(E11,0.4*K11+0.35*G11*10+0.25*H11,0)</f>
        <v/>
      </c>
      <c r="M11" s="0">
        <f>G11*10</f>
        <v/>
      </c>
      <c r="N11" s="0">
        <f>IFERROR(L11/SUMIF($D$2:$D$13,D11,$L$2:$L$13),0)</f>
        <v/>
      </c>
    </row>
    <row r="12">
      <c r="A12" s="0" t="n">
        <v>3</v>
      </c>
      <c r="B12" s="0" t="inlineStr">
        <is>
          <t>C</t>
        </is>
      </c>
      <c r="C12" s="0" t="inlineStr">
        <is>
          <t>SEG-03</t>
        </is>
      </c>
      <c r="D12" s="0" t="inlineStr">
        <is>
          <t>3|SEG-03</t>
        </is>
      </c>
      <c r="E12" s="0">
        <f>TRUE()</f>
        <v/>
      </c>
      <c r="F12" s="0">
        <f>IFERROR(('Lotes_Pipeline_sim3'!I12*'Lotes_Pipeline_sim3'!H12)/('Lotes_Pipeline_sim3'!H12),0)</f>
        <v/>
      </c>
      <c r="G12" s="0">
        <f>'Pipeline_sim3'!DY12</f>
        <v/>
      </c>
      <c r="H12" s="0">
        <f>IFERROR(ROUND(G12/SUMIFS($G$2:$G$13,$D$2:$D$13,"3|SEG-01",$E$2:$E$13,TRUE())*100,0),0)</f>
        <v/>
      </c>
      <c r="I12" s="0">
        <f>MAX(0,ROUNDDOWN(J12*'Pipeline_sim3'!AN12*1.12,0))</f>
        <v/>
      </c>
      <c r="J12" s="0">
        <f>IFERROR(ROUND(L12/SUMIF($D$2:$D$13,D12,$L$2:$L$13)*40*1,0),0)</f>
        <v/>
      </c>
      <c r="K12" s="0">
        <f>100-ABS(F12-250)/250*100</f>
        <v/>
      </c>
      <c r="L12" s="0">
        <f>IF(E12,0.1*K12+0.5*G12*10+0.4*H12,0)</f>
        <v/>
      </c>
      <c r="M12" s="0">
        <f>G12*10</f>
        <v/>
      </c>
      <c r="N12" s="0">
        <f>IFERROR(L12/SUMIF($D$2:$D$13,D12,$L$2:$L$13),0)</f>
        <v/>
      </c>
    </row>
    <row r="13">
      <c r="A13" s="0" t="n">
        <v>3</v>
      </c>
      <c r="B13" s="0" t="inlineStr">
        <is>
          <t>D</t>
        </is>
      </c>
      <c r="C13" s="0" t="inlineStr">
        <is>
          <t>SEG-01</t>
        </is>
      </c>
      <c r="D13" s="0" t="inlineStr">
        <is>
          <t>3|SEG-01</t>
        </is>
      </c>
      <c r="E13" s="0">
        <f>TRUE()</f>
        <v/>
      </c>
      <c r="F13" s="0">
        <f>IFERROR(('Lotes_Pipeline_sim3'!I13*'Lotes_Pipeline_sim3'!H13)/('Lotes_Pipeline_sim3'!H13),0)</f>
        <v/>
      </c>
      <c r="G13" s="0">
        <f>'Pipeline_sim3'!DY13</f>
        <v/>
      </c>
      <c r="H13" s="0">
        <f>IFERROR(ROUND(G13/SUMIFS($G$2:$G$13,$D$2:$D$13,"3|SEG-01",$E$2:$E$13,TRUE())*100,0),0)</f>
        <v/>
      </c>
      <c r="I13" s="0">
        <f>MAX(0,ROUNDDOWN(J13*'Pipeline_sim3'!AN13*1.12,0))</f>
        <v/>
      </c>
      <c r="J13" s="0">
        <f>IFERROR(ROUND(L13/SUMIF($D$2:$D$13,D13,$L$2:$L$13)*40*1,0),0)</f>
        <v/>
      </c>
      <c r="K13" s="0">
        <f>IFERROR(100*(_xlfn.MAXIFS($F$2:$F$13,$D$2:$D$13,D13,$E$2:$E$13,TRUE())-F13)/(_xlfn.MAXIFS($F$2:$F$13,$D$2:$D$13,D13,$E$2:$E$13,TRUE())-_xlfn.MINIFS($F$2:$F$13,$D$2:$D$13,D13,$E$2:$E$13,TRUE())),100)</f>
        <v/>
      </c>
      <c r="L13" s="0">
        <f>IF(E13,0.7*K13+0.2*G13*10+0.1*H13,0)</f>
        <v/>
      </c>
      <c r="M13" s="0">
        <f>G13*10</f>
        <v/>
      </c>
      <c r="N13" s="0">
        <f>IFERROR(L13/SUMIF($D$2:$D$13,D13,$L$2:$L$13),0)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2026-10-23T05:11:38Z</dcterms:modified>
</cp:coreProperties>
</file>