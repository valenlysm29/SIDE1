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sus\OneDrive\Documentos\side_side_va\SIDE1\.codex-work\oracle\"/>
    </mc:Choice>
  </mc:AlternateContent>
  <xr:revisionPtr revIDLastSave="0" documentId="13_ncr:1_{8FA07CA0-BA3F-4D77-B2D5-2B54EC09F533}" xr6:coauthVersionLast="47" xr6:coauthVersionMax="47" xr10:uidLastSave="{00000000-0000-0000-0000-000000000000}"/>
  <bookViews>
    <workbookView xWindow="3084" yWindow="816" windowWidth="19068" windowHeight="11424" firstSheet="9" activeTab="12" xr2:uid="{00000000-000D-0000-FFFF-FFFF00000000}"/>
  </bookViews>
  <sheets>
    <sheet name="Instrucciones" sheetId="1" r:id="rId1"/>
    <sheet name="DECISIONES" sheetId="2" r:id="rId2"/>
    <sheet name="Seleccion_Ciclo0" sheetId="3" r:id="rId3"/>
    <sheet name="Catalogo_Decisiones" sheetId="4" r:id="rId4"/>
    <sheet name="FlujoWeb" sheetId="5" r:id="rId5"/>
    <sheet name="CANTIDAD DE PRODUCCIÓN" sheetId="6" r:id="rId6"/>
    <sheet name="Costos De Producción" sheetId="7" r:id="rId7"/>
    <sheet name="Lotes_Produccion" sheetId="8" r:id="rId8"/>
    <sheet name="Motor_Puntajes" sheetId="9" r:id="rId9"/>
    <sheet name="Matriz_Consecuencias" sheetId="10" r:id="rId10"/>
    <sheet name="Consecuencias_Oracle" sheetId="11" r:id="rId11"/>
    <sheet name="Mercado_Oracle" sheetId="12" r:id="rId12"/>
    <sheet name="SIDE vs Excel" sheetId="13" r:id="rId13"/>
    <sheet name="Base - 351" sheetId="14" r:id="rId14"/>
    <sheet name="SIM1 - Pipeline" sheetId="15" r:id="rId15"/>
    <sheet name="SIM2 - Pipeline" sheetId="16" r:id="rId16"/>
    <sheet name="SIM3 - Pipeline" sheetId="17" r:id="rId17"/>
    <sheet name="Banca recuperacion" sheetId="18" r:id="rId18"/>
    <sheet name="Banca tasas conservadas" sheetId="19" r:id="rId19"/>
    <sheet name="CONS baja" sheetId="20" r:id="rId20"/>
    <sheet name="CONS premium" sheetId="21" r:id="rId21"/>
  </sheets>
  <definedNames>
    <definedName name="_xlnm._FilterDatabase" localSheetId="17" hidden="1">'Banca recuperacion'!$A$1:$H$253</definedName>
    <definedName name="_xlnm._FilterDatabase" localSheetId="18" hidden="1">'Banca tasas conservadas'!$A$1:$H$253</definedName>
    <definedName name="_xlnm._FilterDatabase" localSheetId="13" hidden="1">'Base - 351'!$A$1:$H$352</definedName>
    <definedName name="_xlnm._FilterDatabase" localSheetId="19" hidden="1">'CONS baja'!$A$1:$H$29</definedName>
    <definedName name="_xlnm._FilterDatabase" localSheetId="20" hidden="1">'CONS premium'!$A$1:$H$29</definedName>
    <definedName name="_xlnm._FilterDatabase" localSheetId="14" hidden="1">'SIM1 - Pipeline'!$A$1:$H$469</definedName>
    <definedName name="_xlnm._FilterDatabase" localSheetId="15" hidden="1">'SIM2 - Pipeline'!$A$1:$H$505</definedName>
    <definedName name="_xlnm._FilterDatabase" localSheetId="16" hidden="1">'SIM3 - Pipeline'!$A$1:$H$1009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21" l="1"/>
  <c r="F29" i="21"/>
  <c r="G28" i="21"/>
  <c r="F28" i="21"/>
  <c r="G27" i="21"/>
  <c r="F27" i="21"/>
  <c r="G26" i="21"/>
  <c r="F26" i="21"/>
  <c r="G25" i="21"/>
  <c r="F25" i="21"/>
  <c r="G24" i="21"/>
  <c r="F24" i="21"/>
  <c r="G23" i="21"/>
  <c r="F23" i="21"/>
  <c r="G22" i="21"/>
  <c r="F22" i="21"/>
  <c r="G21" i="21"/>
  <c r="F21" i="21"/>
  <c r="G20" i="21"/>
  <c r="F20" i="21"/>
  <c r="G19" i="21"/>
  <c r="F19" i="21"/>
  <c r="G18" i="21"/>
  <c r="F18" i="21"/>
  <c r="G17" i="21"/>
  <c r="F17" i="21"/>
  <c r="G16" i="21"/>
  <c r="F16" i="21"/>
  <c r="G15" i="21"/>
  <c r="F15" i="21"/>
  <c r="G14" i="21"/>
  <c r="F14" i="21"/>
  <c r="G13" i="21"/>
  <c r="F13" i="21"/>
  <c r="G12" i="21"/>
  <c r="F12" i="21"/>
  <c r="G11" i="21"/>
  <c r="F11" i="21"/>
  <c r="G10" i="21"/>
  <c r="F10" i="21"/>
  <c r="G9" i="21"/>
  <c r="F9" i="21"/>
  <c r="G8" i="21"/>
  <c r="F8" i="21"/>
  <c r="G7" i="21"/>
  <c r="F7" i="21"/>
  <c r="G6" i="21"/>
  <c r="F6" i="21"/>
  <c r="G5" i="21"/>
  <c r="F5" i="21"/>
  <c r="G4" i="21"/>
  <c r="F4" i="21"/>
  <c r="G3" i="21"/>
  <c r="F3" i="21"/>
  <c r="G2" i="21"/>
  <c r="F2" i="21"/>
  <c r="G29" i="20"/>
  <c r="F29" i="20"/>
  <c r="G28" i="20"/>
  <c r="F28" i="20"/>
  <c r="G27" i="20"/>
  <c r="F27" i="20"/>
  <c r="G26" i="20"/>
  <c r="F26" i="20"/>
  <c r="G25" i="20"/>
  <c r="F25" i="20"/>
  <c r="G24" i="20"/>
  <c r="F24" i="20"/>
  <c r="G23" i="20"/>
  <c r="F23" i="20"/>
  <c r="G22" i="20"/>
  <c r="F22" i="20"/>
  <c r="G21" i="20"/>
  <c r="F21" i="20"/>
  <c r="G20" i="20"/>
  <c r="F20" i="20"/>
  <c r="G19" i="20"/>
  <c r="F19" i="20"/>
  <c r="G18" i="20"/>
  <c r="F18" i="20"/>
  <c r="G17" i="20"/>
  <c r="F17" i="20"/>
  <c r="G16" i="20"/>
  <c r="F16" i="20"/>
  <c r="G15" i="20"/>
  <c r="F15" i="20"/>
  <c r="G14" i="20"/>
  <c r="F14" i="20"/>
  <c r="G13" i="20"/>
  <c r="F13" i="20"/>
  <c r="G12" i="20"/>
  <c r="F12" i="20"/>
  <c r="G11" i="20"/>
  <c r="F11" i="20"/>
  <c r="G10" i="20"/>
  <c r="F10" i="20"/>
  <c r="G9" i="20"/>
  <c r="F9" i="20"/>
  <c r="G8" i="20"/>
  <c r="F8" i="20"/>
  <c r="G7" i="20"/>
  <c r="F7" i="20"/>
  <c r="G6" i="20"/>
  <c r="F6" i="20"/>
  <c r="G5" i="20"/>
  <c r="F5" i="20"/>
  <c r="G4" i="20"/>
  <c r="F4" i="20"/>
  <c r="G3" i="20"/>
  <c r="F3" i="20"/>
  <c r="G2" i="20"/>
  <c r="F2" i="20"/>
  <c r="G253" i="19"/>
  <c r="F253" i="19"/>
  <c r="G252" i="19"/>
  <c r="F252" i="19"/>
  <c r="G251" i="19"/>
  <c r="F251" i="19"/>
  <c r="G250" i="19"/>
  <c r="F250" i="19"/>
  <c r="G249" i="19"/>
  <c r="F249" i="19"/>
  <c r="G248" i="19"/>
  <c r="F248" i="19"/>
  <c r="G247" i="19"/>
  <c r="F247" i="19"/>
  <c r="G246" i="19"/>
  <c r="F246" i="19"/>
  <c r="G245" i="19"/>
  <c r="F245" i="19"/>
  <c r="G244" i="19"/>
  <c r="F244" i="19"/>
  <c r="G243" i="19"/>
  <c r="F243" i="19"/>
  <c r="G242" i="19"/>
  <c r="F242" i="19"/>
  <c r="G241" i="19"/>
  <c r="F241" i="19"/>
  <c r="G240" i="19"/>
  <c r="F240" i="19"/>
  <c r="G239" i="19"/>
  <c r="F239" i="19"/>
  <c r="G238" i="19"/>
  <c r="F238" i="19"/>
  <c r="G237" i="19"/>
  <c r="F237" i="19"/>
  <c r="G236" i="19"/>
  <c r="F236" i="19"/>
  <c r="G235" i="19"/>
  <c r="F235" i="19"/>
  <c r="G234" i="19"/>
  <c r="F234" i="19"/>
  <c r="G233" i="19"/>
  <c r="F233" i="19"/>
  <c r="G232" i="19"/>
  <c r="F232" i="19"/>
  <c r="G231" i="19"/>
  <c r="F231" i="19"/>
  <c r="G230" i="19"/>
  <c r="F230" i="19"/>
  <c r="G229" i="19"/>
  <c r="F229" i="19"/>
  <c r="G228" i="19"/>
  <c r="F228" i="19"/>
  <c r="G227" i="19"/>
  <c r="F227" i="19"/>
  <c r="G226" i="19"/>
  <c r="F226" i="19"/>
  <c r="G225" i="19"/>
  <c r="F225" i="19"/>
  <c r="G224" i="19"/>
  <c r="F224" i="19"/>
  <c r="G223" i="19"/>
  <c r="F223" i="19"/>
  <c r="G222" i="19"/>
  <c r="F222" i="19"/>
  <c r="G221" i="19"/>
  <c r="F221" i="19"/>
  <c r="G220" i="19"/>
  <c r="F220" i="19"/>
  <c r="G219" i="19"/>
  <c r="F219" i="19"/>
  <c r="G218" i="19"/>
  <c r="F218" i="19"/>
  <c r="G217" i="19"/>
  <c r="F217" i="19"/>
  <c r="G216" i="19"/>
  <c r="F216" i="19"/>
  <c r="G215" i="19"/>
  <c r="F215" i="19"/>
  <c r="G214" i="19"/>
  <c r="F214" i="19"/>
  <c r="G213" i="19"/>
  <c r="F213" i="19"/>
  <c r="G212" i="19"/>
  <c r="F212" i="19"/>
  <c r="G211" i="19"/>
  <c r="F211" i="19"/>
  <c r="G210" i="19"/>
  <c r="F210" i="19"/>
  <c r="G209" i="19"/>
  <c r="F209" i="19"/>
  <c r="G208" i="19"/>
  <c r="F208" i="19"/>
  <c r="G207" i="19"/>
  <c r="F207" i="19"/>
  <c r="G206" i="19"/>
  <c r="F206" i="19"/>
  <c r="G205" i="19"/>
  <c r="F205" i="19"/>
  <c r="G204" i="19"/>
  <c r="F204" i="19"/>
  <c r="G203" i="19"/>
  <c r="F203" i="19"/>
  <c r="G202" i="19"/>
  <c r="F202" i="19"/>
  <c r="G201" i="19"/>
  <c r="F201" i="19"/>
  <c r="G200" i="19"/>
  <c r="F200" i="19"/>
  <c r="G199" i="19"/>
  <c r="F199" i="19"/>
  <c r="G198" i="19"/>
  <c r="F198" i="19"/>
  <c r="G197" i="19"/>
  <c r="F197" i="19"/>
  <c r="G196" i="19"/>
  <c r="F196" i="19"/>
  <c r="G195" i="19"/>
  <c r="F195" i="19"/>
  <c r="G194" i="19"/>
  <c r="F194" i="19"/>
  <c r="G193" i="19"/>
  <c r="F193" i="19"/>
  <c r="G192" i="19"/>
  <c r="F192" i="19"/>
  <c r="G191" i="19"/>
  <c r="F191" i="19"/>
  <c r="G190" i="19"/>
  <c r="F190" i="19"/>
  <c r="G189" i="19"/>
  <c r="F189" i="19"/>
  <c r="G188" i="19"/>
  <c r="F188" i="19"/>
  <c r="G187" i="19"/>
  <c r="F187" i="19"/>
  <c r="G186" i="19"/>
  <c r="F186" i="19"/>
  <c r="G185" i="19"/>
  <c r="F185" i="19"/>
  <c r="G184" i="19"/>
  <c r="F184" i="19"/>
  <c r="G183" i="19"/>
  <c r="F183" i="19"/>
  <c r="G182" i="19"/>
  <c r="F182" i="19"/>
  <c r="G181" i="19"/>
  <c r="F181" i="19"/>
  <c r="G180" i="19"/>
  <c r="F180" i="19"/>
  <c r="G179" i="19"/>
  <c r="F179" i="19"/>
  <c r="G178" i="19"/>
  <c r="F178" i="19"/>
  <c r="G177" i="19"/>
  <c r="F177" i="19"/>
  <c r="G176" i="19"/>
  <c r="F176" i="19"/>
  <c r="G175" i="19"/>
  <c r="F175" i="19"/>
  <c r="G174" i="19"/>
  <c r="F174" i="19"/>
  <c r="G173" i="19"/>
  <c r="F173" i="19"/>
  <c r="G172" i="19"/>
  <c r="F172" i="19"/>
  <c r="G171" i="19"/>
  <c r="F171" i="19"/>
  <c r="G170" i="19"/>
  <c r="F170" i="19"/>
  <c r="G169" i="19"/>
  <c r="F169" i="19"/>
  <c r="G168" i="19"/>
  <c r="F168" i="19"/>
  <c r="G167" i="19"/>
  <c r="F167" i="19"/>
  <c r="G166" i="19"/>
  <c r="F166" i="19"/>
  <c r="G165" i="19"/>
  <c r="F165" i="19"/>
  <c r="G164" i="19"/>
  <c r="F164" i="19"/>
  <c r="G163" i="19"/>
  <c r="F163" i="19"/>
  <c r="G162" i="19"/>
  <c r="F162" i="19"/>
  <c r="G161" i="19"/>
  <c r="F161" i="19"/>
  <c r="G160" i="19"/>
  <c r="F160" i="19"/>
  <c r="G159" i="19"/>
  <c r="F159" i="19"/>
  <c r="G158" i="19"/>
  <c r="F158" i="19"/>
  <c r="G157" i="19"/>
  <c r="F157" i="19"/>
  <c r="G156" i="19"/>
  <c r="F156" i="19"/>
  <c r="G155" i="19"/>
  <c r="F155" i="19"/>
  <c r="G154" i="19"/>
  <c r="F154" i="19"/>
  <c r="G153" i="19"/>
  <c r="F153" i="19"/>
  <c r="G152" i="19"/>
  <c r="F152" i="19"/>
  <c r="G151" i="19"/>
  <c r="F151" i="19"/>
  <c r="G150" i="19"/>
  <c r="F150" i="19"/>
  <c r="G149" i="19"/>
  <c r="F149" i="19"/>
  <c r="G148" i="19"/>
  <c r="F148" i="19"/>
  <c r="G147" i="19"/>
  <c r="F147" i="19"/>
  <c r="G146" i="19"/>
  <c r="F146" i="19"/>
  <c r="G145" i="19"/>
  <c r="F145" i="19"/>
  <c r="G144" i="19"/>
  <c r="F144" i="19"/>
  <c r="G143" i="19"/>
  <c r="F143" i="19"/>
  <c r="G142" i="19"/>
  <c r="F142" i="19"/>
  <c r="G141" i="19"/>
  <c r="F141" i="19"/>
  <c r="G140" i="19"/>
  <c r="F140" i="19"/>
  <c r="G139" i="19"/>
  <c r="F139" i="19"/>
  <c r="G138" i="19"/>
  <c r="F138" i="19"/>
  <c r="G137" i="19"/>
  <c r="F137" i="19"/>
  <c r="G136" i="19"/>
  <c r="F136" i="19"/>
  <c r="G135" i="19"/>
  <c r="F135" i="19"/>
  <c r="G134" i="19"/>
  <c r="F134" i="19"/>
  <c r="G133" i="19"/>
  <c r="F133" i="19"/>
  <c r="G132" i="19"/>
  <c r="F132" i="19"/>
  <c r="G131" i="19"/>
  <c r="F131" i="19"/>
  <c r="G130" i="19"/>
  <c r="F130" i="19"/>
  <c r="G129" i="19"/>
  <c r="F129" i="19"/>
  <c r="G128" i="19"/>
  <c r="F128" i="19"/>
  <c r="G127" i="19"/>
  <c r="F127" i="19"/>
  <c r="G126" i="19"/>
  <c r="F126" i="19"/>
  <c r="G125" i="19"/>
  <c r="F125" i="19"/>
  <c r="G124" i="19"/>
  <c r="F124" i="19"/>
  <c r="G123" i="19"/>
  <c r="F123" i="19"/>
  <c r="G122" i="19"/>
  <c r="F122" i="19"/>
  <c r="G121" i="19"/>
  <c r="F121" i="19"/>
  <c r="G120" i="19"/>
  <c r="F120" i="19"/>
  <c r="G119" i="19"/>
  <c r="F119" i="19"/>
  <c r="G118" i="19"/>
  <c r="F118" i="19"/>
  <c r="G117" i="19"/>
  <c r="F117" i="19"/>
  <c r="G116" i="19"/>
  <c r="F116" i="19"/>
  <c r="G115" i="19"/>
  <c r="F115" i="19"/>
  <c r="G114" i="19"/>
  <c r="F114" i="19"/>
  <c r="G113" i="19"/>
  <c r="F113" i="19"/>
  <c r="G112" i="19"/>
  <c r="F112" i="19"/>
  <c r="G111" i="19"/>
  <c r="F111" i="19"/>
  <c r="G110" i="19"/>
  <c r="F110" i="19"/>
  <c r="G109" i="19"/>
  <c r="F109" i="19"/>
  <c r="G108" i="19"/>
  <c r="F108" i="19"/>
  <c r="G107" i="19"/>
  <c r="F107" i="19"/>
  <c r="G106" i="19"/>
  <c r="F106" i="19"/>
  <c r="G105" i="19"/>
  <c r="F105" i="19"/>
  <c r="G104" i="19"/>
  <c r="F104" i="19"/>
  <c r="G103" i="19"/>
  <c r="F103" i="19"/>
  <c r="G102" i="19"/>
  <c r="F102" i="19"/>
  <c r="G101" i="19"/>
  <c r="F101" i="19"/>
  <c r="G100" i="19"/>
  <c r="F100" i="19"/>
  <c r="G99" i="19"/>
  <c r="F99" i="19"/>
  <c r="G98" i="19"/>
  <c r="F98" i="19"/>
  <c r="G97" i="19"/>
  <c r="F97" i="19"/>
  <c r="G96" i="19"/>
  <c r="F96" i="19"/>
  <c r="G95" i="19"/>
  <c r="F95" i="19"/>
  <c r="G94" i="19"/>
  <c r="F94" i="19"/>
  <c r="G93" i="19"/>
  <c r="F93" i="19"/>
  <c r="G92" i="19"/>
  <c r="F92" i="19"/>
  <c r="G91" i="19"/>
  <c r="F91" i="19"/>
  <c r="G90" i="19"/>
  <c r="F90" i="19"/>
  <c r="G89" i="19"/>
  <c r="F89" i="19"/>
  <c r="G88" i="19"/>
  <c r="F88" i="19"/>
  <c r="G87" i="19"/>
  <c r="F87" i="19"/>
  <c r="G86" i="19"/>
  <c r="F86" i="19"/>
  <c r="G85" i="19"/>
  <c r="F85" i="19"/>
  <c r="G84" i="19"/>
  <c r="F84" i="19"/>
  <c r="G83" i="19"/>
  <c r="F83" i="19"/>
  <c r="G82" i="19"/>
  <c r="F82" i="19"/>
  <c r="G81" i="19"/>
  <c r="F81" i="19"/>
  <c r="G80" i="19"/>
  <c r="F80" i="19"/>
  <c r="G79" i="19"/>
  <c r="F79" i="19"/>
  <c r="G78" i="19"/>
  <c r="F78" i="19"/>
  <c r="G77" i="19"/>
  <c r="F77" i="19"/>
  <c r="G76" i="19"/>
  <c r="F76" i="19"/>
  <c r="G75" i="19"/>
  <c r="F75" i="19"/>
  <c r="G74" i="19"/>
  <c r="F74" i="19"/>
  <c r="G73" i="19"/>
  <c r="F73" i="19"/>
  <c r="G72" i="19"/>
  <c r="F72" i="19"/>
  <c r="G71" i="19"/>
  <c r="F71" i="19"/>
  <c r="G70" i="19"/>
  <c r="F70" i="19"/>
  <c r="G69" i="19"/>
  <c r="F69" i="19"/>
  <c r="G68" i="19"/>
  <c r="F68" i="19"/>
  <c r="G67" i="19"/>
  <c r="F67" i="19"/>
  <c r="G66" i="19"/>
  <c r="F66" i="19"/>
  <c r="G65" i="19"/>
  <c r="F65" i="19"/>
  <c r="G64" i="19"/>
  <c r="F64" i="19"/>
  <c r="G63" i="19"/>
  <c r="F63" i="19"/>
  <c r="G62" i="19"/>
  <c r="F62" i="19"/>
  <c r="G61" i="19"/>
  <c r="F61" i="19"/>
  <c r="G60" i="19"/>
  <c r="F60" i="19"/>
  <c r="G59" i="19"/>
  <c r="F59" i="19"/>
  <c r="G58" i="19"/>
  <c r="F58" i="19"/>
  <c r="G57" i="19"/>
  <c r="F57" i="19"/>
  <c r="G56" i="19"/>
  <c r="F56" i="19"/>
  <c r="G55" i="19"/>
  <c r="F55" i="19"/>
  <c r="G54" i="19"/>
  <c r="F54" i="19"/>
  <c r="G53" i="19"/>
  <c r="F53" i="19"/>
  <c r="G52" i="19"/>
  <c r="F52" i="19"/>
  <c r="G51" i="19"/>
  <c r="F51" i="19"/>
  <c r="G50" i="19"/>
  <c r="F50" i="19"/>
  <c r="G49" i="19"/>
  <c r="F49" i="19"/>
  <c r="G48" i="19"/>
  <c r="F48" i="19"/>
  <c r="G47" i="19"/>
  <c r="F47" i="19"/>
  <c r="G46" i="19"/>
  <c r="F46" i="19"/>
  <c r="G45" i="19"/>
  <c r="F45" i="19"/>
  <c r="G44" i="19"/>
  <c r="F44" i="19"/>
  <c r="G43" i="19"/>
  <c r="F43" i="19"/>
  <c r="G42" i="19"/>
  <c r="F42" i="19"/>
  <c r="G41" i="19"/>
  <c r="F41" i="19"/>
  <c r="G40" i="19"/>
  <c r="F40" i="19"/>
  <c r="G39" i="19"/>
  <c r="F39" i="19"/>
  <c r="G38" i="19"/>
  <c r="F38" i="19"/>
  <c r="G37" i="19"/>
  <c r="F37" i="19"/>
  <c r="G36" i="19"/>
  <c r="F36" i="19"/>
  <c r="G35" i="19"/>
  <c r="F35" i="19"/>
  <c r="G34" i="19"/>
  <c r="F34" i="19"/>
  <c r="G33" i="19"/>
  <c r="F33" i="19"/>
  <c r="G32" i="19"/>
  <c r="F32" i="19"/>
  <c r="G31" i="19"/>
  <c r="F31" i="19"/>
  <c r="G30" i="19"/>
  <c r="F30" i="19"/>
  <c r="G29" i="19"/>
  <c r="F29" i="19"/>
  <c r="G28" i="19"/>
  <c r="F28" i="19"/>
  <c r="G27" i="19"/>
  <c r="F27" i="19"/>
  <c r="G26" i="19"/>
  <c r="F26" i="19"/>
  <c r="G25" i="19"/>
  <c r="F25" i="19"/>
  <c r="G24" i="19"/>
  <c r="F24" i="19"/>
  <c r="G23" i="19"/>
  <c r="F23" i="19"/>
  <c r="G22" i="19"/>
  <c r="F22" i="19"/>
  <c r="G21" i="19"/>
  <c r="F21" i="19"/>
  <c r="G20" i="19"/>
  <c r="F20" i="19"/>
  <c r="G19" i="19"/>
  <c r="F19" i="19"/>
  <c r="G18" i="19"/>
  <c r="F18" i="19"/>
  <c r="G17" i="19"/>
  <c r="F17" i="19"/>
  <c r="G16" i="19"/>
  <c r="F16" i="19"/>
  <c r="G15" i="19"/>
  <c r="F15" i="19"/>
  <c r="G14" i="19"/>
  <c r="F14" i="19"/>
  <c r="G13" i="19"/>
  <c r="F13" i="19"/>
  <c r="G12" i="19"/>
  <c r="F12" i="19"/>
  <c r="G11" i="19"/>
  <c r="F11" i="19"/>
  <c r="G10" i="19"/>
  <c r="F10" i="19"/>
  <c r="G9" i="19"/>
  <c r="F9" i="19"/>
  <c r="G8" i="19"/>
  <c r="F8" i="19"/>
  <c r="G7" i="19"/>
  <c r="F7" i="19"/>
  <c r="G6" i="19"/>
  <c r="F6" i="19"/>
  <c r="G5" i="19"/>
  <c r="F5" i="19"/>
  <c r="G4" i="19"/>
  <c r="F4" i="19"/>
  <c r="G3" i="19"/>
  <c r="F3" i="19"/>
  <c r="G2" i="19"/>
  <c r="F2" i="19"/>
  <c r="G253" i="18"/>
  <c r="F253" i="18"/>
  <c r="G252" i="18"/>
  <c r="F252" i="18"/>
  <c r="G251" i="18"/>
  <c r="F251" i="18"/>
  <c r="G250" i="18"/>
  <c r="F250" i="18"/>
  <c r="G249" i="18"/>
  <c r="F249" i="18"/>
  <c r="G248" i="18"/>
  <c r="F248" i="18"/>
  <c r="G247" i="18"/>
  <c r="F247" i="18"/>
  <c r="G246" i="18"/>
  <c r="F246" i="18"/>
  <c r="G245" i="18"/>
  <c r="F245" i="18"/>
  <c r="G244" i="18"/>
  <c r="F244" i="18"/>
  <c r="G243" i="18"/>
  <c r="F243" i="18"/>
  <c r="G242" i="18"/>
  <c r="F242" i="18"/>
  <c r="G241" i="18"/>
  <c r="F241" i="18"/>
  <c r="G240" i="18"/>
  <c r="F240" i="18"/>
  <c r="G239" i="18"/>
  <c r="F239" i="18"/>
  <c r="G238" i="18"/>
  <c r="F238" i="18"/>
  <c r="G237" i="18"/>
  <c r="F237" i="18"/>
  <c r="G236" i="18"/>
  <c r="F236" i="18"/>
  <c r="G235" i="18"/>
  <c r="F235" i="18"/>
  <c r="G234" i="18"/>
  <c r="F234" i="18"/>
  <c r="G233" i="18"/>
  <c r="F233" i="18"/>
  <c r="G232" i="18"/>
  <c r="F232" i="18"/>
  <c r="G231" i="18"/>
  <c r="F231" i="18"/>
  <c r="G230" i="18"/>
  <c r="F230" i="18"/>
  <c r="G229" i="18"/>
  <c r="F229" i="18"/>
  <c r="G228" i="18"/>
  <c r="F228" i="18"/>
  <c r="G227" i="18"/>
  <c r="F227" i="18"/>
  <c r="G226" i="18"/>
  <c r="F226" i="18"/>
  <c r="G225" i="18"/>
  <c r="F225" i="18"/>
  <c r="G224" i="18"/>
  <c r="F224" i="18"/>
  <c r="G223" i="18"/>
  <c r="F223" i="18"/>
  <c r="G222" i="18"/>
  <c r="F222" i="18"/>
  <c r="G221" i="18"/>
  <c r="F221" i="18"/>
  <c r="G220" i="18"/>
  <c r="F220" i="18"/>
  <c r="G219" i="18"/>
  <c r="F219" i="18"/>
  <c r="G218" i="18"/>
  <c r="F218" i="18"/>
  <c r="G217" i="18"/>
  <c r="F217" i="18"/>
  <c r="G216" i="18"/>
  <c r="F216" i="18"/>
  <c r="G215" i="18"/>
  <c r="F215" i="18"/>
  <c r="G214" i="18"/>
  <c r="F214" i="18"/>
  <c r="G213" i="18"/>
  <c r="F213" i="18"/>
  <c r="G212" i="18"/>
  <c r="F212" i="18"/>
  <c r="G211" i="18"/>
  <c r="F211" i="18"/>
  <c r="G210" i="18"/>
  <c r="F210" i="18"/>
  <c r="G209" i="18"/>
  <c r="F209" i="18"/>
  <c r="G208" i="18"/>
  <c r="F208" i="18"/>
  <c r="G207" i="18"/>
  <c r="F207" i="18"/>
  <c r="G206" i="18"/>
  <c r="F206" i="18"/>
  <c r="G205" i="18"/>
  <c r="F205" i="18"/>
  <c r="G204" i="18"/>
  <c r="F204" i="18"/>
  <c r="G203" i="18"/>
  <c r="F203" i="18"/>
  <c r="G202" i="18"/>
  <c r="F202" i="18"/>
  <c r="G201" i="18"/>
  <c r="F201" i="18"/>
  <c r="G200" i="18"/>
  <c r="F200" i="18"/>
  <c r="G199" i="18"/>
  <c r="F199" i="18"/>
  <c r="G198" i="18"/>
  <c r="F198" i="18"/>
  <c r="G197" i="18"/>
  <c r="F197" i="18"/>
  <c r="G196" i="18"/>
  <c r="F196" i="18"/>
  <c r="G195" i="18"/>
  <c r="F195" i="18"/>
  <c r="G194" i="18"/>
  <c r="F194" i="18"/>
  <c r="G193" i="18"/>
  <c r="F193" i="18"/>
  <c r="G192" i="18"/>
  <c r="F192" i="18"/>
  <c r="G191" i="18"/>
  <c r="F191" i="18"/>
  <c r="G190" i="18"/>
  <c r="F190" i="18"/>
  <c r="G189" i="18"/>
  <c r="F189" i="18"/>
  <c r="G188" i="18"/>
  <c r="F188" i="18"/>
  <c r="G187" i="18"/>
  <c r="F187" i="18"/>
  <c r="G186" i="18"/>
  <c r="F186" i="18"/>
  <c r="G185" i="18"/>
  <c r="F185" i="18"/>
  <c r="G184" i="18"/>
  <c r="F184" i="18"/>
  <c r="G183" i="18"/>
  <c r="F183" i="18"/>
  <c r="G182" i="18"/>
  <c r="F182" i="18"/>
  <c r="G181" i="18"/>
  <c r="F181" i="18"/>
  <c r="G180" i="18"/>
  <c r="F180" i="18"/>
  <c r="G179" i="18"/>
  <c r="F179" i="18"/>
  <c r="G178" i="18"/>
  <c r="F178" i="18"/>
  <c r="G177" i="18"/>
  <c r="F177" i="18"/>
  <c r="G176" i="18"/>
  <c r="F176" i="18"/>
  <c r="G175" i="18"/>
  <c r="F175" i="18"/>
  <c r="G174" i="18"/>
  <c r="F174" i="18"/>
  <c r="G173" i="18"/>
  <c r="F173" i="18"/>
  <c r="G172" i="18"/>
  <c r="F172" i="18"/>
  <c r="G171" i="18"/>
  <c r="F171" i="18"/>
  <c r="G170" i="18"/>
  <c r="F170" i="18"/>
  <c r="G169" i="18"/>
  <c r="F169" i="18"/>
  <c r="G168" i="18"/>
  <c r="F168" i="18"/>
  <c r="G167" i="18"/>
  <c r="F167" i="18"/>
  <c r="G166" i="18"/>
  <c r="F166" i="18"/>
  <c r="G165" i="18"/>
  <c r="F165" i="18"/>
  <c r="G164" i="18"/>
  <c r="F164" i="18"/>
  <c r="G163" i="18"/>
  <c r="F163" i="18"/>
  <c r="G162" i="18"/>
  <c r="F162" i="18"/>
  <c r="G161" i="18"/>
  <c r="F161" i="18"/>
  <c r="G160" i="18"/>
  <c r="F160" i="18"/>
  <c r="G159" i="18"/>
  <c r="F159" i="18"/>
  <c r="G158" i="18"/>
  <c r="F158" i="18"/>
  <c r="G157" i="18"/>
  <c r="F157" i="18"/>
  <c r="G156" i="18"/>
  <c r="F156" i="18"/>
  <c r="G155" i="18"/>
  <c r="F155" i="18"/>
  <c r="G154" i="18"/>
  <c r="F154" i="18"/>
  <c r="G153" i="18"/>
  <c r="F153" i="18"/>
  <c r="G152" i="18"/>
  <c r="F152" i="18"/>
  <c r="G151" i="18"/>
  <c r="F151" i="18"/>
  <c r="G150" i="18"/>
  <c r="F150" i="18"/>
  <c r="G149" i="18"/>
  <c r="F149" i="18"/>
  <c r="G148" i="18"/>
  <c r="F148" i="18"/>
  <c r="G147" i="18"/>
  <c r="F147" i="18"/>
  <c r="G146" i="18"/>
  <c r="F146" i="18"/>
  <c r="G145" i="18"/>
  <c r="F145" i="18"/>
  <c r="G144" i="18"/>
  <c r="F144" i="18"/>
  <c r="G143" i="18"/>
  <c r="F143" i="18"/>
  <c r="G142" i="18"/>
  <c r="F142" i="18"/>
  <c r="G141" i="18"/>
  <c r="F141" i="18"/>
  <c r="G140" i="18"/>
  <c r="F140" i="18"/>
  <c r="G139" i="18"/>
  <c r="F139" i="18"/>
  <c r="G138" i="18"/>
  <c r="F138" i="18"/>
  <c r="G137" i="18"/>
  <c r="F137" i="18"/>
  <c r="G136" i="18"/>
  <c r="F136" i="18"/>
  <c r="G135" i="18"/>
  <c r="F135" i="18"/>
  <c r="G134" i="18"/>
  <c r="F134" i="18"/>
  <c r="G133" i="18"/>
  <c r="F133" i="18"/>
  <c r="G132" i="18"/>
  <c r="F132" i="18"/>
  <c r="G131" i="18"/>
  <c r="F131" i="18"/>
  <c r="G130" i="18"/>
  <c r="F130" i="18"/>
  <c r="G129" i="18"/>
  <c r="F129" i="18"/>
  <c r="G128" i="18"/>
  <c r="F128" i="18"/>
  <c r="G127" i="18"/>
  <c r="F127" i="18"/>
  <c r="G126" i="18"/>
  <c r="F126" i="18"/>
  <c r="G125" i="18"/>
  <c r="F125" i="18"/>
  <c r="G124" i="18"/>
  <c r="F124" i="18"/>
  <c r="G123" i="18"/>
  <c r="F123" i="18"/>
  <c r="G122" i="18"/>
  <c r="F122" i="18"/>
  <c r="G121" i="18"/>
  <c r="F121" i="18"/>
  <c r="G120" i="18"/>
  <c r="F120" i="18"/>
  <c r="G119" i="18"/>
  <c r="F119" i="18"/>
  <c r="G118" i="18"/>
  <c r="F118" i="18"/>
  <c r="G117" i="18"/>
  <c r="F117" i="18"/>
  <c r="G116" i="18"/>
  <c r="F116" i="18"/>
  <c r="G115" i="18"/>
  <c r="F115" i="18"/>
  <c r="G114" i="18"/>
  <c r="F114" i="18"/>
  <c r="G113" i="18"/>
  <c r="F113" i="18"/>
  <c r="G112" i="18"/>
  <c r="F112" i="18"/>
  <c r="G111" i="18"/>
  <c r="F111" i="18"/>
  <c r="G110" i="18"/>
  <c r="F110" i="18"/>
  <c r="G109" i="18"/>
  <c r="F109" i="18"/>
  <c r="G108" i="18"/>
  <c r="F108" i="18"/>
  <c r="G107" i="18"/>
  <c r="F107" i="18"/>
  <c r="G106" i="18"/>
  <c r="F106" i="18"/>
  <c r="G105" i="18"/>
  <c r="F105" i="18"/>
  <c r="G104" i="18"/>
  <c r="F104" i="18"/>
  <c r="G103" i="18"/>
  <c r="F103" i="18"/>
  <c r="G102" i="18"/>
  <c r="F102" i="18"/>
  <c r="G101" i="18"/>
  <c r="F101" i="18"/>
  <c r="G100" i="18"/>
  <c r="F100" i="18"/>
  <c r="G99" i="18"/>
  <c r="F99" i="18"/>
  <c r="G98" i="18"/>
  <c r="F98" i="18"/>
  <c r="G97" i="18"/>
  <c r="F97" i="18"/>
  <c r="G96" i="18"/>
  <c r="F96" i="18"/>
  <c r="G95" i="18"/>
  <c r="F95" i="18"/>
  <c r="G94" i="18"/>
  <c r="F94" i="18"/>
  <c r="G93" i="18"/>
  <c r="F93" i="18"/>
  <c r="G92" i="18"/>
  <c r="F92" i="18"/>
  <c r="G91" i="18"/>
  <c r="F91" i="18"/>
  <c r="G90" i="18"/>
  <c r="F90" i="18"/>
  <c r="G89" i="18"/>
  <c r="F89" i="18"/>
  <c r="G88" i="18"/>
  <c r="F88" i="18"/>
  <c r="G87" i="18"/>
  <c r="F87" i="18"/>
  <c r="G86" i="18"/>
  <c r="F86" i="18"/>
  <c r="G85" i="18"/>
  <c r="F85" i="18"/>
  <c r="G84" i="18"/>
  <c r="F84" i="18"/>
  <c r="G83" i="18"/>
  <c r="F83" i="18"/>
  <c r="G82" i="18"/>
  <c r="F82" i="18"/>
  <c r="G81" i="18"/>
  <c r="F81" i="18"/>
  <c r="G80" i="18"/>
  <c r="F80" i="18"/>
  <c r="G79" i="18"/>
  <c r="F79" i="18"/>
  <c r="G78" i="18"/>
  <c r="F78" i="18"/>
  <c r="G77" i="18"/>
  <c r="F77" i="18"/>
  <c r="G76" i="18"/>
  <c r="F76" i="18"/>
  <c r="G75" i="18"/>
  <c r="F75" i="18"/>
  <c r="G74" i="18"/>
  <c r="F74" i="18"/>
  <c r="G73" i="18"/>
  <c r="F73" i="18"/>
  <c r="G72" i="18"/>
  <c r="F72" i="18"/>
  <c r="G71" i="18"/>
  <c r="F71" i="18"/>
  <c r="G70" i="18"/>
  <c r="F70" i="18"/>
  <c r="G69" i="18"/>
  <c r="F69" i="18"/>
  <c r="G68" i="18"/>
  <c r="F68" i="18"/>
  <c r="G67" i="18"/>
  <c r="F67" i="18"/>
  <c r="G66" i="18"/>
  <c r="F66" i="18"/>
  <c r="G65" i="18"/>
  <c r="F65" i="18"/>
  <c r="G64" i="18"/>
  <c r="F64" i="18"/>
  <c r="G63" i="18"/>
  <c r="F63" i="18"/>
  <c r="G62" i="18"/>
  <c r="F62" i="18"/>
  <c r="G61" i="18"/>
  <c r="F61" i="18"/>
  <c r="G60" i="18"/>
  <c r="F60" i="18"/>
  <c r="G59" i="18"/>
  <c r="F59" i="18"/>
  <c r="G58" i="18"/>
  <c r="F58" i="18"/>
  <c r="G57" i="18"/>
  <c r="F57" i="18"/>
  <c r="G56" i="18"/>
  <c r="F56" i="18"/>
  <c r="G55" i="18"/>
  <c r="F55" i="18"/>
  <c r="G54" i="18"/>
  <c r="F54" i="18"/>
  <c r="G53" i="18"/>
  <c r="F53" i="18"/>
  <c r="G52" i="18"/>
  <c r="F52" i="18"/>
  <c r="G51" i="18"/>
  <c r="F51" i="18"/>
  <c r="G50" i="18"/>
  <c r="F50" i="18"/>
  <c r="G49" i="18"/>
  <c r="F49" i="18"/>
  <c r="G48" i="18"/>
  <c r="F48" i="18"/>
  <c r="G47" i="18"/>
  <c r="F47" i="18"/>
  <c r="G46" i="18"/>
  <c r="F46" i="18"/>
  <c r="G45" i="18"/>
  <c r="F45" i="18"/>
  <c r="G44" i="18"/>
  <c r="F44" i="18"/>
  <c r="G43" i="18"/>
  <c r="F43" i="18"/>
  <c r="G42" i="18"/>
  <c r="F42" i="18"/>
  <c r="G41" i="18"/>
  <c r="F41" i="18"/>
  <c r="G40" i="18"/>
  <c r="F40" i="18"/>
  <c r="G39" i="18"/>
  <c r="F39" i="18"/>
  <c r="G38" i="18"/>
  <c r="F38" i="18"/>
  <c r="G37" i="18"/>
  <c r="F37" i="18"/>
  <c r="G36" i="18"/>
  <c r="F36" i="18"/>
  <c r="G35" i="18"/>
  <c r="F35" i="18"/>
  <c r="G34" i="18"/>
  <c r="F34" i="18"/>
  <c r="G33" i="18"/>
  <c r="F33" i="18"/>
  <c r="G32" i="18"/>
  <c r="F32" i="18"/>
  <c r="G31" i="18"/>
  <c r="F31" i="18"/>
  <c r="G30" i="18"/>
  <c r="F30" i="18"/>
  <c r="G29" i="18"/>
  <c r="F29" i="18"/>
  <c r="G28" i="18"/>
  <c r="F28" i="18"/>
  <c r="G27" i="18"/>
  <c r="F27" i="18"/>
  <c r="G26" i="18"/>
  <c r="F26" i="18"/>
  <c r="G25" i="18"/>
  <c r="F25" i="18"/>
  <c r="G24" i="18"/>
  <c r="F24" i="18"/>
  <c r="G23" i="18"/>
  <c r="F23" i="18"/>
  <c r="G22" i="18"/>
  <c r="F22" i="18"/>
  <c r="G21" i="18"/>
  <c r="F21" i="18"/>
  <c r="G20" i="18"/>
  <c r="F20" i="18"/>
  <c r="G19" i="18"/>
  <c r="F19" i="18"/>
  <c r="G18" i="18"/>
  <c r="F18" i="18"/>
  <c r="G17" i="18"/>
  <c r="F17" i="18"/>
  <c r="G16" i="18"/>
  <c r="F16" i="18"/>
  <c r="G15" i="18"/>
  <c r="F15" i="18"/>
  <c r="G14" i="18"/>
  <c r="F14" i="18"/>
  <c r="G13" i="18"/>
  <c r="F13" i="18"/>
  <c r="G12" i="18"/>
  <c r="F12" i="18"/>
  <c r="G11" i="18"/>
  <c r="F11" i="18"/>
  <c r="G10" i="18"/>
  <c r="F10" i="18"/>
  <c r="G9" i="18"/>
  <c r="F9" i="18"/>
  <c r="G8" i="18"/>
  <c r="F8" i="18"/>
  <c r="G7" i="18"/>
  <c r="F7" i="18"/>
  <c r="G6" i="18"/>
  <c r="F6" i="18"/>
  <c r="G5" i="18"/>
  <c r="F5" i="18"/>
  <c r="G4" i="18"/>
  <c r="F4" i="18"/>
  <c r="G3" i="18"/>
  <c r="F3" i="18"/>
  <c r="G2" i="18"/>
  <c r="F2" i="18"/>
  <c r="G1009" i="17"/>
  <c r="F1009" i="17"/>
  <c r="G1008" i="17"/>
  <c r="F1008" i="17"/>
  <c r="G1007" i="17"/>
  <c r="F1007" i="17"/>
  <c r="G1006" i="17"/>
  <c r="F1006" i="17"/>
  <c r="G1005" i="17"/>
  <c r="F1005" i="17"/>
  <c r="G1004" i="17"/>
  <c r="F1004" i="17"/>
  <c r="G1003" i="17"/>
  <c r="F1003" i="17"/>
  <c r="G1002" i="17"/>
  <c r="F1002" i="17"/>
  <c r="G1001" i="17"/>
  <c r="F1001" i="17"/>
  <c r="G1000" i="17"/>
  <c r="F1000" i="17"/>
  <c r="G999" i="17"/>
  <c r="F999" i="17"/>
  <c r="G998" i="17"/>
  <c r="F998" i="17"/>
  <c r="G997" i="17"/>
  <c r="F997" i="17"/>
  <c r="G996" i="17"/>
  <c r="F996" i="17"/>
  <c r="G995" i="17"/>
  <c r="F995" i="17"/>
  <c r="G994" i="17"/>
  <c r="F994" i="17"/>
  <c r="G993" i="17"/>
  <c r="F993" i="17"/>
  <c r="G992" i="17"/>
  <c r="F992" i="17"/>
  <c r="G991" i="17"/>
  <c r="F991" i="17"/>
  <c r="G990" i="17"/>
  <c r="F990" i="17"/>
  <c r="G989" i="17"/>
  <c r="F989" i="17"/>
  <c r="G988" i="17"/>
  <c r="F988" i="17"/>
  <c r="G987" i="17"/>
  <c r="F987" i="17"/>
  <c r="G986" i="17"/>
  <c r="F986" i="17"/>
  <c r="G985" i="17"/>
  <c r="F985" i="17"/>
  <c r="G984" i="17"/>
  <c r="F984" i="17"/>
  <c r="G983" i="17"/>
  <c r="F983" i="17"/>
  <c r="G982" i="17"/>
  <c r="F982" i="17"/>
  <c r="G981" i="17"/>
  <c r="F981" i="17"/>
  <c r="G980" i="17"/>
  <c r="F980" i="17"/>
  <c r="G979" i="17"/>
  <c r="F979" i="17"/>
  <c r="G978" i="17"/>
  <c r="F978" i="17"/>
  <c r="G977" i="17"/>
  <c r="F977" i="17"/>
  <c r="G976" i="17"/>
  <c r="F976" i="17"/>
  <c r="G975" i="17"/>
  <c r="F975" i="17"/>
  <c r="G974" i="17"/>
  <c r="F974" i="17"/>
  <c r="G973" i="17"/>
  <c r="F973" i="17"/>
  <c r="G972" i="17"/>
  <c r="F972" i="17"/>
  <c r="G971" i="17"/>
  <c r="F971" i="17"/>
  <c r="G970" i="17"/>
  <c r="F970" i="17"/>
  <c r="G969" i="17"/>
  <c r="F969" i="17"/>
  <c r="G968" i="17"/>
  <c r="F968" i="17"/>
  <c r="G967" i="17"/>
  <c r="F967" i="17"/>
  <c r="G966" i="17"/>
  <c r="F966" i="17"/>
  <c r="G965" i="17"/>
  <c r="F965" i="17"/>
  <c r="G964" i="17"/>
  <c r="F964" i="17"/>
  <c r="G963" i="17"/>
  <c r="F963" i="17"/>
  <c r="G962" i="17"/>
  <c r="F962" i="17"/>
  <c r="G961" i="17"/>
  <c r="F961" i="17"/>
  <c r="G960" i="17"/>
  <c r="F960" i="17"/>
  <c r="G959" i="17"/>
  <c r="F959" i="17"/>
  <c r="G958" i="17"/>
  <c r="F958" i="17"/>
  <c r="G957" i="17"/>
  <c r="F957" i="17"/>
  <c r="G956" i="17"/>
  <c r="F956" i="17"/>
  <c r="G955" i="17"/>
  <c r="F955" i="17"/>
  <c r="G954" i="17"/>
  <c r="F954" i="17"/>
  <c r="G953" i="17"/>
  <c r="F953" i="17"/>
  <c r="G952" i="17"/>
  <c r="F952" i="17"/>
  <c r="G951" i="17"/>
  <c r="F951" i="17"/>
  <c r="G950" i="17"/>
  <c r="F950" i="17"/>
  <c r="G949" i="17"/>
  <c r="F949" i="17"/>
  <c r="G948" i="17"/>
  <c r="F948" i="17"/>
  <c r="G947" i="17"/>
  <c r="F947" i="17"/>
  <c r="G946" i="17"/>
  <c r="F946" i="17"/>
  <c r="G945" i="17"/>
  <c r="F945" i="17"/>
  <c r="G944" i="17"/>
  <c r="F944" i="17"/>
  <c r="G943" i="17"/>
  <c r="F943" i="17"/>
  <c r="G942" i="17"/>
  <c r="F942" i="17"/>
  <c r="G941" i="17"/>
  <c r="F941" i="17"/>
  <c r="G940" i="17"/>
  <c r="F940" i="17"/>
  <c r="G939" i="17"/>
  <c r="F939" i="17"/>
  <c r="G938" i="17"/>
  <c r="F938" i="17"/>
  <c r="G937" i="17"/>
  <c r="F937" i="17"/>
  <c r="G936" i="17"/>
  <c r="F936" i="17"/>
  <c r="G935" i="17"/>
  <c r="F935" i="17"/>
  <c r="G934" i="17"/>
  <c r="F934" i="17"/>
  <c r="G933" i="17"/>
  <c r="F933" i="17"/>
  <c r="G932" i="17"/>
  <c r="F932" i="17"/>
  <c r="G931" i="17"/>
  <c r="F931" i="17"/>
  <c r="G930" i="17"/>
  <c r="F930" i="17"/>
  <c r="G929" i="17"/>
  <c r="F929" i="17"/>
  <c r="G928" i="17"/>
  <c r="F928" i="17"/>
  <c r="G927" i="17"/>
  <c r="F927" i="17"/>
  <c r="G926" i="17"/>
  <c r="F926" i="17"/>
  <c r="G925" i="17"/>
  <c r="F925" i="17"/>
  <c r="G924" i="17"/>
  <c r="F924" i="17"/>
  <c r="G923" i="17"/>
  <c r="F923" i="17"/>
  <c r="G922" i="17"/>
  <c r="F922" i="17"/>
  <c r="G921" i="17"/>
  <c r="F921" i="17"/>
  <c r="G920" i="17"/>
  <c r="F920" i="17"/>
  <c r="G919" i="17"/>
  <c r="F919" i="17"/>
  <c r="G918" i="17"/>
  <c r="F918" i="17"/>
  <c r="G917" i="17"/>
  <c r="F917" i="17"/>
  <c r="G916" i="17"/>
  <c r="F916" i="17"/>
  <c r="G915" i="17"/>
  <c r="F915" i="17"/>
  <c r="G914" i="17"/>
  <c r="F914" i="17"/>
  <c r="G913" i="17"/>
  <c r="F913" i="17"/>
  <c r="G912" i="17"/>
  <c r="F912" i="17"/>
  <c r="G911" i="17"/>
  <c r="F911" i="17"/>
  <c r="G910" i="17"/>
  <c r="F910" i="17"/>
  <c r="G909" i="17"/>
  <c r="F909" i="17"/>
  <c r="G908" i="17"/>
  <c r="F908" i="17"/>
  <c r="G907" i="17"/>
  <c r="F907" i="17"/>
  <c r="G906" i="17"/>
  <c r="F906" i="17"/>
  <c r="G905" i="17"/>
  <c r="F905" i="17"/>
  <c r="G904" i="17"/>
  <c r="F904" i="17"/>
  <c r="G903" i="17"/>
  <c r="F903" i="17"/>
  <c r="G902" i="17"/>
  <c r="F902" i="17"/>
  <c r="G901" i="17"/>
  <c r="F901" i="17"/>
  <c r="G900" i="17"/>
  <c r="F900" i="17"/>
  <c r="G899" i="17"/>
  <c r="F899" i="17"/>
  <c r="G898" i="17"/>
  <c r="F898" i="17"/>
  <c r="G897" i="17"/>
  <c r="F897" i="17"/>
  <c r="G896" i="17"/>
  <c r="F896" i="17"/>
  <c r="G895" i="17"/>
  <c r="F895" i="17"/>
  <c r="G894" i="17"/>
  <c r="F894" i="17"/>
  <c r="G893" i="17"/>
  <c r="F893" i="17"/>
  <c r="G892" i="17"/>
  <c r="F892" i="17"/>
  <c r="G891" i="17"/>
  <c r="F891" i="17"/>
  <c r="G890" i="17"/>
  <c r="F890" i="17"/>
  <c r="G889" i="17"/>
  <c r="F889" i="17"/>
  <c r="G888" i="17"/>
  <c r="F888" i="17"/>
  <c r="G887" i="17"/>
  <c r="F887" i="17"/>
  <c r="G886" i="17"/>
  <c r="F886" i="17"/>
  <c r="G885" i="17"/>
  <c r="F885" i="17"/>
  <c r="G884" i="17"/>
  <c r="F884" i="17"/>
  <c r="G883" i="17"/>
  <c r="F883" i="17"/>
  <c r="G882" i="17"/>
  <c r="F882" i="17"/>
  <c r="G881" i="17"/>
  <c r="F881" i="17"/>
  <c r="G880" i="17"/>
  <c r="F880" i="17"/>
  <c r="G879" i="17"/>
  <c r="F879" i="17"/>
  <c r="G878" i="17"/>
  <c r="F878" i="17"/>
  <c r="G877" i="17"/>
  <c r="F877" i="17"/>
  <c r="G876" i="17"/>
  <c r="F876" i="17"/>
  <c r="G875" i="17"/>
  <c r="F875" i="17"/>
  <c r="G874" i="17"/>
  <c r="F874" i="17"/>
  <c r="G873" i="17"/>
  <c r="F873" i="17"/>
  <c r="G872" i="17"/>
  <c r="F872" i="17"/>
  <c r="G871" i="17"/>
  <c r="F871" i="17"/>
  <c r="G870" i="17"/>
  <c r="F870" i="17"/>
  <c r="G869" i="17"/>
  <c r="F869" i="17"/>
  <c r="G868" i="17"/>
  <c r="F868" i="17"/>
  <c r="G867" i="17"/>
  <c r="F867" i="17"/>
  <c r="G866" i="17"/>
  <c r="F866" i="17"/>
  <c r="G865" i="17"/>
  <c r="F865" i="17"/>
  <c r="G864" i="17"/>
  <c r="F864" i="17"/>
  <c r="G863" i="17"/>
  <c r="F863" i="17"/>
  <c r="G862" i="17"/>
  <c r="F862" i="17"/>
  <c r="G861" i="17"/>
  <c r="F861" i="17"/>
  <c r="G860" i="17"/>
  <c r="F860" i="17"/>
  <c r="G859" i="17"/>
  <c r="F859" i="17"/>
  <c r="G858" i="17"/>
  <c r="F858" i="17"/>
  <c r="G857" i="17"/>
  <c r="F857" i="17"/>
  <c r="G856" i="17"/>
  <c r="F856" i="17"/>
  <c r="G855" i="17"/>
  <c r="F855" i="17"/>
  <c r="G854" i="17"/>
  <c r="F854" i="17"/>
  <c r="G853" i="17"/>
  <c r="F853" i="17"/>
  <c r="G852" i="17"/>
  <c r="F852" i="17"/>
  <c r="G851" i="17"/>
  <c r="F851" i="17"/>
  <c r="G850" i="17"/>
  <c r="F850" i="17"/>
  <c r="G849" i="17"/>
  <c r="F849" i="17"/>
  <c r="G848" i="17"/>
  <c r="F848" i="17"/>
  <c r="G847" i="17"/>
  <c r="F847" i="17"/>
  <c r="G846" i="17"/>
  <c r="F846" i="17"/>
  <c r="G845" i="17"/>
  <c r="F845" i="17"/>
  <c r="G844" i="17"/>
  <c r="F844" i="17"/>
  <c r="G843" i="17"/>
  <c r="F843" i="17"/>
  <c r="G842" i="17"/>
  <c r="F842" i="17"/>
  <c r="G841" i="17"/>
  <c r="F841" i="17"/>
  <c r="G840" i="17"/>
  <c r="F840" i="17"/>
  <c r="G839" i="17"/>
  <c r="F839" i="17"/>
  <c r="G838" i="17"/>
  <c r="F838" i="17"/>
  <c r="G837" i="17"/>
  <c r="F837" i="17"/>
  <c r="G836" i="17"/>
  <c r="F836" i="17"/>
  <c r="G835" i="17"/>
  <c r="F835" i="17"/>
  <c r="G834" i="17"/>
  <c r="F834" i="17"/>
  <c r="G833" i="17"/>
  <c r="F833" i="17"/>
  <c r="G832" i="17"/>
  <c r="F832" i="17"/>
  <c r="G831" i="17"/>
  <c r="F831" i="17"/>
  <c r="G830" i="17"/>
  <c r="F830" i="17"/>
  <c r="G829" i="17"/>
  <c r="F829" i="17"/>
  <c r="G828" i="17"/>
  <c r="F828" i="17"/>
  <c r="G827" i="17"/>
  <c r="F827" i="17"/>
  <c r="G826" i="17"/>
  <c r="F826" i="17"/>
  <c r="G825" i="17"/>
  <c r="F825" i="17"/>
  <c r="G824" i="17"/>
  <c r="F824" i="17"/>
  <c r="G823" i="17"/>
  <c r="F823" i="17"/>
  <c r="G822" i="17"/>
  <c r="F822" i="17"/>
  <c r="G821" i="17"/>
  <c r="F821" i="17"/>
  <c r="G820" i="17"/>
  <c r="F820" i="17"/>
  <c r="G819" i="17"/>
  <c r="F819" i="17"/>
  <c r="G818" i="17"/>
  <c r="F818" i="17"/>
  <c r="G817" i="17"/>
  <c r="F817" i="17"/>
  <c r="G816" i="17"/>
  <c r="F816" i="17"/>
  <c r="G815" i="17"/>
  <c r="F815" i="17"/>
  <c r="G814" i="17"/>
  <c r="F814" i="17"/>
  <c r="G813" i="17"/>
  <c r="F813" i="17"/>
  <c r="G812" i="17"/>
  <c r="F812" i="17"/>
  <c r="G811" i="17"/>
  <c r="F811" i="17"/>
  <c r="G810" i="17"/>
  <c r="F810" i="17"/>
  <c r="G809" i="17"/>
  <c r="F809" i="17"/>
  <c r="G808" i="17"/>
  <c r="F808" i="17"/>
  <c r="G807" i="17"/>
  <c r="F807" i="17"/>
  <c r="G806" i="17"/>
  <c r="F806" i="17"/>
  <c r="G805" i="17"/>
  <c r="F805" i="17"/>
  <c r="G804" i="17"/>
  <c r="F804" i="17"/>
  <c r="G803" i="17"/>
  <c r="F803" i="17"/>
  <c r="G802" i="17"/>
  <c r="F802" i="17"/>
  <c r="G801" i="17"/>
  <c r="F801" i="17"/>
  <c r="G800" i="17"/>
  <c r="F800" i="17"/>
  <c r="G799" i="17"/>
  <c r="F799" i="17"/>
  <c r="G798" i="17"/>
  <c r="F798" i="17"/>
  <c r="G797" i="17"/>
  <c r="F797" i="17"/>
  <c r="G796" i="17"/>
  <c r="F796" i="17"/>
  <c r="G795" i="17"/>
  <c r="F795" i="17"/>
  <c r="G794" i="17"/>
  <c r="F794" i="17"/>
  <c r="G793" i="17"/>
  <c r="F793" i="17"/>
  <c r="G792" i="17"/>
  <c r="F792" i="17"/>
  <c r="G791" i="17"/>
  <c r="F791" i="17"/>
  <c r="G790" i="17"/>
  <c r="F790" i="17"/>
  <c r="G789" i="17"/>
  <c r="F789" i="17"/>
  <c r="G788" i="17"/>
  <c r="F788" i="17"/>
  <c r="G787" i="17"/>
  <c r="F787" i="17"/>
  <c r="G786" i="17"/>
  <c r="F786" i="17"/>
  <c r="G785" i="17"/>
  <c r="F785" i="17"/>
  <c r="G784" i="17"/>
  <c r="F784" i="17"/>
  <c r="G783" i="17"/>
  <c r="F783" i="17"/>
  <c r="G782" i="17"/>
  <c r="F782" i="17"/>
  <c r="G781" i="17"/>
  <c r="F781" i="17"/>
  <c r="G780" i="17"/>
  <c r="F780" i="17"/>
  <c r="G779" i="17"/>
  <c r="F779" i="17"/>
  <c r="G778" i="17"/>
  <c r="F778" i="17"/>
  <c r="G777" i="17"/>
  <c r="F777" i="17"/>
  <c r="G776" i="17"/>
  <c r="F776" i="17"/>
  <c r="G775" i="17"/>
  <c r="F775" i="17"/>
  <c r="G774" i="17"/>
  <c r="F774" i="17"/>
  <c r="G773" i="17"/>
  <c r="F773" i="17"/>
  <c r="G772" i="17"/>
  <c r="F772" i="17"/>
  <c r="G771" i="17"/>
  <c r="F771" i="17"/>
  <c r="G770" i="17"/>
  <c r="F770" i="17"/>
  <c r="G769" i="17"/>
  <c r="F769" i="17"/>
  <c r="G768" i="17"/>
  <c r="F768" i="17"/>
  <c r="G767" i="17"/>
  <c r="F767" i="17"/>
  <c r="G766" i="17"/>
  <c r="F766" i="17"/>
  <c r="G765" i="17"/>
  <c r="F765" i="17"/>
  <c r="G764" i="17"/>
  <c r="F764" i="17"/>
  <c r="G763" i="17"/>
  <c r="F763" i="17"/>
  <c r="G762" i="17"/>
  <c r="F762" i="17"/>
  <c r="G761" i="17"/>
  <c r="F761" i="17"/>
  <c r="G760" i="17"/>
  <c r="F760" i="17"/>
  <c r="G759" i="17"/>
  <c r="F759" i="17"/>
  <c r="G758" i="17"/>
  <c r="F758" i="17"/>
  <c r="G757" i="17"/>
  <c r="F757" i="17"/>
  <c r="G756" i="17"/>
  <c r="F756" i="17"/>
  <c r="G755" i="17"/>
  <c r="F755" i="17"/>
  <c r="G754" i="17"/>
  <c r="F754" i="17"/>
  <c r="G753" i="17"/>
  <c r="F753" i="17"/>
  <c r="G752" i="17"/>
  <c r="F752" i="17"/>
  <c r="G751" i="17"/>
  <c r="F751" i="17"/>
  <c r="G750" i="17"/>
  <c r="F750" i="17"/>
  <c r="G749" i="17"/>
  <c r="F749" i="17"/>
  <c r="G748" i="17"/>
  <c r="F748" i="17"/>
  <c r="G747" i="17"/>
  <c r="F747" i="17"/>
  <c r="G746" i="17"/>
  <c r="F746" i="17"/>
  <c r="G745" i="17"/>
  <c r="F745" i="17"/>
  <c r="G744" i="17"/>
  <c r="F744" i="17"/>
  <c r="G743" i="17"/>
  <c r="F743" i="17"/>
  <c r="G742" i="17"/>
  <c r="F742" i="17"/>
  <c r="G741" i="17"/>
  <c r="F741" i="17"/>
  <c r="G740" i="17"/>
  <c r="F740" i="17"/>
  <c r="G739" i="17"/>
  <c r="F739" i="17"/>
  <c r="G738" i="17"/>
  <c r="F738" i="17"/>
  <c r="G737" i="17"/>
  <c r="F737" i="17"/>
  <c r="G736" i="17"/>
  <c r="F736" i="17"/>
  <c r="G735" i="17"/>
  <c r="F735" i="17"/>
  <c r="G734" i="17"/>
  <c r="F734" i="17"/>
  <c r="G733" i="17"/>
  <c r="F733" i="17"/>
  <c r="G732" i="17"/>
  <c r="F732" i="17"/>
  <c r="G731" i="17"/>
  <c r="F731" i="17"/>
  <c r="G730" i="17"/>
  <c r="F730" i="17"/>
  <c r="G729" i="17"/>
  <c r="F729" i="17"/>
  <c r="G728" i="17"/>
  <c r="F728" i="17"/>
  <c r="G727" i="17"/>
  <c r="F727" i="17"/>
  <c r="G726" i="17"/>
  <c r="F726" i="17"/>
  <c r="G725" i="17"/>
  <c r="F725" i="17"/>
  <c r="G724" i="17"/>
  <c r="F724" i="17"/>
  <c r="G723" i="17"/>
  <c r="F723" i="17"/>
  <c r="G722" i="17"/>
  <c r="F722" i="17"/>
  <c r="G721" i="17"/>
  <c r="F721" i="17"/>
  <c r="G720" i="17"/>
  <c r="F720" i="17"/>
  <c r="G719" i="17"/>
  <c r="F719" i="17"/>
  <c r="G718" i="17"/>
  <c r="F718" i="17"/>
  <c r="G717" i="17"/>
  <c r="F717" i="17"/>
  <c r="G716" i="17"/>
  <c r="F716" i="17"/>
  <c r="G715" i="17"/>
  <c r="F715" i="17"/>
  <c r="G714" i="17"/>
  <c r="F714" i="17"/>
  <c r="G713" i="17"/>
  <c r="F713" i="17"/>
  <c r="G712" i="17"/>
  <c r="F712" i="17"/>
  <c r="G711" i="17"/>
  <c r="F711" i="17"/>
  <c r="G710" i="17"/>
  <c r="F710" i="17"/>
  <c r="G709" i="17"/>
  <c r="F709" i="17"/>
  <c r="G708" i="17"/>
  <c r="F708" i="17"/>
  <c r="G707" i="17"/>
  <c r="F707" i="17"/>
  <c r="G706" i="17"/>
  <c r="F706" i="17"/>
  <c r="G705" i="17"/>
  <c r="F705" i="17"/>
  <c r="G704" i="17"/>
  <c r="F704" i="17"/>
  <c r="G703" i="17"/>
  <c r="F703" i="17"/>
  <c r="G702" i="17"/>
  <c r="F702" i="17"/>
  <c r="G701" i="17"/>
  <c r="F701" i="17"/>
  <c r="G700" i="17"/>
  <c r="F700" i="17"/>
  <c r="G699" i="17"/>
  <c r="F699" i="17"/>
  <c r="G698" i="17"/>
  <c r="F698" i="17"/>
  <c r="G697" i="17"/>
  <c r="F697" i="17"/>
  <c r="G696" i="17"/>
  <c r="F696" i="17"/>
  <c r="G695" i="17"/>
  <c r="F695" i="17"/>
  <c r="G694" i="17"/>
  <c r="F694" i="17"/>
  <c r="G693" i="17"/>
  <c r="F693" i="17"/>
  <c r="G692" i="17"/>
  <c r="F692" i="17"/>
  <c r="G691" i="17"/>
  <c r="F691" i="17"/>
  <c r="G690" i="17"/>
  <c r="F690" i="17"/>
  <c r="G689" i="17"/>
  <c r="F689" i="17"/>
  <c r="G688" i="17"/>
  <c r="F688" i="17"/>
  <c r="G687" i="17"/>
  <c r="F687" i="17"/>
  <c r="G686" i="17"/>
  <c r="F686" i="17"/>
  <c r="G685" i="17"/>
  <c r="F685" i="17"/>
  <c r="G684" i="17"/>
  <c r="F684" i="17"/>
  <c r="G683" i="17"/>
  <c r="F683" i="17"/>
  <c r="G682" i="17"/>
  <c r="F682" i="17"/>
  <c r="G681" i="17"/>
  <c r="F681" i="17"/>
  <c r="G680" i="17"/>
  <c r="F680" i="17"/>
  <c r="G679" i="17"/>
  <c r="F679" i="17"/>
  <c r="G678" i="17"/>
  <c r="F678" i="17"/>
  <c r="G677" i="17"/>
  <c r="F677" i="17"/>
  <c r="G676" i="17"/>
  <c r="F676" i="17"/>
  <c r="G675" i="17"/>
  <c r="F675" i="17"/>
  <c r="G674" i="17"/>
  <c r="F674" i="17"/>
  <c r="G673" i="17"/>
  <c r="F673" i="17"/>
  <c r="G672" i="17"/>
  <c r="F672" i="17"/>
  <c r="G671" i="17"/>
  <c r="F671" i="17"/>
  <c r="G670" i="17"/>
  <c r="F670" i="17"/>
  <c r="G669" i="17"/>
  <c r="F669" i="17"/>
  <c r="G668" i="17"/>
  <c r="F668" i="17"/>
  <c r="G667" i="17"/>
  <c r="F667" i="17"/>
  <c r="G666" i="17"/>
  <c r="F666" i="17"/>
  <c r="G665" i="17"/>
  <c r="F665" i="17"/>
  <c r="G664" i="17"/>
  <c r="F664" i="17"/>
  <c r="G663" i="17"/>
  <c r="F663" i="17"/>
  <c r="G662" i="17"/>
  <c r="F662" i="17"/>
  <c r="G661" i="17"/>
  <c r="F661" i="17"/>
  <c r="G660" i="17"/>
  <c r="F660" i="17"/>
  <c r="G659" i="17"/>
  <c r="F659" i="17"/>
  <c r="G658" i="17"/>
  <c r="F658" i="17"/>
  <c r="G657" i="17"/>
  <c r="F657" i="17"/>
  <c r="G656" i="17"/>
  <c r="F656" i="17"/>
  <c r="G655" i="17"/>
  <c r="F655" i="17"/>
  <c r="G654" i="17"/>
  <c r="F654" i="17"/>
  <c r="G653" i="17"/>
  <c r="F653" i="17"/>
  <c r="G652" i="17"/>
  <c r="F652" i="17"/>
  <c r="G651" i="17"/>
  <c r="F651" i="17"/>
  <c r="G650" i="17"/>
  <c r="F650" i="17"/>
  <c r="G649" i="17"/>
  <c r="F649" i="17"/>
  <c r="G648" i="17"/>
  <c r="F648" i="17"/>
  <c r="G647" i="17"/>
  <c r="F647" i="17"/>
  <c r="G646" i="17"/>
  <c r="F646" i="17"/>
  <c r="G645" i="17"/>
  <c r="F645" i="17"/>
  <c r="G644" i="17"/>
  <c r="F644" i="17"/>
  <c r="G643" i="17"/>
  <c r="F643" i="17"/>
  <c r="G642" i="17"/>
  <c r="F642" i="17"/>
  <c r="G641" i="17"/>
  <c r="F641" i="17"/>
  <c r="G640" i="17"/>
  <c r="F640" i="17"/>
  <c r="G639" i="17"/>
  <c r="F639" i="17"/>
  <c r="G638" i="17"/>
  <c r="F638" i="17"/>
  <c r="G637" i="17"/>
  <c r="F637" i="17"/>
  <c r="G636" i="17"/>
  <c r="F636" i="17"/>
  <c r="G635" i="17"/>
  <c r="F635" i="17"/>
  <c r="G634" i="17"/>
  <c r="F634" i="17"/>
  <c r="G633" i="17"/>
  <c r="F633" i="17"/>
  <c r="G632" i="17"/>
  <c r="F632" i="17"/>
  <c r="G631" i="17"/>
  <c r="F631" i="17"/>
  <c r="G630" i="17"/>
  <c r="F630" i="17"/>
  <c r="G629" i="17"/>
  <c r="F629" i="17"/>
  <c r="G628" i="17"/>
  <c r="F628" i="17"/>
  <c r="G627" i="17"/>
  <c r="F627" i="17"/>
  <c r="G626" i="17"/>
  <c r="F626" i="17"/>
  <c r="G625" i="17"/>
  <c r="F625" i="17"/>
  <c r="G624" i="17"/>
  <c r="F624" i="17"/>
  <c r="G623" i="17"/>
  <c r="F623" i="17"/>
  <c r="G622" i="17"/>
  <c r="F622" i="17"/>
  <c r="G621" i="17"/>
  <c r="F621" i="17"/>
  <c r="G620" i="17"/>
  <c r="F620" i="17"/>
  <c r="G619" i="17"/>
  <c r="F619" i="17"/>
  <c r="G618" i="17"/>
  <c r="F618" i="17"/>
  <c r="G617" i="17"/>
  <c r="F617" i="17"/>
  <c r="G616" i="17"/>
  <c r="F616" i="17"/>
  <c r="G615" i="17"/>
  <c r="F615" i="17"/>
  <c r="G614" i="17"/>
  <c r="F614" i="17"/>
  <c r="G613" i="17"/>
  <c r="F613" i="17"/>
  <c r="G612" i="17"/>
  <c r="F612" i="17"/>
  <c r="G611" i="17"/>
  <c r="F611" i="17"/>
  <c r="G610" i="17"/>
  <c r="F610" i="17"/>
  <c r="G609" i="17"/>
  <c r="F609" i="17"/>
  <c r="G608" i="17"/>
  <c r="F608" i="17"/>
  <c r="G607" i="17"/>
  <c r="F607" i="17"/>
  <c r="G606" i="17"/>
  <c r="F606" i="17"/>
  <c r="G605" i="17"/>
  <c r="F605" i="17"/>
  <c r="G604" i="17"/>
  <c r="F604" i="17"/>
  <c r="G603" i="17"/>
  <c r="F603" i="17"/>
  <c r="G602" i="17"/>
  <c r="F602" i="17"/>
  <c r="G601" i="17"/>
  <c r="F601" i="17"/>
  <c r="G600" i="17"/>
  <c r="F600" i="17"/>
  <c r="G599" i="17"/>
  <c r="F599" i="17"/>
  <c r="G598" i="17"/>
  <c r="F598" i="17"/>
  <c r="G597" i="17"/>
  <c r="F597" i="17"/>
  <c r="G596" i="17"/>
  <c r="F596" i="17"/>
  <c r="G595" i="17"/>
  <c r="F595" i="17"/>
  <c r="G594" i="17"/>
  <c r="F594" i="17"/>
  <c r="G593" i="17"/>
  <c r="F593" i="17"/>
  <c r="G592" i="17"/>
  <c r="F592" i="17"/>
  <c r="G591" i="17"/>
  <c r="F591" i="17"/>
  <c r="G590" i="17"/>
  <c r="F590" i="17"/>
  <c r="G589" i="17"/>
  <c r="F589" i="17"/>
  <c r="G588" i="17"/>
  <c r="F588" i="17"/>
  <c r="G587" i="17"/>
  <c r="F587" i="17"/>
  <c r="G586" i="17"/>
  <c r="F586" i="17"/>
  <c r="G585" i="17"/>
  <c r="F585" i="17"/>
  <c r="G584" i="17"/>
  <c r="F584" i="17"/>
  <c r="G583" i="17"/>
  <c r="F583" i="17"/>
  <c r="G582" i="17"/>
  <c r="F582" i="17"/>
  <c r="G581" i="17"/>
  <c r="F581" i="17"/>
  <c r="G580" i="17"/>
  <c r="F580" i="17"/>
  <c r="G579" i="17"/>
  <c r="F579" i="17"/>
  <c r="G578" i="17"/>
  <c r="F578" i="17"/>
  <c r="G577" i="17"/>
  <c r="F577" i="17"/>
  <c r="G576" i="17"/>
  <c r="F576" i="17"/>
  <c r="G575" i="17"/>
  <c r="F575" i="17"/>
  <c r="G574" i="17"/>
  <c r="F574" i="17"/>
  <c r="G573" i="17"/>
  <c r="F573" i="17"/>
  <c r="G572" i="17"/>
  <c r="F572" i="17"/>
  <c r="G571" i="17"/>
  <c r="F571" i="17"/>
  <c r="G570" i="17"/>
  <c r="F570" i="17"/>
  <c r="G569" i="17"/>
  <c r="F569" i="17"/>
  <c r="G568" i="17"/>
  <c r="F568" i="17"/>
  <c r="G567" i="17"/>
  <c r="F567" i="17"/>
  <c r="G566" i="17"/>
  <c r="F566" i="17"/>
  <c r="G565" i="17"/>
  <c r="F565" i="17"/>
  <c r="G564" i="17"/>
  <c r="F564" i="17"/>
  <c r="G563" i="17"/>
  <c r="F563" i="17"/>
  <c r="G562" i="17"/>
  <c r="F562" i="17"/>
  <c r="G561" i="17"/>
  <c r="F561" i="17"/>
  <c r="G560" i="17"/>
  <c r="F560" i="17"/>
  <c r="G559" i="17"/>
  <c r="F559" i="17"/>
  <c r="G558" i="17"/>
  <c r="F558" i="17"/>
  <c r="G557" i="17"/>
  <c r="F557" i="17"/>
  <c r="G556" i="17"/>
  <c r="F556" i="17"/>
  <c r="G555" i="17"/>
  <c r="F555" i="17"/>
  <c r="G554" i="17"/>
  <c r="F554" i="17"/>
  <c r="G553" i="17"/>
  <c r="F553" i="17"/>
  <c r="G552" i="17"/>
  <c r="F552" i="17"/>
  <c r="G551" i="17"/>
  <c r="F551" i="17"/>
  <c r="G550" i="17"/>
  <c r="F550" i="17"/>
  <c r="G549" i="17"/>
  <c r="F549" i="17"/>
  <c r="G548" i="17"/>
  <c r="F548" i="17"/>
  <c r="G547" i="17"/>
  <c r="F547" i="17"/>
  <c r="G546" i="17"/>
  <c r="F546" i="17"/>
  <c r="G545" i="17"/>
  <c r="F545" i="17"/>
  <c r="G544" i="17"/>
  <c r="F544" i="17"/>
  <c r="G543" i="17"/>
  <c r="F543" i="17"/>
  <c r="G542" i="17"/>
  <c r="F542" i="17"/>
  <c r="G541" i="17"/>
  <c r="F541" i="17"/>
  <c r="G540" i="17"/>
  <c r="F540" i="17"/>
  <c r="G539" i="17"/>
  <c r="F539" i="17"/>
  <c r="G538" i="17"/>
  <c r="F538" i="17"/>
  <c r="G537" i="17"/>
  <c r="F537" i="17"/>
  <c r="G536" i="17"/>
  <c r="F536" i="17"/>
  <c r="G535" i="17"/>
  <c r="F535" i="17"/>
  <c r="G534" i="17"/>
  <c r="F534" i="17"/>
  <c r="G533" i="17"/>
  <c r="F533" i="17"/>
  <c r="G532" i="17"/>
  <c r="F532" i="17"/>
  <c r="G531" i="17"/>
  <c r="F531" i="17"/>
  <c r="G530" i="17"/>
  <c r="F530" i="17"/>
  <c r="G529" i="17"/>
  <c r="F529" i="17"/>
  <c r="G528" i="17"/>
  <c r="F528" i="17"/>
  <c r="G527" i="17"/>
  <c r="F527" i="17"/>
  <c r="G526" i="17"/>
  <c r="F526" i="17"/>
  <c r="G525" i="17"/>
  <c r="F525" i="17"/>
  <c r="G524" i="17"/>
  <c r="F524" i="17"/>
  <c r="G523" i="17"/>
  <c r="F523" i="17"/>
  <c r="G522" i="17"/>
  <c r="F522" i="17"/>
  <c r="G521" i="17"/>
  <c r="F521" i="17"/>
  <c r="G520" i="17"/>
  <c r="F520" i="17"/>
  <c r="G519" i="17"/>
  <c r="F519" i="17"/>
  <c r="G518" i="17"/>
  <c r="F518" i="17"/>
  <c r="G517" i="17"/>
  <c r="F517" i="17"/>
  <c r="G516" i="17"/>
  <c r="F516" i="17"/>
  <c r="G515" i="17"/>
  <c r="F515" i="17"/>
  <c r="G514" i="17"/>
  <c r="F514" i="17"/>
  <c r="G513" i="17"/>
  <c r="F513" i="17"/>
  <c r="G512" i="17"/>
  <c r="F512" i="17"/>
  <c r="G511" i="17"/>
  <c r="F511" i="17"/>
  <c r="G510" i="17"/>
  <c r="F510" i="17"/>
  <c r="G509" i="17"/>
  <c r="F509" i="17"/>
  <c r="G508" i="17"/>
  <c r="F508" i="17"/>
  <c r="G507" i="17"/>
  <c r="F507" i="17"/>
  <c r="G506" i="17"/>
  <c r="F506" i="17"/>
  <c r="G505" i="17"/>
  <c r="F505" i="17"/>
  <c r="G504" i="17"/>
  <c r="F504" i="17"/>
  <c r="G503" i="17"/>
  <c r="F503" i="17"/>
  <c r="G502" i="17"/>
  <c r="F502" i="17"/>
  <c r="G501" i="17"/>
  <c r="F501" i="17"/>
  <c r="G500" i="17"/>
  <c r="F500" i="17"/>
  <c r="G499" i="17"/>
  <c r="F499" i="17"/>
  <c r="G498" i="17"/>
  <c r="F498" i="17"/>
  <c r="G497" i="17"/>
  <c r="F497" i="17"/>
  <c r="G496" i="17"/>
  <c r="F496" i="17"/>
  <c r="G495" i="17"/>
  <c r="F495" i="17"/>
  <c r="G494" i="17"/>
  <c r="F494" i="17"/>
  <c r="G493" i="17"/>
  <c r="F493" i="17"/>
  <c r="G492" i="17"/>
  <c r="F492" i="17"/>
  <c r="G491" i="17"/>
  <c r="F491" i="17"/>
  <c r="G490" i="17"/>
  <c r="F490" i="17"/>
  <c r="G489" i="17"/>
  <c r="F489" i="17"/>
  <c r="G488" i="17"/>
  <c r="F488" i="17"/>
  <c r="G487" i="17"/>
  <c r="F487" i="17"/>
  <c r="G486" i="17"/>
  <c r="F486" i="17"/>
  <c r="G485" i="17"/>
  <c r="F485" i="17"/>
  <c r="G484" i="17"/>
  <c r="F484" i="17"/>
  <c r="G483" i="17"/>
  <c r="F483" i="17"/>
  <c r="G482" i="17"/>
  <c r="F482" i="17"/>
  <c r="G481" i="17"/>
  <c r="F481" i="17"/>
  <c r="G480" i="17"/>
  <c r="F480" i="17"/>
  <c r="G479" i="17"/>
  <c r="F479" i="17"/>
  <c r="G478" i="17"/>
  <c r="F478" i="17"/>
  <c r="G477" i="17"/>
  <c r="F477" i="17"/>
  <c r="G476" i="17"/>
  <c r="F476" i="17"/>
  <c r="G475" i="17"/>
  <c r="F475" i="17"/>
  <c r="G474" i="17"/>
  <c r="F474" i="17"/>
  <c r="G473" i="17"/>
  <c r="F473" i="17"/>
  <c r="G472" i="17"/>
  <c r="F472" i="17"/>
  <c r="G471" i="17"/>
  <c r="F471" i="17"/>
  <c r="G470" i="17"/>
  <c r="F470" i="17"/>
  <c r="G469" i="17"/>
  <c r="F469" i="17"/>
  <c r="G468" i="17"/>
  <c r="F468" i="17"/>
  <c r="G467" i="17"/>
  <c r="F467" i="17"/>
  <c r="G466" i="17"/>
  <c r="F466" i="17"/>
  <c r="G465" i="17"/>
  <c r="F465" i="17"/>
  <c r="G464" i="17"/>
  <c r="F464" i="17"/>
  <c r="G463" i="17"/>
  <c r="F463" i="17"/>
  <c r="G462" i="17"/>
  <c r="F462" i="17"/>
  <c r="G461" i="17"/>
  <c r="F461" i="17"/>
  <c r="G460" i="17"/>
  <c r="F460" i="17"/>
  <c r="G459" i="17"/>
  <c r="F459" i="17"/>
  <c r="G458" i="17"/>
  <c r="F458" i="17"/>
  <c r="G457" i="17"/>
  <c r="F457" i="17"/>
  <c r="G456" i="17"/>
  <c r="F456" i="17"/>
  <c r="G455" i="17"/>
  <c r="F455" i="17"/>
  <c r="G454" i="17"/>
  <c r="F454" i="17"/>
  <c r="G453" i="17"/>
  <c r="F453" i="17"/>
  <c r="G452" i="17"/>
  <c r="F452" i="17"/>
  <c r="G451" i="17"/>
  <c r="F451" i="17"/>
  <c r="G450" i="17"/>
  <c r="F450" i="17"/>
  <c r="G449" i="17"/>
  <c r="F449" i="17"/>
  <c r="G448" i="17"/>
  <c r="F448" i="17"/>
  <c r="G447" i="17"/>
  <c r="F447" i="17"/>
  <c r="G446" i="17"/>
  <c r="F446" i="17"/>
  <c r="G445" i="17"/>
  <c r="F445" i="17"/>
  <c r="G444" i="17"/>
  <c r="F444" i="17"/>
  <c r="G443" i="17"/>
  <c r="F443" i="17"/>
  <c r="G442" i="17"/>
  <c r="F442" i="17"/>
  <c r="G441" i="17"/>
  <c r="F441" i="17"/>
  <c r="G440" i="17"/>
  <c r="F440" i="17"/>
  <c r="G439" i="17"/>
  <c r="F439" i="17"/>
  <c r="G438" i="17"/>
  <c r="F438" i="17"/>
  <c r="G437" i="17"/>
  <c r="F437" i="17"/>
  <c r="G436" i="17"/>
  <c r="F436" i="17"/>
  <c r="G435" i="17"/>
  <c r="F435" i="17"/>
  <c r="G434" i="17"/>
  <c r="F434" i="17"/>
  <c r="G433" i="17"/>
  <c r="F433" i="17"/>
  <c r="G432" i="17"/>
  <c r="F432" i="17"/>
  <c r="G431" i="17"/>
  <c r="F431" i="17"/>
  <c r="G430" i="17"/>
  <c r="F430" i="17"/>
  <c r="G429" i="17"/>
  <c r="F429" i="17"/>
  <c r="G428" i="17"/>
  <c r="F428" i="17"/>
  <c r="G427" i="17"/>
  <c r="F427" i="17"/>
  <c r="G426" i="17"/>
  <c r="F426" i="17"/>
  <c r="G425" i="17"/>
  <c r="F425" i="17"/>
  <c r="G424" i="17"/>
  <c r="F424" i="17"/>
  <c r="G423" i="17"/>
  <c r="F423" i="17"/>
  <c r="G422" i="17"/>
  <c r="F422" i="17"/>
  <c r="G421" i="17"/>
  <c r="F421" i="17"/>
  <c r="G420" i="17"/>
  <c r="F420" i="17"/>
  <c r="G419" i="17"/>
  <c r="F419" i="17"/>
  <c r="G418" i="17"/>
  <c r="F418" i="17"/>
  <c r="G417" i="17"/>
  <c r="F417" i="17"/>
  <c r="G416" i="17"/>
  <c r="F416" i="17"/>
  <c r="G415" i="17"/>
  <c r="F415" i="17"/>
  <c r="G414" i="17"/>
  <c r="F414" i="17"/>
  <c r="G413" i="17"/>
  <c r="F413" i="17"/>
  <c r="G412" i="17"/>
  <c r="F412" i="17"/>
  <c r="G411" i="17"/>
  <c r="F411" i="17"/>
  <c r="G410" i="17"/>
  <c r="F410" i="17"/>
  <c r="G409" i="17"/>
  <c r="F409" i="17"/>
  <c r="G408" i="17"/>
  <c r="F408" i="17"/>
  <c r="G407" i="17"/>
  <c r="F407" i="17"/>
  <c r="G406" i="17"/>
  <c r="F406" i="17"/>
  <c r="G405" i="17"/>
  <c r="F405" i="17"/>
  <c r="G404" i="17"/>
  <c r="F404" i="17"/>
  <c r="G403" i="17"/>
  <c r="F403" i="17"/>
  <c r="G402" i="17"/>
  <c r="F402" i="17"/>
  <c r="G401" i="17"/>
  <c r="F401" i="17"/>
  <c r="G400" i="17"/>
  <c r="F400" i="17"/>
  <c r="G399" i="17"/>
  <c r="F399" i="17"/>
  <c r="G398" i="17"/>
  <c r="F398" i="17"/>
  <c r="G397" i="17"/>
  <c r="F397" i="17"/>
  <c r="G396" i="17"/>
  <c r="F396" i="17"/>
  <c r="G395" i="17"/>
  <c r="F395" i="17"/>
  <c r="G394" i="17"/>
  <c r="F394" i="17"/>
  <c r="G393" i="17"/>
  <c r="F393" i="17"/>
  <c r="G392" i="17"/>
  <c r="F392" i="17"/>
  <c r="G391" i="17"/>
  <c r="F391" i="17"/>
  <c r="G390" i="17"/>
  <c r="F390" i="17"/>
  <c r="G389" i="17"/>
  <c r="F389" i="17"/>
  <c r="G388" i="17"/>
  <c r="F388" i="17"/>
  <c r="G387" i="17"/>
  <c r="F387" i="17"/>
  <c r="G386" i="17"/>
  <c r="F386" i="17"/>
  <c r="G385" i="17"/>
  <c r="F385" i="17"/>
  <c r="G384" i="17"/>
  <c r="F384" i="17"/>
  <c r="G383" i="17"/>
  <c r="F383" i="17"/>
  <c r="G382" i="17"/>
  <c r="F382" i="17"/>
  <c r="G381" i="17"/>
  <c r="F381" i="17"/>
  <c r="G380" i="17"/>
  <c r="F380" i="17"/>
  <c r="G379" i="17"/>
  <c r="F379" i="17"/>
  <c r="G378" i="17"/>
  <c r="F378" i="17"/>
  <c r="G377" i="17"/>
  <c r="F377" i="17"/>
  <c r="G376" i="17"/>
  <c r="F376" i="17"/>
  <c r="G375" i="17"/>
  <c r="F375" i="17"/>
  <c r="G374" i="17"/>
  <c r="F374" i="17"/>
  <c r="G373" i="17"/>
  <c r="F373" i="17"/>
  <c r="G372" i="17"/>
  <c r="F372" i="17"/>
  <c r="G371" i="17"/>
  <c r="F371" i="17"/>
  <c r="G370" i="17"/>
  <c r="F370" i="17"/>
  <c r="G369" i="17"/>
  <c r="F369" i="17"/>
  <c r="G368" i="17"/>
  <c r="F368" i="17"/>
  <c r="G367" i="17"/>
  <c r="F367" i="17"/>
  <c r="G366" i="17"/>
  <c r="F366" i="17"/>
  <c r="G365" i="17"/>
  <c r="F365" i="17"/>
  <c r="G364" i="17"/>
  <c r="F364" i="17"/>
  <c r="G363" i="17"/>
  <c r="F363" i="17"/>
  <c r="G362" i="17"/>
  <c r="F362" i="17"/>
  <c r="G361" i="17"/>
  <c r="F361" i="17"/>
  <c r="G360" i="17"/>
  <c r="F360" i="17"/>
  <c r="G359" i="17"/>
  <c r="F359" i="17"/>
  <c r="G358" i="17"/>
  <c r="F358" i="17"/>
  <c r="G357" i="17"/>
  <c r="F357" i="17"/>
  <c r="G356" i="17"/>
  <c r="F356" i="17"/>
  <c r="G355" i="17"/>
  <c r="F355" i="17"/>
  <c r="G354" i="17"/>
  <c r="F354" i="17"/>
  <c r="G353" i="17"/>
  <c r="F353" i="17"/>
  <c r="G352" i="17"/>
  <c r="F352" i="17"/>
  <c r="G351" i="17"/>
  <c r="F351" i="17"/>
  <c r="G350" i="17"/>
  <c r="F350" i="17"/>
  <c r="G349" i="17"/>
  <c r="F349" i="17"/>
  <c r="G348" i="17"/>
  <c r="F348" i="17"/>
  <c r="G347" i="17"/>
  <c r="F347" i="17"/>
  <c r="G346" i="17"/>
  <c r="F346" i="17"/>
  <c r="G345" i="17"/>
  <c r="F345" i="17"/>
  <c r="G344" i="17"/>
  <c r="F344" i="17"/>
  <c r="G343" i="17"/>
  <c r="F343" i="17"/>
  <c r="G342" i="17"/>
  <c r="F342" i="17"/>
  <c r="G341" i="17"/>
  <c r="F341" i="17"/>
  <c r="G340" i="17"/>
  <c r="F340" i="17"/>
  <c r="G339" i="17"/>
  <c r="F339" i="17"/>
  <c r="G338" i="17"/>
  <c r="F338" i="17"/>
  <c r="G337" i="17"/>
  <c r="F337" i="17"/>
  <c r="G336" i="17"/>
  <c r="F336" i="17"/>
  <c r="G335" i="17"/>
  <c r="F335" i="17"/>
  <c r="G334" i="17"/>
  <c r="F334" i="17"/>
  <c r="G333" i="17"/>
  <c r="F333" i="17"/>
  <c r="G332" i="17"/>
  <c r="F332" i="17"/>
  <c r="G331" i="17"/>
  <c r="F331" i="17"/>
  <c r="G330" i="17"/>
  <c r="F330" i="17"/>
  <c r="G329" i="17"/>
  <c r="F329" i="17"/>
  <c r="G328" i="17"/>
  <c r="F328" i="17"/>
  <c r="G327" i="17"/>
  <c r="F327" i="17"/>
  <c r="G326" i="17"/>
  <c r="F326" i="17"/>
  <c r="G325" i="17"/>
  <c r="F325" i="17"/>
  <c r="G324" i="17"/>
  <c r="F324" i="17"/>
  <c r="G323" i="17"/>
  <c r="F323" i="17"/>
  <c r="G322" i="17"/>
  <c r="F322" i="17"/>
  <c r="G321" i="17"/>
  <c r="F321" i="17"/>
  <c r="G320" i="17"/>
  <c r="F320" i="17"/>
  <c r="G319" i="17"/>
  <c r="F319" i="17"/>
  <c r="G318" i="17"/>
  <c r="F318" i="17"/>
  <c r="G317" i="17"/>
  <c r="F317" i="17"/>
  <c r="G316" i="17"/>
  <c r="F316" i="17"/>
  <c r="G315" i="17"/>
  <c r="F315" i="17"/>
  <c r="G314" i="17"/>
  <c r="F314" i="17"/>
  <c r="G313" i="17"/>
  <c r="F313" i="17"/>
  <c r="G312" i="17"/>
  <c r="F312" i="17"/>
  <c r="G311" i="17"/>
  <c r="F311" i="17"/>
  <c r="G310" i="17"/>
  <c r="F310" i="17"/>
  <c r="G309" i="17"/>
  <c r="F309" i="17"/>
  <c r="G308" i="17"/>
  <c r="F308" i="17"/>
  <c r="G307" i="17"/>
  <c r="F307" i="17"/>
  <c r="G306" i="17"/>
  <c r="F306" i="17"/>
  <c r="G305" i="17"/>
  <c r="F305" i="17"/>
  <c r="G304" i="17"/>
  <c r="F304" i="17"/>
  <c r="G303" i="17"/>
  <c r="F303" i="17"/>
  <c r="G302" i="17"/>
  <c r="F302" i="17"/>
  <c r="G301" i="17"/>
  <c r="F301" i="17"/>
  <c r="G300" i="17"/>
  <c r="F300" i="17"/>
  <c r="G299" i="17"/>
  <c r="F299" i="17"/>
  <c r="G298" i="17"/>
  <c r="F298" i="17"/>
  <c r="G297" i="17"/>
  <c r="F297" i="17"/>
  <c r="G296" i="17"/>
  <c r="F296" i="17"/>
  <c r="G295" i="17"/>
  <c r="F295" i="17"/>
  <c r="G294" i="17"/>
  <c r="F294" i="17"/>
  <c r="G293" i="17"/>
  <c r="F293" i="17"/>
  <c r="G292" i="17"/>
  <c r="F292" i="17"/>
  <c r="G291" i="17"/>
  <c r="F291" i="17"/>
  <c r="G290" i="17"/>
  <c r="F290" i="17"/>
  <c r="G289" i="17"/>
  <c r="F289" i="17"/>
  <c r="G288" i="17"/>
  <c r="F288" i="17"/>
  <c r="G287" i="17"/>
  <c r="F287" i="17"/>
  <c r="G286" i="17"/>
  <c r="F286" i="17"/>
  <c r="G285" i="17"/>
  <c r="F285" i="17"/>
  <c r="G284" i="17"/>
  <c r="F284" i="17"/>
  <c r="G283" i="17"/>
  <c r="F283" i="17"/>
  <c r="G282" i="17"/>
  <c r="F282" i="17"/>
  <c r="G281" i="17"/>
  <c r="F281" i="17"/>
  <c r="G280" i="17"/>
  <c r="F280" i="17"/>
  <c r="G279" i="17"/>
  <c r="F279" i="17"/>
  <c r="G278" i="17"/>
  <c r="F278" i="17"/>
  <c r="G277" i="17"/>
  <c r="F277" i="17"/>
  <c r="G276" i="17"/>
  <c r="F276" i="17"/>
  <c r="G275" i="17"/>
  <c r="F275" i="17"/>
  <c r="G274" i="17"/>
  <c r="F274" i="17"/>
  <c r="G273" i="17"/>
  <c r="F273" i="17"/>
  <c r="G272" i="17"/>
  <c r="F272" i="17"/>
  <c r="G271" i="17"/>
  <c r="F271" i="17"/>
  <c r="G270" i="17"/>
  <c r="F270" i="17"/>
  <c r="G269" i="17"/>
  <c r="F269" i="17"/>
  <c r="G268" i="17"/>
  <c r="F268" i="17"/>
  <c r="G267" i="17"/>
  <c r="F267" i="17"/>
  <c r="G266" i="17"/>
  <c r="F266" i="17"/>
  <c r="G265" i="17"/>
  <c r="F265" i="17"/>
  <c r="G264" i="17"/>
  <c r="F264" i="17"/>
  <c r="G263" i="17"/>
  <c r="F263" i="17"/>
  <c r="G262" i="17"/>
  <c r="F262" i="17"/>
  <c r="G261" i="17"/>
  <c r="D5" i="13" s="1"/>
  <c r="F261" i="17"/>
  <c r="G260" i="17"/>
  <c r="F260" i="17"/>
  <c r="G259" i="17"/>
  <c r="F259" i="17"/>
  <c r="G258" i="17"/>
  <c r="F258" i="17"/>
  <c r="G257" i="17"/>
  <c r="F257" i="17"/>
  <c r="G256" i="17"/>
  <c r="F256" i="17"/>
  <c r="G255" i="17"/>
  <c r="F255" i="17"/>
  <c r="G254" i="17"/>
  <c r="F254" i="17"/>
  <c r="G253" i="17"/>
  <c r="F253" i="17"/>
  <c r="G252" i="17"/>
  <c r="F252" i="17"/>
  <c r="G251" i="17"/>
  <c r="F251" i="17"/>
  <c r="G250" i="17"/>
  <c r="F250" i="17"/>
  <c r="G249" i="17"/>
  <c r="F249" i="17"/>
  <c r="G248" i="17"/>
  <c r="F248" i="17"/>
  <c r="G247" i="17"/>
  <c r="F247" i="17"/>
  <c r="G246" i="17"/>
  <c r="F246" i="17"/>
  <c r="G245" i="17"/>
  <c r="F245" i="17"/>
  <c r="G244" i="17"/>
  <c r="F244" i="17"/>
  <c r="G243" i="17"/>
  <c r="F243" i="17"/>
  <c r="G242" i="17"/>
  <c r="F242" i="17"/>
  <c r="G241" i="17"/>
  <c r="F241" i="17"/>
  <c r="G240" i="17"/>
  <c r="F240" i="17"/>
  <c r="G239" i="17"/>
  <c r="F239" i="17"/>
  <c r="G238" i="17"/>
  <c r="F238" i="17"/>
  <c r="G237" i="17"/>
  <c r="F237" i="17"/>
  <c r="G236" i="17"/>
  <c r="F236" i="17"/>
  <c r="G235" i="17"/>
  <c r="F235" i="17"/>
  <c r="G234" i="17"/>
  <c r="F234" i="17"/>
  <c r="G233" i="17"/>
  <c r="F233" i="17"/>
  <c r="G232" i="17"/>
  <c r="F232" i="17"/>
  <c r="G231" i="17"/>
  <c r="F231" i="17"/>
  <c r="G230" i="17"/>
  <c r="F230" i="17"/>
  <c r="G229" i="17"/>
  <c r="F229" i="17"/>
  <c r="G228" i="17"/>
  <c r="F228" i="17"/>
  <c r="G227" i="17"/>
  <c r="F227" i="17"/>
  <c r="G226" i="17"/>
  <c r="F226" i="17"/>
  <c r="G225" i="17"/>
  <c r="F225" i="17"/>
  <c r="G224" i="17"/>
  <c r="F224" i="17"/>
  <c r="G223" i="17"/>
  <c r="F223" i="17"/>
  <c r="G222" i="17"/>
  <c r="F222" i="17"/>
  <c r="G221" i="17"/>
  <c r="F221" i="17"/>
  <c r="G220" i="17"/>
  <c r="F220" i="17"/>
  <c r="G219" i="17"/>
  <c r="F219" i="17"/>
  <c r="G218" i="17"/>
  <c r="F218" i="17"/>
  <c r="G217" i="17"/>
  <c r="F217" i="17"/>
  <c r="G216" i="17"/>
  <c r="F216" i="17"/>
  <c r="G215" i="17"/>
  <c r="F215" i="17"/>
  <c r="G214" i="17"/>
  <c r="F214" i="17"/>
  <c r="G213" i="17"/>
  <c r="F213" i="17"/>
  <c r="G212" i="17"/>
  <c r="F212" i="17"/>
  <c r="G211" i="17"/>
  <c r="F211" i="17"/>
  <c r="G210" i="17"/>
  <c r="F210" i="17"/>
  <c r="G209" i="17"/>
  <c r="F209" i="17"/>
  <c r="G208" i="17"/>
  <c r="F208" i="17"/>
  <c r="G207" i="17"/>
  <c r="F207" i="17"/>
  <c r="G206" i="17"/>
  <c r="F206" i="17"/>
  <c r="G205" i="17"/>
  <c r="F205" i="17"/>
  <c r="G204" i="17"/>
  <c r="F204" i="17"/>
  <c r="G203" i="17"/>
  <c r="F203" i="17"/>
  <c r="G202" i="17"/>
  <c r="F202" i="17"/>
  <c r="G201" i="17"/>
  <c r="F201" i="17"/>
  <c r="G200" i="17"/>
  <c r="F200" i="17"/>
  <c r="G199" i="17"/>
  <c r="F199" i="17"/>
  <c r="G198" i="17"/>
  <c r="F198" i="17"/>
  <c r="G197" i="17"/>
  <c r="F197" i="17"/>
  <c r="G196" i="17"/>
  <c r="F196" i="17"/>
  <c r="G195" i="17"/>
  <c r="F195" i="17"/>
  <c r="G194" i="17"/>
  <c r="F194" i="17"/>
  <c r="G193" i="17"/>
  <c r="F193" i="17"/>
  <c r="G192" i="17"/>
  <c r="F192" i="17"/>
  <c r="G191" i="17"/>
  <c r="F191" i="17"/>
  <c r="G190" i="17"/>
  <c r="F190" i="17"/>
  <c r="G189" i="17"/>
  <c r="F189" i="17"/>
  <c r="G188" i="17"/>
  <c r="F188" i="17"/>
  <c r="G187" i="17"/>
  <c r="F187" i="17"/>
  <c r="G186" i="17"/>
  <c r="F186" i="17"/>
  <c r="G185" i="17"/>
  <c r="F185" i="17"/>
  <c r="G184" i="17"/>
  <c r="F184" i="17"/>
  <c r="G183" i="17"/>
  <c r="F183" i="17"/>
  <c r="G182" i="17"/>
  <c r="F182" i="17"/>
  <c r="G181" i="17"/>
  <c r="F181" i="17"/>
  <c r="G180" i="17"/>
  <c r="F180" i="17"/>
  <c r="G179" i="17"/>
  <c r="F179" i="17"/>
  <c r="G178" i="17"/>
  <c r="F178" i="17"/>
  <c r="G177" i="17"/>
  <c r="F177" i="17"/>
  <c r="G176" i="17"/>
  <c r="F176" i="17"/>
  <c r="G175" i="17"/>
  <c r="F175" i="17"/>
  <c r="G174" i="17"/>
  <c r="F174" i="17"/>
  <c r="G173" i="17"/>
  <c r="F173" i="17"/>
  <c r="G172" i="17"/>
  <c r="F172" i="17"/>
  <c r="G171" i="17"/>
  <c r="F171" i="17"/>
  <c r="G170" i="17"/>
  <c r="F170" i="17"/>
  <c r="G169" i="17"/>
  <c r="F169" i="17"/>
  <c r="G168" i="17"/>
  <c r="F168" i="17"/>
  <c r="G167" i="17"/>
  <c r="F167" i="17"/>
  <c r="G166" i="17"/>
  <c r="F166" i="17"/>
  <c r="G165" i="17"/>
  <c r="F165" i="17"/>
  <c r="G164" i="17"/>
  <c r="F164" i="17"/>
  <c r="G163" i="17"/>
  <c r="F163" i="17"/>
  <c r="G162" i="17"/>
  <c r="F162" i="17"/>
  <c r="G161" i="17"/>
  <c r="F161" i="17"/>
  <c r="G160" i="17"/>
  <c r="F160" i="17"/>
  <c r="G159" i="17"/>
  <c r="F159" i="17"/>
  <c r="G158" i="17"/>
  <c r="F158" i="17"/>
  <c r="G157" i="17"/>
  <c r="F157" i="17"/>
  <c r="G156" i="17"/>
  <c r="F156" i="17"/>
  <c r="G155" i="17"/>
  <c r="F155" i="17"/>
  <c r="G154" i="17"/>
  <c r="F154" i="17"/>
  <c r="G153" i="17"/>
  <c r="F153" i="17"/>
  <c r="G152" i="17"/>
  <c r="F152" i="17"/>
  <c r="G151" i="17"/>
  <c r="F151" i="17"/>
  <c r="G150" i="17"/>
  <c r="F150" i="17"/>
  <c r="G149" i="17"/>
  <c r="F149" i="17"/>
  <c r="G148" i="17"/>
  <c r="F148" i="17"/>
  <c r="G147" i="17"/>
  <c r="F147" i="17"/>
  <c r="G146" i="17"/>
  <c r="F146" i="17"/>
  <c r="G145" i="17"/>
  <c r="F145" i="17"/>
  <c r="G144" i="17"/>
  <c r="F144" i="17"/>
  <c r="G143" i="17"/>
  <c r="F143" i="17"/>
  <c r="G142" i="17"/>
  <c r="F142" i="17"/>
  <c r="G141" i="17"/>
  <c r="F141" i="17"/>
  <c r="G140" i="17"/>
  <c r="F140" i="17"/>
  <c r="G139" i="17"/>
  <c r="F139" i="17"/>
  <c r="G138" i="17"/>
  <c r="F138" i="17"/>
  <c r="G137" i="17"/>
  <c r="F137" i="17"/>
  <c r="G136" i="17"/>
  <c r="F136" i="17"/>
  <c r="G135" i="17"/>
  <c r="F135" i="17"/>
  <c r="G134" i="17"/>
  <c r="F134" i="17"/>
  <c r="G133" i="17"/>
  <c r="F133" i="17"/>
  <c r="G132" i="17"/>
  <c r="F132" i="17"/>
  <c r="G131" i="17"/>
  <c r="F131" i="17"/>
  <c r="G130" i="17"/>
  <c r="F130" i="17"/>
  <c r="G129" i="17"/>
  <c r="F129" i="17"/>
  <c r="G128" i="17"/>
  <c r="F128" i="17"/>
  <c r="G127" i="17"/>
  <c r="F127" i="17"/>
  <c r="G126" i="17"/>
  <c r="F126" i="17"/>
  <c r="G125" i="17"/>
  <c r="F125" i="17"/>
  <c r="G124" i="17"/>
  <c r="F124" i="17"/>
  <c r="G123" i="17"/>
  <c r="F123" i="17"/>
  <c r="G122" i="17"/>
  <c r="F122" i="17"/>
  <c r="G121" i="17"/>
  <c r="F121" i="17"/>
  <c r="G120" i="17"/>
  <c r="F120" i="17"/>
  <c r="G119" i="17"/>
  <c r="F119" i="17"/>
  <c r="G118" i="17"/>
  <c r="F118" i="17"/>
  <c r="G117" i="17"/>
  <c r="F117" i="17"/>
  <c r="G116" i="17"/>
  <c r="F116" i="17"/>
  <c r="G115" i="17"/>
  <c r="F115" i="17"/>
  <c r="G114" i="17"/>
  <c r="F114" i="17"/>
  <c r="G113" i="17"/>
  <c r="F113" i="17"/>
  <c r="G112" i="17"/>
  <c r="F112" i="17"/>
  <c r="G111" i="17"/>
  <c r="F111" i="17"/>
  <c r="G110" i="17"/>
  <c r="F110" i="17"/>
  <c r="G109" i="17"/>
  <c r="F109" i="17"/>
  <c r="G108" i="17"/>
  <c r="F108" i="17"/>
  <c r="G107" i="17"/>
  <c r="F107" i="17"/>
  <c r="G106" i="17"/>
  <c r="F106" i="17"/>
  <c r="G105" i="17"/>
  <c r="F105" i="17"/>
  <c r="G104" i="17"/>
  <c r="F104" i="17"/>
  <c r="G103" i="17"/>
  <c r="F103" i="17"/>
  <c r="G102" i="17"/>
  <c r="F102" i="17"/>
  <c r="G101" i="17"/>
  <c r="F101" i="17"/>
  <c r="G100" i="17"/>
  <c r="F100" i="17"/>
  <c r="G99" i="17"/>
  <c r="F99" i="17"/>
  <c r="G98" i="17"/>
  <c r="F98" i="17"/>
  <c r="G97" i="17"/>
  <c r="F97" i="17"/>
  <c r="G96" i="17"/>
  <c r="F96" i="17"/>
  <c r="G95" i="17"/>
  <c r="F95" i="17"/>
  <c r="G94" i="17"/>
  <c r="F94" i="17"/>
  <c r="G93" i="17"/>
  <c r="F93" i="17"/>
  <c r="G92" i="17"/>
  <c r="F92" i="17"/>
  <c r="G91" i="17"/>
  <c r="F91" i="17"/>
  <c r="G90" i="17"/>
  <c r="F90" i="17"/>
  <c r="G89" i="17"/>
  <c r="F89" i="17"/>
  <c r="G88" i="17"/>
  <c r="F88" i="17"/>
  <c r="G87" i="17"/>
  <c r="F87" i="17"/>
  <c r="G86" i="17"/>
  <c r="F86" i="17"/>
  <c r="G85" i="17"/>
  <c r="F85" i="17"/>
  <c r="G84" i="17"/>
  <c r="F84" i="17"/>
  <c r="G83" i="17"/>
  <c r="F83" i="17"/>
  <c r="G82" i="17"/>
  <c r="F82" i="17"/>
  <c r="G81" i="17"/>
  <c r="F81" i="17"/>
  <c r="G80" i="17"/>
  <c r="F80" i="17"/>
  <c r="G79" i="17"/>
  <c r="F79" i="17"/>
  <c r="G78" i="17"/>
  <c r="F78" i="17"/>
  <c r="G77" i="17"/>
  <c r="F77" i="17"/>
  <c r="G76" i="17"/>
  <c r="F76" i="17"/>
  <c r="G75" i="17"/>
  <c r="F75" i="17"/>
  <c r="G74" i="17"/>
  <c r="F74" i="17"/>
  <c r="G73" i="17"/>
  <c r="F73" i="17"/>
  <c r="G72" i="17"/>
  <c r="F72" i="17"/>
  <c r="G71" i="17"/>
  <c r="F71" i="17"/>
  <c r="G70" i="17"/>
  <c r="F70" i="17"/>
  <c r="G69" i="17"/>
  <c r="F69" i="17"/>
  <c r="G68" i="17"/>
  <c r="F68" i="17"/>
  <c r="G67" i="17"/>
  <c r="F67" i="17"/>
  <c r="G66" i="17"/>
  <c r="F66" i="17"/>
  <c r="G65" i="17"/>
  <c r="F65" i="17"/>
  <c r="G64" i="17"/>
  <c r="F64" i="17"/>
  <c r="G63" i="17"/>
  <c r="F63" i="17"/>
  <c r="G62" i="17"/>
  <c r="F62" i="17"/>
  <c r="G61" i="17"/>
  <c r="F61" i="17"/>
  <c r="G60" i="17"/>
  <c r="F60" i="17"/>
  <c r="G59" i="17"/>
  <c r="F59" i="17"/>
  <c r="G58" i="17"/>
  <c r="F58" i="17"/>
  <c r="G57" i="17"/>
  <c r="F57" i="17"/>
  <c r="G56" i="17"/>
  <c r="F56" i="17"/>
  <c r="G55" i="17"/>
  <c r="F55" i="17"/>
  <c r="G54" i="17"/>
  <c r="F54" i="17"/>
  <c r="G53" i="17"/>
  <c r="F53" i="17"/>
  <c r="G52" i="17"/>
  <c r="F52" i="17"/>
  <c r="G51" i="17"/>
  <c r="F51" i="17"/>
  <c r="G50" i="17"/>
  <c r="F50" i="17"/>
  <c r="G49" i="17"/>
  <c r="F49" i="17"/>
  <c r="G48" i="17"/>
  <c r="F48" i="17"/>
  <c r="G47" i="17"/>
  <c r="F47" i="17"/>
  <c r="G46" i="17"/>
  <c r="F46" i="17"/>
  <c r="G45" i="17"/>
  <c r="F45" i="17"/>
  <c r="G44" i="17"/>
  <c r="F44" i="17"/>
  <c r="G43" i="17"/>
  <c r="F43" i="17"/>
  <c r="G42" i="17"/>
  <c r="F42" i="17"/>
  <c r="G41" i="17"/>
  <c r="F41" i="17"/>
  <c r="G40" i="17"/>
  <c r="F40" i="17"/>
  <c r="G39" i="17"/>
  <c r="F39" i="17"/>
  <c r="G38" i="17"/>
  <c r="F38" i="17"/>
  <c r="G37" i="17"/>
  <c r="F37" i="17"/>
  <c r="G36" i="17"/>
  <c r="F36" i="17"/>
  <c r="G35" i="17"/>
  <c r="F35" i="17"/>
  <c r="G34" i="17"/>
  <c r="F34" i="17"/>
  <c r="G33" i="17"/>
  <c r="F33" i="17"/>
  <c r="G32" i="17"/>
  <c r="F32" i="17"/>
  <c r="G31" i="17"/>
  <c r="F31" i="17"/>
  <c r="G30" i="17"/>
  <c r="F30" i="17"/>
  <c r="G29" i="17"/>
  <c r="F29" i="17"/>
  <c r="G28" i="17"/>
  <c r="F28" i="17"/>
  <c r="G27" i="17"/>
  <c r="F27" i="17"/>
  <c r="G26" i="17"/>
  <c r="F26" i="17"/>
  <c r="G25" i="17"/>
  <c r="F25" i="17"/>
  <c r="G24" i="17"/>
  <c r="F24" i="17"/>
  <c r="G23" i="17"/>
  <c r="F23" i="17"/>
  <c r="G22" i="17"/>
  <c r="F22" i="17"/>
  <c r="G21" i="17"/>
  <c r="F21" i="17"/>
  <c r="G20" i="17"/>
  <c r="F20" i="17"/>
  <c r="G19" i="17"/>
  <c r="F19" i="17"/>
  <c r="G18" i="17"/>
  <c r="F18" i="17"/>
  <c r="G17" i="17"/>
  <c r="F17" i="17"/>
  <c r="G16" i="17"/>
  <c r="F16" i="17"/>
  <c r="G15" i="17"/>
  <c r="F15" i="17"/>
  <c r="G14" i="17"/>
  <c r="F14" i="17"/>
  <c r="G13" i="17"/>
  <c r="F13" i="17"/>
  <c r="G12" i="17"/>
  <c r="F12" i="17"/>
  <c r="G11" i="17"/>
  <c r="F11" i="17"/>
  <c r="G10" i="17"/>
  <c r="F10" i="17"/>
  <c r="G9" i="17"/>
  <c r="F9" i="17"/>
  <c r="G8" i="17"/>
  <c r="F8" i="17"/>
  <c r="G7" i="17"/>
  <c r="F7" i="17"/>
  <c r="G6" i="17"/>
  <c r="F6" i="17"/>
  <c r="G5" i="17"/>
  <c r="F5" i="17"/>
  <c r="G4" i="17"/>
  <c r="F4" i="17"/>
  <c r="G3" i="17"/>
  <c r="F3" i="17"/>
  <c r="G2" i="17"/>
  <c r="F2" i="17"/>
  <c r="G505" i="16"/>
  <c r="F505" i="16"/>
  <c r="G504" i="16"/>
  <c r="F504" i="16"/>
  <c r="G503" i="16"/>
  <c r="F503" i="16"/>
  <c r="G502" i="16"/>
  <c r="F502" i="16"/>
  <c r="G501" i="16"/>
  <c r="F501" i="16"/>
  <c r="G500" i="16"/>
  <c r="F500" i="16"/>
  <c r="G499" i="16"/>
  <c r="F499" i="16"/>
  <c r="G498" i="16"/>
  <c r="F498" i="16"/>
  <c r="G497" i="16"/>
  <c r="F497" i="16"/>
  <c r="G496" i="16"/>
  <c r="F496" i="16"/>
  <c r="G495" i="16"/>
  <c r="F495" i="16"/>
  <c r="G494" i="16"/>
  <c r="F494" i="16"/>
  <c r="G493" i="16"/>
  <c r="F493" i="16"/>
  <c r="G492" i="16"/>
  <c r="F492" i="16"/>
  <c r="G491" i="16"/>
  <c r="F491" i="16"/>
  <c r="G490" i="16"/>
  <c r="F490" i="16"/>
  <c r="G489" i="16"/>
  <c r="F489" i="16"/>
  <c r="G488" i="16"/>
  <c r="F488" i="16"/>
  <c r="G487" i="16"/>
  <c r="F487" i="16"/>
  <c r="G486" i="16"/>
  <c r="F486" i="16"/>
  <c r="G485" i="16"/>
  <c r="F485" i="16"/>
  <c r="G484" i="16"/>
  <c r="F484" i="16"/>
  <c r="G483" i="16"/>
  <c r="F483" i="16"/>
  <c r="G482" i="16"/>
  <c r="F482" i="16"/>
  <c r="G481" i="16"/>
  <c r="F481" i="16"/>
  <c r="G480" i="16"/>
  <c r="F480" i="16"/>
  <c r="G479" i="16"/>
  <c r="F479" i="16"/>
  <c r="G478" i="16"/>
  <c r="F478" i="16"/>
  <c r="G477" i="16"/>
  <c r="F477" i="16"/>
  <c r="G476" i="16"/>
  <c r="F476" i="16"/>
  <c r="G475" i="16"/>
  <c r="F475" i="16"/>
  <c r="G474" i="16"/>
  <c r="F474" i="16"/>
  <c r="G473" i="16"/>
  <c r="F473" i="16"/>
  <c r="G472" i="16"/>
  <c r="F472" i="16"/>
  <c r="G471" i="16"/>
  <c r="F471" i="16"/>
  <c r="G470" i="16"/>
  <c r="F470" i="16"/>
  <c r="G469" i="16"/>
  <c r="F469" i="16"/>
  <c r="G468" i="16"/>
  <c r="F468" i="16"/>
  <c r="G467" i="16"/>
  <c r="F467" i="16"/>
  <c r="G466" i="16"/>
  <c r="F466" i="16"/>
  <c r="G465" i="16"/>
  <c r="F465" i="16"/>
  <c r="G464" i="16"/>
  <c r="F464" i="16"/>
  <c r="G463" i="16"/>
  <c r="F463" i="16"/>
  <c r="G462" i="16"/>
  <c r="F462" i="16"/>
  <c r="G461" i="16"/>
  <c r="F461" i="16"/>
  <c r="G460" i="16"/>
  <c r="F460" i="16"/>
  <c r="G459" i="16"/>
  <c r="F459" i="16"/>
  <c r="G458" i="16"/>
  <c r="F458" i="16"/>
  <c r="G457" i="16"/>
  <c r="F457" i="16"/>
  <c r="G456" i="16"/>
  <c r="F456" i="16"/>
  <c r="G455" i="16"/>
  <c r="F455" i="16"/>
  <c r="G454" i="16"/>
  <c r="F454" i="16"/>
  <c r="G453" i="16"/>
  <c r="F453" i="16"/>
  <c r="G452" i="16"/>
  <c r="F452" i="16"/>
  <c r="G451" i="16"/>
  <c r="F451" i="16"/>
  <c r="G450" i="16"/>
  <c r="F450" i="16"/>
  <c r="G449" i="16"/>
  <c r="F449" i="16"/>
  <c r="G448" i="16"/>
  <c r="F448" i="16"/>
  <c r="G447" i="16"/>
  <c r="F447" i="16"/>
  <c r="G446" i="16"/>
  <c r="F446" i="16"/>
  <c r="G445" i="16"/>
  <c r="F445" i="16"/>
  <c r="G444" i="16"/>
  <c r="F444" i="16"/>
  <c r="G443" i="16"/>
  <c r="F443" i="16"/>
  <c r="G442" i="16"/>
  <c r="F442" i="16"/>
  <c r="G441" i="16"/>
  <c r="F441" i="16"/>
  <c r="G440" i="16"/>
  <c r="F440" i="16"/>
  <c r="G439" i="16"/>
  <c r="F439" i="16"/>
  <c r="G438" i="16"/>
  <c r="F438" i="16"/>
  <c r="G437" i="16"/>
  <c r="F437" i="16"/>
  <c r="G436" i="16"/>
  <c r="F436" i="16"/>
  <c r="G435" i="16"/>
  <c r="F435" i="16"/>
  <c r="G434" i="16"/>
  <c r="F434" i="16"/>
  <c r="G433" i="16"/>
  <c r="F433" i="16"/>
  <c r="G432" i="16"/>
  <c r="F432" i="16"/>
  <c r="G431" i="16"/>
  <c r="F431" i="16"/>
  <c r="G430" i="16"/>
  <c r="F430" i="16"/>
  <c r="G429" i="16"/>
  <c r="F429" i="16"/>
  <c r="G428" i="16"/>
  <c r="F428" i="16"/>
  <c r="G427" i="16"/>
  <c r="F427" i="16"/>
  <c r="G426" i="16"/>
  <c r="F426" i="16"/>
  <c r="G425" i="16"/>
  <c r="F425" i="16"/>
  <c r="G424" i="16"/>
  <c r="F424" i="16"/>
  <c r="G423" i="16"/>
  <c r="F423" i="16"/>
  <c r="G422" i="16"/>
  <c r="F422" i="16"/>
  <c r="G421" i="16"/>
  <c r="F421" i="16"/>
  <c r="G420" i="16"/>
  <c r="F420" i="16"/>
  <c r="G419" i="16"/>
  <c r="F419" i="16"/>
  <c r="G418" i="16"/>
  <c r="F418" i="16"/>
  <c r="G417" i="16"/>
  <c r="F417" i="16"/>
  <c r="G416" i="16"/>
  <c r="F416" i="16"/>
  <c r="G415" i="16"/>
  <c r="F415" i="16"/>
  <c r="G414" i="16"/>
  <c r="F414" i="16"/>
  <c r="G413" i="16"/>
  <c r="F413" i="16"/>
  <c r="G412" i="16"/>
  <c r="F412" i="16"/>
  <c r="G411" i="16"/>
  <c r="F411" i="16"/>
  <c r="G410" i="16"/>
  <c r="F410" i="16"/>
  <c r="G409" i="16"/>
  <c r="F409" i="16"/>
  <c r="G408" i="16"/>
  <c r="F408" i="16"/>
  <c r="G407" i="16"/>
  <c r="F407" i="16"/>
  <c r="G406" i="16"/>
  <c r="F406" i="16"/>
  <c r="G405" i="16"/>
  <c r="F405" i="16"/>
  <c r="G404" i="16"/>
  <c r="F404" i="16"/>
  <c r="G403" i="16"/>
  <c r="F403" i="16"/>
  <c r="G402" i="16"/>
  <c r="F402" i="16"/>
  <c r="G401" i="16"/>
  <c r="F401" i="16"/>
  <c r="G400" i="16"/>
  <c r="F400" i="16"/>
  <c r="G399" i="16"/>
  <c r="F399" i="16"/>
  <c r="G398" i="16"/>
  <c r="F398" i="16"/>
  <c r="G397" i="16"/>
  <c r="F397" i="16"/>
  <c r="G396" i="16"/>
  <c r="F396" i="16"/>
  <c r="G395" i="16"/>
  <c r="F395" i="16"/>
  <c r="G394" i="16"/>
  <c r="F394" i="16"/>
  <c r="G393" i="16"/>
  <c r="F393" i="16"/>
  <c r="G392" i="16"/>
  <c r="F392" i="16"/>
  <c r="G391" i="16"/>
  <c r="F391" i="16"/>
  <c r="G390" i="16"/>
  <c r="F390" i="16"/>
  <c r="G389" i="16"/>
  <c r="F389" i="16"/>
  <c r="G388" i="16"/>
  <c r="F388" i="16"/>
  <c r="G387" i="16"/>
  <c r="F387" i="16"/>
  <c r="G386" i="16"/>
  <c r="F386" i="16"/>
  <c r="G385" i="16"/>
  <c r="F385" i="16"/>
  <c r="G384" i="16"/>
  <c r="F384" i="16"/>
  <c r="G383" i="16"/>
  <c r="F383" i="16"/>
  <c r="G382" i="16"/>
  <c r="F382" i="16"/>
  <c r="G381" i="16"/>
  <c r="F381" i="16"/>
  <c r="G380" i="16"/>
  <c r="F380" i="16"/>
  <c r="G379" i="16"/>
  <c r="F379" i="16"/>
  <c r="G378" i="16"/>
  <c r="F378" i="16"/>
  <c r="G377" i="16"/>
  <c r="F377" i="16"/>
  <c r="G376" i="16"/>
  <c r="F376" i="16"/>
  <c r="G375" i="16"/>
  <c r="F375" i="16"/>
  <c r="G374" i="16"/>
  <c r="F374" i="16"/>
  <c r="G373" i="16"/>
  <c r="F373" i="16"/>
  <c r="G372" i="16"/>
  <c r="F372" i="16"/>
  <c r="G371" i="16"/>
  <c r="F371" i="16"/>
  <c r="G370" i="16"/>
  <c r="F370" i="16"/>
  <c r="G369" i="16"/>
  <c r="F369" i="16"/>
  <c r="G368" i="16"/>
  <c r="F368" i="16"/>
  <c r="G367" i="16"/>
  <c r="F367" i="16"/>
  <c r="G366" i="16"/>
  <c r="F366" i="16"/>
  <c r="G365" i="16"/>
  <c r="F365" i="16"/>
  <c r="G364" i="16"/>
  <c r="F364" i="16"/>
  <c r="G363" i="16"/>
  <c r="F363" i="16"/>
  <c r="G362" i="16"/>
  <c r="F362" i="16"/>
  <c r="G361" i="16"/>
  <c r="F361" i="16"/>
  <c r="G360" i="16"/>
  <c r="F360" i="16"/>
  <c r="G359" i="16"/>
  <c r="F359" i="16"/>
  <c r="G358" i="16"/>
  <c r="F358" i="16"/>
  <c r="G357" i="16"/>
  <c r="F357" i="16"/>
  <c r="G356" i="16"/>
  <c r="F356" i="16"/>
  <c r="G355" i="16"/>
  <c r="F355" i="16"/>
  <c r="G354" i="16"/>
  <c r="F354" i="16"/>
  <c r="G353" i="16"/>
  <c r="F353" i="16"/>
  <c r="G352" i="16"/>
  <c r="F352" i="16"/>
  <c r="G351" i="16"/>
  <c r="F351" i="16"/>
  <c r="G350" i="16"/>
  <c r="F350" i="16"/>
  <c r="G349" i="16"/>
  <c r="F349" i="16"/>
  <c r="G348" i="16"/>
  <c r="F348" i="16"/>
  <c r="G347" i="16"/>
  <c r="F347" i="16"/>
  <c r="G346" i="16"/>
  <c r="F346" i="16"/>
  <c r="G345" i="16"/>
  <c r="F345" i="16"/>
  <c r="G344" i="16"/>
  <c r="F344" i="16"/>
  <c r="G343" i="16"/>
  <c r="F343" i="16"/>
  <c r="G342" i="16"/>
  <c r="F342" i="16"/>
  <c r="G341" i="16"/>
  <c r="F341" i="16"/>
  <c r="G340" i="16"/>
  <c r="F340" i="16"/>
  <c r="G339" i="16"/>
  <c r="F339" i="16"/>
  <c r="G338" i="16"/>
  <c r="F338" i="16"/>
  <c r="G337" i="16"/>
  <c r="F337" i="16"/>
  <c r="G336" i="16"/>
  <c r="F336" i="16"/>
  <c r="G335" i="16"/>
  <c r="F335" i="16"/>
  <c r="G334" i="16"/>
  <c r="F334" i="16"/>
  <c r="G333" i="16"/>
  <c r="F333" i="16"/>
  <c r="G332" i="16"/>
  <c r="F332" i="16"/>
  <c r="G331" i="16"/>
  <c r="F331" i="16"/>
  <c r="G330" i="16"/>
  <c r="F330" i="16"/>
  <c r="G329" i="16"/>
  <c r="F329" i="16"/>
  <c r="G328" i="16"/>
  <c r="F328" i="16"/>
  <c r="G327" i="16"/>
  <c r="F327" i="16"/>
  <c r="G326" i="16"/>
  <c r="F326" i="16"/>
  <c r="G325" i="16"/>
  <c r="F325" i="16"/>
  <c r="G324" i="16"/>
  <c r="F324" i="16"/>
  <c r="G323" i="16"/>
  <c r="F323" i="16"/>
  <c r="G322" i="16"/>
  <c r="F322" i="16"/>
  <c r="G321" i="16"/>
  <c r="F321" i="16"/>
  <c r="G320" i="16"/>
  <c r="F320" i="16"/>
  <c r="G319" i="16"/>
  <c r="F319" i="16"/>
  <c r="G318" i="16"/>
  <c r="F318" i="16"/>
  <c r="G317" i="16"/>
  <c r="F317" i="16"/>
  <c r="G316" i="16"/>
  <c r="F316" i="16"/>
  <c r="G315" i="16"/>
  <c r="F315" i="16"/>
  <c r="G314" i="16"/>
  <c r="F314" i="16"/>
  <c r="G313" i="16"/>
  <c r="F313" i="16"/>
  <c r="G312" i="16"/>
  <c r="F312" i="16"/>
  <c r="G311" i="16"/>
  <c r="F311" i="16"/>
  <c r="G310" i="16"/>
  <c r="F310" i="16"/>
  <c r="G309" i="16"/>
  <c r="F309" i="16"/>
  <c r="G308" i="16"/>
  <c r="F308" i="16"/>
  <c r="G307" i="16"/>
  <c r="F307" i="16"/>
  <c r="G306" i="16"/>
  <c r="F306" i="16"/>
  <c r="G305" i="16"/>
  <c r="F305" i="16"/>
  <c r="G304" i="16"/>
  <c r="F304" i="16"/>
  <c r="G303" i="16"/>
  <c r="F303" i="16"/>
  <c r="G302" i="16"/>
  <c r="F302" i="16"/>
  <c r="G301" i="16"/>
  <c r="F301" i="16"/>
  <c r="G300" i="16"/>
  <c r="F300" i="16"/>
  <c r="G299" i="16"/>
  <c r="F299" i="16"/>
  <c r="G298" i="16"/>
  <c r="F298" i="16"/>
  <c r="G297" i="16"/>
  <c r="F297" i="16"/>
  <c r="G296" i="16"/>
  <c r="F296" i="16"/>
  <c r="G295" i="16"/>
  <c r="F295" i="16"/>
  <c r="G294" i="16"/>
  <c r="F294" i="16"/>
  <c r="G293" i="16"/>
  <c r="F293" i="16"/>
  <c r="G292" i="16"/>
  <c r="F292" i="16"/>
  <c r="G291" i="16"/>
  <c r="F291" i="16"/>
  <c r="G290" i="16"/>
  <c r="F290" i="16"/>
  <c r="G289" i="16"/>
  <c r="F289" i="16"/>
  <c r="G288" i="16"/>
  <c r="F288" i="16"/>
  <c r="G287" i="16"/>
  <c r="F287" i="16"/>
  <c r="G286" i="16"/>
  <c r="F286" i="16"/>
  <c r="G285" i="16"/>
  <c r="F285" i="16"/>
  <c r="G284" i="16"/>
  <c r="F284" i="16"/>
  <c r="G283" i="16"/>
  <c r="F283" i="16"/>
  <c r="G282" i="16"/>
  <c r="F282" i="16"/>
  <c r="G281" i="16"/>
  <c r="F281" i="16"/>
  <c r="G280" i="16"/>
  <c r="F280" i="16"/>
  <c r="G279" i="16"/>
  <c r="F279" i="16"/>
  <c r="G278" i="16"/>
  <c r="F278" i="16"/>
  <c r="G277" i="16"/>
  <c r="F277" i="16"/>
  <c r="G276" i="16"/>
  <c r="F276" i="16"/>
  <c r="G275" i="16"/>
  <c r="F275" i="16"/>
  <c r="G274" i="16"/>
  <c r="F274" i="16"/>
  <c r="G273" i="16"/>
  <c r="F273" i="16"/>
  <c r="G272" i="16"/>
  <c r="F272" i="16"/>
  <c r="G271" i="16"/>
  <c r="F271" i="16"/>
  <c r="G270" i="16"/>
  <c r="F270" i="16"/>
  <c r="G269" i="16"/>
  <c r="F269" i="16"/>
  <c r="G268" i="16"/>
  <c r="F268" i="16"/>
  <c r="G267" i="16"/>
  <c r="F267" i="16"/>
  <c r="G266" i="16"/>
  <c r="F266" i="16"/>
  <c r="G265" i="16"/>
  <c r="F265" i="16"/>
  <c r="G264" i="16"/>
  <c r="F264" i="16"/>
  <c r="G263" i="16"/>
  <c r="F263" i="16"/>
  <c r="G262" i="16"/>
  <c r="F262" i="16"/>
  <c r="G261" i="16"/>
  <c r="F261" i="16"/>
  <c r="G260" i="16"/>
  <c r="F260" i="16"/>
  <c r="G259" i="16"/>
  <c r="F259" i="16"/>
  <c r="G258" i="16"/>
  <c r="F258" i="16"/>
  <c r="G257" i="16"/>
  <c r="F257" i="16"/>
  <c r="G256" i="16"/>
  <c r="F256" i="16"/>
  <c r="G255" i="16"/>
  <c r="F255" i="16"/>
  <c r="G254" i="16"/>
  <c r="F254" i="16"/>
  <c r="G253" i="16"/>
  <c r="F253" i="16"/>
  <c r="G252" i="16"/>
  <c r="F252" i="16"/>
  <c r="G251" i="16"/>
  <c r="F251" i="16"/>
  <c r="G250" i="16"/>
  <c r="F250" i="16"/>
  <c r="G249" i="16"/>
  <c r="F249" i="16"/>
  <c r="G248" i="16"/>
  <c r="F248" i="16"/>
  <c r="G247" i="16"/>
  <c r="F247" i="16"/>
  <c r="G246" i="16"/>
  <c r="F246" i="16"/>
  <c r="G245" i="16"/>
  <c r="F245" i="16"/>
  <c r="G244" i="16"/>
  <c r="F244" i="16"/>
  <c r="G243" i="16"/>
  <c r="F243" i="16"/>
  <c r="G242" i="16"/>
  <c r="F242" i="16"/>
  <c r="G241" i="16"/>
  <c r="F241" i="16"/>
  <c r="G240" i="16"/>
  <c r="F240" i="16"/>
  <c r="G239" i="16"/>
  <c r="F239" i="16"/>
  <c r="G238" i="16"/>
  <c r="F238" i="16"/>
  <c r="G237" i="16"/>
  <c r="F237" i="16"/>
  <c r="G236" i="16"/>
  <c r="F236" i="16"/>
  <c r="G235" i="16"/>
  <c r="F235" i="16"/>
  <c r="G234" i="16"/>
  <c r="F234" i="16"/>
  <c r="G233" i="16"/>
  <c r="F233" i="16"/>
  <c r="G232" i="16"/>
  <c r="F232" i="16"/>
  <c r="G231" i="16"/>
  <c r="F231" i="16"/>
  <c r="G230" i="16"/>
  <c r="F230" i="16"/>
  <c r="G229" i="16"/>
  <c r="F229" i="16"/>
  <c r="G228" i="16"/>
  <c r="F228" i="16"/>
  <c r="G227" i="16"/>
  <c r="F227" i="16"/>
  <c r="G226" i="16"/>
  <c r="F226" i="16"/>
  <c r="G225" i="16"/>
  <c r="F225" i="16"/>
  <c r="G224" i="16"/>
  <c r="F224" i="16"/>
  <c r="G223" i="16"/>
  <c r="F223" i="16"/>
  <c r="G222" i="16"/>
  <c r="F222" i="16"/>
  <c r="G221" i="16"/>
  <c r="F221" i="16"/>
  <c r="G220" i="16"/>
  <c r="F220" i="16"/>
  <c r="G219" i="16"/>
  <c r="F219" i="16"/>
  <c r="G218" i="16"/>
  <c r="F218" i="16"/>
  <c r="G217" i="16"/>
  <c r="F217" i="16"/>
  <c r="G216" i="16"/>
  <c r="F216" i="16"/>
  <c r="G215" i="16"/>
  <c r="F215" i="16"/>
  <c r="G214" i="16"/>
  <c r="F214" i="16"/>
  <c r="G213" i="16"/>
  <c r="F213" i="16"/>
  <c r="G212" i="16"/>
  <c r="F212" i="16"/>
  <c r="G211" i="16"/>
  <c r="F211" i="16"/>
  <c r="G210" i="16"/>
  <c r="F210" i="16"/>
  <c r="G209" i="16"/>
  <c r="F209" i="16"/>
  <c r="G208" i="16"/>
  <c r="F208" i="16"/>
  <c r="G207" i="16"/>
  <c r="F207" i="16"/>
  <c r="G206" i="16"/>
  <c r="F206" i="16"/>
  <c r="G205" i="16"/>
  <c r="F205" i="16"/>
  <c r="G204" i="16"/>
  <c r="F204" i="16"/>
  <c r="G203" i="16"/>
  <c r="F203" i="16"/>
  <c r="G202" i="16"/>
  <c r="F202" i="16"/>
  <c r="G201" i="16"/>
  <c r="F201" i="16"/>
  <c r="G200" i="16"/>
  <c r="F200" i="16"/>
  <c r="G199" i="16"/>
  <c r="F199" i="16"/>
  <c r="G198" i="16"/>
  <c r="F198" i="16"/>
  <c r="G197" i="16"/>
  <c r="F197" i="16"/>
  <c r="G196" i="16"/>
  <c r="F196" i="16"/>
  <c r="G195" i="16"/>
  <c r="F195" i="16"/>
  <c r="G194" i="16"/>
  <c r="F194" i="16"/>
  <c r="G193" i="16"/>
  <c r="F193" i="16"/>
  <c r="G192" i="16"/>
  <c r="F192" i="16"/>
  <c r="G191" i="16"/>
  <c r="F191" i="16"/>
  <c r="G190" i="16"/>
  <c r="F190" i="16"/>
  <c r="G189" i="16"/>
  <c r="F189" i="16"/>
  <c r="G188" i="16"/>
  <c r="F188" i="16"/>
  <c r="G187" i="16"/>
  <c r="F187" i="16"/>
  <c r="G186" i="16"/>
  <c r="F186" i="16"/>
  <c r="G185" i="16"/>
  <c r="F185" i="16"/>
  <c r="G184" i="16"/>
  <c r="F184" i="16"/>
  <c r="G183" i="16"/>
  <c r="F183" i="16"/>
  <c r="G182" i="16"/>
  <c r="F182" i="16"/>
  <c r="G181" i="16"/>
  <c r="F181" i="16"/>
  <c r="G180" i="16"/>
  <c r="F180" i="16"/>
  <c r="G179" i="16"/>
  <c r="F179" i="16"/>
  <c r="G178" i="16"/>
  <c r="F178" i="16"/>
  <c r="G177" i="16"/>
  <c r="F177" i="16"/>
  <c r="G176" i="16"/>
  <c r="F176" i="16"/>
  <c r="G175" i="16"/>
  <c r="F175" i="16"/>
  <c r="G174" i="16"/>
  <c r="F174" i="16"/>
  <c r="G173" i="16"/>
  <c r="F173" i="16"/>
  <c r="G172" i="16"/>
  <c r="F172" i="16"/>
  <c r="G171" i="16"/>
  <c r="F171" i="16"/>
  <c r="G170" i="16"/>
  <c r="F170" i="16"/>
  <c r="G169" i="16"/>
  <c r="F169" i="16"/>
  <c r="G168" i="16"/>
  <c r="F168" i="16"/>
  <c r="G167" i="16"/>
  <c r="F167" i="16"/>
  <c r="G166" i="16"/>
  <c r="F166" i="16"/>
  <c r="G165" i="16"/>
  <c r="F165" i="16"/>
  <c r="G164" i="16"/>
  <c r="F164" i="16"/>
  <c r="G163" i="16"/>
  <c r="F163" i="16"/>
  <c r="G162" i="16"/>
  <c r="F162" i="16"/>
  <c r="G161" i="16"/>
  <c r="F161" i="16"/>
  <c r="G160" i="16"/>
  <c r="F160" i="16"/>
  <c r="G159" i="16"/>
  <c r="F159" i="16"/>
  <c r="G158" i="16"/>
  <c r="F158" i="16"/>
  <c r="G157" i="16"/>
  <c r="F157" i="16"/>
  <c r="G156" i="16"/>
  <c r="F156" i="16"/>
  <c r="G155" i="16"/>
  <c r="F155" i="16"/>
  <c r="G154" i="16"/>
  <c r="F154" i="16"/>
  <c r="G153" i="16"/>
  <c r="F153" i="16"/>
  <c r="G152" i="16"/>
  <c r="F152" i="16"/>
  <c r="G151" i="16"/>
  <c r="F151" i="16"/>
  <c r="G150" i="16"/>
  <c r="F150" i="16"/>
  <c r="G149" i="16"/>
  <c r="F149" i="16"/>
  <c r="G148" i="16"/>
  <c r="F148" i="16"/>
  <c r="G147" i="16"/>
  <c r="F147" i="16"/>
  <c r="G146" i="16"/>
  <c r="F146" i="16"/>
  <c r="G145" i="16"/>
  <c r="F145" i="16"/>
  <c r="G144" i="16"/>
  <c r="F144" i="16"/>
  <c r="G143" i="16"/>
  <c r="F143" i="16"/>
  <c r="G142" i="16"/>
  <c r="F142" i="16"/>
  <c r="G141" i="16"/>
  <c r="F141" i="16"/>
  <c r="G140" i="16"/>
  <c r="F140" i="16"/>
  <c r="G139" i="16"/>
  <c r="F139" i="16"/>
  <c r="G138" i="16"/>
  <c r="F138" i="16"/>
  <c r="G137" i="16"/>
  <c r="F137" i="16"/>
  <c r="G136" i="16"/>
  <c r="F136" i="16"/>
  <c r="G135" i="16"/>
  <c r="F135" i="16"/>
  <c r="G134" i="16"/>
  <c r="F134" i="16"/>
  <c r="G133" i="16"/>
  <c r="F133" i="16"/>
  <c r="G132" i="16"/>
  <c r="F132" i="16"/>
  <c r="G131" i="16"/>
  <c r="F131" i="16"/>
  <c r="G130" i="16"/>
  <c r="F130" i="16"/>
  <c r="G129" i="16"/>
  <c r="F129" i="16"/>
  <c r="G128" i="16"/>
  <c r="F128" i="16"/>
  <c r="G127" i="16"/>
  <c r="F127" i="16"/>
  <c r="G126" i="16"/>
  <c r="F126" i="16"/>
  <c r="G125" i="16"/>
  <c r="F125" i="16"/>
  <c r="G124" i="16"/>
  <c r="F124" i="16"/>
  <c r="G123" i="16"/>
  <c r="F123" i="16"/>
  <c r="G122" i="16"/>
  <c r="F122" i="16"/>
  <c r="G121" i="16"/>
  <c r="F121" i="16"/>
  <c r="G120" i="16"/>
  <c r="F120" i="16"/>
  <c r="G119" i="16"/>
  <c r="F119" i="16"/>
  <c r="G118" i="16"/>
  <c r="F118" i="16"/>
  <c r="G117" i="16"/>
  <c r="F117" i="16"/>
  <c r="G116" i="16"/>
  <c r="F116" i="16"/>
  <c r="G115" i="16"/>
  <c r="F115" i="16"/>
  <c r="G114" i="16"/>
  <c r="F114" i="16"/>
  <c r="G113" i="16"/>
  <c r="F113" i="16"/>
  <c r="G112" i="16"/>
  <c r="F112" i="16"/>
  <c r="G111" i="16"/>
  <c r="F111" i="16"/>
  <c r="G110" i="16"/>
  <c r="F110" i="16"/>
  <c r="G109" i="16"/>
  <c r="F109" i="16"/>
  <c r="G108" i="16"/>
  <c r="F108" i="16"/>
  <c r="G107" i="16"/>
  <c r="F107" i="16"/>
  <c r="G106" i="16"/>
  <c r="F106" i="16"/>
  <c r="G105" i="16"/>
  <c r="F105" i="16"/>
  <c r="G104" i="16"/>
  <c r="F104" i="16"/>
  <c r="G103" i="16"/>
  <c r="F103" i="16"/>
  <c r="G102" i="16"/>
  <c r="F102" i="16"/>
  <c r="G101" i="16"/>
  <c r="F101" i="16"/>
  <c r="G100" i="16"/>
  <c r="F100" i="16"/>
  <c r="G99" i="16"/>
  <c r="F99" i="16"/>
  <c r="G98" i="16"/>
  <c r="F98" i="16"/>
  <c r="G97" i="16"/>
  <c r="F97" i="16"/>
  <c r="G96" i="16"/>
  <c r="F96" i="16"/>
  <c r="G95" i="16"/>
  <c r="F95" i="16"/>
  <c r="G94" i="16"/>
  <c r="F94" i="16"/>
  <c r="G93" i="16"/>
  <c r="F93" i="16"/>
  <c r="G92" i="16"/>
  <c r="F92" i="16"/>
  <c r="G91" i="16"/>
  <c r="F91" i="16"/>
  <c r="G90" i="16"/>
  <c r="F90" i="16"/>
  <c r="G89" i="16"/>
  <c r="F89" i="16"/>
  <c r="G88" i="16"/>
  <c r="F88" i="16"/>
  <c r="G87" i="16"/>
  <c r="F87" i="16"/>
  <c r="G86" i="16"/>
  <c r="F86" i="16"/>
  <c r="G85" i="16"/>
  <c r="F85" i="16"/>
  <c r="G84" i="16"/>
  <c r="F84" i="16"/>
  <c r="G83" i="16"/>
  <c r="F83" i="16"/>
  <c r="G82" i="16"/>
  <c r="F82" i="16"/>
  <c r="G81" i="16"/>
  <c r="F81" i="16"/>
  <c r="G80" i="16"/>
  <c r="F80" i="16"/>
  <c r="G79" i="16"/>
  <c r="F79" i="16"/>
  <c r="G78" i="16"/>
  <c r="F78" i="16"/>
  <c r="G77" i="16"/>
  <c r="F77" i="16"/>
  <c r="G76" i="16"/>
  <c r="F76" i="16"/>
  <c r="G75" i="16"/>
  <c r="F75" i="16"/>
  <c r="G74" i="16"/>
  <c r="F74" i="16"/>
  <c r="G73" i="16"/>
  <c r="F73" i="16"/>
  <c r="G72" i="16"/>
  <c r="F72" i="16"/>
  <c r="G71" i="16"/>
  <c r="F71" i="16"/>
  <c r="G70" i="16"/>
  <c r="F70" i="16"/>
  <c r="G69" i="16"/>
  <c r="F69" i="16"/>
  <c r="G68" i="16"/>
  <c r="F68" i="16"/>
  <c r="G67" i="16"/>
  <c r="F67" i="16"/>
  <c r="G66" i="16"/>
  <c r="F66" i="16"/>
  <c r="G65" i="16"/>
  <c r="F65" i="16"/>
  <c r="G64" i="16"/>
  <c r="F64" i="16"/>
  <c r="G63" i="16"/>
  <c r="F63" i="16"/>
  <c r="G62" i="16"/>
  <c r="F62" i="16"/>
  <c r="G61" i="16"/>
  <c r="F61" i="16"/>
  <c r="G60" i="16"/>
  <c r="F60" i="16"/>
  <c r="G59" i="16"/>
  <c r="F59" i="16"/>
  <c r="G58" i="16"/>
  <c r="F58" i="16"/>
  <c r="G57" i="16"/>
  <c r="F57" i="16"/>
  <c r="G56" i="16"/>
  <c r="F56" i="16"/>
  <c r="G55" i="16"/>
  <c r="F55" i="16"/>
  <c r="G54" i="16"/>
  <c r="F54" i="16"/>
  <c r="G53" i="16"/>
  <c r="F53" i="16"/>
  <c r="G52" i="16"/>
  <c r="F52" i="16"/>
  <c r="G51" i="16"/>
  <c r="F51" i="16"/>
  <c r="G50" i="16"/>
  <c r="F50" i="16"/>
  <c r="G49" i="16"/>
  <c r="F49" i="16"/>
  <c r="G48" i="16"/>
  <c r="F48" i="16"/>
  <c r="G47" i="16"/>
  <c r="F47" i="16"/>
  <c r="G46" i="16"/>
  <c r="F46" i="16"/>
  <c r="G45" i="16"/>
  <c r="F45" i="16"/>
  <c r="G44" i="16"/>
  <c r="F44" i="16"/>
  <c r="G43" i="16"/>
  <c r="F43" i="16"/>
  <c r="G42" i="16"/>
  <c r="F42" i="16"/>
  <c r="G41" i="16"/>
  <c r="F41" i="16"/>
  <c r="G40" i="16"/>
  <c r="F40" i="16"/>
  <c r="G39" i="16"/>
  <c r="F39" i="16"/>
  <c r="G38" i="16"/>
  <c r="F38" i="16"/>
  <c r="G37" i="16"/>
  <c r="F37" i="16"/>
  <c r="G36" i="16"/>
  <c r="F36" i="16"/>
  <c r="G35" i="16"/>
  <c r="F35" i="16"/>
  <c r="G34" i="16"/>
  <c r="F34" i="16"/>
  <c r="G33" i="16"/>
  <c r="F33" i="16"/>
  <c r="G32" i="16"/>
  <c r="F32" i="16"/>
  <c r="G31" i="16"/>
  <c r="F31" i="16"/>
  <c r="G30" i="16"/>
  <c r="F30" i="16"/>
  <c r="G29" i="16"/>
  <c r="F29" i="16"/>
  <c r="G28" i="16"/>
  <c r="F28" i="16"/>
  <c r="G27" i="16"/>
  <c r="F27" i="16"/>
  <c r="G26" i="16"/>
  <c r="F26" i="16"/>
  <c r="G25" i="16"/>
  <c r="F25" i="16"/>
  <c r="G24" i="16"/>
  <c r="F24" i="16"/>
  <c r="G23" i="16"/>
  <c r="F23" i="16"/>
  <c r="G22" i="16"/>
  <c r="F22" i="16"/>
  <c r="G21" i="16"/>
  <c r="F21" i="16"/>
  <c r="G20" i="16"/>
  <c r="F20" i="16"/>
  <c r="G19" i="16"/>
  <c r="F19" i="16"/>
  <c r="G18" i="16"/>
  <c r="F18" i="16"/>
  <c r="G17" i="16"/>
  <c r="F17" i="16"/>
  <c r="G16" i="16"/>
  <c r="F16" i="16"/>
  <c r="G15" i="16"/>
  <c r="F15" i="16"/>
  <c r="G14" i="16"/>
  <c r="F14" i="16"/>
  <c r="G13" i="16"/>
  <c r="F13" i="16"/>
  <c r="G12" i="16"/>
  <c r="F12" i="16"/>
  <c r="G11" i="16"/>
  <c r="F11" i="16"/>
  <c r="G10" i="16"/>
  <c r="F10" i="16"/>
  <c r="G9" i="16"/>
  <c r="F9" i="16"/>
  <c r="G8" i="16"/>
  <c r="F8" i="16"/>
  <c r="G7" i="16"/>
  <c r="F7" i="16"/>
  <c r="G6" i="16"/>
  <c r="F6" i="16"/>
  <c r="G5" i="16"/>
  <c r="F5" i="16"/>
  <c r="G4" i="16"/>
  <c r="F4" i="16"/>
  <c r="G3" i="16"/>
  <c r="F3" i="16"/>
  <c r="G2" i="16"/>
  <c r="F2" i="16"/>
  <c r="G469" i="15"/>
  <c r="F469" i="15"/>
  <c r="G468" i="15"/>
  <c r="F468" i="15"/>
  <c r="G467" i="15"/>
  <c r="F467" i="15"/>
  <c r="G466" i="15"/>
  <c r="F466" i="15"/>
  <c r="G465" i="15"/>
  <c r="F465" i="15"/>
  <c r="G464" i="15"/>
  <c r="F464" i="15"/>
  <c r="G463" i="15"/>
  <c r="F463" i="15"/>
  <c r="G462" i="15"/>
  <c r="F462" i="15"/>
  <c r="G461" i="15"/>
  <c r="F461" i="15"/>
  <c r="G460" i="15"/>
  <c r="F460" i="15"/>
  <c r="G459" i="15"/>
  <c r="F459" i="15"/>
  <c r="G458" i="15"/>
  <c r="F458" i="15"/>
  <c r="G457" i="15"/>
  <c r="F457" i="15"/>
  <c r="G456" i="15"/>
  <c r="F456" i="15"/>
  <c r="G455" i="15"/>
  <c r="F455" i="15"/>
  <c r="G454" i="15"/>
  <c r="F454" i="15"/>
  <c r="G453" i="15"/>
  <c r="F453" i="15"/>
  <c r="G452" i="15"/>
  <c r="F452" i="15"/>
  <c r="G451" i="15"/>
  <c r="F451" i="15"/>
  <c r="G450" i="15"/>
  <c r="F450" i="15"/>
  <c r="G449" i="15"/>
  <c r="F449" i="15"/>
  <c r="G448" i="15"/>
  <c r="F448" i="15"/>
  <c r="G447" i="15"/>
  <c r="F447" i="15"/>
  <c r="G446" i="15"/>
  <c r="F446" i="15"/>
  <c r="G445" i="15"/>
  <c r="F445" i="15"/>
  <c r="G444" i="15"/>
  <c r="F444" i="15"/>
  <c r="G443" i="15"/>
  <c r="F443" i="15"/>
  <c r="G442" i="15"/>
  <c r="F442" i="15"/>
  <c r="G441" i="15"/>
  <c r="F441" i="15"/>
  <c r="G440" i="15"/>
  <c r="F440" i="15"/>
  <c r="G439" i="15"/>
  <c r="F439" i="15"/>
  <c r="G438" i="15"/>
  <c r="F438" i="15"/>
  <c r="G437" i="15"/>
  <c r="F437" i="15"/>
  <c r="G436" i="15"/>
  <c r="F436" i="15"/>
  <c r="G435" i="15"/>
  <c r="F435" i="15"/>
  <c r="G434" i="15"/>
  <c r="F434" i="15"/>
  <c r="G433" i="15"/>
  <c r="F433" i="15"/>
  <c r="G432" i="15"/>
  <c r="F432" i="15"/>
  <c r="G431" i="15"/>
  <c r="F431" i="15"/>
  <c r="G430" i="15"/>
  <c r="F430" i="15"/>
  <c r="G429" i="15"/>
  <c r="F429" i="15"/>
  <c r="G428" i="15"/>
  <c r="F428" i="15"/>
  <c r="G427" i="15"/>
  <c r="F427" i="15"/>
  <c r="G426" i="15"/>
  <c r="F426" i="15"/>
  <c r="G425" i="15"/>
  <c r="F425" i="15"/>
  <c r="G424" i="15"/>
  <c r="F424" i="15"/>
  <c r="G423" i="15"/>
  <c r="F423" i="15"/>
  <c r="G422" i="15"/>
  <c r="F422" i="15"/>
  <c r="G421" i="15"/>
  <c r="F421" i="15"/>
  <c r="G420" i="15"/>
  <c r="F420" i="15"/>
  <c r="G419" i="15"/>
  <c r="F419" i="15"/>
  <c r="G418" i="15"/>
  <c r="F418" i="15"/>
  <c r="G417" i="15"/>
  <c r="F417" i="15"/>
  <c r="G416" i="15"/>
  <c r="F416" i="15"/>
  <c r="G415" i="15"/>
  <c r="F415" i="15"/>
  <c r="G414" i="15"/>
  <c r="F414" i="15"/>
  <c r="G413" i="15"/>
  <c r="F413" i="15"/>
  <c r="G412" i="15"/>
  <c r="F412" i="15"/>
  <c r="G411" i="15"/>
  <c r="F411" i="15"/>
  <c r="G410" i="15"/>
  <c r="F410" i="15"/>
  <c r="G409" i="15"/>
  <c r="F409" i="15"/>
  <c r="G408" i="15"/>
  <c r="F408" i="15"/>
  <c r="G407" i="15"/>
  <c r="F407" i="15"/>
  <c r="G406" i="15"/>
  <c r="F406" i="15"/>
  <c r="G405" i="15"/>
  <c r="F405" i="15"/>
  <c r="G404" i="15"/>
  <c r="F404" i="15"/>
  <c r="G403" i="15"/>
  <c r="F403" i="15"/>
  <c r="G402" i="15"/>
  <c r="F402" i="15"/>
  <c r="G401" i="15"/>
  <c r="F401" i="15"/>
  <c r="G400" i="15"/>
  <c r="F400" i="15"/>
  <c r="G399" i="15"/>
  <c r="F399" i="15"/>
  <c r="G398" i="15"/>
  <c r="F398" i="15"/>
  <c r="G397" i="15"/>
  <c r="F397" i="15"/>
  <c r="G396" i="15"/>
  <c r="F396" i="15"/>
  <c r="G395" i="15"/>
  <c r="F395" i="15"/>
  <c r="G394" i="15"/>
  <c r="F394" i="15"/>
  <c r="G393" i="15"/>
  <c r="F393" i="15"/>
  <c r="G392" i="15"/>
  <c r="F392" i="15"/>
  <c r="G391" i="15"/>
  <c r="F391" i="15"/>
  <c r="G390" i="15"/>
  <c r="F390" i="15"/>
  <c r="G389" i="15"/>
  <c r="F389" i="15"/>
  <c r="G388" i="15"/>
  <c r="F388" i="15"/>
  <c r="G387" i="15"/>
  <c r="F387" i="15"/>
  <c r="G386" i="15"/>
  <c r="F386" i="15"/>
  <c r="G385" i="15"/>
  <c r="F385" i="15"/>
  <c r="G384" i="15"/>
  <c r="F384" i="15"/>
  <c r="G383" i="15"/>
  <c r="F383" i="15"/>
  <c r="G382" i="15"/>
  <c r="F382" i="15"/>
  <c r="G381" i="15"/>
  <c r="F381" i="15"/>
  <c r="G380" i="15"/>
  <c r="F380" i="15"/>
  <c r="G379" i="15"/>
  <c r="F379" i="15"/>
  <c r="G378" i="15"/>
  <c r="F378" i="15"/>
  <c r="G377" i="15"/>
  <c r="F377" i="15"/>
  <c r="G376" i="15"/>
  <c r="F376" i="15"/>
  <c r="G375" i="15"/>
  <c r="F375" i="15"/>
  <c r="G374" i="15"/>
  <c r="F374" i="15"/>
  <c r="G373" i="15"/>
  <c r="F373" i="15"/>
  <c r="G372" i="15"/>
  <c r="F372" i="15"/>
  <c r="G371" i="15"/>
  <c r="F371" i="15"/>
  <c r="G370" i="15"/>
  <c r="F370" i="15"/>
  <c r="G369" i="15"/>
  <c r="F369" i="15"/>
  <c r="G368" i="15"/>
  <c r="F368" i="15"/>
  <c r="G367" i="15"/>
  <c r="F367" i="15"/>
  <c r="G366" i="15"/>
  <c r="F366" i="15"/>
  <c r="G365" i="15"/>
  <c r="F365" i="15"/>
  <c r="G364" i="15"/>
  <c r="F364" i="15"/>
  <c r="G363" i="15"/>
  <c r="F363" i="15"/>
  <c r="G362" i="15"/>
  <c r="F362" i="15"/>
  <c r="G361" i="15"/>
  <c r="F361" i="15"/>
  <c r="G360" i="15"/>
  <c r="F360" i="15"/>
  <c r="G359" i="15"/>
  <c r="F359" i="15"/>
  <c r="G358" i="15"/>
  <c r="F358" i="15"/>
  <c r="G357" i="15"/>
  <c r="F357" i="15"/>
  <c r="G356" i="15"/>
  <c r="F356" i="15"/>
  <c r="G355" i="15"/>
  <c r="F355" i="15"/>
  <c r="G354" i="15"/>
  <c r="F354" i="15"/>
  <c r="G353" i="15"/>
  <c r="F353" i="15"/>
  <c r="G352" i="15"/>
  <c r="F352" i="15"/>
  <c r="G351" i="15"/>
  <c r="F351" i="15"/>
  <c r="G350" i="15"/>
  <c r="F350" i="15"/>
  <c r="G349" i="15"/>
  <c r="F349" i="15"/>
  <c r="G348" i="15"/>
  <c r="F348" i="15"/>
  <c r="G347" i="15"/>
  <c r="F347" i="15"/>
  <c r="G346" i="15"/>
  <c r="F346" i="15"/>
  <c r="G345" i="15"/>
  <c r="F345" i="15"/>
  <c r="G344" i="15"/>
  <c r="F344" i="15"/>
  <c r="G343" i="15"/>
  <c r="F343" i="15"/>
  <c r="G342" i="15"/>
  <c r="F342" i="15"/>
  <c r="G341" i="15"/>
  <c r="F341" i="15"/>
  <c r="G340" i="15"/>
  <c r="F340" i="15"/>
  <c r="G339" i="15"/>
  <c r="F339" i="15"/>
  <c r="G338" i="15"/>
  <c r="F338" i="15"/>
  <c r="G337" i="15"/>
  <c r="F337" i="15"/>
  <c r="G336" i="15"/>
  <c r="F336" i="15"/>
  <c r="G335" i="15"/>
  <c r="F335" i="15"/>
  <c r="G334" i="15"/>
  <c r="F334" i="15"/>
  <c r="G333" i="15"/>
  <c r="F333" i="15"/>
  <c r="G332" i="15"/>
  <c r="F332" i="15"/>
  <c r="G331" i="15"/>
  <c r="F331" i="15"/>
  <c r="G330" i="15"/>
  <c r="F330" i="15"/>
  <c r="G329" i="15"/>
  <c r="F329" i="15"/>
  <c r="G328" i="15"/>
  <c r="F328" i="15"/>
  <c r="G327" i="15"/>
  <c r="F327" i="15"/>
  <c r="G326" i="15"/>
  <c r="F326" i="15"/>
  <c r="G325" i="15"/>
  <c r="F325" i="15"/>
  <c r="G324" i="15"/>
  <c r="F324" i="15"/>
  <c r="G323" i="15"/>
  <c r="F323" i="15"/>
  <c r="G322" i="15"/>
  <c r="F322" i="15"/>
  <c r="G321" i="15"/>
  <c r="F321" i="15"/>
  <c r="G320" i="15"/>
  <c r="F320" i="15"/>
  <c r="G319" i="15"/>
  <c r="F319" i="15"/>
  <c r="G318" i="15"/>
  <c r="F318" i="15"/>
  <c r="G317" i="15"/>
  <c r="F317" i="15"/>
  <c r="G316" i="15"/>
  <c r="F316" i="15"/>
  <c r="G315" i="15"/>
  <c r="F315" i="15"/>
  <c r="G314" i="15"/>
  <c r="F314" i="15"/>
  <c r="G313" i="15"/>
  <c r="F313" i="15"/>
  <c r="G312" i="15"/>
  <c r="F312" i="15"/>
  <c r="G311" i="15"/>
  <c r="F311" i="15"/>
  <c r="G310" i="15"/>
  <c r="F310" i="15"/>
  <c r="G309" i="15"/>
  <c r="F309" i="15"/>
  <c r="G308" i="15"/>
  <c r="F308" i="15"/>
  <c r="G307" i="15"/>
  <c r="F307" i="15"/>
  <c r="G306" i="15"/>
  <c r="F306" i="15"/>
  <c r="G305" i="15"/>
  <c r="F305" i="15"/>
  <c r="G304" i="15"/>
  <c r="F304" i="15"/>
  <c r="G303" i="15"/>
  <c r="F303" i="15"/>
  <c r="G302" i="15"/>
  <c r="F302" i="15"/>
  <c r="G301" i="15"/>
  <c r="F301" i="15"/>
  <c r="G300" i="15"/>
  <c r="F300" i="15"/>
  <c r="G299" i="15"/>
  <c r="F299" i="15"/>
  <c r="G298" i="15"/>
  <c r="F298" i="15"/>
  <c r="G297" i="15"/>
  <c r="F297" i="15"/>
  <c r="G296" i="15"/>
  <c r="F296" i="15"/>
  <c r="G295" i="15"/>
  <c r="F295" i="15"/>
  <c r="G294" i="15"/>
  <c r="F294" i="15"/>
  <c r="G293" i="15"/>
  <c r="F293" i="15"/>
  <c r="G292" i="15"/>
  <c r="F292" i="15"/>
  <c r="G291" i="15"/>
  <c r="F291" i="15"/>
  <c r="G290" i="15"/>
  <c r="F290" i="15"/>
  <c r="G289" i="15"/>
  <c r="F289" i="15"/>
  <c r="G288" i="15"/>
  <c r="F288" i="15"/>
  <c r="G287" i="15"/>
  <c r="F287" i="15"/>
  <c r="G286" i="15"/>
  <c r="F286" i="15"/>
  <c r="G285" i="15"/>
  <c r="F285" i="15"/>
  <c r="G284" i="15"/>
  <c r="F284" i="15"/>
  <c r="G283" i="15"/>
  <c r="F283" i="15"/>
  <c r="G282" i="15"/>
  <c r="F282" i="15"/>
  <c r="G281" i="15"/>
  <c r="F281" i="15"/>
  <c r="G280" i="15"/>
  <c r="F280" i="15"/>
  <c r="G279" i="15"/>
  <c r="F279" i="15"/>
  <c r="G278" i="15"/>
  <c r="F278" i="15"/>
  <c r="G277" i="15"/>
  <c r="F277" i="15"/>
  <c r="G276" i="15"/>
  <c r="F276" i="15"/>
  <c r="G275" i="15"/>
  <c r="F275" i="15"/>
  <c r="G274" i="15"/>
  <c r="F274" i="15"/>
  <c r="G273" i="15"/>
  <c r="F273" i="15"/>
  <c r="G272" i="15"/>
  <c r="F272" i="15"/>
  <c r="G271" i="15"/>
  <c r="F271" i="15"/>
  <c r="G270" i="15"/>
  <c r="F270" i="15"/>
  <c r="G269" i="15"/>
  <c r="F269" i="15"/>
  <c r="G268" i="15"/>
  <c r="F268" i="15"/>
  <c r="G267" i="15"/>
  <c r="F267" i="15"/>
  <c r="G266" i="15"/>
  <c r="F266" i="15"/>
  <c r="G265" i="15"/>
  <c r="F265" i="15"/>
  <c r="G264" i="15"/>
  <c r="F264" i="15"/>
  <c r="G263" i="15"/>
  <c r="F263" i="15"/>
  <c r="G262" i="15"/>
  <c r="F262" i="15"/>
  <c r="G261" i="15"/>
  <c r="F261" i="15"/>
  <c r="G260" i="15"/>
  <c r="F260" i="15"/>
  <c r="G259" i="15"/>
  <c r="F259" i="15"/>
  <c r="G258" i="15"/>
  <c r="F258" i="15"/>
  <c r="G257" i="15"/>
  <c r="F257" i="15"/>
  <c r="G256" i="15"/>
  <c r="F256" i="15"/>
  <c r="G255" i="15"/>
  <c r="F255" i="15"/>
  <c r="G254" i="15"/>
  <c r="F254" i="15"/>
  <c r="G253" i="15"/>
  <c r="F253" i="15"/>
  <c r="G252" i="15"/>
  <c r="F252" i="15"/>
  <c r="G251" i="15"/>
  <c r="F251" i="15"/>
  <c r="G250" i="15"/>
  <c r="F250" i="15"/>
  <c r="G249" i="15"/>
  <c r="F249" i="15"/>
  <c r="G248" i="15"/>
  <c r="F248" i="15"/>
  <c r="G247" i="15"/>
  <c r="F247" i="15"/>
  <c r="G246" i="15"/>
  <c r="F246" i="15"/>
  <c r="G245" i="15"/>
  <c r="F245" i="15"/>
  <c r="G244" i="15"/>
  <c r="F244" i="15"/>
  <c r="G243" i="15"/>
  <c r="F243" i="15"/>
  <c r="G242" i="15"/>
  <c r="F242" i="15"/>
  <c r="G241" i="15"/>
  <c r="F241" i="15"/>
  <c r="G240" i="15"/>
  <c r="F240" i="15"/>
  <c r="G239" i="15"/>
  <c r="F239" i="15"/>
  <c r="G238" i="15"/>
  <c r="F238" i="15"/>
  <c r="G237" i="15"/>
  <c r="F237" i="15"/>
  <c r="G236" i="15"/>
  <c r="F236" i="15"/>
  <c r="G235" i="15"/>
  <c r="F235" i="15"/>
  <c r="G234" i="15"/>
  <c r="F234" i="15"/>
  <c r="G233" i="15"/>
  <c r="F233" i="15"/>
  <c r="G232" i="15"/>
  <c r="F232" i="15"/>
  <c r="G231" i="15"/>
  <c r="F231" i="15"/>
  <c r="G230" i="15"/>
  <c r="F230" i="15"/>
  <c r="G229" i="15"/>
  <c r="F229" i="15"/>
  <c r="G228" i="15"/>
  <c r="F228" i="15"/>
  <c r="G227" i="15"/>
  <c r="F227" i="15"/>
  <c r="G226" i="15"/>
  <c r="F226" i="15"/>
  <c r="G225" i="15"/>
  <c r="F225" i="15"/>
  <c r="G224" i="15"/>
  <c r="F224" i="15"/>
  <c r="G223" i="15"/>
  <c r="F223" i="15"/>
  <c r="G222" i="15"/>
  <c r="F222" i="15"/>
  <c r="G221" i="15"/>
  <c r="F221" i="15"/>
  <c r="G220" i="15"/>
  <c r="F220" i="15"/>
  <c r="G219" i="15"/>
  <c r="F219" i="15"/>
  <c r="G218" i="15"/>
  <c r="F218" i="15"/>
  <c r="G217" i="15"/>
  <c r="F217" i="15"/>
  <c r="G216" i="15"/>
  <c r="F216" i="15"/>
  <c r="G215" i="15"/>
  <c r="F215" i="15"/>
  <c r="G214" i="15"/>
  <c r="F214" i="15"/>
  <c r="G213" i="15"/>
  <c r="F213" i="15"/>
  <c r="G212" i="15"/>
  <c r="F212" i="15"/>
  <c r="G211" i="15"/>
  <c r="F211" i="15"/>
  <c r="G210" i="15"/>
  <c r="F210" i="15"/>
  <c r="G209" i="15"/>
  <c r="F209" i="15"/>
  <c r="G208" i="15"/>
  <c r="F208" i="15"/>
  <c r="G207" i="15"/>
  <c r="F207" i="15"/>
  <c r="G206" i="15"/>
  <c r="F206" i="15"/>
  <c r="G205" i="15"/>
  <c r="F205" i="15"/>
  <c r="G204" i="15"/>
  <c r="F204" i="15"/>
  <c r="G203" i="15"/>
  <c r="F203" i="15"/>
  <c r="G202" i="15"/>
  <c r="F202" i="15"/>
  <c r="G201" i="15"/>
  <c r="F201" i="15"/>
  <c r="G200" i="15"/>
  <c r="F200" i="15"/>
  <c r="G199" i="15"/>
  <c r="F199" i="15"/>
  <c r="G198" i="15"/>
  <c r="F198" i="15"/>
  <c r="G197" i="15"/>
  <c r="F197" i="15"/>
  <c r="G196" i="15"/>
  <c r="F196" i="15"/>
  <c r="G195" i="15"/>
  <c r="F195" i="15"/>
  <c r="G194" i="15"/>
  <c r="F194" i="15"/>
  <c r="G193" i="15"/>
  <c r="F193" i="15"/>
  <c r="G192" i="15"/>
  <c r="F192" i="15"/>
  <c r="G191" i="15"/>
  <c r="F191" i="15"/>
  <c r="G190" i="15"/>
  <c r="F190" i="15"/>
  <c r="G189" i="15"/>
  <c r="F189" i="15"/>
  <c r="G188" i="15"/>
  <c r="F188" i="15"/>
  <c r="G187" i="15"/>
  <c r="F187" i="15"/>
  <c r="G186" i="15"/>
  <c r="F186" i="15"/>
  <c r="G185" i="15"/>
  <c r="F185" i="15"/>
  <c r="G184" i="15"/>
  <c r="F184" i="15"/>
  <c r="G183" i="15"/>
  <c r="F183" i="15"/>
  <c r="G182" i="15"/>
  <c r="F182" i="15"/>
  <c r="G181" i="15"/>
  <c r="F181" i="15"/>
  <c r="G180" i="15"/>
  <c r="F180" i="15"/>
  <c r="G179" i="15"/>
  <c r="F179" i="15"/>
  <c r="G178" i="15"/>
  <c r="F178" i="15"/>
  <c r="G177" i="15"/>
  <c r="F177" i="15"/>
  <c r="G176" i="15"/>
  <c r="F176" i="15"/>
  <c r="G175" i="15"/>
  <c r="F175" i="15"/>
  <c r="G174" i="15"/>
  <c r="F174" i="15"/>
  <c r="G173" i="15"/>
  <c r="F173" i="15"/>
  <c r="G172" i="15"/>
  <c r="F172" i="15"/>
  <c r="G171" i="15"/>
  <c r="F171" i="15"/>
  <c r="G170" i="15"/>
  <c r="F170" i="15"/>
  <c r="G169" i="15"/>
  <c r="F169" i="15"/>
  <c r="G168" i="15"/>
  <c r="F168" i="15"/>
  <c r="G167" i="15"/>
  <c r="F167" i="15"/>
  <c r="G166" i="15"/>
  <c r="F166" i="15"/>
  <c r="G165" i="15"/>
  <c r="F165" i="15"/>
  <c r="G164" i="15"/>
  <c r="F164" i="15"/>
  <c r="G163" i="15"/>
  <c r="F163" i="15"/>
  <c r="G162" i="15"/>
  <c r="F162" i="15"/>
  <c r="G161" i="15"/>
  <c r="F161" i="15"/>
  <c r="G160" i="15"/>
  <c r="F160" i="15"/>
  <c r="G159" i="15"/>
  <c r="F159" i="15"/>
  <c r="G158" i="15"/>
  <c r="F158" i="15"/>
  <c r="G157" i="15"/>
  <c r="F157" i="15"/>
  <c r="G156" i="15"/>
  <c r="F156" i="15"/>
  <c r="G155" i="15"/>
  <c r="F155" i="15"/>
  <c r="G154" i="15"/>
  <c r="F154" i="15"/>
  <c r="G153" i="15"/>
  <c r="F153" i="15"/>
  <c r="G152" i="15"/>
  <c r="F152" i="15"/>
  <c r="G151" i="15"/>
  <c r="F151" i="15"/>
  <c r="G150" i="15"/>
  <c r="F150" i="15"/>
  <c r="G149" i="15"/>
  <c r="F149" i="15"/>
  <c r="G148" i="15"/>
  <c r="F148" i="15"/>
  <c r="G147" i="15"/>
  <c r="F147" i="15"/>
  <c r="G146" i="15"/>
  <c r="F146" i="15"/>
  <c r="G145" i="15"/>
  <c r="F145" i="15"/>
  <c r="G144" i="15"/>
  <c r="F144" i="15"/>
  <c r="G143" i="15"/>
  <c r="F143" i="15"/>
  <c r="G142" i="15"/>
  <c r="F142" i="15"/>
  <c r="G141" i="15"/>
  <c r="F141" i="15"/>
  <c r="G140" i="15"/>
  <c r="F140" i="15"/>
  <c r="G139" i="15"/>
  <c r="F139" i="15"/>
  <c r="G138" i="15"/>
  <c r="F138" i="15"/>
  <c r="G137" i="15"/>
  <c r="F137" i="15"/>
  <c r="G136" i="15"/>
  <c r="F136" i="15"/>
  <c r="G135" i="15"/>
  <c r="F135" i="15"/>
  <c r="G134" i="15"/>
  <c r="F134" i="15"/>
  <c r="G133" i="15"/>
  <c r="F133" i="15"/>
  <c r="G132" i="15"/>
  <c r="F132" i="15"/>
  <c r="G131" i="15"/>
  <c r="F131" i="15"/>
  <c r="G130" i="15"/>
  <c r="F130" i="15"/>
  <c r="G129" i="15"/>
  <c r="F129" i="15"/>
  <c r="G128" i="15"/>
  <c r="F128" i="15"/>
  <c r="G127" i="15"/>
  <c r="F127" i="15"/>
  <c r="G126" i="15"/>
  <c r="F126" i="15"/>
  <c r="G125" i="15"/>
  <c r="F125" i="15"/>
  <c r="G124" i="15"/>
  <c r="F124" i="15"/>
  <c r="G123" i="15"/>
  <c r="F123" i="15"/>
  <c r="G122" i="15"/>
  <c r="F122" i="15"/>
  <c r="G121" i="15"/>
  <c r="F121" i="15"/>
  <c r="G120" i="15"/>
  <c r="F120" i="15"/>
  <c r="G119" i="15"/>
  <c r="F119" i="15"/>
  <c r="G118" i="15"/>
  <c r="F118" i="15"/>
  <c r="G117" i="15"/>
  <c r="F117" i="15"/>
  <c r="G116" i="15"/>
  <c r="F116" i="15"/>
  <c r="G115" i="15"/>
  <c r="F115" i="15"/>
  <c r="G114" i="15"/>
  <c r="F114" i="15"/>
  <c r="G113" i="15"/>
  <c r="F113" i="15"/>
  <c r="G112" i="15"/>
  <c r="F112" i="15"/>
  <c r="G111" i="15"/>
  <c r="F111" i="15"/>
  <c r="G110" i="15"/>
  <c r="F110" i="15"/>
  <c r="G109" i="15"/>
  <c r="F109" i="15"/>
  <c r="G108" i="15"/>
  <c r="F108" i="15"/>
  <c r="G107" i="15"/>
  <c r="F107" i="15"/>
  <c r="G106" i="15"/>
  <c r="F106" i="15"/>
  <c r="G105" i="15"/>
  <c r="F105" i="15"/>
  <c r="G104" i="15"/>
  <c r="F104" i="15"/>
  <c r="G103" i="15"/>
  <c r="F103" i="15"/>
  <c r="G102" i="15"/>
  <c r="F102" i="15"/>
  <c r="G101" i="15"/>
  <c r="F101" i="15"/>
  <c r="G100" i="15"/>
  <c r="F100" i="15"/>
  <c r="G99" i="15"/>
  <c r="F99" i="15"/>
  <c r="G98" i="15"/>
  <c r="F98" i="15"/>
  <c r="G97" i="15"/>
  <c r="F97" i="15"/>
  <c r="G96" i="15"/>
  <c r="F96" i="15"/>
  <c r="G95" i="15"/>
  <c r="F95" i="15"/>
  <c r="G94" i="15"/>
  <c r="F94" i="15"/>
  <c r="G93" i="15"/>
  <c r="F93" i="15"/>
  <c r="G92" i="15"/>
  <c r="F92" i="15"/>
  <c r="G91" i="15"/>
  <c r="F91" i="15"/>
  <c r="G90" i="15"/>
  <c r="F90" i="15"/>
  <c r="G89" i="15"/>
  <c r="F89" i="15"/>
  <c r="G88" i="15"/>
  <c r="F88" i="15"/>
  <c r="G87" i="15"/>
  <c r="F87" i="15"/>
  <c r="G86" i="15"/>
  <c r="F86" i="15"/>
  <c r="G85" i="15"/>
  <c r="F85" i="15"/>
  <c r="G84" i="15"/>
  <c r="F84" i="15"/>
  <c r="G83" i="15"/>
  <c r="F83" i="15"/>
  <c r="G82" i="15"/>
  <c r="F82" i="15"/>
  <c r="G81" i="15"/>
  <c r="F81" i="15"/>
  <c r="G80" i="15"/>
  <c r="F80" i="15"/>
  <c r="G79" i="15"/>
  <c r="F79" i="15"/>
  <c r="G78" i="15"/>
  <c r="F78" i="15"/>
  <c r="G77" i="15"/>
  <c r="F77" i="15"/>
  <c r="G76" i="15"/>
  <c r="F76" i="15"/>
  <c r="G75" i="15"/>
  <c r="F75" i="15"/>
  <c r="G74" i="15"/>
  <c r="F74" i="15"/>
  <c r="G73" i="15"/>
  <c r="F73" i="15"/>
  <c r="G72" i="15"/>
  <c r="F72" i="15"/>
  <c r="G71" i="15"/>
  <c r="F71" i="15"/>
  <c r="G70" i="15"/>
  <c r="F70" i="15"/>
  <c r="G69" i="15"/>
  <c r="F69" i="15"/>
  <c r="G68" i="15"/>
  <c r="F68" i="15"/>
  <c r="G67" i="15"/>
  <c r="F67" i="15"/>
  <c r="G66" i="15"/>
  <c r="F66" i="15"/>
  <c r="G65" i="15"/>
  <c r="F65" i="15"/>
  <c r="G64" i="15"/>
  <c r="F64" i="15"/>
  <c r="G63" i="15"/>
  <c r="F63" i="15"/>
  <c r="G62" i="15"/>
  <c r="F62" i="15"/>
  <c r="G61" i="15"/>
  <c r="F61" i="15"/>
  <c r="G60" i="15"/>
  <c r="F60" i="15"/>
  <c r="G59" i="15"/>
  <c r="F59" i="15"/>
  <c r="G58" i="15"/>
  <c r="F58" i="15"/>
  <c r="G57" i="15"/>
  <c r="F57" i="15"/>
  <c r="G56" i="15"/>
  <c r="F56" i="15"/>
  <c r="G55" i="15"/>
  <c r="F55" i="15"/>
  <c r="G54" i="15"/>
  <c r="F54" i="15"/>
  <c r="G53" i="15"/>
  <c r="F53" i="15"/>
  <c r="G52" i="15"/>
  <c r="F52" i="15"/>
  <c r="G51" i="15"/>
  <c r="F51" i="15"/>
  <c r="G50" i="15"/>
  <c r="F50" i="15"/>
  <c r="G49" i="15"/>
  <c r="F49" i="15"/>
  <c r="G48" i="15"/>
  <c r="F48" i="15"/>
  <c r="G47" i="15"/>
  <c r="F47" i="15"/>
  <c r="G46" i="15"/>
  <c r="F46" i="15"/>
  <c r="G45" i="15"/>
  <c r="F45" i="15"/>
  <c r="G44" i="15"/>
  <c r="F44" i="15"/>
  <c r="G43" i="15"/>
  <c r="F43" i="15"/>
  <c r="G42" i="15"/>
  <c r="F42" i="15"/>
  <c r="G41" i="15"/>
  <c r="F41" i="15"/>
  <c r="G40" i="15"/>
  <c r="F40" i="15"/>
  <c r="G39" i="15"/>
  <c r="F39" i="15"/>
  <c r="G38" i="15"/>
  <c r="F38" i="15"/>
  <c r="G37" i="15"/>
  <c r="F37" i="15"/>
  <c r="G36" i="15"/>
  <c r="F36" i="15"/>
  <c r="G35" i="15"/>
  <c r="F35" i="15"/>
  <c r="G34" i="15"/>
  <c r="F34" i="15"/>
  <c r="G33" i="15"/>
  <c r="F33" i="15"/>
  <c r="G32" i="15"/>
  <c r="F32" i="15"/>
  <c r="G31" i="15"/>
  <c r="F31" i="15"/>
  <c r="G30" i="15"/>
  <c r="F30" i="15"/>
  <c r="G29" i="15"/>
  <c r="F29" i="15"/>
  <c r="G28" i="15"/>
  <c r="F28" i="15"/>
  <c r="G27" i="15"/>
  <c r="F27" i="15"/>
  <c r="G26" i="15"/>
  <c r="F26" i="15"/>
  <c r="G25" i="15"/>
  <c r="F25" i="15"/>
  <c r="G24" i="15"/>
  <c r="F24" i="15"/>
  <c r="G23" i="15"/>
  <c r="F23" i="15"/>
  <c r="G22" i="15"/>
  <c r="F22" i="15"/>
  <c r="G21" i="15"/>
  <c r="F21" i="15"/>
  <c r="G20" i="15"/>
  <c r="F20" i="15"/>
  <c r="G19" i="15"/>
  <c r="F19" i="15"/>
  <c r="G18" i="15"/>
  <c r="F18" i="15"/>
  <c r="G17" i="15"/>
  <c r="F17" i="15"/>
  <c r="G16" i="15"/>
  <c r="F16" i="15"/>
  <c r="G15" i="15"/>
  <c r="F15" i="15"/>
  <c r="G14" i="15"/>
  <c r="F14" i="15"/>
  <c r="G13" i="15"/>
  <c r="F13" i="15"/>
  <c r="G12" i="15"/>
  <c r="F12" i="15"/>
  <c r="G11" i="15"/>
  <c r="F11" i="15"/>
  <c r="G10" i="15"/>
  <c r="F10" i="15"/>
  <c r="G9" i="15"/>
  <c r="F9" i="15"/>
  <c r="G8" i="15"/>
  <c r="F8" i="15"/>
  <c r="G7" i="15"/>
  <c r="F7" i="15"/>
  <c r="G6" i="15"/>
  <c r="F6" i="15"/>
  <c r="G5" i="15"/>
  <c r="F5" i="15"/>
  <c r="G4" i="15"/>
  <c r="F4" i="15"/>
  <c r="G3" i="15"/>
  <c r="F3" i="15"/>
  <c r="G2" i="15"/>
  <c r="F2" i="15"/>
  <c r="G352" i="14"/>
  <c r="F352" i="14"/>
  <c r="G351" i="14"/>
  <c r="F351" i="14"/>
  <c r="G350" i="14"/>
  <c r="F350" i="14"/>
  <c r="G349" i="14"/>
  <c r="F349" i="14"/>
  <c r="G348" i="14"/>
  <c r="F348" i="14"/>
  <c r="G347" i="14"/>
  <c r="F347" i="14"/>
  <c r="G346" i="14"/>
  <c r="F346" i="14"/>
  <c r="G345" i="14"/>
  <c r="F345" i="14"/>
  <c r="G344" i="14"/>
  <c r="F344" i="14"/>
  <c r="G343" i="14"/>
  <c r="F343" i="14"/>
  <c r="G342" i="14"/>
  <c r="F342" i="14"/>
  <c r="G341" i="14"/>
  <c r="F341" i="14"/>
  <c r="G340" i="14"/>
  <c r="F340" i="14"/>
  <c r="G339" i="14"/>
  <c r="F339" i="14"/>
  <c r="G338" i="14"/>
  <c r="F338" i="14"/>
  <c r="G337" i="14"/>
  <c r="F337" i="14"/>
  <c r="G336" i="14"/>
  <c r="F336" i="14"/>
  <c r="G335" i="14"/>
  <c r="F335" i="14"/>
  <c r="G334" i="14"/>
  <c r="F334" i="14"/>
  <c r="G333" i="14"/>
  <c r="F333" i="14"/>
  <c r="G332" i="14"/>
  <c r="F332" i="14"/>
  <c r="G331" i="14"/>
  <c r="F331" i="14"/>
  <c r="G330" i="14"/>
  <c r="F330" i="14"/>
  <c r="G329" i="14"/>
  <c r="F329" i="14"/>
  <c r="G328" i="14"/>
  <c r="F328" i="14"/>
  <c r="G327" i="14"/>
  <c r="F327" i="14"/>
  <c r="G326" i="14"/>
  <c r="F326" i="14"/>
  <c r="G325" i="14"/>
  <c r="F325" i="14"/>
  <c r="G324" i="14"/>
  <c r="F324" i="14"/>
  <c r="G323" i="14"/>
  <c r="F323" i="14"/>
  <c r="G322" i="14"/>
  <c r="F322" i="14"/>
  <c r="G321" i="14"/>
  <c r="F321" i="14"/>
  <c r="G320" i="14"/>
  <c r="F320" i="14"/>
  <c r="G319" i="14"/>
  <c r="F319" i="14"/>
  <c r="G318" i="14"/>
  <c r="F318" i="14"/>
  <c r="G317" i="14"/>
  <c r="F317" i="14"/>
  <c r="G316" i="14"/>
  <c r="F316" i="14"/>
  <c r="G315" i="14"/>
  <c r="F315" i="14"/>
  <c r="G314" i="14"/>
  <c r="F314" i="14"/>
  <c r="G313" i="14"/>
  <c r="F313" i="14"/>
  <c r="G312" i="14"/>
  <c r="F312" i="14"/>
  <c r="G311" i="14"/>
  <c r="F311" i="14"/>
  <c r="G310" i="14"/>
  <c r="F310" i="14"/>
  <c r="G309" i="14"/>
  <c r="F309" i="14"/>
  <c r="G308" i="14"/>
  <c r="F308" i="14"/>
  <c r="G307" i="14"/>
  <c r="F307" i="14"/>
  <c r="G306" i="14"/>
  <c r="F306" i="14"/>
  <c r="G305" i="14"/>
  <c r="F305" i="14"/>
  <c r="G304" i="14"/>
  <c r="F304" i="14"/>
  <c r="G303" i="14"/>
  <c r="F303" i="14"/>
  <c r="G302" i="14"/>
  <c r="F302" i="14"/>
  <c r="G301" i="14"/>
  <c r="F301" i="14"/>
  <c r="G300" i="14"/>
  <c r="F300" i="14"/>
  <c r="G299" i="14"/>
  <c r="F299" i="14"/>
  <c r="G298" i="14"/>
  <c r="F298" i="14"/>
  <c r="G297" i="14"/>
  <c r="F297" i="14"/>
  <c r="G296" i="14"/>
  <c r="F296" i="14"/>
  <c r="G295" i="14"/>
  <c r="F295" i="14"/>
  <c r="G294" i="14"/>
  <c r="F294" i="14"/>
  <c r="G293" i="14"/>
  <c r="F293" i="14"/>
  <c r="G292" i="14"/>
  <c r="F292" i="14"/>
  <c r="G291" i="14"/>
  <c r="F291" i="14"/>
  <c r="G290" i="14"/>
  <c r="F290" i="14"/>
  <c r="G289" i="14"/>
  <c r="F289" i="14"/>
  <c r="G288" i="14"/>
  <c r="F288" i="14"/>
  <c r="G287" i="14"/>
  <c r="F287" i="14"/>
  <c r="G286" i="14"/>
  <c r="F286" i="14"/>
  <c r="G285" i="14"/>
  <c r="F285" i="14"/>
  <c r="G284" i="14"/>
  <c r="F284" i="14"/>
  <c r="G283" i="14"/>
  <c r="F283" i="14"/>
  <c r="G282" i="14"/>
  <c r="F282" i="14"/>
  <c r="G281" i="14"/>
  <c r="F281" i="14"/>
  <c r="G280" i="14"/>
  <c r="F280" i="14"/>
  <c r="G279" i="14"/>
  <c r="F279" i="14"/>
  <c r="G278" i="14"/>
  <c r="F278" i="14"/>
  <c r="G277" i="14"/>
  <c r="F277" i="14"/>
  <c r="G276" i="14"/>
  <c r="F276" i="14"/>
  <c r="G275" i="14"/>
  <c r="F275" i="14"/>
  <c r="G274" i="14"/>
  <c r="F274" i="14"/>
  <c r="G273" i="14"/>
  <c r="F273" i="14"/>
  <c r="G272" i="14"/>
  <c r="F272" i="14"/>
  <c r="G271" i="14"/>
  <c r="F271" i="14"/>
  <c r="G270" i="14"/>
  <c r="F270" i="14"/>
  <c r="G269" i="14"/>
  <c r="F269" i="14"/>
  <c r="G268" i="14"/>
  <c r="F268" i="14"/>
  <c r="G267" i="14"/>
  <c r="F267" i="14"/>
  <c r="G266" i="14"/>
  <c r="F266" i="14"/>
  <c r="G265" i="14"/>
  <c r="F265" i="14"/>
  <c r="G264" i="14"/>
  <c r="F264" i="14"/>
  <c r="G263" i="14"/>
  <c r="F263" i="14"/>
  <c r="G262" i="14"/>
  <c r="F262" i="14"/>
  <c r="G261" i="14"/>
  <c r="F261" i="14"/>
  <c r="G260" i="14"/>
  <c r="F260" i="14"/>
  <c r="G259" i="14"/>
  <c r="F259" i="14"/>
  <c r="G258" i="14"/>
  <c r="F258" i="14"/>
  <c r="G257" i="14"/>
  <c r="F257" i="14"/>
  <c r="G256" i="14"/>
  <c r="F256" i="14"/>
  <c r="G255" i="14"/>
  <c r="F255" i="14"/>
  <c r="G254" i="14"/>
  <c r="F254" i="14"/>
  <c r="G253" i="14"/>
  <c r="F253" i="14"/>
  <c r="G252" i="14"/>
  <c r="F252" i="14"/>
  <c r="G251" i="14"/>
  <c r="F251" i="14"/>
  <c r="G250" i="14"/>
  <c r="F250" i="14"/>
  <c r="G249" i="14"/>
  <c r="F249" i="14"/>
  <c r="G248" i="14"/>
  <c r="F248" i="14"/>
  <c r="G247" i="14"/>
  <c r="F247" i="14"/>
  <c r="G246" i="14"/>
  <c r="F246" i="14"/>
  <c r="G245" i="14"/>
  <c r="F245" i="14"/>
  <c r="G244" i="14"/>
  <c r="F244" i="14"/>
  <c r="G243" i="14"/>
  <c r="F243" i="14"/>
  <c r="G242" i="14"/>
  <c r="F242" i="14"/>
  <c r="G241" i="14"/>
  <c r="F241" i="14"/>
  <c r="G240" i="14"/>
  <c r="F240" i="14"/>
  <c r="G239" i="14"/>
  <c r="F239" i="14"/>
  <c r="G238" i="14"/>
  <c r="F238" i="14"/>
  <c r="G237" i="14"/>
  <c r="F237" i="14"/>
  <c r="G236" i="14"/>
  <c r="F236" i="14"/>
  <c r="G235" i="14"/>
  <c r="F235" i="14"/>
  <c r="G234" i="14"/>
  <c r="F234" i="14"/>
  <c r="G233" i="14"/>
  <c r="F233" i="14"/>
  <c r="G232" i="14"/>
  <c r="F232" i="14"/>
  <c r="G231" i="14"/>
  <c r="F231" i="14"/>
  <c r="G230" i="14"/>
  <c r="F230" i="14"/>
  <c r="G229" i="14"/>
  <c r="F229" i="14"/>
  <c r="G228" i="14"/>
  <c r="F228" i="14"/>
  <c r="G227" i="14"/>
  <c r="F227" i="14"/>
  <c r="G226" i="14"/>
  <c r="F226" i="14"/>
  <c r="G225" i="14"/>
  <c r="F225" i="14"/>
  <c r="G224" i="14"/>
  <c r="F224" i="14"/>
  <c r="G223" i="14"/>
  <c r="F223" i="14"/>
  <c r="G222" i="14"/>
  <c r="F222" i="14"/>
  <c r="G221" i="14"/>
  <c r="F221" i="14"/>
  <c r="G220" i="14"/>
  <c r="F220" i="14"/>
  <c r="G219" i="14"/>
  <c r="F219" i="14"/>
  <c r="G218" i="14"/>
  <c r="F218" i="14"/>
  <c r="G217" i="14"/>
  <c r="F217" i="14"/>
  <c r="G216" i="14"/>
  <c r="F216" i="14"/>
  <c r="G215" i="14"/>
  <c r="F215" i="14"/>
  <c r="G214" i="14"/>
  <c r="F214" i="14"/>
  <c r="G213" i="14"/>
  <c r="F213" i="14"/>
  <c r="G212" i="14"/>
  <c r="F212" i="14"/>
  <c r="G211" i="14"/>
  <c r="F211" i="14"/>
  <c r="G210" i="14"/>
  <c r="F210" i="14"/>
  <c r="G209" i="14"/>
  <c r="F209" i="14"/>
  <c r="G208" i="14"/>
  <c r="F208" i="14"/>
  <c r="G207" i="14"/>
  <c r="F207" i="14"/>
  <c r="G206" i="14"/>
  <c r="F206" i="14"/>
  <c r="G205" i="14"/>
  <c r="F205" i="14"/>
  <c r="G204" i="14"/>
  <c r="F204" i="14"/>
  <c r="G203" i="14"/>
  <c r="F203" i="14"/>
  <c r="G202" i="14"/>
  <c r="F202" i="14"/>
  <c r="G201" i="14"/>
  <c r="F201" i="14"/>
  <c r="G200" i="14"/>
  <c r="F200" i="14"/>
  <c r="G199" i="14"/>
  <c r="F199" i="14"/>
  <c r="G198" i="14"/>
  <c r="F198" i="14"/>
  <c r="G197" i="14"/>
  <c r="F197" i="14"/>
  <c r="G196" i="14"/>
  <c r="F196" i="14"/>
  <c r="G195" i="14"/>
  <c r="F195" i="14"/>
  <c r="G194" i="14"/>
  <c r="F194" i="14"/>
  <c r="G193" i="14"/>
  <c r="F193" i="14"/>
  <c r="G192" i="14"/>
  <c r="F192" i="14"/>
  <c r="G191" i="14"/>
  <c r="F191" i="14"/>
  <c r="G190" i="14"/>
  <c r="F190" i="14"/>
  <c r="G189" i="14"/>
  <c r="F189" i="14"/>
  <c r="G188" i="14"/>
  <c r="F188" i="14"/>
  <c r="G187" i="14"/>
  <c r="F187" i="14"/>
  <c r="G186" i="14"/>
  <c r="F186" i="14"/>
  <c r="G185" i="14"/>
  <c r="F185" i="14"/>
  <c r="G184" i="14"/>
  <c r="F184" i="14"/>
  <c r="G183" i="14"/>
  <c r="F183" i="14"/>
  <c r="G182" i="14"/>
  <c r="F182" i="14"/>
  <c r="G181" i="14"/>
  <c r="F181" i="14"/>
  <c r="G180" i="14"/>
  <c r="F180" i="14"/>
  <c r="G179" i="14"/>
  <c r="F179" i="14"/>
  <c r="G178" i="14"/>
  <c r="F178" i="14"/>
  <c r="G177" i="14"/>
  <c r="F177" i="14"/>
  <c r="G176" i="14"/>
  <c r="F176" i="14"/>
  <c r="G175" i="14"/>
  <c r="F175" i="14"/>
  <c r="G174" i="14"/>
  <c r="F174" i="14"/>
  <c r="G173" i="14"/>
  <c r="F173" i="14"/>
  <c r="G172" i="14"/>
  <c r="F172" i="14"/>
  <c r="G171" i="14"/>
  <c r="F171" i="14"/>
  <c r="G170" i="14"/>
  <c r="F170" i="14"/>
  <c r="G169" i="14"/>
  <c r="F169" i="14"/>
  <c r="G168" i="14"/>
  <c r="F168" i="14"/>
  <c r="G167" i="14"/>
  <c r="F167" i="14"/>
  <c r="G166" i="14"/>
  <c r="F166" i="14"/>
  <c r="G165" i="14"/>
  <c r="F165" i="14"/>
  <c r="G164" i="14"/>
  <c r="F164" i="14"/>
  <c r="G163" i="14"/>
  <c r="F163" i="14"/>
  <c r="G162" i="14"/>
  <c r="F162" i="14"/>
  <c r="G161" i="14"/>
  <c r="F161" i="14"/>
  <c r="G160" i="14"/>
  <c r="F160" i="14"/>
  <c r="G159" i="14"/>
  <c r="F159" i="14"/>
  <c r="G158" i="14"/>
  <c r="F158" i="14"/>
  <c r="G157" i="14"/>
  <c r="F157" i="14"/>
  <c r="G156" i="14"/>
  <c r="F156" i="14"/>
  <c r="G155" i="14"/>
  <c r="F155" i="14"/>
  <c r="G154" i="14"/>
  <c r="F154" i="14"/>
  <c r="G153" i="14"/>
  <c r="F153" i="14"/>
  <c r="G152" i="14"/>
  <c r="F152" i="14"/>
  <c r="G151" i="14"/>
  <c r="F151" i="14"/>
  <c r="G150" i="14"/>
  <c r="F150" i="14"/>
  <c r="G149" i="14"/>
  <c r="F149" i="14"/>
  <c r="G148" i="14"/>
  <c r="F148" i="14"/>
  <c r="G147" i="14"/>
  <c r="F147" i="14"/>
  <c r="G146" i="14"/>
  <c r="F146" i="14"/>
  <c r="G145" i="14"/>
  <c r="F145" i="14"/>
  <c r="G144" i="14"/>
  <c r="F144" i="14"/>
  <c r="G143" i="14"/>
  <c r="F143" i="14"/>
  <c r="G142" i="14"/>
  <c r="F142" i="14"/>
  <c r="G141" i="14"/>
  <c r="F141" i="14"/>
  <c r="G140" i="14"/>
  <c r="F140" i="14"/>
  <c r="G139" i="14"/>
  <c r="F139" i="14"/>
  <c r="G138" i="14"/>
  <c r="F138" i="14"/>
  <c r="G137" i="14"/>
  <c r="F137" i="14"/>
  <c r="G136" i="14"/>
  <c r="F136" i="14"/>
  <c r="G135" i="14"/>
  <c r="F135" i="14"/>
  <c r="G134" i="14"/>
  <c r="F134" i="14"/>
  <c r="G133" i="14"/>
  <c r="F133" i="14"/>
  <c r="G132" i="14"/>
  <c r="F132" i="14"/>
  <c r="G131" i="14"/>
  <c r="F131" i="14"/>
  <c r="G130" i="14"/>
  <c r="F130" i="14"/>
  <c r="G129" i="14"/>
  <c r="F129" i="14"/>
  <c r="G128" i="14"/>
  <c r="F128" i="14"/>
  <c r="G127" i="14"/>
  <c r="F127" i="14"/>
  <c r="G126" i="14"/>
  <c r="F126" i="14"/>
  <c r="G125" i="14"/>
  <c r="F125" i="14"/>
  <c r="G124" i="14"/>
  <c r="F124" i="14"/>
  <c r="G123" i="14"/>
  <c r="F123" i="14"/>
  <c r="G122" i="14"/>
  <c r="F122" i="14"/>
  <c r="G121" i="14"/>
  <c r="F121" i="14"/>
  <c r="G120" i="14"/>
  <c r="F120" i="14"/>
  <c r="G119" i="14"/>
  <c r="F119" i="14"/>
  <c r="G118" i="14"/>
  <c r="F118" i="14"/>
  <c r="G117" i="14"/>
  <c r="F117" i="14"/>
  <c r="G116" i="14"/>
  <c r="F116" i="14"/>
  <c r="G115" i="14"/>
  <c r="F115" i="14"/>
  <c r="G114" i="14"/>
  <c r="F114" i="14"/>
  <c r="G113" i="14"/>
  <c r="F113" i="14"/>
  <c r="G112" i="14"/>
  <c r="F112" i="14"/>
  <c r="G111" i="14"/>
  <c r="F111" i="14"/>
  <c r="G110" i="14"/>
  <c r="F110" i="14"/>
  <c r="G109" i="14"/>
  <c r="F109" i="14"/>
  <c r="G108" i="14"/>
  <c r="F108" i="14"/>
  <c r="G107" i="14"/>
  <c r="F107" i="14"/>
  <c r="G106" i="14"/>
  <c r="F106" i="14"/>
  <c r="G105" i="14"/>
  <c r="F105" i="14"/>
  <c r="G104" i="14"/>
  <c r="F104" i="14"/>
  <c r="G103" i="14"/>
  <c r="F103" i="14"/>
  <c r="G102" i="14"/>
  <c r="F102" i="14"/>
  <c r="G101" i="14"/>
  <c r="F101" i="14"/>
  <c r="G100" i="14"/>
  <c r="F100" i="14"/>
  <c r="G99" i="14"/>
  <c r="F99" i="14"/>
  <c r="G98" i="14"/>
  <c r="F98" i="14"/>
  <c r="G97" i="14"/>
  <c r="F97" i="14"/>
  <c r="G96" i="14"/>
  <c r="F96" i="14"/>
  <c r="G95" i="14"/>
  <c r="F95" i="14"/>
  <c r="G94" i="14"/>
  <c r="F94" i="14"/>
  <c r="G93" i="14"/>
  <c r="F93" i="14"/>
  <c r="G92" i="14"/>
  <c r="F92" i="14"/>
  <c r="G91" i="14"/>
  <c r="F91" i="14"/>
  <c r="G90" i="14"/>
  <c r="F90" i="14"/>
  <c r="G89" i="14"/>
  <c r="F89" i="14"/>
  <c r="G88" i="14"/>
  <c r="F88" i="14"/>
  <c r="G87" i="14"/>
  <c r="F87" i="14"/>
  <c r="G86" i="14"/>
  <c r="F86" i="14"/>
  <c r="G85" i="14"/>
  <c r="F85" i="14"/>
  <c r="G84" i="14"/>
  <c r="F84" i="14"/>
  <c r="G83" i="14"/>
  <c r="F83" i="14"/>
  <c r="G82" i="14"/>
  <c r="F82" i="14"/>
  <c r="G81" i="14"/>
  <c r="F81" i="14"/>
  <c r="G80" i="14"/>
  <c r="F80" i="14"/>
  <c r="G79" i="14"/>
  <c r="F79" i="14"/>
  <c r="G78" i="14"/>
  <c r="F78" i="14"/>
  <c r="G77" i="14"/>
  <c r="F77" i="14"/>
  <c r="G76" i="14"/>
  <c r="F76" i="14"/>
  <c r="G75" i="14"/>
  <c r="F75" i="14"/>
  <c r="G74" i="14"/>
  <c r="F74" i="14"/>
  <c r="G73" i="14"/>
  <c r="F73" i="14"/>
  <c r="G72" i="14"/>
  <c r="F72" i="14"/>
  <c r="G71" i="14"/>
  <c r="F71" i="14"/>
  <c r="G70" i="14"/>
  <c r="F70" i="14"/>
  <c r="G69" i="14"/>
  <c r="F69" i="14"/>
  <c r="G68" i="14"/>
  <c r="F68" i="14"/>
  <c r="G67" i="14"/>
  <c r="F67" i="14"/>
  <c r="G66" i="14"/>
  <c r="F66" i="14"/>
  <c r="G65" i="14"/>
  <c r="F65" i="14"/>
  <c r="G64" i="14"/>
  <c r="F64" i="14"/>
  <c r="G63" i="14"/>
  <c r="F63" i="14"/>
  <c r="G62" i="14"/>
  <c r="F62" i="14"/>
  <c r="G61" i="14"/>
  <c r="F61" i="14"/>
  <c r="G60" i="14"/>
  <c r="F60" i="14"/>
  <c r="G59" i="14"/>
  <c r="F59" i="14"/>
  <c r="G58" i="14"/>
  <c r="F58" i="14"/>
  <c r="G57" i="14"/>
  <c r="F57" i="14"/>
  <c r="G56" i="14"/>
  <c r="F56" i="14"/>
  <c r="G55" i="14"/>
  <c r="F55" i="14"/>
  <c r="G54" i="14"/>
  <c r="F54" i="14"/>
  <c r="G53" i="14"/>
  <c r="F53" i="14"/>
  <c r="G52" i="14"/>
  <c r="F52" i="14"/>
  <c r="G51" i="14"/>
  <c r="F51" i="14"/>
  <c r="G50" i="14"/>
  <c r="F50" i="14"/>
  <c r="G49" i="14"/>
  <c r="F49" i="14"/>
  <c r="G48" i="14"/>
  <c r="F48" i="14"/>
  <c r="G47" i="14"/>
  <c r="F47" i="14"/>
  <c r="G46" i="14"/>
  <c r="F46" i="14"/>
  <c r="G45" i="14"/>
  <c r="F45" i="14"/>
  <c r="G44" i="14"/>
  <c r="F44" i="14"/>
  <c r="G43" i="14"/>
  <c r="F43" i="14"/>
  <c r="G42" i="14"/>
  <c r="F42" i="14"/>
  <c r="G41" i="14"/>
  <c r="F41" i="14"/>
  <c r="G40" i="14"/>
  <c r="F40" i="14"/>
  <c r="G39" i="14"/>
  <c r="F39" i="14"/>
  <c r="G38" i="14"/>
  <c r="F38" i="14"/>
  <c r="G37" i="14"/>
  <c r="F37" i="14"/>
  <c r="G36" i="14"/>
  <c r="F36" i="14"/>
  <c r="G35" i="14"/>
  <c r="F35" i="14"/>
  <c r="G34" i="14"/>
  <c r="F34" i="14"/>
  <c r="G33" i="14"/>
  <c r="F33" i="14"/>
  <c r="G32" i="14"/>
  <c r="F32" i="14"/>
  <c r="G31" i="14"/>
  <c r="F31" i="14"/>
  <c r="G30" i="14"/>
  <c r="F30" i="14"/>
  <c r="G29" i="14"/>
  <c r="F29" i="14"/>
  <c r="G28" i="14"/>
  <c r="F28" i="14"/>
  <c r="G27" i="14"/>
  <c r="F27" i="14"/>
  <c r="G26" i="14"/>
  <c r="F26" i="14"/>
  <c r="G25" i="14"/>
  <c r="F25" i="14"/>
  <c r="G24" i="14"/>
  <c r="F24" i="14"/>
  <c r="G23" i="14"/>
  <c r="F23" i="14"/>
  <c r="G22" i="14"/>
  <c r="F22" i="14"/>
  <c r="G21" i="14"/>
  <c r="F21" i="14"/>
  <c r="G20" i="14"/>
  <c r="F20" i="14"/>
  <c r="G19" i="14"/>
  <c r="F19" i="14"/>
  <c r="G18" i="14"/>
  <c r="F18" i="14"/>
  <c r="G17" i="14"/>
  <c r="F17" i="14"/>
  <c r="G16" i="14"/>
  <c r="F16" i="14"/>
  <c r="G15" i="14"/>
  <c r="F15" i="14"/>
  <c r="G14" i="14"/>
  <c r="F14" i="14"/>
  <c r="G13" i="14"/>
  <c r="F13" i="14"/>
  <c r="G12" i="14"/>
  <c r="F12" i="14"/>
  <c r="G11" i="14"/>
  <c r="F11" i="14"/>
  <c r="G10" i="14"/>
  <c r="F10" i="14"/>
  <c r="G9" i="14"/>
  <c r="F9" i="14"/>
  <c r="G8" i="14"/>
  <c r="F8" i="14"/>
  <c r="G7" i="14"/>
  <c r="F7" i="14"/>
  <c r="G6" i="14"/>
  <c r="F6" i="14"/>
  <c r="G5" i="14"/>
  <c r="F5" i="14"/>
  <c r="G4" i="14"/>
  <c r="F4" i="14"/>
  <c r="G3" i="14"/>
  <c r="F3" i="14"/>
  <c r="G2" i="14"/>
  <c r="F2" i="14"/>
  <c r="T6" i="12"/>
  <c r="M6" i="12"/>
  <c r="N6" i="12" s="1"/>
  <c r="O6" i="12" s="1"/>
  <c r="P6" i="12" s="1"/>
  <c r="Q6" i="12" s="1"/>
  <c r="T5" i="12"/>
  <c r="M5" i="12"/>
  <c r="N5" i="12" s="1"/>
  <c r="O5" i="12" s="1"/>
  <c r="P5" i="12" s="1"/>
  <c r="Q5" i="12" s="1"/>
  <c r="T4" i="12"/>
  <c r="M4" i="12"/>
  <c r="N4" i="12" s="1"/>
  <c r="O4" i="12" s="1"/>
  <c r="P4" i="12" s="1"/>
  <c r="Q4" i="12" s="1"/>
  <c r="T3" i="12"/>
  <c r="M3" i="12"/>
  <c r="N3" i="12" s="1"/>
  <c r="T2" i="12"/>
  <c r="M2" i="12"/>
  <c r="N2" i="12" s="1"/>
  <c r="O2" i="12" s="1"/>
  <c r="P2" i="12" s="1"/>
  <c r="Q2" i="12" s="1"/>
  <c r="D9" i="11"/>
  <c r="D8" i="11"/>
  <c r="D7" i="11"/>
  <c r="D6" i="11"/>
  <c r="D4" i="11"/>
  <c r="D3" i="11"/>
  <c r="D2" i="11"/>
  <c r="C5" i="9"/>
  <c r="C4" i="9"/>
  <c r="C3" i="9"/>
  <c r="C5" i="8"/>
  <c r="J4" i="8"/>
  <c r="I4" i="8" a="1"/>
  <c r="I4" i="8" s="1"/>
  <c r="H4" i="8" a="1"/>
  <c r="H4" i="8" s="1"/>
  <c r="J3" i="8"/>
  <c r="I3" i="8" a="1"/>
  <c r="I3" i="8" s="1"/>
  <c r="H3" i="8" a="1"/>
  <c r="H3" i="8" s="1"/>
  <c r="J2" i="8"/>
  <c r="I2" i="8" a="1"/>
  <c r="I2" i="8" s="1"/>
  <c r="H2" i="8" a="1"/>
  <c r="H2" i="8" s="1"/>
  <c r="H5" i="8" s="1"/>
  <c r="D148" i="7"/>
  <c r="G147" i="7"/>
  <c r="F147" i="7"/>
  <c r="G146" i="7"/>
  <c r="F146" i="7"/>
  <c r="G145" i="7"/>
  <c r="F145" i="7"/>
  <c r="G144" i="7"/>
  <c r="F144" i="7"/>
  <c r="D135" i="7"/>
  <c r="G134" i="7"/>
  <c r="F134" i="7"/>
  <c r="G133" i="7"/>
  <c r="F133" i="7"/>
  <c r="G132" i="7"/>
  <c r="F132" i="7"/>
  <c r="G131" i="7"/>
  <c r="F131" i="7"/>
  <c r="D122" i="7"/>
  <c r="G121" i="7"/>
  <c r="F121" i="7"/>
  <c r="G120" i="7"/>
  <c r="F120" i="7"/>
  <c r="E120" i="7"/>
  <c r="G119" i="7"/>
  <c r="F119" i="7"/>
  <c r="H119" i="7" s="1"/>
  <c r="E119" i="7"/>
  <c r="G118" i="7"/>
  <c r="F118" i="7"/>
  <c r="H118" i="7" s="1"/>
  <c r="E118" i="7"/>
  <c r="F113" i="7"/>
  <c r="B109" i="7"/>
  <c r="E104" i="7"/>
  <c r="F104" i="7" s="1"/>
  <c r="E103" i="7"/>
  <c r="F103" i="7" s="1"/>
  <c r="E102" i="7"/>
  <c r="F102" i="7" s="1"/>
  <c r="E101" i="7"/>
  <c r="F101" i="7" s="1"/>
  <c r="AB95" i="7"/>
  <c r="AC95" i="7" s="1"/>
  <c r="B95" i="7"/>
  <c r="AB94" i="7"/>
  <c r="AC94" i="7" s="1"/>
  <c r="V94" i="7"/>
  <c r="W94" i="7" s="1"/>
  <c r="AB93" i="7"/>
  <c r="AC93" i="7" s="1"/>
  <c r="V93" i="7"/>
  <c r="W93" i="7" s="1"/>
  <c r="AB92" i="7"/>
  <c r="AC92" i="7" s="1"/>
  <c r="V92" i="7"/>
  <c r="W92" i="7" s="1"/>
  <c r="AB91" i="7"/>
  <c r="AC91" i="7" s="1"/>
  <c r="V91" i="7"/>
  <c r="W91" i="7" s="1"/>
  <c r="AB90" i="7"/>
  <c r="AC90" i="7" s="1"/>
  <c r="V90" i="7"/>
  <c r="W90" i="7" s="1"/>
  <c r="E90" i="7"/>
  <c r="F90" i="7" s="1"/>
  <c r="AB89" i="7"/>
  <c r="AC89" i="7" s="1"/>
  <c r="V89" i="7"/>
  <c r="W89" i="7" s="1"/>
  <c r="E89" i="7"/>
  <c r="F89" i="7" s="1"/>
  <c r="AB88" i="7"/>
  <c r="V88" i="7"/>
  <c r="W88" i="7" s="1"/>
  <c r="E88" i="7"/>
  <c r="F88" i="7" s="1"/>
  <c r="V87" i="7"/>
  <c r="E87" i="7"/>
  <c r="F87" i="7" s="1"/>
  <c r="AB83" i="7"/>
  <c r="AC83" i="7" s="1"/>
  <c r="W83" i="7"/>
  <c r="AB82" i="7"/>
  <c r="AC82" i="7" s="1"/>
  <c r="W82" i="7"/>
  <c r="AB81" i="7"/>
  <c r="AC81" i="7" s="1"/>
  <c r="W81" i="7"/>
  <c r="B81" i="7"/>
  <c r="AB80" i="7"/>
  <c r="AC80" i="7" s="1"/>
  <c r="W80" i="7"/>
  <c r="AB79" i="7"/>
  <c r="AC79" i="7" s="1"/>
  <c r="W79" i="7"/>
  <c r="AB78" i="7"/>
  <c r="AC78" i="7" s="1"/>
  <c r="W78" i="7"/>
  <c r="AB77" i="7"/>
  <c r="AC77" i="7" s="1"/>
  <c r="W77" i="7"/>
  <c r="AB76" i="7"/>
  <c r="W76" i="7"/>
  <c r="E76" i="7"/>
  <c r="F76" i="7" s="1"/>
  <c r="E75" i="7"/>
  <c r="F75" i="7" s="1"/>
  <c r="E74" i="7"/>
  <c r="F74" i="7" s="1"/>
  <c r="E73" i="7"/>
  <c r="F73" i="7" s="1"/>
  <c r="V70" i="7"/>
  <c r="U70" i="7"/>
  <c r="V69" i="7"/>
  <c r="U69" i="7"/>
  <c r="V68" i="7"/>
  <c r="V71" i="7" s="1"/>
  <c r="U68" i="7"/>
  <c r="U71" i="7" s="1"/>
  <c r="AD65" i="7"/>
  <c r="AC65" i="7"/>
  <c r="Z65" i="7"/>
  <c r="Y65" i="7"/>
  <c r="F65" i="7"/>
  <c r="AD64" i="7"/>
  <c r="AC64" i="7"/>
  <c r="Z64" i="7"/>
  <c r="Y64" i="7"/>
  <c r="AD63" i="7"/>
  <c r="AC63" i="7"/>
  <c r="Z63" i="7"/>
  <c r="Y63" i="7"/>
  <c r="V63" i="7"/>
  <c r="U63" i="7"/>
  <c r="AD62" i="7"/>
  <c r="AD66" i="7" s="1"/>
  <c r="AC62" i="7"/>
  <c r="AC66" i="7" s="1"/>
  <c r="Z62" i="7"/>
  <c r="Z66" i="7" s="1"/>
  <c r="Y62" i="7"/>
  <c r="Y66" i="7" s="1"/>
  <c r="V62" i="7"/>
  <c r="U62" i="7"/>
  <c r="V61" i="7"/>
  <c r="V64" i="7" s="1"/>
  <c r="U61" i="7"/>
  <c r="U64" i="7" s="1"/>
  <c r="AD57" i="7"/>
  <c r="AC57" i="7"/>
  <c r="Z57" i="7"/>
  <c r="Y57" i="7"/>
  <c r="AD56" i="7"/>
  <c r="AC56" i="7"/>
  <c r="Z56" i="7"/>
  <c r="Y56" i="7"/>
  <c r="V56" i="7"/>
  <c r="U56" i="7"/>
  <c r="AD55" i="7"/>
  <c r="AC55" i="7"/>
  <c r="Z55" i="7"/>
  <c r="Y55" i="7"/>
  <c r="V55" i="7"/>
  <c r="U55" i="7"/>
  <c r="AD54" i="7"/>
  <c r="AD58" i="7" s="1"/>
  <c r="AC54" i="7"/>
  <c r="AC58" i="7" s="1"/>
  <c r="Z54" i="7"/>
  <c r="Z58" i="7" s="1"/>
  <c r="Y54" i="7"/>
  <c r="Y58" i="7" s="1"/>
  <c r="V54" i="7"/>
  <c r="V57" i="7" s="1"/>
  <c r="U54" i="7"/>
  <c r="U57" i="7" s="1"/>
  <c r="AD49" i="7"/>
  <c r="AC49" i="7"/>
  <c r="Z49" i="7"/>
  <c r="Y49" i="7"/>
  <c r="V49" i="7"/>
  <c r="U49" i="7"/>
  <c r="E49" i="7"/>
  <c r="D49" i="7"/>
  <c r="AD48" i="7"/>
  <c r="AC48" i="7"/>
  <c r="Z48" i="7"/>
  <c r="Y48" i="7"/>
  <c r="V48" i="7"/>
  <c r="U48" i="7"/>
  <c r="N48" i="7"/>
  <c r="M48" i="7"/>
  <c r="L48" i="7"/>
  <c r="J48" i="7"/>
  <c r="I48" i="7"/>
  <c r="H48" i="7"/>
  <c r="F48" i="7"/>
  <c r="AD47" i="7"/>
  <c r="AC47" i="7"/>
  <c r="Z47" i="7"/>
  <c r="Y47" i="7"/>
  <c r="V47" i="7"/>
  <c r="U47" i="7"/>
  <c r="N47" i="7"/>
  <c r="M47" i="7"/>
  <c r="L47" i="7"/>
  <c r="J47" i="7"/>
  <c r="I47" i="7"/>
  <c r="H47" i="7"/>
  <c r="F47" i="7"/>
  <c r="AD46" i="7"/>
  <c r="AD50" i="7" s="1"/>
  <c r="AC46" i="7"/>
  <c r="AC50" i="7" s="1"/>
  <c r="Z46" i="7"/>
  <c r="Z50" i="7" s="1"/>
  <c r="Y46" i="7"/>
  <c r="Y50" i="7" s="1"/>
  <c r="V46" i="7"/>
  <c r="V50" i="7" s="1"/>
  <c r="U46" i="7"/>
  <c r="U50" i="7" s="1"/>
  <c r="N46" i="7"/>
  <c r="N49" i="7" s="1"/>
  <c r="M46" i="7"/>
  <c r="M49" i="7" s="1"/>
  <c r="L46" i="7"/>
  <c r="L49" i="7" s="1"/>
  <c r="J46" i="7"/>
  <c r="J49" i="7" s="1"/>
  <c r="I46" i="7"/>
  <c r="I49" i="7" s="1"/>
  <c r="H46" i="7"/>
  <c r="H49" i="7" s="1"/>
  <c r="F46" i="7"/>
  <c r="F49" i="7" s="1"/>
  <c r="Z37" i="7"/>
  <c r="Y37" i="7"/>
  <c r="V37" i="7"/>
  <c r="U37" i="7"/>
  <c r="Z35" i="7"/>
  <c r="Y35" i="7"/>
  <c r="V35" i="7"/>
  <c r="U35" i="7"/>
  <c r="Z34" i="7"/>
  <c r="Z38" i="7" s="1"/>
  <c r="Z39" i="7" s="1"/>
  <c r="Y34" i="7"/>
  <c r="Y38" i="7" s="1"/>
  <c r="Y39" i="7" s="1"/>
  <c r="V34" i="7"/>
  <c r="V38" i="7" s="1"/>
  <c r="V39" i="7" s="1"/>
  <c r="U34" i="7"/>
  <c r="U38" i="7" s="1"/>
  <c r="U39" i="7" s="1"/>
  <c r="K33" i="7"/>
  <c r="E61" i="7" s="1"/>
  <c r="J33" i="7"/>
  <c r="E60" i="7" s="1"/>
  <c r="I33" i="7"/>
  <c r="H33" i="7"/>
  <c r="E58" i="7" s="1"/>
  <c r="G33" i="7"/>
  <c r="F33" i="7"/>
  <c r="E56" i="7" s="1"/>
  <c r="E33" i="7"/>
  <c r="E55" i="7" s="1"/>
  <c r="D33" i="7"/>
  <c r="AD27" i="7"/>
  <c r="AC27" i="7"/>
  <c r="Z27" i="7"/>
  <c r="Y27" i="7"/>
  <c r="V27" i="7"/>
  <c r="U27" i="7"/>
  <c r="AD25" i="7"/>
  <c r="AC25" i="7"/>
  <c r="Z25" i="7"/>
  <c r="Y25" i="7"/>
  <c r="V25" i="7"/>
  <c r="U25" i="7"/>
  <c r="AD24" i="7"/>
  <c r="AD28" i="7" s="1"/>
  <c r="AD29" i="7" s="1"/>
  <c r="AC24" i="7"/>
  <c r="AC28" i="7" s="1"/>
  <c r="AC29" i="7" s="1"/>
  <c r="Z24" i="7"/>
  <c r="Z28" i="7" s="1"/>
  <c r="Z29" i="7" s="1"/>
  <c r="Y24" i="7"/>
  <c r="Y28" i="7" s="1"/>
  <c r="Y29" i="7" s="1"/>
  <c r="V24" i="7"/>
  <c r="V28" i="7" s="1"/>
  <c r="V29" i="7" s="1"/>
  <c r="U24" i="7"/>
  <c r="U28" i="7" s="1"/>
  <c r="U29" i="7" s="1"/>
  <c r="I19" i="7"/>
  <c r="AD18" i="7"/>
  <c r="AC18" i="7"/>
  <c r="Z18" i="7"/>
  <c r="Y18" i="7"/>
  <c r="V18" i="7"/>
  <c r="U18" i="7"/>
  <c r="I18" i="7"/>
  <c r="V17" i="7"/>
  <c r="U17" i="7"/>
  <c r="I17" i="7"/>
  <c r="I20" i="7" s="1"/>
  <c r="AD16" i="7"/>
  <c r="AC16" i="7"/>
  <c r="Z16" i="7"/>
  <c r="Y16" i="7"/>
  <c r="V16" i="7"/>
  <c r="U16" i="7"/>
  <c r="AD15" i="7"/>
  <c r="AD19" i="7" s="1"/>
  <c r="AD20" i="7" s="1"/>
  <c r="AC15" i="7"/>
  <c r="AC19" i="7" s="1"/>
  <c r="AC20" i="7" s="1"/>
  <c r="Z15" i="7"/>
  <c r="Z19" i="7" s="1"/>
  <c r="Z20" i="7" s="1"/>
  <c r="Y15" i="7"/>
  <c r="Y19" i="7" s="1"/>
  <c r="Y20" i="7" s="1"/>
  <c r="V15" i="7"/>
  <c r="V19" i="7" s="1"/>
  <c r="V20" i="7" s="1"/>
  <c r="U15" i="7"/>
  <c r="U19" i="7" s="1"/>
  <c r="U20" i="7" s="1"/>
  <c r="I13" i="7"/>
  <c r="I12" i="7"/>
  <c r="I11" i="7"/>
  <c r="I14" i="7" s="1"/>
  <c r="L10" i="7"/>
  <c r="AD9" i="7"/>
  <c r="AC9" i="7"/>
  <c r="Z9" i="7"/>
  <c r="Y9" i="7"/>
  <c r="V9" i="7"/>
  <c r="U9" i="7"/>
  <c r="L9" i="7"/>
  <c r="AD7" i="7"/>
  <c r="AC7" i="7"/>
  <c r="Z7" i="7"/>
  <c r="Y7" i="7"/>
  <c r="V7" i="7"/>
  <c r="U7" i="7"/>
  <c r="I7" i="7"/>
  <c r="AD6" i="7"/>
  <c r="AD10" i="7" s="1"/>
  <c r="AD11" i="7" s="1"/>
  <c r="AC6" i="7"/>
  <c r="AC10" i="7" s="1"/>
  <c r="AC11" i="7" s="1"/>
  <c r="Z6" i="7"/>
  <c r="Z10" i="7" s="1"/>
  <c r="Z11" i="7" s="1"/>
  <c r="Y6" i="7"/>
  <c r="Y10" i="7" s="1"/>
  <c r="Y11" i="7" s="1"/>
  <c r="V6" i="7"/>
  <c r="V10" i="7" s="1"/>
  <c r="V11" i="7" s="1"/>
  <c r="U6" i="7"/>
  <c r="U10" i="7" s="1"/>
  <c r="U11" i="7" s="1"/>
  <c r="I6" i="7"/>
  <c r="M5" i="7"/>
  <c r="I5" i="7"/>
  <c r="I8" i="7" s="1"/>
  <c r="K5" i="7" s="1"/>
  <c r="L5" i="7" s="1"/>
  <c r="N5" i="7" s="1"/>
  <c r="D158" i="6"/>
  <c r="G157" i="6"/>
  <c r="F157" i="6"/>
  <c r="G156" i="6"/>
  <c r="F156" i="6"/>
  <c r="G155" i="6"/>
  <c r="F155" i="6"/>
  <c r="G154" i="6"/>
  <c r="F154" i="6"/>
  <c r="D145" i="6"/>
  <c r="G144" i="6"/>
  <c r="F144" i="6"/>
  <c r="G143" i="6"/>
  <c r="F143" i="6"/>
  <c r="G142" i="6"/>
  <c r="F142" i="6"/>
  <c r="G141" i="6"/>
  <c r="F141" i="6"/>
  <c r="D132" i="6"/>
  <c r="G131" i="6"/>
  <c r="F131" i="6"/>
  <c r="H131" i="6" s="1"/>
  <c r="E131" i="6"/>
  <c r="G130" i="6"/>
  <c r="F130" i="6"/>
  <c r="H130" i="6" s="1"/>
  <c r="E130" i="6"/>
  <c r="G129" i="6"/>
  <c r="F129" i="6"/>
  <c r="H129" i="6" s="1"/>
  <c r="E129" i="6"/>
  <c r="G128" i="6"/>
  <c r="F128" i="6"/>
  <c r="H128" i="6" s="1"/>
  <c r="E128" i="6"/>
  <c r="F123" i="6"/>
  <c r="E123" i="6"/>
  <c r="C123" i="6"/>
  <c r="B119" i="6"/>
  <c r="E114" i="6"/>
  <c r="F114" i="6" s="1"/>
  <c r="E113" i="6"/>
  <c r="F113" i="6" s="1"/>
  <c r="E112" i="6"/>
  <c r="F112" i="6" s="1"/>
  <c r="E111" i="6"/>
  <c r="F111" i="6" s="1"/>
  <c r="B105" i="6"/>
  <c r="E100" i="6"/>
  <c r="F100" i="6" s="1"/>
  <c r="E99" i="6"/>
  <c r="F99" i="6" s="1"/>
  <c r="E98" i="6"/>
  <c r="F98" i="6" s="1"/>
  <c r="E97" i="6"/>
  <c r="F97" i="6" s="1"/>
  <c r="B91" i="6"/>
  <c r="E86" i="6"/>
  <c r="F86" i="6" s="1"/>
  <c r="E85" i="6"/>
  <c r="F85" i="6" s="1"/>
  <c r="E84" i="6"/>
  <c r="F84" i="6" s="1"/>
  <c r="E83" i="6"/>
  <c r="F83" i="6" s="1"/>
  <c r="F75" i="6"/>
  <c r="E75" i="6"/>
  <c r="C75" i="6"/>
  <c r="G71" i="6"/>
  <c r="G70" i="6"/>
  <c r="G69" i="6"/>
  <c r="G68" i="6"/>
  <c r="G67" i="6"/>
  <c r="G66" i="6"/>
  <c r="G65" i="6"/>
  <c r="G64" i="6"/>
  <c r="G63" i="6"/>
  <c r="J53" i="6"/>
  <c r="G53" i="6"/>
  <c r="D53" i="6"/>
  <c r="L44" i="6"/>
  <c r="K44" i="6"/>
  <c r="J44" i="6"/>
  <c r="I44" i="6"/>
  <c r="H44" i="6"/>
  <c r="G44" i="6"/>
  <c r="F44" i="6"/>
  <c r="E44" i="6"/>
  <c r="D44" i="6"/>
  <c r="L43" i="6"/>
  <c r="K43" i="6"/>
  <c r="J43" i="6"/>
  <c r="I43" i="6"/>
  <c r="H43" i="6"/>
  <c r="G43" i="6"/>
  <c r="F43" i="6"/>
  <c r="E43" i="6"/>
  <c r="D43" i="6"/>
  <c r="L42" i="6"/>
  <c r="K42" i="6"/>
  <c r="J42" i="6"/>
  <c r="I42" i="6"/>
  <c r="H42" i="6"/>
  <c r="G42" i="6"/>
  <c r="F42" i="6"/>
  <c r="E42" i="6"/>
  <c r="D42" i="6"/>
  <c r="D36" i="6"/>
  <c r="I19" i="6"/>
  <c r="I18" i="6"/>
  <c r="I17" i="6"/>
  <c r="I20" i="6" s="1"/>
  <c r="I13" i="6"/>
  <c r="I12" i="6"/>
  <c r="I11" i="6"/>
  <c r="I14" i="6" s="1"/>
  <c r="L10" i="6"/>
  <c r="M10" i="6" s="1"/>
  <c r="L9" i="6"/>
  <c r="I7" i="6"/>
  <c r="I6" i="6"/>
  <c r="M5" i="6"/>
  <c r="I5" i="6"/>
  <c r="I8" i="6" s="1"/>
  <c r="K5" i="6" s="1"/>
  <c r="L5" i="6" s="1"/>
  <c r="N5" i="6" s="1"/>
  <c r="E35" i="6" s="1"/>
  <c r="I69" i="4"/>
  <c r="I68" i="4"/>
  <c r="K67" i="4"/>
  <c r="I66" i="4"/>
  <c r="H66" i="4"/>
  <c r="I65" i="4"/>
  <c r="K64" i="4"/>
  <c r="J63" i="4"/>
  <c r="J62" i="4"/>
  <c r="K61" i="4"/>
  <c r="K59" i="4"/>
  <c r="I15" i="3" a="1"/>
  <c r="I15" i="3" s="1"/>
  <c r="H15" i="3" a="1"/>
  <c r="H15" i="3" s="1"/>
  <c r="G15" i="3" a="1"/>
  <c r="G15" i="3" s="1"/>
  <c r="F15" i="3" a="1"/>
  <c r="F15" i="3" s="1"/>
  <c r="E15" i="3" a="1"/>
  <c r="E15" i="3" s="1"/>
  <c r="D15" i="3" a="1"/>
  <c r="D15" i="3" s="1"/>
  <c r="C15" i="3" a="1"/>
  <c r="C15" i="3" s="1"/>
  <c r="I14" i="3" a="1"/>
  <c r="I14" i="3" s="1"/>
  <c r="H14" i="3" a="1"/>
  <c r="H14" i="3" s="1"/>
  <c r="G14" i="3" a="1"/>
  <c r="G14" i="3" s="1"/>
  <c r="F14" i="3" a="1"/>
  <c r="F14" i="3" s="1"/>
  <c r="E14" i="3" a="1"/>
  <c r="E14" i="3" s="1"/>
  <c r="D14" i="3" a="1"/>
  <c r="D14" i="3" s="1"/>
  <c r="C14" i="3" a="1"/>
  <c r="C14" i="3" s="1"/>
  <c r="I13" i="3" a="1"/>
  <c r="I13" i="3" s="1"/>
  <c r="B11" i="9" s="1"/>
  <c r="D11" i="9" s="1"/>
  <c r="H13" i="3" a="1"/>
  <c r="H13" i="3" s="1"/>
  <c r="G13" i="3" a="1"/>
  <c r="G13" i="3" s="1"/>
  <c r="F13" i="3" a="1"/>
  <c r="F13" i="3" s="1"/>
  <c r="E13" i="3" a="1"/>
  <c r="E13" i="3" s="1"/>
  <c r="D13" i="3" a="1"/>
  <c r="D13" i="3" s="1"/>
  <c r="C13" i="3" a="1"/>
  <c r="C13" i="3" s="1"/>
  <c r="I12" i="3" a="1"/>
  <c r="I12" i="3" s="1"/>
  <c r="H12" i="3" a="1"/>
  <c r="H12" i="3" s="1"/>
  <c r="G12" i="3" a="1"/>
  <c r="G12" i="3" s="1"/>
  <c r="F12" i="3" a="1"/>
  <c r="F12" i="3" s="1"/>
  <c r="E12" i="3" a="1"/>
  <c r="E12" i="3" s="1"/>
  <c r="D12" i="3" a="1"/>
  <c r="D12" i="3" s="1"/>
  <c r="C12" i="3" a="1"/>
  <c r="C12" i="3" s="1"/>
  <c r="I11" i="3" a="1"/>
  <c r="I11" i="3" s="1"/>
  <c r="H11" i="3" a="1"/>
  <c r="H11" i="3" s="1"/>
  <c r="G11" i="3" a="1"/>
  <c r="G11" i="3" s="1"/>
  <c r="F11" i="3" a="1"/>
  <c r="F11" i="3" s="1"/>
  <c r="E11" i="3" a="1"/>
  <c r="E11" i="3" s="1"/>
  <c r="D11" i="3" a="1"/>
  <c r="D11" i="3" s="1"/>
  <c r="C11" i="3" a="1"/>
  <c r="C11" i="3" s="1"/>
  <c r="I10" i="3" a="1"/>
  <c r="I10" i="3" s="1"/>
  <c r="H10" i="3" a="1"/>
  <c r="H10" i="3" s="1"/>
  <c r="G10" i="3" a="1"/>
  <c r="G10" i="3" s="1"/>
  <c r="F10" i="3" a="1"/>
  <c r="F10" i="3" s="1"/>
  <c r="E10" i="3" a="1"/>
  <c r="E10" i="3" s="1"/>
  <c r="D10" i="3" a="1"/>
  <c r="D10" i="3" s="1"/>
  <c r="C10" i="3" a="1"/>
  <c r="C10" i="3" s="1"/>
  <c r="I9" i="3" a="1"/>
  <c r="I9" i="3" s="1"/>
  <c r="H9" i="3" a="1"/>
  <c r="H9" i="3" s="1"/>
  <c r="G9" i="3" a="1"/>
  <c r="G9" i="3" s="1"/>
  <c r="F9" i="3" a="1"/>
  <c r="F9" i="3" s="1"/>
  <c r="E9" i="3" a="1"/>
  <c r="E9" i="3" s="1"/>
  <c r="D9" i="3" a="1"/>
  <c r="D9" i="3" s="1"/>
  <c r="C9" i="3" a="1"/>
  <c r="C9" i="3" s="1"/>
  <c r="I8" i="3" a="1"/>
  <c r="I8" i="3" s="1"/>
  <c r="H8" i="3" a="1"/>
  <c r="H8" i="3" s="1"/>
  <c r="G8" i="3" a="1"/>
  <c r="G8" i="3" s="1"/>
  <c r="F8" i="3" a="1"/>
  <c r="F8" i="3" s="1"/>
  <c r="E8" i="3" a="1"/>
  <c r="E8" i="3" s="1"/>
  <c r="D8" i="3" a="1"/>
  <c r="D8" i="3" s="1"/>
  <c r="C8" i="3" a="1"/>
  <c r="C8" i="3" s="1"/>
  <c r="I7" i="3" a="1"/>
  <c r="I7" i="3" s="1"/>
  <c r="H7" i="3" a="1"/>
  <c r="H7" i="3" s="1"/>
  <c r="G7" i="3" a="1"/>
  <c r="G7" i="3" s="1"/>
  <c r="F7" i="3" a="1"/>
  <c r="F7" i="3" s="1"/>
  <c r="E7" i="3" a="1"/>
  <c r="E7" i="3" s="1"/>
  <c r="D7" i="3" a="1"/>
  <c r="D7" i="3" s="1"/>
  <c r="C7" i="3" a="1"/>
  <c r="C7" i="3" s="1"/>
  <c r="I6" i="3" a="1"/>
  <c r="I6" i="3" s="1"/>
  <c r="H6" i="3" a="1"/>
  <c r="H6" i="3" s="1"/>
  <c r="G6" i="3" a="1"/>
  <c r="G6" i="3" s="1"/>
  <c r="F6" i="3" a="1"/>
  <c r="F6" i="3" s="1"/>
  <c r="E6" i="3" a="1"/>
  <c r="E6" i="3" s="1"/>
  <c r="D6" i="3" a="1"/>
  <c r="D6" i="3" s="1"/>
  <c r="C6" i="3" a="1"/>
  <c r="C6" i="3" s="1"/>
  <c r="I5" i="3" a="1"/>
  <c r="I5" i="3" s="1"/>
  <c r="H5" i="3" a="1"/>
  <c r="H5" i="3" s="1"/>
  <c r="G5" i="3" a="1"/>
  <c r="G5" i="3" s="1"/>
  <c r="F5" i="3" a="1"/>
  <c r="F5" i="3" s="1"/>
  <c r="E5" i="3" a="1"/>
  <c r="E5" i="3" s="1"/>
  <c r="D5" i="3" a="1"/>
  <c r="D5" i="3" s="1"/>
  <c r="C5" i="3" a="1"/>
  <c r="C5" i="3" s="1"/>
  <c r="I4" i="3" a="1"/>
  <c r="I4" i="3" s="1"/>
  <c r="H4" i="3" a="1"/>
  <c r="H4" i="3" s="1"/>
  <c r="G4" i="3" a="1"/>
  <c r="G4" i="3" s="1"/>
  <c r="F4" i="3" a="1"/>
  <c r="F4" i="3" s="1"/>
  <c r="E4" i="3" a="1"/>
  <c r="E4" i="3" s="1"/>
  <c r="D4" i="3" a="1"/>
  <c r="D4" i="3" s="1"/>
  <c r="C4" i="3" a="1"/>
  <c r="C4" i="3" s="1"/>
  <c r="I3" i="3" a="1"/>
  <c r="I3" i="3" s="1"/>
  <c r="H3" i="3" a="1"/>
  <c r="H3" i="3" s="1"/>
  <c r="G3" i="3" a="1"/>
  <c r="G3" i="3" s="1"/>
  <c r="F3" i="3" a="1"/>
  <c r="F3" i="3" s="1"/>
  <c r="E3" i="3" a="1"/>
  <c r="E3" i="3" s="1"/>
  <c r="D3" i="3" a="1"/>
  <c r="D3" i="3" s="1"/>
  <c r="C3" i="3" a="1"/>
  <c r="C3" i="3" s="1"/>
  <c r="I2" i="3" a="1"/>
  <c r="I2" i="3" s="1"/>
  <c r="H2" i="3" a="1"/>
  <c r="H2" i="3" s="1"/>
  <c r="G2" i="3" a="1"/>
  <c r="G2" i="3" s="1"/>
  <c r="F2" i="3" a="1"/>
  <c r="F2" i="3" s="1"/>
  <c r="E2" i="3" a="1"/>
  <c r="E2" i="3" s="1"/>
  <c r="D2" i="3" a="1"/>
  <c r="D2" i="3" s="1"/>
  <c r="C2" i="3" a="1"/>
  <c r="C2" i="3" s="1"/>
  <c r="E9" i="13"/>
  <c r="D9" i="13"/>
  <c r="C9" i="13"/>
  <c r="E8" i="13"/>
  <c r="D8" i="13"/>
  <c r="C8" i="13"/>
  <c r="C3" i="13"/>
  <c r="E2" i="13"/>
  <c r="D2" i="13"/>
  <c r="C2" i="13"/>
  <c r="H120" i="7" l="1"/>
  <c r="H122" i="7" s="1"/>
  <c r="I118" i="7" s="1"/>
  <c r="J118" i="7" s="1"/>
  <c r="B10" i="9"/>
  <c r="D10" i="9" s="1"/>
  <c r="M10" i="7"/>
  <c r="B9" i="9"/>
  <c r="D9" i="9" s="1"/>
  <c r="O3" i="12"/>
  <c r="P3" i="12" s="1"/>
  <c r="Q3" i="12" s="1"/>
  <c r="C65" i="7"/>
  <c r="C113" i="7"/>
  <c r="E155" i="6"/>
  <c r="H155" i="6" s="1"/>
  <c r="E156" i="6"/>
  <c r="H156" i="6" s="1"/>
  <c r="E157" i="6"/>
  <c r="H157" i="6" s="1"/>
  <c r="E154" i="6"/>
  <c r="H154" i="6" s="1"/>
  <c r="H158" i="6" s="1"/>
  <c r="I154" i="6" s="1"/>
  <c r="J154" i="6" s="1"/>
  <c r="E7" i="13"/>
  <c r="C7" i="13"/>
  <c r="D7" i="13"/>
  <c r="D6" i="13"/>
  <c r="C6" i="13"/>
  <c r="E6" i="13"/>
  <c r="E5" i="13"/>
  <c r="C5" i="13"/>
  <c r="D4" i="13"/>
  <c r="C4" i="13"/>
  <c r="E4" i="13"/>
  <c r="E3" i="13"/>
  <c r="D3" i="13"/>
  <c r="R6" i="12"/>
  <c r="S6" i="12"/>
  <c r="R5" i="12"/>
  <c r="S5" i="12"/>
  <c r="R4" i="12"/>
  <c r="S4" i="12"/>
  <c r="R3" i="12"/>
  <c r="S3" i="12"/>
  <c r="S2" i="12"/>
  <c r="R2" i="12"/>
  <c r="E9" i="11"/>
  <c r="F9" i="11"/>
  <c r="E8" i="11"/>
  <c r="F8" i="11"/>
  <c r="E7" i="11"/>
  <c r="F7" i="11"/>
  <c r="E6" i="11"/>
  <c r="F6" i="11"/>
  <c r="F4" i="11"/>
  <c r="E4" i="11"/>
  <c r="E3" i="11"/>
  <c r="F3" i="11"/>
  <c r="E2" i="11"/>
  <c r="B16" i="11" s="1"/>
  <c r="F2" i="11"/>
  <c r="B15" i="11"/>
  <c r="K4" i="8"/>
  <c r="B5" i="9"/>
  <c r="K3" i="8"/>
  <c r="B4" i="9"/>
  <c r="B3" i="9"/>
  <c r="B6" i="9"/>
  <c r="D6" i="9" s="1"/>
  <c r="K2" i="8"/>
  <c r="E145" i="7"/>
  <c r="H145" i="7" s="1"/>
  <c r="E144" i="7"/>
  <c r="H144" i="7" s="1"/>
  <c r="E147" i="7"/>
  <c r="H147" i="7" s="1"/>
  <c r="E133" i="7"/>
  <c r="H133" i="7" s="1"/>
  <c r="E131" i="7"/>
  <c r="H131" i="7" s="1"/>
  <c r="E134" i="7"/>
  <c r="H134" i="7" s="1"/>
  <c r="E121" i="7"/>
  <c r="H121" i="7" s="1"/>
  <c r="E132" i="7"/>
  <c r="H132" i="7" s="1"/>
  <c r="E146" i="7"/>
  <c r="H146" i="7" s="1"/>
  <c r="F105" i="7"/>
  <c r="G101" i="7" s="1"/>
  <c r="H101" i="7" s="1"/>
  <c r="AC88" i="7"/>
  <c r="AC96" i="7" s="1"/>
  <c r="AB96" i="7"/>
  <c r="W87" i="7"/>
  <c r="W95" i="7" s="1"/>
  <c r="V95" i="7"/>
  <c r="F91" i="7"/>
  <c r="G87" i="7" s="1"/>
  <c r="H87" i="7" s="1"/>
  <c r="AB84" i="7"/>
  <c r="AC76" i="7"/>
  <c r="AC84" i="7" s="1"/>
  <c r="F77" i="7"/>
  <c r="G73" i="7" s="1"/>
  <c r="H73" i="7" s="1"/>
  <c r="J38" i="7"/>
  <c r="E59" i="7"/>
  <c r="E57" i="7"/>
  <c r="I38" i="7"/>
  <c r="H38" i="7"/>
  <c r="E54" i="7"/>
  <c r="E141" i="6"/>
  <c r="H141" i="6" s="1"/>
  <c r="E142" i="6"/>
  <c r="H142" i="6" s="1"/>
  <c r="E143" i="6"/>
  <c r="H143" i="6" s="1"/>
  <c r="E144" i="6"/>
  <c r="H144" i="6" s="1"/>
  <c r="H132" i="6"/>
  <c r="I128" i="6" s="1"/>
  <c r="J128" i="6" s="1"/>
  <c r="F115" i="6"/>
  <c r="G111" i="6" s="1"/>
  <c r="H111" i="6" s="1"/>
  <c r="F101" i="6"/>
  <c r="G97" i="6" s="1"/>
  <c r="H97" i="6" s="1"/>
  <c r="F87" i="6"/>
  <c r="G83" i="6" s="1"/>
  <c r="H83" i="6" s="1"/>
  <c r="D75" i="6"/>
  <c r="G75" i="6" s="1"/>
  <c r="D123" i="6"/>
  <c r="G123" i="6" s="1"/>
  <c r="E38" i="6"/>
  <c r="D57" i="6" s="1"/>
  <c r="E57" i="6" s="1"/>
  <c r="E37" i="6"/>
  <c r="E39" i="6"/>
  <c r="D58" i="6" s="1"/>
  <c r="E58" i="6" s="1"/>
  <c r="B14" i="11" l="1"/>
  <c r="W100" i="7"/>
  <c r="D113" i="7"/>
  <c r="D65" i="7"/>
  <c r="B17" i="11"/>
  <c r="D5" i="11"/>
  <c r="L4" i="8"/>
  <c r="D5" i="9"/>
  <c r="L3" i="8"/>
  <c r="D4" i="9"/>
  <c r="L2" i="8"/>
  <c r="D3" i="9"/>
  <c r="H148" i="7"/>
  <c r="I144" i="7" s="1"/>
  <c r="J144" i="7" s="1"/>
  <c r="H135" i="7"/>
  <c r="I131" i="7" s="1"/>
  <c r="J131" i="7" s="1"/>
  <c r="I120" i="7"/>
  <c r="J120" i="7" s="1"/>
  <c r="I119" i="7"/>
  <c r="J119" i="7" s="1"/>
  <c r="G102" i="7"/>
  <c r="H102" i="7" s="1"/>
  <c r="G104" i="7"/>
  <c r="H104" i="7" s="1"/>
  <c r="G103" i="7"/>
  <c r="H103" i="7" s="1"/>
  <c r="G89" i="7"/>
  <c r="H89" i="7" s="1"/>
  <c r="G90" i="7"/>
  <c r="H90" i="7" s="1"/>
  <c r="G88" i="7"/>
  <c r="H88" i="7" s="1"/>
  <c r="G74" i="7"/>
  <c r="H74" i="7" s="1"/>
  <c r="G76" i="7"/>
  <c r="H76" i="7" s="1"/>
  <c r="G75" i="7"/>
  <c r="H75" i="7" s="1"/>
  <c r="F59" i="7"/>
  <c r="G59" i="7" s="1"/>
  <c r="F57" i="7"/>
  <c r="F58" i="7" s="1"/>
  <c r="G57" i="7"/>
  <c r="F54" i="7"/>
  <c r="G54" i="7" s="1"/>
  <c r="I157" i="6"/>
  <c r="J157" i="6" s="1"/>
  <c r="I155" i="6"/>
  <c r="J155" i="6" s="1"/>
  <c r="I156" i="6"/>
  <c r="J156" i="6" s="1"/>
  <c r="H145" i="6"/>
  <c r="I141" i="6"/>
  <c r="J141" i="6" s="1"/>
  <c r="I131" i="6"/>
  <c r="J131" i="6" s="1"/>
  <c r="I130" i="6"/>
  <c r="J130" i="6" s="1"/>
  <c r="I129" i="6"/>
  <c r="J129" i="6" s="1"/>
  <c r="J132" i="6" s="1"/>
  <c r="G112" i="6"/>
  <c r="H112" i="6" s="1"/>
  <c r="G114" i="6"/>
  <c r="H114" i="6" s="1"/>
  <c r="G113" i="6"/>
  <c r="H113" i="6" s="1"/>
  <c r="G99" i="6"/>
  <c r="H99" i="6" s="1"/>
  <c r="G98" i="6"/>
  <c r="H98" i="6" s="1"/>
  <c r="G100" i="6"/>
  <c r="H100" i="6" s="1"/>
  <c r="G85" i="6"/>
  <c r="H85" i="6" s="1"/>
  <c r="G84" i="6"/>
  <c r="H84" i="6" s="1"/>
  <c r="G86" i="6"/>
  <c r="H86" i="6" s="1"/>
  <c r="G57" i="6"/>
  <c r="H57" i="6"/>
  <c r="I57" i="6"/>
  <c r="E36" i="6"/>
  <c r="D56" i="6"/>
  <c r="E56" i="6" s="1"/>
  <c r="G58" i="6"/>
  <c r="H58" i="6"/>
  <c r="I58" i="6"/>
  <c r="I121" i="7"/>
  <c r="J121" i="7" s="1"/>
  <c r="V100" i="7"/>
  <c r="J122" i="7" l="1"/>
  <c r="E5" i="11"/>
  <c r="F5" i="11"/>
  <c r="I146" i="7"/>
  <c r="J146" i="7" s="1"/>
  <c r="I147" i="7"/>
  <c r="J147" i="7" s="1"/>
  <c r="I145" i="7"/>
  <c r="J145" i="7" s="1"/>
  <c r="I132" i="7"/>
  <c r="J132" i="7" s="1"/>
  <c r="I134" i="7"/>
  <c r="J134" i="7" s="1"/>
  <c r="I133" i="7"/>
  <c r="J133" i="7" s="1"/>
  <c r="F60" i="7"/>
  <c r="G58" i="7"/>
  <c r="H58" i="7"/>
  <c r="F55" i="7"/>
  <c r="I144" i="6"/>
  <c r="J144" i="6" s="1"/>
  <c r="I143" i="6"/>
  <c r="J143" i="6" s="1"/>
  <c r="I142" i="6"/>
  <c r="J142" i="6" s="1"/>
  <c r="G56" i="6"/>
  <c r="H56" i="6"/>
  <c r="I56" i="6"/>
  <c r="J158" i="6"/>
  <c r="H77" i="7"/>
  <c r="H87" i="6"/>
  <c r="J145" i="6" l="1"/>
  <c r="G55" i="7"/>
  <c r="F56" i="7"/>
  <c r="J148" i="7"/>
  <c r="J135" i="7"/>
  <c r="G60" i="7"/>
  <c r="F61" i="7"/>
  <c r="H56" i="7" l="1"/>
  <c r="G56" i="7"/>
  <c r="G61" i="7"/>
  <c r="H61" i="7"/>
  <c r="E65" i="7" l="1"/>
  <c r="G65" i="7" s="1"/>
  <c r="E113" i="7"/>
  <c r="G113" i="7" s="1"/>
</calcChain>
</file>

<file path=xl/sharedStrings.xml><?xml version="1.0" encoding="utf-8"?>
<sst xmlns="http://schemas.openxmlformats.org/spreadsheetml/2006/main" count="10362" uniqueCount="3660">
  <si>
    <t>Escenario</t>
  </si>
  <si>
    <t>Celdas comparadas</t>
  </si>
  <si>
    <t>OK</t>
  </si>
  <si>
    <t>Diferencias</t>
  </si>
  <si>
    <t>Pendientes</t>
  </si>
  <si>
    <t>Origen esperado</t>
  </si>
  <si>
    <t>base</t>
  </si>
  <si>
    <t>Microsoft Excel COM</t>
  </si>
  <si>
    <t>sim1_pipeline</t>
  </si>
  <si>
    <t>sim2_pipeline</t>
  </si>
  <si>
    <t>sim3_pipeline</t>
  </si>
  <si>
    <t>banca_pipeline</t>
  </si>
  <si>
    <t>bancamezcla_pipeline</t>
  </si>
  <si>
    <t>sim2</t>
  </si>
  <si>
    <t>sim2_premium</t>
  </si>
  <si>
    <t>NOTA</t>
  </si>
  <si>
    <t>Las cuatro divisiones por cero originales de CANTIDAD se conservan y quedan fuera de las comparaciones.</t>
  </si>
  <si>
    <t>Motor</t>
  </si>
  <si>
    <t>Microsoft Excel COM 16.0; LibreOffice no instalado.</t>
  </si>
  <si>
    <t>Independencia</t>
  </si>
  <si>
    <t>Las hojas de pipeline se construyen exclusivamente desde decisiones y parámetros; los obtenidos SIDE solo llenan las columnas de comparación.</t>
  </si>
  <si>
    <t>Simulador de empresa de bolsos de cuero — Catalogo maestro de decisiones</t>
  </si>
  <si>
    <t>Como esta organizado este archivo:</t>
  </si>
  <si>
    <t>1) Catalogo_Decisiones: TODAS las opciones posibles del juego. Cada opcion es una fila y cada dato (costo, aporte a cada puntaje) tiene su propia celda — nada esta combinado en una sola celda.</t>
  </si>
  <si>
    <t>2) Seleccion_Ciclo0: aqui el jugador elige, por cada grupo de decision (maquinas, personal, canal, etc.), el codigo de la opcion que quiere (lista desplegable en la columna B). Las demas columnas se completan solas con formulas.</t>
  </si>
  <si>
    <t>2b) Lotes_Produccion: aqui se decide la calidad POR LOTE, no como promedio de toda la empresa. Cada lote (hasta 3 por ciclo) tiene su propia cantidad de unidades, su propio cuero/accesorios/hilo/molde y su propio segmento de venta. El sistema calcula el Puntaje de Calidad de CADA lote y lo compara contra el segmento elegido (si vendes 'Premium' con insumos bajos, el lote sale 'No alcanza el segmento').</t>
  </si>
  <si>
    <t>3) Motor_Puntajes: el Puntaje de Calidad de la empresa es el promedio de los lotes PONDERADO por las unidades de cada uno (un lote de 500 unidades pesa mas que uno de 50). Los otros 3 puntajes (Eficiencia, Reputacion, Salud Financiera) suman los aportes de Seleccion_Ciclo0.</t>
  </si>
  <si>
    <t>4) Matriz_Consecuencias: reglas de negocio — que pasa (efecto numerico) y que mensaje ve el jugador segun el valor de cada puntaje.</t>
  </si>
  <si>
    <t>Celdas amarillas = donde se elige/edita (inputs). Celdas verdes = puntajes/aportes calculados. Celdas grises = fijas u obligatorias.</t>
  </si>
  <si>
    <t>Para agregar una opcion nueva: agrega una fila en Catalogo_Decisiones con su Codigo unico y sus aportes, y aparecera disponible para elegir en Seleccion_Ciclo0 (agregando el codigo a la lista desplegable del grupo correspondiente).</t>
  </si>
  <si>
    <t xml:space="preserve">DECISIONES </t>
  </si>
  <si>
    <t>Puntaje</t>
  </si>
  <si>
    <t>Depreciación</t>
  </si>
  <si>
    <t>Garantía del producto</t>
  </si>
  <si>
    <t>Mantenimiento de maquinaria</t>
  </si>
  <si>
    <t>Política de inventarios</t>
  </si>
  <si>
    <t>Grupo de decision</t>
  </si>
  <si>
    <t>Codigo elegido (elige de la lista)</t>
  </si>
  <si>
    <t>Opcion / Nivel (auto)</t>
  </si>
  <si>
    <t>Descripcion (auto)</t>
  </si>
  <si>
    <t>Costo referencial (auto)</t>
  </si>
  <si>
    <t>Aporte Calidad (auto)</t>
  </si>
  <si>
    <t>Aporte Eficiencia (auto)</t>
  </si>
  <si>
    <t>Aporte Reputacion (auto)</t>
  </si>
  <si>
    <t>Aporte Financiero (auto)</t>
  </si>
  <si>
    <t>Maquina de ensamblado</t>
  </si>
  <si>
    <t>INF-03</t>
  </si>
  <si>
    <t>Maquina de acabados</t>
  </si>
  <si>
    <t>INF-06</t>
  </si>
  <si>
    <t>Molde</t>
  </si>
  <si>
    <t>INF-09</t>
  </si>
  <si>
    <t>Personal de corte</t>
  </si>
  <si>
    <t>RH-02</t>
  </si>
  <si>
    <t>Personal de ensamble</t>
  </si>
  <si>
    <t>RH-05</t>
  </si>
  <si>
    <t>Personal de acabados</t>
  </si>
  <si>
    <t>RH-08</t>
  </si>
  <si>
    <t>Jefatura</t>
  </si>
  <si>
    <t>RH-10A</t>
  </si>
  <si>
    <t>Canal de venta</t>
  </si>
  <si>
    <t>COM-01C</t>
  </si>
  <si>
    <t>Acceso a prestamo bancario</t>
  </si>
  <si>
    <t>FIN-01B</t>
  </si>
  <si>
    <t>Numero de proveedores</t>
  </si>
  <si>
    <t>INS-09B</t>
  </si>
  <si>
    <t>Politica de pago a proveedores</t>
  </si>
  <si>
    <t>INS-10A</t>
  </si>
  <si>
    <t>Lead time</t>
  </si>
  <si>
    <t>INS-11B</t>
  </si>
  <si>
    <t>Inversion en RR.HH.</t>
  </si>
  <si>
    <t>INV-01B</t>
  </si>
  <si>
    <t>Inversion en marketing</t>
  </si>
  <si>
    <t>INV-02B</t>
  </si>
  <si>
    <t>--- Otras decisiones numericas ---</t>
  </si>
  <si>
    <t>PRO-01 - Cantidad inicial a producir (unidades)</t>
  </si>
  <si>
    <t>COM-02 - N° de tiendas en zona alta (Miraflores)</t>
  </si>
  <si>
    <t>COM-03 - N° de tiendas en zona media (Los Olivos / San Miguel)</t>
  </si>
  <si>
    <t>COM-04 - N° de tiendas en zona baja (SJL / SMP)</t>
  </si>
  <si>
    <t>COM-05N - % de ventas a credito (0-100)</t>
  </si>
  <si>
    <t>FIN-01M - Monto de prestamo solicitado (S/)</t>
  </si>
  <si>
    <t>Codigo</t>
  </si>
  <si>
    <t>Bloque</t>
  </si>
  <si>
    <t>Opcion / Nivel</t>
  </si>
  <si>
    <t>Permanencia</t>
  </si>
  <si>
    <t>Descripcion</t>
  </si>
  <si>
    <t>Costo referencial (S/)</t>
  </si>
  <si>
    <t>Aporte Calidad</t>
  </si>
  <si>
    <t>Aporte Eficiencia</t>
  </si>
  <si>
    <t>Aporte Reputacion</t>
  </si>
  <si>
    <t>Aporte Financiero</t>
  </si>
  <si>
    <t>Notas</t>
  </si>
  <si>
    <t>GEN-01</t>
  </si>
  <si>
    <t>A. Empresa</t>
  </si>
  <si>
    <t>Razon social</t>
  </si>
  <si>
    <t>Texto libre</t>
  </si>
  <si>
    <t>Fija</t>
  </si>
  <si>
    <t>Nombre legal de la empresa (texto)</t>
  </si>
  <si>
    <t>Sin efecto en puntajes</t>
  </si>
  <si>
    <t>GEN-02</t>
  </si>
  <si>
    <t>Nombre comercial / marca</t>
  </si>
  <si>
    <t>Marca comercial (texto)</t>
  </si>
  <si>
    <t>GEN-04</t>
  </si>
  <si>
    <t>Tipos de bolsos</t>
  </si>
  <si>
    <t>Linea de productos que fabrica (tote, cartera, mochila, etc.)</t>
  </si>
  <si>
    <t>SEG-01</t>
  </si>
  <si>
    <t>Segmento / linea</t>
  </si>
  <si>
    <t>Economico</t>
  </si>
  <si>
    <t>Precio bajo, prioriza volumen y costo</t>
  </si>
  <si>
    <t>Exige coherencia con Calidad real</t>
  </si>
  <si>
    <t>SEG-02</t>
  </si>
  <si>
    <t>Estandar</t>
  </si>
  <si>
    <t>Equilibra costo, calidad, demanda y margen</t>
  </si>
  <si>
    <t>SEG-03</t>
  </si>
  <si>
    <t>Premium</t>
  </si>
  <si>
    <t>Precio alto; requiere Calidad&gt;=7 para sostenerse</t>
  </si>
  <si>
    <t>Riesgo si Calidad interna es baja (ver Matriz)</t>
  </si>
  <si>
    <t>INF-01</t>
  </si>
  <si>
    <t>B. Infraestructura</t>
  </si>
  <si>
    <t>Mesa de corte</t>
  </si>
  <si>
    <t>Unica (obligatoria)</t>
  </si>
  <si>
    <t>Inversion fija para todos; habilita la etapa de corte</t>
  </si>
  <si>
    <t>Obligatoria, no otorga niveles</t>
  </si>
  <si>
    <t>INF-02</t>
  </si>
  <si>
    <t>Nivel 1: manual/basica</t>
  </si>
  <si>
    <t>Costura Singer 4423 Heavy Duty; desbastadora a mano con cuchilla o lija</t>
  </si>
  <si>
    <t>Nivel 2: semi-industrial</t>
  </si>
  <si>
    <t>Maquina de coser de columna/brazo (poste) Typical TB-801</t>
  </si>
  <si>
    <t>INF-04</t>
  </si>
  <si>
    <t>Nivel 3: industrial</t>
  </si>
  <si>
    <t>Juki de triple accionamiento; desbastadora automatica de alta precision, servomotor</t>
  </si>
  <si>
    <t>INF-05</t>
  </si>
  <si>
    <t>Acabado a mano con cera/tinte de bordes, bruñido manual. Lento, variable en calidad</t>
  </si>
  <si>
    <t>Maquina de pulido de bordes (edge burnisher) electrica, tinte con pincel/aerografo</t>
  </si>
  <si>
    <t>INF-07</t>
  </si>
  <si>
    <t>Linea de acabado con teñido automatico + pulido, control de temperatura y velocidad</t>
  </si>
  <si>
    <t>INF-08</t>
  </si>
  <si>
    <t>Nivel 1 - Generico basico</t>
  </si>
  <si>
    <t>Patrones simples, tipo plantilla estandar de internet o catalogo generico</t>
  </si>
  <si>
    <t>Bajo aprovechamiento de cuero</t>
  </si>
  <si>
    <t>Nivel 2 - Generico mejorado</t>
  </si>
  <si>
    <t>Patron tecnico mas elaborado, con lineas de corte, marcado y perforaciones bien definidas</t>
  </si>
  <si>
    <t>Aprovechamiento medio-alto</t>
  </si>
  <si>
    <t>INF-10</t>
  </si>
  <si>
    <t>Nivel 3 - Premium</t>
  </si>
  <si>
    <t>La empresa desarrolla su propio patron desde cero, adaptado a su propuesta de marca</t>
  </si>
  <si>
    <t>Maximo aprovechamiento y diferenciacion</t>
  </si>
  <si>
    <t>RH-01</t>
  </si>
  <si>
    <t>C. RRHH</t>
  </si>
  <si>
    <t>Nivel 1 - Operario basico</t>
  </si>
  <si>
    <t>Revisable con costo</t>
  </si>
  <si>
    <t>Corta con plantilla simple, sin experiencia previa. Mas lento, mas margen de error</t>
  </si>
  <si>
    <t>Nivel 2 - Cortador con experiencia</t>
  </si>
  <si>
    <t>Optimiza el aprovechamiento del cuero, reduce desperdicio, mas rapido</t>
  </si>
  <si>
    <t>RH-03</t>
  </si>
  <si>
    <t>Nivel 3 - Maestro cortador</t>
  </si>
  <si>
    <t>Trabaja cueros irregulares/premium, maximo aprovechamiento, minimo desperdicio</t>
  </si>
  <si>
    <t>RH-04</t>
  </si>
  <si>
    <t>Nivel 1 - Costurero basico</t>
  </si>
  <si>
    <t>Maquina domestica, puntadas rectas simples, funciona con diseños sencillos</t>
  </si>
  <si>
    <t>Nivel 2 - Maquinista industrial</t>
  </si>
  <si>
    <t>Maquina semi-industrial/industrial, costuras reforzadas, mayor velocidad</t>
  </si>
  <si>
    <t>RH-06</t>
  </si>
  <si>
    <t>Nivel 3 - Marroquinero especializado</t>
  </si>
  <si>
    <t>Costura a mano de alta gama, ejecuta moldes exclusivos complejos, ideal linea premium</t>
  </si>
  <si>
    <t>RH-07</t>
  </si>
  <si>
    <t>Nivel 1 - Operario de acabado basico</t>
  </si>
  <si>
    <t>Aplica tinte y cera de forma simple, resultado variable</t>
  </si>
  <si>
    <t>Nivel 2 - Tecnico en acabados</t>
  </si>
  <si>
    <t>Maneja maquina de pulido de bordes, tinte con aerografo, resultado consistente</t>
  </si>
  <si>
    <t>RH-09</t>
  </si>
  <si>
    <t>Nivel 3 - Artesano acabador</t>
  </si>
  <si>
    <t>Bruñido fino, dorado, decoracion compleja (pedreria, herrajes especiales)</t>
  </si>
  <si>
    <t>Contratar jefatura</t>
  </si>
  <si>
    <t>Coordina el equipo, reduce riesgo de descoordinacion</t>
  </si>
  <si>
    <t>RH-10B</t>
  </si>
  <si>
    <t>No contratar jefatura</t>
  </si>
  <si>
    <t>Ahorra costo fijo, pero aumenta el riesgo de descoordinacion</t>
  </si>
  <si>
    <t>Ahorro de caja pero baja Eficiencia</t>
  </si>
  <si>
    <t>RH-11</t>
  </si>
  <si>
    <t>Limpieza y servicios generales</t>
  </si>
  <si>
    <t>Monto fijo obligatorio para mantener la operacion</t>
  </si>
  <si>
    <t>RH-12</t>
  </si>
  <si>
    <t>Local de produccion</t>
  </si>
  <si>
    <t>Estandar (unico)</t>
  </si>
  <si>
    <t>Local de produccion estandar; alquiler fijo igual para todos los equipos</t>
  </si>
  <si>
    <t>COM-01A</t>
  </si>
  <si>
    <t>D. Canales</t>
  </si>
  <si>
    <t>Solo tienda fisica</t>
  </si>
  <si>
    <t>Revisable cada ciclo</t>
  </si>
  <si>
    <t>Menor cobertura y demanda; menor complejidad y costo</t>
  </si>
  <si>
    <t>COM-01B</t>
  </si>
  <si>
    <t>Solo web</t>
  </si>
  <si>
    <t>Cobertura amplia con menor costo fijo; depende de marketing digital</t>
  </si>
  <si>
    <t>Web y fisico</t>
  </si>
  <si>
    <t>Mayor cobertura y demanda; incrementa complejidad y costo</t>
  </si>
  <si>
    <t>FIN-01A</t>
  </si>
  <si>
    <t>Solicitar prestamo</t>
  </si>
  <si>
    <t>Fija: habilita</t>
  </si>
  <si>
    <t>Habilita apalancamiento; permite invertir mas rapido</t>
  </si>
  <si>
    <t>Aumenta apalancamiento</t>
  </si>
  <si>
    <t>No solicitar prestamo</t>
  </si>
  <si>
    <t>Evita intereses; la expansion depende del capital propio</t>
  </si>
  <si>
    <t>INS-01</t>
  </si>
  <si>
    <t>E. Insumos</t>
  </si>
  <si>
    <t>Calidad del cuero</t>
  </si>
  <si>
    <t>Nivel 1 - Cuero sintetico</t>
  </si>
  <si>
    <t>Bajo costo, menor durabilidad, acabado menos premium</t>
  </si>
  <si>
    <t>por unidad, referencial</t>
  </si>
  <si>
    <t>INS-02</t>
  </si>
  <si>
    <t>Nivel 2 - Cuero genuino estandar</t>
  </si>
  <si>
    <t>Costo medio, durabilidad media</t>
  </si>
  <si>
    <t>INS-03</t>
  </si>
  <si>
    <t>Nivel 3 - Cuero genuino premium</t>
  </si>
  <si>
    <t>Full grain / curtido vegetal: alto costo, alta durabilidad, mejor acabado</t>
  </si>
  <si>
    <t>INS-04</t>
  </si>
  <si>
    <t>Calidad de accesorios</t>
  </si>
  <si>
    <t>Nivel 1 - Aleacion economica</t>
  </si>
  <si>
    <t>Bajo costo, se oxida/desgasta mas rapido</t>
  </si>
  <si>
    <t>INS-05</t>
  </si>
  <si>
    <t>Nivel 2 - Metal premium</t>
  </si>
  <si>
    <t>Laton macizo o acero inoxidable, alto costo, mayor durabilidad y brillo</t>
  </si>
  <si>
    <t>INS-06</t>
  </si>
  <si>
    <t>Calidad del hilo</t>
  </si>
  <si>
    <t>Nivel 1 - Poliester estandar</t>
  </si>
  <si>
    <t>Economico, resistencia media</t>
  </si>
  <si>
    <t>INS-07</t>
  </si>
  <si>
    <t>Nivel 2 - Encerado reforzado</t>
  </si>
  <si>
    <t>Costo medio, mayor resistencia a tension</t>
  </si>
  <si>
    <t>INS-08</t>
  </si>
  <si>
    <t>Nivel 3 - Alta tenacidad (nylon trenzado)</t>
  </si>
  <si>
    <t>Costoso, maxima durabilidad, ideal para costura visible/detalle</t>
  </si>
  <si>
    <t>INS-09A</t>
  </si>
  <si>
    <t>Proveedor unico</t>
  </si>
  <si>
    <t>Obtiene 2% adicional de descuento, pero concentra el riesgo de abastecimiento</t>
  </si>
  <si>
    <t>Riesgo de desabastecimiento</t>
  </si>
  <si>
    <t>Varios proveedores</t>
  </si>
  <si>
    <t>Menor descuento, pero reduce el riesgo de desabastecimiento</t>
  </si>
  <si>
    <t>Contado</t>
  </si>
  <si>
    <t>Obtiene 3% de descuento; reduce la caja inmediatamente</t>
  </si>
  <si>
    <t>INS-10B</t>
  </si>
  <si>
    <t>Credito</t>
  </si>
  <si>
    <t>Sin descuento; conserva liquidez en el ciclo</t>
  </si>
  <si>
    <t>INS-11A</t>
  </si>
  <si>
    <t>Rapido (urgente, con sobrecosto)</t>
  </si>
  <si>
    <t>Entrega en menos dias, pero con sobrecosto</t>
  </si>
  <si>
    <t>Normal - 7 dias</t>
  </si>
  <si>
    <t>Equilibrio entre costo y disponibilidad</t>
  </si>
  <si>
    <t>INS-11C</t>
  </si>
  <si>
    <t>Lento (economico)</t>
  </si>
  <si>
    <t>Menor costo, mayor riesgo de quiebre de stock</t>
  </si>
  <si>
    <t>COM-05</t>
  </si>
  <si>
    <t>% de ventas a credito</t>
  </si>
  <si>
    <t>20% a credito (referencia)</t>
  </si>
  <si>
    <t>Balancea liquidez y ventas; riesgo de cobranza bajo</t>
  </si>
  <si>
    <t>Valor ingresado por el jugador en hoja Seleccion</t>
  </si>
  <si>
    <t>INV-01A</t>
  </si>
  <si>
    <t>F. Inversiones</t>
  </si>
  <si>
    <t>Baja</t>
  </si>
  <si>
    <t>Poca capacitacion tecnica</t>
  </si>
  <si>
    <t>Media</t>
  </si>
  <si>
    <t>Capacitacion tecnica: +8% de capacidad y mejor reputacion</t>
  </si>
  <si>
    <t>INV-01C</t>
  </si>
  <si>
    <t>Alta</t>
  </si>
  <si>
    <t>Capacitacion avanzada: mayor capacidad y reputacion, alto costo</t>
  </si>
  <si>
    <t>INV-02A</t>
  </si>
  <si>
    <t>Poca visibilidad de marca</t>
  </si>
  <si>
    <t>S/ 6,000 por ciclo; aumenta demanda estimada 12% y reputacion</t>
  </si>
  <si>
    <t>INV-02C</t>
  </si>
  <si>
    <t>Alto costo; mayor aumento de demanda y reputacion</t>
  </si>
  <si>
    <t>FIN-02A</t>
  </si>
  <si>
    <t>G. Finanzas</t>
  </si>
  <si>
    <t>Método de depreciación</t>
  </si>
  <si>
    <t>Línea recta</t>
  </si>
  <si>
    <t>Fija en Ciclo 0</t>
  </si>
  <si>
    <t>Distribuye el valor depreciable de la maquinaria en cuotas iguales durante su vida útil</t>
  </si>
  <si>
    <t>S/0</t>
  </si>
  <si>
    <t>Gasto contable constante; no representa una salida de efectivo</t>
  </si>
  <si>
    <t>FIN-02B</t>
  </si>
  <si>
    <t>Unidades producidas</t>
  </si>
  <si>
    <t>Calcula la depreciación según el uso real de la maquinaria y las unidades fabricadas</t>
  </si>
  <si>
    <t>Mejora la asignación del costo por unidad; no representa una salida de efectivo</t>
  </si>
  <si>
    <t>FIN-02C</t>
  </si>
  <si>
    <t>Acelerada</t>
  </si>
  <si>
    <t>Reconoce una mayor depreciación durante los primeros ciclos y una menor depreciación después</t>
  </si>
  <si>
    <t>Reduce la utilidad contable inicial; no representa una salida de efectivo</t>
  </si>
  <si>
    <t>COM-06A</t>
  </si>
  <si>
    <t>Sin garantía</t>
  </si>
  <si>
    <t>No cubre fallas posteriores a la venta; reduce el costo inmediato, pero genera desconfianza</t>
  </si>
  <si>
    <t>Mayor riesgo de reclamos y pérdida de clientes</t>
  </si>
  <si>
    <t>COM-06B</t>
  </si>
  <si>
    <t>Garantía de 30 días</t>
  </si>
  <si>
    <t>Cubre defectos de fabricación durante 30 días y brinda seguridad básica al cliente</t>
  </si>
  <si>
    <t>S/5</t>
  </si>
  <si>
    <t>Costo referencial por unidad vendida para atender cambios o reparaciones</t>
  </si>
  <si>
    <t>COM-06C</t>
  </si>
  <si>
    <t>Garantía de 90 días</t>
  </si>
  <si>
    <t>Cubre defectos durante 90 días; aumenta la confianza, pero exige una mayor provisión</t>
  </si>
  <si>
    <t>S/10</t>
  </si>
  <si>
    <t>Costo referencial por unidad vendida; mayor exposición a devoluciones</t>
  </si>
  <si>
    <t>INF-11A</t>
  </si>
  <si>
    <t>Solo correctivo</t>
  </si>
  <si>
    <t>La empresa repara las máquinas únicamente cuando presentan una falla</t>
  </si>
  <si>
    <t>Ahorra al inicio, pero aumenta el riesgo de paradas y retrasos</t>
  </si>
  <si>
    <t>INF-11B</t>
  </si>
  <si>
    <t>Preventivo básico</t>
  </si>
  <si>
    <t>Incluye revisión, limpieza, lubricación y ajustes básicos para prevenir fallas</t>
  </si>
  <si>
    <t>S/1,500</t>
  </si>
  <si>
    <t>Costo referencial por ciclo; reduce parcialmente las averías</t>
  </si>
  <si>
    <t>INF-11C</t>
  </si>
  <si>
    <t>Preventivo integral</t>
  </si>
  <si>
    <t>Incluye mantenimiento programado, cambio de piezas críticas y calibración de equipos</t>
  </si>
  <si>
    <t>S/3,000</t>
  </si>
  <si>
    <t>Costo referencial por ciclo; minimiza paradas y defectos de fabricación</t>
  </si>
  <si>
    <t>INS-12A</t>
  </si>
  <si>
    <t>Justo a tiempo</t>
  </si>
  <si>
    <t>Mantiene inventario mínimo y compra cerca de la fecha de producción</t>
  </si>
  <si>
    <t>Menor dinero inmovilizado, pero mayor riesgo de quedarse sin insumos</t>
  </si>
  <si>
    <t>INS-12B</t>
  </si>
  <si>
    <t>Stock de seguridad medio</t>
  </si>
  <si>
    <t>Mantiene una reserva moderada para cubrir retrasos del proveedor o cambios de demanda</t>
  </si>
  <si>
    <t>S/1,000</t>
  </si>
  <si>
    <t>Costo referencial de almacenamiento por ciclo; alternativa equilibrada</t>
  </si>
  <si>
    <t>INS-12C</t>
  </si>
  <si>
    <t>Stock de seguridad alto</t>
  </si>
  <si>
    <t>Mantiene una reserva amplia de materiales para evitar interrupciones de producción</t>
  </si>
  <si>
    <t>S/2,500</t>
  </si>
  <si>
    <t>Reduce quiebres de stock, pero inmoviliza más efectivo y aumenta el almacenaje</t>
  </si>
  <si>
    <t>Flujo</t>
  </si>
  <si>
    <t>Steps</t>
  </si>
  <si>
    <t>Docente</t>
  </si>
  <si>
    <t>Jugadores</t>
  </si>
  <si>
    <t>Valeria y Gonzalo</t>
  </si>
  <si>
    <t>Launcher</t>
  </si>
  <si>
    <t>Erick y Miguel</t>
  </si>
  <si>
    <t>Login</t>
  </si>
  <si>
    <t>Se valida el codigo de sala y el nombre empresa(usuario)</t>
  </si>
  <si>
    <t>Configuracion del juego (incluye Creacion de Sala)</t>
  </si>
  <si>
    <t>Tutorial</t>
  </si>
  <si>
    <t>Indicaciones en un carrusel.</t>
  </si>
  <si>
    <t>Ciclo 1</t>
  </si>
  <si>
    <t>Decisiones</t>
  </si>
  <si>
    <t>Espera (Fin de ciclo)</t>
  </si>
  <si>
    <t>El docente define si se hace automatico o manual</t>
  </si>
  <si>
    <t>Información en vivo de las decisiones de los jugadores (Manual: Cierra el ciclo)</t>
  </si>
  <si>
    <t>Estados financieros Generales</t>
  </si>
  <si>
    <t>Estados financieros Individuales e Informacion del mercado</t>
  </si>
  <si>
    <t>Descargables en pdf</t>
  </si>
  <si>
    <t>Ciclo 2</t>
  </si>
  <si>
    <t xml:space="preserve">  </t>
  </si>
  <si>
    <t>Ciclo 3</t>
  </si>
  <si>
    <t>Ciclo N</t>
  </si>
  <si>
    <t>Resumen General - Indicar podio</t>
  </si>
  <si>
    <t>Estados financieros Individuales y Consolidado Final</t>
  </si>
  <si>
    <t>Mostrar Podio</t>
  </si>
  <si>
    <t>Agregar disclaimer indicando que los datos se guardaran un maximo de 24 horas</t>
  </si>
  <si>
    <t>Si el jugador no tomo decision dentro del tiempo establecido y es la primera decisión se le elimina del juego</t>
  </si>
  <si>
    <t>El Docente tiene la opcion de eliminar jugadores en cualquier momento. Sin importar si es manual o automatico</t>
  </si>
  <si>
    <t>Si el jugador no tomo decisiones dentro del tiempo establecido y no es la primera decisión el sistema replica las decisiones del ciclo anterior.</t>
  </si>
  <si>
    <t>Calculo de MO</t>
  </si>
  <si>
    <t xml:space="preserve">AREA DE CORTE </t>
  </si>
  <si>
    <t xml:space="preserve">Bolsas por día </t>
  </si>
  <si>
    <t xml:space="preserve">Producción por día </t>
  </si>
  <si>
    <t>AL MES</t>
  </si>
  <si>
    <t>Eficiencia</t>
  </si>
  <si>
    <t>Produccion Real</t>
  </si>
  <si>
    <t xml:space="preserve">Nivel 1 - Operario basico </t>
  </si>
  <si>
    <t>Esta produccion no puede ser superior a lo que permite el material</t>
  </si>
  <si>
    <t xml:space="preserve">Nivel 2 - Cortador con experiencia </t>
  </si>
  <si>
    <t>Eficiencia BASE</t>
  </si>
  <si>
    <t xml:space="preserve">Nivel 3 - Maestro cortador </t>
  </si>
  <si>
    <t>AREA DE ENSAMBLADO</t>
  </si>
  <si>
    <t>Operarios</t>
  </si>
  <si>
    <t>MAQUINARIA MANUAL</t>
  </si>
  <si>
    <t xml:space="preserve">MAQUINARIA SEMIINDUSTRIAL </t>
  </si>
  <si>
    <t xml:space="preserve">MAQUINARIA INDUSTRIAL </t>
  </si>
  <si>
    <t>Total de trabajadores</t>
  </si>
  <si>
    <t>total de trabajadores N3</t>
  </si>
  <si>
    <t>Nivel 1</t>
  </si>
  <si>
    <t>Nivel 2</t>
  </si>
  <si>
    <t>Nivel 3</t>
  </si>
  <si>
    <t xml:space="preserve">AREA DE ACABADO </t>
  </si>
  <si>
    <t>Jefe de Produccion</t>
  </si>
  <si>
    <t xml:space="preserve">NOTA: EL PROCETANJE DE TRABAJADORES DE NIVEL 3 AFECTA POSITIVAMENTE A LA EFICIENCIA </t>
  </si>
  <si>
    <t>Calculo de MP</t>
  </si>
  <si>
    <t>Nivel 3 - Metal Deluxe</t>
  </si>
  <si>
    <t>UM Compra</t>
  </si>
  <si>
    <t>rollo</t>
  </si>
  <si>
    <t>Piel completa</t>
  </si>
  <si>
    <t>Juego</t>
  </si>
  <si>
    <t>Carrete</t>
  </si>
  <si>
    <t>UM Produccion</t>
  </si>
  <si>
    <t>m2</t>
  </si>
  <si>
    <t>unidad</t>
  </si>
  <si>
    <t>metro</t>
  </si>
  <si>
    <t>Cantidad que desea producir</t>
  </si>
  <si>
    <t>Ejecucion de produccion</t>
  </si>
  <si>
    <t>TOTAL PRODUCIDO REAL</t>
  </si>
  <si>
    <t>Cuero empleado</t>
  </si>
  <si>
    <t>Accesorios empleados</t>
  </si>
  <si>
    <t>Hilo empleado</t>
  </si>
  <si>
    <t>Calidad por Materiales</t>
  </si>
  <si>
    <t>Inventario Inicial</t>
  </si>
  <si>
    <t>Compras</t>
  </si>
  <si>
    <t>Produccion</t>
  </si>
  <si>
    <t>Inventario Final</t>
  </si>
  <si>
    <t>InventarioFinal = InventarioInicial + compras - produccido</t>
  </si>
  <si>
    <t>0 - 10,000(rango en soles)</t>
  </si>
  <si>
    <t>Gastos del ciclo en publicidad</t>
  </si>
  <si>
    <t>Calculo de Reputacion</t>
  </si>
  <si>
    <t>ptos de reputación</t>
  </si>
  <si>
    <t>Factor de producción</t>
  </si>
  <si>
    <t>Factor de MO</t>
  </si>
  <si>
    <t>Factor de MP (utilizacion)</t>
  </si>
  <si>
    <t>Factor de Publicidad</t>
  </si>
  <si>
    <t>EJEMPLO de distribución de Ventas (Bolsos Economicos)</t>
  </si>
  <si>
    <t>Reputacion</t>
  </si>
  <si>
    <t>Precio</t>
  </si>
  <si>
    <t>Puntaje del precio</t>
  </si>
  <si>
    <t>Puntaje total</t>
  </si>
  <si>
    <t>Porcentaje parcial</t>
  </si>
  <si>
    <t>Unidades Vendidas</t>
  </si>
  <si>
    <t>Empresa A</t>
  </si>
  <si>
    <t>Empresa B</t>
  </si>
  <si>
    <t>Empresa C</t>
  </si>
  <si>
    <t>Empresa D</t>
  </si>
  <si>
    <t>Total</t>
  </si>
  <si>
    <t>unidades mercado</t>
  </si>
  <si>
    <t>unidades mercado real</t>
  </si>
  <si>
    <t>EJEMPLO de distribución de Ventas (Bolsos promedio)</t>
  </si>
  <si>
    <t>EJEMPLO de distribución de Ventas (Bolsos Premium)</t>
  </si>
  <si>
    <t>Peso precio</t>
  </si>
  <si>
    <t>peso reputación</t>
  </si>
  <si>
    <t>Peso calidad</t>
  </si>
  <si>
    <t>Reputación (0-10)</t>
  </si>
  <si>
    <t>Calidad (0-100)</t>
  </si>
  <si>
    <t>Precio Económico (0-100)</t>
  </si>
  <si>
    <t>Reputación (0-100)</t>
  </si>
  <si>
    <t>SUMA</t>
  </si>
  <si>
    <t>TOTAL</t>
  </si>
  <si>
    <t xml:space="preserve">Unidades mercado </t>
  </si>
  <si>
    <t xml:space="preserve">Unidades mercado real </t>
  </si>
  <si>
    <t>EJEMPLO de distribución de Ventas (Bolsos Medio)</t>
  </si>
  <si>
    <t>Precio ideal</t>
  </si>
  <si>
    <t>EJEMPLO de distribución de Ventas (Bolsos Caros)</t>
  </si>
  <si>
    <t>Costos: MO</t>
  </si>
  <si>
    <t>O.Basico</t>
  </si>
  <si>
    <t>MYPE</t>
  </si>
  <si>
    <t>NoMype</t>
  </si>
  <si>
    <t>Costurero básico</t>
  </si>
  <si>
    <t>Operario de acabado clásico</t>
  </si>
  <si>
    <t>Sueldo base</t>
  </si>
  <si>
    <t>Essalud</t>
  </si>
  <si>
    <t>Grati</t>
  </si>
  <si>
    <t>CTS</t>
  </si>
  <si>
    <t>vacaciones</t>
  </si>
  <si>
    <t>Suma anual</t>
  </si>
  <si>
    <t>Pago mensual</t>
  </si>
  <si>
    <t>Cortador con experiencia</t>
  </si>
  <si>
    <t>Maquinista industrial</t>
  </si>
  <si>
    <t>Técnico de acabado</t>
  </si>
  <si>
    <t>Maestro cortador</t>
  </si>
  <si>
    <t>Marroquinero especializado</t>
  </si>
  <si>
    <t>Artesano acabador</t>
  </si>
  <si>
    <t>Cantidad necesaria</t>
  </si>
  <si>
    <t>Compra Jugador</t>
  </si>
  <si>
    <t>Cantidad Produccion</t>
  </si>
  <si>
    <t>Limpieza</t>
  </si>
  <si>
    <t>Local de producción</t>
  </si>
  <si>
    <t>Costo fijo</t>
  </si>
  <si>
    <t>Almacen</t>
  </si>
  <si>
    <t>Moldes (siempre debe comprar al menos uno)</t>
  </si>
  <si>
    <t>Cuero</t>
  </si>
  <si>
    <t>Accesorios</t>
  </si>
  <si>
    <t>Hilos</t>
  </si>
  <si>
    <t>Costos: Maquinaria</t>
  </si>
  <si>
    <t>Maquina de Ensamblado N1</t>
  </si>
  <si>
    <t>Maquina de acabado N1</t>
  </si>
  <si>
    <t>Cuantos Bolso deseas producir ?</t>
  </si>
  <si>
    <t>Producido luego del termino del ciclo</t>
  </si>
  <si>
    <t>Total Cuero Necesario</t>
  </si>
  <si>
    <t>Total Accesorios Necesario</t>
  </si>
  <si>
    <t>Total Hilo Necesario</t>
  </si>
  <si>
    <t>Total Cuero Utilizado</t>
  </si>
  <si>
    <t>Total Accesorios Utilizado</t>
  </si>
  <si>
    <t>Total Hilo Utilizado</t>
  </si>
  <si>
    <t>Costo de adquisición</t>
  </si>
  <si>
    <t xml:space="preserve">Instalación </t>
  </si>
  <si>
    <t>Capacitación</t>
  </si>
  <si>
    <t>Mantenimiento anual</t>
  </si>
  <si>
    <t>Depreciación anual</t>
  </si>
  <si>
    <t>ALMACEN</t>
  </si>
  <si>
    <t>Molde 1</t>
  </si>
  <si>
    <t>Maquina de Ensamblado N2</t>
  </si>
  <si>
    <t>Maquina de acabado N2</t>
  </si>
  <si>
    <t>Molde 2</t>
  </si>
  <si>
    <t>Maquina de Ensamblado N3</t>
  </si>
  <si>
    <t>Maquina de acabado N3</t>
  </si>
  <si>
    <t>Moldes 3</t>
  </si>
  <si>
    <t>Costos: MP</t>
  </si>
  <si>
    <t>Tabla de materia base.</t>
  </si>
  <si>
    <t>Lo que sea comprado por un equipo:</t>
  </si>
  <si>
    <t>Grupo de decisión</t>
  </si>
  <si>
    <t>Opción/Nivel</t>
  </si>
  <si>
    <t>Precio de lista</t>
  </si>
  <si>
    <t>Descontado por cantidad</t>
  </si>
  <si>
    <t>Unidad</t>
  </si>
  <si>
    <t>1- Cuero sintético</t>
  </si>
  <si>
    <t>m²</t>
  </si>
  <si>
    <t>60m²</t>
  </si>
  <si>
    <t>2- Cuero genuino estándar</t>
  </si>
  <si>
    <t>55m²</t>
  </si>
  <si>
    <t>3-Cuero genuino premium</t>
  </si>
  <si>
    <t>15m²</t>
  </si>
  <si>
    <t>1- Aleación económica</t>
  </si>
  <si>
    <t>200 unidad</t>
  </si>
  <si>
    <t>2- Metal premium</t>
  </si>
  <si>
    <t>190 unidad</t>
  </si>
  <si>
    <t>1- Poliéster estándar</t>
  </si>
  <si>
    <t>m</t>
  </si>
  <si>
    <t>0 m</t>
  </si>
  <si>
    <t>2- Encerado reforzado</t>
  </si>
  <si>
    <t>6 m</t>
  </si>
  <si>
    <t>3- Alta tenacidad</t>
  </si>
  <si>
    <t>7 m</t>
  </si>
  <si>
    <t>Inventario Inicial:</t>
  </si>
  <si>
    <t>Unidad*cant. producida</t>
  </si>
  <si>
    <t>Producción:</t>
  </si>
  <si>
    <t>110m²</t>
  </si>
  <si>
    <t>30m²</t>
  </si>
  <si>
    <t>107m²</t>
  </si>
  <si>
    <t>0m²</t>
  </si>
  <si>
    <t>185 unidad</t>
  </si>
  <si>
    <t>1500 m</t>
  </si>
  <si>
    <t>1400 m</t>
  </si>
  <si>
    <t>Inventario final: Inventario inicial - Producción</t>
  </si>
  <si>
    <t>Lote</t>
  </si>
  <si>
    <t>Segmento de venta (elige)</t>
  </si>
  <si>
    <t>Cantidad de unidades (input)</t>
  </si>
  <si>
    <t>Codigo Cuero (elige)</t>
  </si>
  <si>
    <t>Codigo Accesorios (elige)</t>
  </si>
  <si>
    <t>Codigo Hilo (elige)</t>
  </si>
  <si>
    <t>Codigo Molde (elige)</t>
  </si>
  <si>
    <t>Costo unitario insumos (auto)</t>
  </si>
  <si>
    <t>Puntaje Calidad del lote (auto)</t>
  </si>
  <si>
    <t>Umbral requerido por segmento (auto)</t>
  </si>
  <si>
    <t>Resultado (auto)</t>
  </si>
  <si>
    <t>Mensaje para el jugador (auto)</t>
  </si>
  <si>
    <t>Lote 1</t>
  </si>
  <si>
    <t>Lote 2</t>
  </si>
  <si>
    <t>Lote 3</t>
  </si>
  <si>
    <t>TOTAL CICLO</t>
  </si>
  <si>
    <t>Nota: cada lote se evalua por separado. El costo unitario de insumos (col H) NO incluye el molde (es inversion fija de Ciclo 0), solo cuero+accesorios+hilo por unidad.</t>
  </si>
  <si>
    <t>Puntaje interno</t>
  </si>
  <si>
    <t>Valor (suma de aportes)</t>
  </si>
  <si>
    <t>Escala</t>
  </si>
  <si>
    <t>Nivel resultante</t>
  </si>
  <si>
    <t>CALIDAD POR LOTE (detalle)</t>
  </si>
  <si>
    <t>Puntaje Calidad - Lote 1</t>
  </si>
  <si>
    <t>Puntaje Calidad - Lote 2</t>
  </si>
  <si>
    <t>Puntaje Calidad - Lote 3</t>
  </si>
  <si>
    <t>Puntaje Calidad EMPRESA (promedio ponderado por unidades)</t>
  </si>
  <si>
    <t>0 - 10 (referencial)</t>
  </si>
  <si>
    <t>OTROS PUNTAJES DE EMPRESA</t>
  </si>
  <si>
    <t>Puntaje de Eficiencia</t>
  </si>
  <si>
    <t>Puntaje de Reputacion</t>
  </si>
  <si>
    <t>Puntaje de Salud Financiera</t>
  </si>
  <si>
    <t>Nota: cada 'Aporte' se define en la hoja Catalogo_Decisiones (columnas H-K) y se suma automaticamente segun lo elegido en Seleccion_Ciclo0.</t>
  </si>
  <si>
    <t>ID</t>
  </si>
  <si>
    <t>Puntaje evaluado</t>
  </si>
  <si>
    <t>Condicion</t>
  </si>
  <si>
    <t>Efecto numerico en el juego</t>
  </si>
  <si>
    <t>Mensaje textual para el jugador</t>
  </si>
  <si>
    <t>CONS-01</t>
  </si>
  <si>
    <t>Calidad</t>
  </si>
  <si>
    <t>&lt; 4 y Segmento = Premium</t>
  </si>
  <si>
    <t>Precio de venta -35%, Reputacion -2</t>
  </si>
  <si>
    <t>Posicionaste tu marca como premium, pero tus materiales e insumos no lo respaldan. Los clientes se sienten enganados y las devoluciones aumentan.</t>
  </si>
  <si>
    <t>CONS-02</t>
  </si>
  <si>
    <t>&gt;= 7 y Segmento = Premium</t>
  </si>
  <si>
    <t>Precio de venta +40%, Reputacion +2</t>
  </si>
  <si>
    <t>Tu producto cumple con los estandares premium. Los clientes perciben el valor y pagan sin problema el precio elevado.</t>
  </si>
  <si>
    <t>CONS-03</t>
  </si>
  <si>
    <t>&lt; 4</t>
  </si>
  <si>
    <t>Produccion real = 70% de lo planeado (retrasos)</t>
  </si>
  <si>
    <t>Tu equipo no dio abasto con el volumen que planeaste. Hubo retrasos y entregaste menos de lo prometido.</t>
  </si>
  <si>
    <t>CONS-04</t>
  </si>
  <si>
    <t>&lt; 3 durante 2 ciclos seguidos</t>
  </si>
  <si>
    <t>Demanda -20%</t>
  </si>
  <si>
    <t>Tu marca empieza a perder terreno. Los clientes prefieren a la competencia.</t>
  </si>
  <si>
    <t>CONS-05</t>
  </si>
  <si>
    <t>Salud Financiera</t>
  </si>
  <si>
    <t>&lt; 3</t>
  </si>
  <si>
    <t>El banco sube la tasa de interes del proximo prestamo</t>
  </si>
  <si>
    <t>Tu situacion financiera es riesgosa. El banco te ofrece condiciones menos favorables la proxima vez.</t>
  </si>
  <si>
    <t>CONS-06</t>
  </si>
  <si>
    <t>Produccion vs Capacidad</t>
  </si>
  <si>
    <t>Cantidad producida &gt; capacidad instalada</t>
  </si>
  <si>
    <t>Retraso de entrega, costo extra por horas extra</t>
  </si>
  <si>
    <t>Intentaste producir mas de lo que tu planta soporta. Hubo cuellos de botella y tuviste que pagar horas extra para cumplir.</t>
  </si>
  <si>
    <t>CONS-07</t>
  </si>
  <si>
    <t>Produccion vs Demanda</t>
  </si>
  <si>
    <t>Cantidad producida &gt; demanda real del mercado</t>
  </si>
  <si>
    <t>Inventario sin vender, costo de almacenaje</t>
  </si>
  <si>
    <t>Produjiste mas de lo que el mercado te pidio. Te quedaste con inventario sin vender.</t>
  </si>
  <si>
    <t>CONS-08</t>
  </si>
  <si>
    <t>Jefatura = No y Eficiencia &lt; 5</t>
  </si>
  <si>
    <t>Riesgo de descoordinacion: -5% produccion adicional</t>
  </si>
  <si>
    <t>Sin jefatura que coordine, tu equipo perdio tiempo resolviendo conflictos de tareas.</t>
  </si>
  <si>
    <t>Parámetro</t>
  </si>
  <si>
    <t>Valor</t>
  </si>
  <si>
    <t>Regla</t>
  </si>
  <si>
    <t>Activa</t>
  </si>
  <si>
    <t>Efecto numérico</t>
  </si>
  <si>
    <t>Mensaje literal</t>
  </si>
  <si>
    <t>calidad</t>
  </si>
  <si>
    <t>segmento</t>
  </si>
  <si>
    <t>eficiencia</t>
  </si>
  <si>
    <t>reputacion</t>
  </si>
  <si>
    <t>ciclosBajaPrevios</t>
  </si>
  <si>
    <t>saludFinanciera</t>
  </si>
  <si>
    <t>jefatura</t>
  </si>
  <si>
    <t>planeado</t>
  </si>
  <si>
    <t>capacidad</t>
  </si>
  <si>
    <t>producido</t>
  </si>
  <si>
    <t>demanda</t>
  </si>
  <si>
    <t>costoMO</t>
  </si>
  <si>
    <t>produccionTrasConsecuencias</t>
  </si>
  <si>
    <t>reputacionCambio</t>
  </si>
  <si>
    <t>precioFactor</t>
  </si>
  <si>
    <t>ciclosBajaFinal</t>
  </si>
  <si>
    <t>Extensión autorizada: números de horas extra, almacén y tasa son PENDIENTE_DEFINIR del pedido, no fórmulas originales.</t>
  </si>
  <si>
    <t>empresa</t>
  </si>
  <si>
    <t>precio</t>
  </si>
  <si>
    <t>inventario</t>
  </si>
  <si>
    <t>factorDemanda</t>
  </si>
  <si>
    <t>mercadoReal</t>
  </si>
  <si>
    <t>precioIdeal</t>
  </si>
  <si>
    <t>pesoPrecio</t>
  </si>
  <si>
    <t>pesoReputacion</t>
  </si>
  <si>
    <t>pesoCalidad</t>
  </si>
  <si>
    <t>puntajePrecio</t>
  </si>
  <si>
    <t>puntajeTotal</t>
  </si>
  <si>
    <t>porcentaje</t>
  </si>
  <si>
    <t>asignado</t>
  </si>
  <si>
    <t>vendido</t>
  </si>
  <si>
    <t>ingreso</t>
  </si>
  <si>
    <t>inventarioFinal</t>
  </si>
  <si>
    <t>precioEfectivo</t>
  </si>
  <si>
    <t>A</t>
  </si>
  <si>
    <t>B</t>
  </si>
  <si>
    <t>C</t>
  </si>
  <si>
    <t>D</t>
  </si>
  <si>
    <t>E</t>
  </si>
  <si>
    <t>Clave</t>
  </si>
  <si>
    <t>Hoja de origen</t>
  </si>
  <si>
    <t>Celda</t>
  </si>
  <si>
    <t>Excel recalculado</t>
  </si>
  <si>
    <t>SIDE obtenido</t>
  </si>
  <si>
    <t>Diferencia</t>
  </si>
  <si>
    <t>Estado</t>
  </si>
  <si>
    <t>SIDE recibido</t>
  </si>
  <si>
    <t>produccion.I8</t>
  </si>
  <si>
    <t>CANTIDAD DE PRODUCCIÓN</t>
  </si>
  <si>
    <t>I8</t>
  </si>
  <si>
    <t>produccion.I14</t>
  </si>
  <si>
    <t>I14</t>
  </si>
  <si>
    <t>produccion.I20</t>
  </si>
  <si>
    <t>I20</t>
  </si>
  <si>
    <t>produccion.K5</t>
  </si>
  <si>
    <t>K5</t>
  </si>
  <si>
    <t>produccion.L5</t>
  </si>
  <si>
    <t>L5</t>
  </si>
  <si>
    <t>produccion.M5</t>
  </si>
  <si>
    <t>M5</t>
  </si>
  <si>
    <t>produccion.N5</t>
  </si>
  <si>
    <t>N5</t>
  </si>
  <si>
    <t>produccion.L9</t>
  </si>
  <si>
    <t>L9</t>
  </si>
  <si>
    <t>produccion.L10</t>
  </si>
  <si>
    <t>L10</t>
  </si>
  <si>
    <t>produccion.M10</t>
  </si>
  <si>
    <t>M10</t>
  </si>
  <si>
    <t>produccion.D37</t>
  </si>
  <si>
    <t>D37</t>
  </si>
  <si>
    <t>produccion.E37</t>
  </si>
  <si>
    <t>E37</t>
  </si>
  <si>
    <t>produccion.D38</t>
  </si>
  <si>
    <t>D38</t>
  </si>
  <si>
    <t>produccion.E38</t>
  </si>
  <si>
    <t>E38</t>
  </si>
  <si>
    <t>produccion.D39</t>
  </si>
  <si>
    <t>D39</t>
  </si>
  <si>
    <t>produccion.E39</t>
  </si>
  <si>
    <t>E39</t>
  </si>
  <si>
    <t>produccion.D56</t>
  </si>
  <si>
    <t>D56</t>
  </si>
  <si>
    <t>produccion.E56</t>
  </si>
  <si>
    <t>E56</t>
  </si>
  <si>
    <t>produccion.G56</t>
  </si>
  <si>
    <t>G56</t>
  </si>
  <si>
    <t>produccion.H56</t>
  </si>
  <si>
    <t>H56</t>
  </si>
  <si>
    <t>produccion.I56</t>
  </si>
  <si>
    <t>I56</t>
  </si>
  <si>
    <t>produccion.D57</t>
  </si>
  <si>
    <t>D57</t>
  </si>
  <si>
    <t>produccion.E57</t>
  </si>
  <si>
    <t>E57</t>
  </si>
  <si>
    <t>produccion.G57</t>
  </si>
  <si>
    <t>G57</t>
  </si>
  <si>
    <t>produccion.H57</t>
  </si>
  <si>
    <t>H57</t>
  </si>
  <si>
    <t>produccion.I57</t>
  </si>
  <si>
    <t>I57</t>
  </si>
  <si>
    <t>produccion.D58</t>
  </si>
  <si>
    <t>D58</t>
  </si>
  <si>
    <t>produccion.E58</t>
  </si>
  <si>
    <t>E58</t>
  </si>
  <si>
    <t>produccion.G58</t>
  </si>
  <si>
    <t>G58</t>
  </si>
  <si>
    <t>produccion.H58</t>
  </si>
  <si>
    <t>H58</t>
  </si>
  <si>
    <t>produccion.I58</t>
  </si>
  <si>
    <t>I58</t>
  </si>
  <si>
    <t>produccion.D63</t>
  </si>
  <si>
    <t>D63</t>
  </si>
  <si>
    <t>produccion.E63</t>
  </si>
  <si>
    <t>E63</t>
  </si>
  <si>
    <t>produccion.F63</t>
  </si>
  <si>
    <t>F63</t>
  </si>
  <si>
    <t>produccion.G63</t>
  </si>
  <si>
    <t>G63</t>
  </si>
  <si>
    <t>produccion.D64</t>
  </si>
  <si>
    <t>D64</t>
  </si>
  <si>
    <t>produccion.E64</t>
  </si>
  <si>
    <t>E64</t>
  </si>
  <si>
    <t>produccion.F64</t>
  </si>
  <si>
    <t>F64</t>
  </si>
  <si>
    <t>produccion.G64</t>
  </si>
  <si>
    <t>G64</t>
  </si>
  <si>
    <t>produccion.D65</t>
  </si>
  <si>
    <t>D65</t>
  </si>
  <si>
    <t>produccion.E65</t>
  </si>
  <si>
    <t>E65</t>
  </si>
  <si>
    <t>produccion.F65</t>
  </si>
  <si>
    <t>F65</t>
  </si>
  <si>
    <t>produccion.G65</t>
  </si>
  <si>
    <t>G65</t>
  </si>
  <si>
    <t>produccion.D66</t>
  </si>
  <si>
    <t>D66</t>
  </si>
  <si>
    <t>produccion.E66</t>
  </si>
  <si>
    <t>E66</t>
  </si>
  <si>
    <t>produccion.F66</t>
  </si>
  <si>
    <t>F66</t>
  </si>
  <si>
    <t>produccion.G66</t>
  </si>
  <si>
    <t>G66</t>
  </si>
  <si>
    <t>produccion.D67</t>
  </si>
  <si>
    <t>D67</t>
  </si>
  <si>
    <t>produccion.E67</t>
  </si>
  <si>
    <t>E67</t>
  </si>
  <si>
    <t>produccion.F67</t>
  </si>
  <si>
    <t>F67</t>
  </si>
  <si>
    <t>produccion.G67</t>
  </si>
  <si>
    <t>G67</t>
  </si>
  <si>
    <t>produccion.D68</t>
  </si>
  <si>
    <t>D68</t>
  </si>
  <si>
    <t>produccion.E68</t>
  </si>
  <si>
    <t>E68</t>
  </si>
  <si>
    <t>produccion.F68</t>
  </si>
  <si>
    <t>F68</t>
  </si>
  <si>
    <t>produccion.G68</t>
  </si>
  <si>
    <t>G68</t>
  </si>
  <si>
    <t>produccion.D69</t>
  </si>
  <si>
    <t>D69</t>
  </si>
  <si>
    <t>produccion.E69</t>
  </si>
  <si>
    <t>E69</t>
  </si>
  <si>
    <t>produccion.F69</t>
  </si>
  <si>
    <t>F69</t>
  </si>
  <si>
    <t>produccion.G69</t>
  </si>
  <si>
    <t>G69</t>
  </si>
  <si>
    <t>produccion.D70</t>
  </si>
  <si>
    <t>D70</t>
  </si>
  <si>
    <t>produccion.E70</t>
  </si>
  <si>
    <t>E70</t>
  </si>
  <si>
    <t>produccion.F70</t>
  </si>
  <si>
    <t>F70</t>
  </si>
  <si>
    <t>produccion.G70</t>
  </si>
  <si>
    <t>G70</t>
  </si>
  <si>
    <t>produccion.D71</t>
  </si>
  <si>
    <t>D71</t>
  </si>
  <si>
    <t>produccion.E71</t>
  </si>
  <si>
    <t>E71</t>
  </si>
  <si>
    <t>produccion.F71</t>
  </si>
  <si>
    <t>F71</t>
  </si>
  <si>
    <t>produccion.G71</t>
  </si>
  <si>
    <t>G71</t>
  </si>
  <si>
    <t>costos.I8</t>
  </si>
  <si>
    <t>Costos De Producción</t>
  </si>
  <si>
    <t>costos.I14</t>
  </si>
  <si>
    <t>costos.I20</t>
  </si>
  <si>
    <t>costos.K5</t>
  </si>
  <si>
    <t>costos.L5</t>
  </si>
  <si>
    <t>costos.M5</t>
  </si>
  <si>
    <t>costos.N5</t>
  </si>
  <si>
    <t>costos.L9</t>
  </si>
  <si>
    <t>costos.L10</t>
  </si>
  <si>
    <t>costos.M10</t>
  </si>
  <si>
    <t>costos.G65</t>
  </si>
  <si>
    <t>costos.V95</t>
  </si>
  <si>
    <t>V95</t>
  </si>
  <si>
    <t>costos.W95</t>
  </si>
  <si>
    <t>W95</t>
  </si>
  <si>
    <t>costos.AB96</t>
  </si>
  <si>
    <t>AB96</t>
  </si>
  <si>
    <t>costos.AC96</t>
  </si>
  <si>
    <t>AC96</t>
  </si>
  <si>
    <t>costos.V100</t>
  </si>
  <si>
    <t>V100</t>
  </si>
  <si>
    <t>costos.W100</t>
  </si>
  <si>
    <t>W100</t>
  </si>
  <si>
    <t>costos.C65</t>
  </si>
  <si>
    <t>C65</t>
  </si>
  <si>
    <t>costos.D65</t>
  </si>
  <si>
    <t>costos.E65</t>
  </si>
  <si>
    <t>costos.F65</t>
  </si>
  <si>
    <t>costos.D46</t>
  </si>
  <si>
    <t>D46</t>
  </si>
  <si>
    <t>costos.E46</t>
  </si>
  <si>
    <t>E46</t>
  </si>
  <si>
    <t>costos.F46</t>
  </si>
  <si>
    <t>F46</t>
  </si>
  <si>
    <t>costos.H46</t>
  </si>
  <si>
    <t>H46</t>
  </si>
  <si>
    <t>costos.I46</t>
  </si>
  <si>
    <t>I46</t>
  </si>
  <si>
    <t>costos.J46</t>
  </si>
  <si>
    <t>J46</t>
  </si>
  <si>
    <t>costos.L46</t>
  </si>
  <si>
    <t>L46</t>
  </si>
  <si>
    <t>costos.M46</t>
  </si>
  <si>
    <t>M46</t>
  </si>
  <si>
    <t>costos.N46</t>
  </si>
  <si>
    <t>N46</t>
  </si>
  <si>
    <t>costos.D47</t>
  </si>
  <si>
    <t>D47</t>
  </si>
  <si>
    <t>costos.E47</t>
  </si>
  <si>
    <t>E47</t>
  </si>
  <si>
    <t>costos.F47</t>
  </si>
  <si>
    <t>F47</t>
  </si>
  <si>
    <t>costos.H47</t>
  </si>
  <si>
    <t>H47</t>
  </si>
  <si>
    <t>costos.I47</t>
  </si>
  <si>
    <t>I47</t>
  </si>
  <si>
    <t>costos.J47</t>
  </si>
  <si>
    <t>J47</t>
  </si>
  <si>
    <t>costos.L47</t>
  </si>
  <si>
    <t>L47</t>
  </si>
  <si>
    <t>costos.M47</t>
  </si>
  <si>
    <t>M47</t>
  </si>
  <si>
    <t>costos.N47</t>
  </si>
  <si>
    <t>N47</t>
  </si>
  <si>
    <t>costos.D48</t>
  </si>
  <si>
    <t>D48</t>
  </si>
  <si>
    <t>costos.E48</t>
  </si>
  <si>
    <t>E48</t>
  </si>
  <si>
    <t>costos.F48</t>
  </si>
  <si>
    <t>F48</t>
  </si>
  <si>
    <t>costos.H48</t>
  </si>
  <si>
    <t>H48</t>
  </si>
  <si>
    <t>costos.I48</t>
  </si>
  <si>
    <t>I48</t>
  </si>
  <si>
    <t>costos.J48</t>
  </si>
  <si>
    <t>J48</t>
  </si>
  <si>
    <t>costos.L48</t>
  </si>
  <si>
    <t>L48</t>
  </si>
  <si>
    <t>costos.M48</t>
  </si>
  <si>
    <t>M48</t>
  </si>
  <si>
    <t>costos.N48</t>
  </si>
  <si>
    <t>N48</t>
  </si>
  <si>
    <t>costos.D49</t>
  </si>
  <si>
    <t>D49</t>
  </si>
  <si>
    <t>costos.E49</t>
  </si>
  <si>
    <t>E49</t>
  </si>
  <si>
    <t>costos.F49</t>
  </si>
  <si>
    <t>F49</t>
  </si>
  <si>
    <t>costos.H49</t>
  </si>
  <si>
    <t>H49</t>
  </si>
  <si>
    <t>costos.I49</t>
  </si>
  <si>
    <t>I49</t>
  </si>
  <si>
    <t>costos.J49</t>
  </si>
  <si>
    <t>J49</t>
  </si>
  <si>
    <t>costos.L49</t>
  </si>
  <si>
    <t>L49</t>
  </si>
  <si>
    <t>costos.M49</t>
  </si>
  <si>
    <t>M49</t>
  </si>
  <si>
    <t>costos.N49</t>
  </si>
  <si>
    <t>N49</t>
  </si>
  <si>
    <t>costos.D54</t>
  </si>
  <si>
    <t>D54</t>
  </si>
  <si>
    <t>costos.E54</t>
  </si>
  <si>
    <t>E54</t>
  </si>
  <si>
    <t>costos.F54</t>
  </si>
  <si>
    <t>F54</t>
  </si>
  <si>
    <t>costos.G54</t>
  </si>
  <si>
    <t>G54</t>
  </si>
  <si>
    <t>costos.D55</t>
  </si>
  <si>
    <t>D55</t>
  </si>
  <si>
    <t>costos.E55</t>
  </si>
  <si>
    <t>E55</t>
  </si>
  <si>
    <t>costos.F55</t>
  </si>
  <si>
    <t>F55</t>
  </si>
  <si>
    <t>costos.G55</t>
  </si>
  <si>
    <t>G55</t>
  </si>
  <si>
    <t>costos.D56</t>
  </si>
  <si>
    <t>costos.E56</t>
  </si>
  <si>
    <t>costos.F56</t>
  </si>
  <si>
    <t>F56</t>
  </si>
  <si>
    <t>costos.G56</t>
  </si>
  <si>
    <t>costos.D57</t>
  </si>
  <si>
    <t>costos.E57</t>
  </si>
  <si>
    <t>costos.F57</t>
  </si>
  <si>
    <t>F57</t>
  </si>
  <si>
    <t>costos.G57</t>
  </si>
  <si>
    <t>costos.D58</t>
  </si>
  <si>
    <t>costos.E58</t>
  </si>
  <si>
    <t>costos.F58</t>
  </si>
  <si>
    <t>F58</t>
  </si>
  <si>
    <t>costos.G58</t>
  </si>
  <si>
    <t>costos.D59</t>
  </si>
  <si>
    <t>D59</t>
  </si>
  <si>
    <t>costos.E59</t>
  </si>
  <si>
    <t>E59</t>
  </si>
  <si>
    <t>costos.F59</t>
  </si>
  <si>
    <t>F59</t>
  </si>
  <si>
    <t>costos.G59</t>
  </si>
  <si>
    <t>G59</t>
  </si>
  <si>
    <t>costos.D60</t>
  </si>
  <si>
    <t>D60</t>
  </si>
  <si>
    <t>costos.E60</t>
  </si>
  <si>
    <t>E60</t>
  </si>
  <si>
    <t>costos.F60</t>
  </si>
  <si>
    <t>F60</t>
  </si>
  <si>
    <t>costos.G60</t>
  </si>
  <si>
    <t>G60</t>
  </si>
  <si>
    <t>costos.D61</t>
  </si>
  <si>
    <t>D61</t>
  </si>
  <si>
    <t>costos.E61</t>
  </si>
  <si>
    <t>E61</t>
  </si>
  <si>
    <t>costos.F61</t>
  </si>
  <si>
    <t>F61</t>
  </si>
  <si>
    <t>costos.G61</t>
  </si>
  <si>
    <t>G61</t>
  </si>
  <si>
    <t>costos.U11</t>
  </si>
  <si>
    <t>U11</t>
  </si>
  <si>
    <t>costos.V11</t>
  </si>
  <si>
    <t>V11</t>
  </si>
  <si>
    <t>costos.Y11</t>
  </si>
  <si>
    <t>Y11</t>
  </si>
  <si>
    <t>costos.Z11</t>
  </si>
  <si>
    <t>Z11</t>
  </si>
  <si>
    <t>costos.AC11</t>
  </si>
  <si>
    <t>AC11</t>
  </si>
  <si>
    <t>costos.AD11</t>
  </si>
  <si>
    <t>AD11</t>
  </si>
  <si>
    <t>costos.U20</t>
  </si>
  <si>
    <t>U20</t>
  </si>
  <si>
    <t>costos.V20</t>
  </si>
  <si>
    <t>V20</t>
  </si>
  <si>
    <t>costos.Y20</t>
  </si>
  <si>
    <t>Y20</t>
  </si>
  <si>
    <t>costos.Z20</t>
  </si>
  <si>
    <t>Z20</t>
  </si>
  <si>
    <t>costos.AC20</t>
  </si>
  <si>
    <t>AC20</t>
  </si>
  <si>
    <t>costos.AD20</t>
  </si>
  <si>
    <t>AD20</t>
  </si>
  <si>
    <t>costos.U29</t>
  </si>
  <si>
    <t>U29</t>
  </si>
  <si>
    <t>costos.V29</t>
  </si>
  <si>
    <t>V29</t>
  </si>
  <si>
    <t>costos.Y29</t>
  </si>
  <si>
    <t>Y29</t>
  </si>
  <si>
    <t>costos.Z29</t>
  </si>
  <si>
    <t>Z29</t>
  </si>
  <si>
    <t>costos.AC29</t>
  </si>
  <si>
    <t>AC29</t>
  </si>
  <si>
    <t>costos.AD29</t>
  </si>
  <si>
    <t>AD29</t>
  </si>
  <si>
    <t>costos.U38</t>
  </si>
  <si>
    <t>U38</t>
  </si>
  <si>
    <t>costos.V38</t>
  </si>
  <si>
    <t>V38</t>
  </si>
  <si>
    <t>costos.Y38</t>
  </si>
  <si>
    <t>Y38</t>
  </si>
  <si>
    <t>costos.Z38</t>
  </si>
  <si>
    <t>Z38</t>
  </si>
  <si>
    <t>costos.U50</t>
  </si>
  <si>
    <t>U50</t>
  </si>
  <si>
    <t>costos.V50</t>
  </si>
  <si>
    <t>V50</t>
  </si>
  <si>
    <t>costos.Y50</t>
  </si>
  <si>
    <t>Y50</t>
  </si>
  <si>
    <t>costos.Z50</t>
  </si>
  <si>
    <t>Z50</t>
  </si>
  <si>
    <t>costos.AC50</t>
  </si>
  <si>
    <t>AC50</t>
  </si>
  <si>
    <t>costos.AD50</t>
  </si>
  <si>
    <t>AD50</t>
  </si>
  <si>
    <t>costos.U57</t>
  </si>
  <si>
    <t>U57</t>
  </si>
  <si>
    <t>costos.V57</t>
  </si>
  <si>
    <t>V57</t>
  </si>
  <si>
    <t>costos.Y57</t>
  </si>
  <si>
    <t>Y57</t>
  </si>
  <si>
    <t>costos.Z57</t>
  </si>
  <si>
    <t>Z57</t>
  </si>
  <si>
    <t>costos.AC57</t>
  </si>
  <si>
    <t>AC57</t>
  </si>
  <si>
    <t>costos.AD57</t>
  </si>
  <si>
    <t>AD57</t>
  </si>
  <si>
    <t>costos.Y58</t>
  </si>
  <si>
    <t>Y58</t>
  </si>
  <si>
    <t>costos.Z58</t>
  </si>
  <si>
    <t>Z58</t>
  </si>
  <si>
    <t>costos.AC58</t>
  </si>
  <si>
    <t>AC58</t>
  </si>
  <si>
    <t>costos.AD58</t>
  </si>
  <si>
    <t>AD58</t>
  </si>
  <si>
    <t>costos.U64</t>
  </si>
  <si>
    <t>U64</t>
  </si>
  <si>
    <t>costos.V64</t>
  </si>
  <si>
    <t>V64</t>
  </si>
  <si>
    <t>costos.Y64</t>
  </si>
  <si>
    <t>Y64</t>
  </si>
  <si>
    <t>costos.Z64</t>
  </si>
  <si>
    <t>Z64</t>
  </si>
  <si>
    <t>costos.AC64</t>
  </si>
  <si>
    <t>AC64</t>
  </si>
  <si>
    <t>costos.AD64</t>
  </si>
  <si>
    <t>AD64</t>
  </si>
  <si>
    <t>costos.Y66</t>
  </si>
  <si>
    <t>Y66</t>
  </si>
  <si>
    <t>costos.Z66</t>
  </si>
  <si>
    <t>Z66</t>
  </si>
  <si>
    <t>costos.AC66</t>
  </si>
  <si>
    <t>AC66</t>
  </si>
  <si>
    <t>costos.AD66</t>
  </si>
  <si>
    <t>AD66</t>
  </si>
  <si>
    <t>costos.U71</t>
  </si>
  <si>
    <t>U71</t>
  </si>
  <si>
    <t>costos.V71</t>
  </si>
  <si>
    <t>V71</t>
  </si>
  <si>
    <t>lotes.H2</t>
  </si>
  <si>
    <t>Lotes_Produccion</t>
  </si>
  <si>
    <t>H2</t>
  </si>
  <si>
    <t>lotes.I2</t>
  </si>
  <si>
    <t>I2</t>
  </si>
  <si>
    <t>lotes.J2</t>
  </si>
  <si>
    <t>J2</t>
  </si>
  <si>
    <t>lotes.K2</t>
  </si>
  <si>
    <t>K2</t>
  </si>
  <si>
    <t>Coherente</t>
  </si>
  <si>
    <t>lotes.L2</t>
  </si>
  <si>
    <t>L2</t>
  </si>
  <si>
    <t>Este lote cumple con la calidad esperada para su segmento. Los clientes perciben el valor y el precio se sostiene.</t>
  </si>
  <si>
    <t>lotes.H3</t>
  </si>
  <si>
    <t>H3</t>
  </si>
  <si>
    <t>lotes.I3</t>
  </si>
  <si>
    <t>I3</t>
  </si>
  <si>
    <t>lotes.J3</t>
  </si>
  <si>
    <t>J3</t>
  </si>
  <si>
    <t>lotes.K3</t>
  </si>
  <si>
    <t>K3</t>
  </si>
  <si>
    <t>lotes.L3</t>
  </si>
  <si>
    <t>L3</t>
  </si>
  <si>
    <t>lotes.H4</t>
  </si>
  <si>
    <t>H4</t>
  </si>
  <si>
    <t>lotes.I4</t>
  </si>
  <si>
    <t>I4</t>
  </si>
  <si>
    <t>lotes.J4</t>
  </si>
  <si>
    <t>J4</t>
  </si>
  <si>
    <t>lotes.K4</t>
  </si>
  <si>
    <t>K4</t>
  </si>
  <si>
    <t>No alcanza el segmento</t>
  </si>
  <si>
    <t>lotes.L4</t>
  </si>
  <si>
    <t>L4</t>
  </si>
  <si>
    <t>Este lote no alcanza la calidad que su segmento promete. Los clientes se sienten enganados: baja el precio efectivo y la reputacion.</t>
  </si>
  <si>
    <t>lotes.C5</t>
  </si>
  <si>
    <t>C5</t>
  </si>
  <si>
    <t>lotes.H5</t>
  </si>
  <si>
    <t>H5</t>
  </si>
  <si>
    <t>motor.B6</t>
  </si>
  <si>
    <t>Motor_Puntajes</t>
  </si>
  <si>
    <t>B6</t>
  </si>
  <si>
    <t>motor.D6</t>
  </si>
  <si>
    <t>D6</t>
  </si>
  <si>
    <t>Medio</t>
  </si>
  <si>
    <t>motor.B9</t>
  </si>
  <si>
    <t>B9</t>
  </si>
  <si>
    <t>motor.D9</t>
  </si>
  <si>
    <t>D9</t>
  </si>
  <si>
    <t>Alto</t>
  </si>
  <si>
    <t>motor.B10</t>
  </si>
  <si>
    <t>B10</t>
  </si>
  <si>
    <t>motor.D10</t>
  </si>
  <si>
    <t>D10</t>
  </si>
  <si>
    <t>motor.B11</t>
  </si>
  <si>
    <t>B11</t>
  </si>
  <si>
    <t>motor.D11</t>
  </si>
  <si>
    <t>D11</t>
  </si>
  <si>
    <t>Bajo</t>
  </si>
  <si>
    <t>ventas_modelo2.E118</t>
  </si>
  <si>
    <t>E118</t>
  </si>
  <si>
    <t>ventas_modelo2.F118</t>
  </si>
  <si>
    <t>F118</t>
  </si>
  <si>
    <t>ventas_modelo2.G118</t>
  </si>
  <si>
    <t>G118</t>
  </si>
  <si>
    <t>ventas_modelo2.H118</t>
  </si>
  <si>
    <t>H118</t>
  </si>
  <si>
    <t>ventas_modelo2.I118</t>
  </si>
  <si>
    <t>I118</t>
  </si>
  <si>
    <t>ventas_modelo2.J118</t>
  </si>
  <si>
    <t>J118</t>
  </si>
  <si>
    <t>ventas_modelo2.E119</t>
  </si>
  <si>
    <t>E119</t>
  </si>
  <si>
    <t>ventas_modelo2.F119</t>
  </si>
  <si>
    <t>F119</t>
  </si>
  <si>
    <t>ventas_modelo2.G119</t>
  </si>
  <si>
    <t>G119</t>
  </si>
  <si>
    <t>ventas_modelo2.H119</t>
  </si>
  <si>
    <t>H119</t>
  </si>
  <si>
    <t>ventas_modelo2.I119</t>
  </si>
  <si>
    <t>I119</t>
  </si>
  <si>
    <t>ventas_modelo2.J119</t>
  </si>
  <si>
    <t>J119</t>
  </si>
  <si>
    <t>ventas_modelo2.E120</t>
  </si>
  <si>
    <t>E120</t>
  </si>
  <si>
    <t>ventas_modelo2.F120</t>
  </si>
  <si>
    <t>F120</t>
  </si>
  <si>
    <t>ventas_modelo2.G120</t>
  </si>
  <si>
    <t>G120</t>
  </si>
  <si>
    <t>ventas_modelo2.H120</t>
  </si>
  <si>
    <t>H120</t>
  </si>
  <si>
    <t>ventas_modelo2.I120</t>
  </si>
  <si>
    <t>I120</t>
  </si>
  <si>
    <t>ventas_modelo2.J120</t>
  </si>
  <si>
    <t>J120</t>
  </si>
  <si>
    <t>ventas_modelo2.E121</t>
  </si>
  <si>
    <t>E121</t>
  </si>
  <si>
    <t>ventas_modelo2.F121</t>
  </si>
  <si>
    <t>F121</t>
  </si>
  <si>
    <t>ventas_modelo2.G121</t>
  </si>
  <si>
    <t>G121</t>
  </si>
  <si>
    <t>ventas_modelo2.H121</t>
  </si>
  <si>
    <t>H121</t>
  </si>
  <si>
    <t>ventas_modelo2.I121</t>
  </si>
  <si>
    <t>I121</t>
  </si>
  <si>
    <t>ventas_modelo2.J121</t>
  </si>
  <si>
    <t>J121</t>
  </si>
  <si>
    <t>ventas_modelo2.E131</t>
  </si>
  <si>
    <t>E131</t>
  </si>
  <si>
    <t>ventas_modelo2.F131</t>
  </si>
  <si>
    <t>F131</t>
  </si>
  <si>
    <t>ventas_modelo2.G131</t>
  </si>
  <si>
    <t>G131</t>
  </si>
  <si>
    <t>ventas_modelo2.H131</t>
  </si>
  <si>
    <t>H131</t>
  </si>
  <si>
    <t>ventas_modelo2.I131</t>
  </si>
  <si>
    <t>I131</t>
  </si>
  <si>
    <t>ventas_modelo2.J131</t>
  </si>
  <si>
    <t>J131</t>
  </si>
  <si>
    <t>ventas_modelo2.E132</t>
  </si>
  <si>
    <t>E132</t>
  </si>
  <si>
    <t>ventas_modelo2.F132</t>
  </si>
  <si>
    <t>F132</t>
  </si>
  <si>
    <t>ventas_modelo2.G132</t>
  </si>
  <si>
    <t>G132</t>
  </si>
  <si>
    <t>ventas_modelo2.H132</t>
  </si>
  <si>
    <t>H132</t>
  </si>
  <si>
    <t>ventas_modelo2.I132</t>
  </si>
  <si>
    <t>I132</t>
  </si>
  <si>
    <t>ventas_modelo2.J132</t>
  </si>
  <si>
    <t>J132</t>
  </si>
  <si>
    <t>ventas_modelo2.E133</t>
  </si>
  <si>
    <t>E133</t>
  </si>
  <si>
    <t>ventas_modelo2.F133</t>
  </si>
  <si>
    <t>F133</t>
  </si>
  <si>
    <t>ventas_modelo2.G133</t>
  </si>
  <si>
    <t>G133</t>
  </si>
  <si>
    <t>ventas_modelo2.H133</t>
  </si>
  <si>
    <t>H133</t>
  </si>
  <si>
    <t>ventas_modelo2.I133</t>
  </si>
  <si>
    <t>I133</t>
  </si>
  <si>
    <t>ventas_modelo2.J133</t>
  </si>
  <si>
    <t>J133</t>
  </si>
  <si>
    <t>ventas_modelo2.E134</t>
  </si>
  <si>
    <t>E134</t>
  </si>
  <si>
    <t>ventas_modelo2.F134</t>
  </si>
  <si>
    <t>F134</t>
  </si>
  <si>
    <t>ventas_modelo2.G134</t>
  </si>
  <si>
    <t>G134</t>
  </si>
  <si>
    <t>ventas_modelo2.H134</t>
  </si>
  <si>
    <t>H134</t>
  </si>
  <si>
    <t>ventas_modelo2.I134</t>
  </si>
  <si>
    <t>I134</t>
  </si>
  <si>
    <t>ventas_modelo2.J134</t>
  </si>
  <si>
    <t>J134</t>
  </si>
  <si>
    <t>ventas_modelo2.E144</t>
  </si>
  <si>
    <t>E144</t>
  </si>
  <si>
    <t>ventas_modelo2.F144</t>
  </si>
  <si>
    <t>F144</t>
  </si>
  <si>
    <t>ventas_modelo2.G144</t>
  </si>
  <si>
    <t>G144</t>
  </si>
  <si>
    <t>ventas_modelo2.H144</t>
  </si>
  <si>
    <t>H144</t>
  </si>
  <si>
    <t>ventas_modelo2.I144</t>
  </si>
  <si>
    <t>I144</t>
  </si>
  <si>
    <t>ventas_modelo2.J144</t>
  </si>
  <si>
    <t>J144</t>
  </si>
  <si>
    <t>ventas_modelo2.E145</t>
  </si>
  <si>
    <t>E145</t>
  </si>
  <si>
    <t>ventas_modelo2.F145</t>
  </si>
  <si>
    <t>F145</t>
  </si>
  <si>
    <t>ventas_modelo2.G145</t>
  </si>
  <si>
    <t>G145</t>
  </si>
  <si>
    <t>ventas_modelo2.H145</t>
  </si>
  <si>
    <t>H145</t>
  </si>
  <si>
    <t>ventas_modelo2.I145</t>
  </si>
  <si>
    <t>I145</t>
  </si>
  <si>
    <t>ventas_modelo2.J145</t>
  </si>
  <si>
    <t>J145</t>
  </si>
  <si>
    <t>ventas_modelo2.E146</t>
  </si>
  <si>
    <t>E146</t>
  </si>
  <si>
    <t>ventas_modelo2.F146</t>
  </si>
  <si>
    <t>F146</t>
  </si>
  <si>
    <t>ventas_modelo2.G146</t>
  </si>
  <si>
    <t>G146</t>
  </si>
  <si>
    <t>ventas_modelo2.H146</t>
  </si>
  <si>
    <t>H146</t>
  </si>
  <si>
    <t>ventas_modelo2.I146</t>
  </si>
  <si>
    <t>I146</t>
  </si>
  <si>
    <t>ventas_modelo2.J146</t>
  </si>
  <si>
    <t>J146</t>
  </si>
  <si>
    <t>ventas_modelo2.E147</t>
  </si>
  <si>
    <t>E147</t>
  </si>
  <si>
    <t>ventas_modelo2.F147</t>
  </si>
  <si>
    <t>F147</t>
  </si>
  <si>
    <t>ventas_modelo2.G147</t>
  </si>
  <si>
    <t>G147</t>
  </si>
  <si>
    <t>ventas_modelo2.H147</t>
  </si>
  <si>
    <t>H147</t>
  </si>
  <si>
    <t>ventas_modelo2.I147</t>
  </si>
  <si>
    <t>I147</t>
  </si>
  <si>
    <t>ventas_modelo2.J147</t>
  </si>
  <si>
    <t>J147</t>
  </si>
  <si>
    <t>ventas_modelo1.E73</t>
  </si>
  <si>
    <t>E73</t>
  </si>
  <si>
    <t>ventas_modelo1.F73</t>
  </si>
  <si>
    <t>F73</t>
  </si>
  <si>
    <t>ventas_modelo1.G73</t>
  </si>
  <si>
    <t>G73</t>
  </si>
  <si>
    <t>ventas_modelo1.H73</t>
  </si>
  <si>
    <t>H73</t>
  </si>
  <si>
    <t>ventas_modelo1.E74</t>
  </si>
  <si>
    <t>E74</t>
  </si>
  <si>
    <t>ventas_modelo1.F74</t>
  </si>
  <si>
    <t>F74</t>
  </si>
  <si>
    <t>ventas_modelo1.G74</t>
  </si>
  <si>
    <t>G74</t>
  </si>
  <si>
    <t>ventas_modelo1.H74</t>
  </si>
  <si>
    <t>H74</t>
  </si>
  <si>
    <t>ventas_modelo1.E75</t>
  </si>
  <si>
    <t>E75</t>
  </si>
  <si>
    <t>ventas_modelo1.F75</t>
  </si>
  <si>
    <t>F75</t>
  </si>
  <si>
    <t>ventas_modelo1.G75</t>
  </si>
  <si>
    <t>G75</t>
  </si>
  <si>
    <t>ventas_modelo1.H75</t>
  </si>
  <si>
    <t>H75</t>
  </si>
  <si>
    <t>ventas_modelo1.E76</t>
  </si>
  <si>
    <t>E76</t>
  </si>
  <si>
    <t>ventas_modelo1.F76</t>
  </si>
  <si>
    <t>F76</t>
  </si>
  <si>
    <t>ventas_modelo1.G76</t>
  </si>
  <si>
    <t>G76</t>
  </si>
  <si>
    <t>ventas_modelo1.H76</t>
  </si>
  <si>
    <t>H76</t>
  </si>
  <si>
    <t>ventas_modelo1.E87</t>
  </si>
  <si>
    <t>E87</t>
  </si>
  <si>
    <t>ventas_modelo1.F87</t>
  </si>
  <si>
    <t>F87</t>
  </si>
  <si>
    <t>ventas_modelo1.G87</t>
  </si>
  <si>
    <t>G87</t>
  </si>
  <si>
    <t>ventas_modelo1.H87</t>
  </si>
  <si>
    <t>H87</t>
  </si>
  <si>
    <t>ventas_modelo1.E88</t>
  </si>
  <si>
    <t>E88</t>
  </si>
  <si>
    <t>ventas_modelo1.F88</t>
  </si>
  <si>
    <t>F88</t>
  </si>
  <si>
    <t>ventas_modelo1.G88</t>
  </si>
  <si>
    <t>G88</t>
  </si>
  <si>
    <t>ventas_modelo1.H88</t>
  </si>
  <si>
    <t>H88</t>
  </si>
  <si>
    <t>ventas_modelo1.E89</t>
  </si>
  <si>
    <t>E89</t>
  </si>
  <si>
    <t>ventas_modelo1.F89</t>
  </si>
  <si>
    <t>F89</t>
  </si>
  <si>
    <t>ventas_modelo1.G89</t>
  </si>
  <si>
    <t>G89</t>
  </si>
  <si>
    <t>ventas_modelo1.H89</t>
  </si>
  <si>
    <t>H89</t>
  </si>
  <si>
    <t>ventas_modelo1.E90</t>
  </si>
  <si>
    <t>E90</t>
  </si>
  <si>
    <t>ventas_modelo1.F90</t>
  </si>
  <si>
    <t>F90</t>
  </si>
  <si>
    <t>ventas_modelo1.G90</t>
  </si>
  <si>
    <t>G90</t>
  </si>
  <si>
    <t>ventas_modelo1.H90</t>
  </si>
  <si>
    <t>H90</t>
  </si>
  <si>
    <t>ventas_modelo1.E101</t>
  </si>
  <si>
    <t>E101</t>
  </si>
  <si>
    <t>ventas_modelo1.F101</t>
  </si>
  <si>
    <t>F101</t>
  </si>
  <si>
    <t>ventas_modelo1.G101</t>
  </si>
  <si>
    <t>G101</t>
  </si>
  <si>
    <t>ventas_modelo1.H101</t>
  </si>
  <si>
    <t>H101</t>
  </si>
  <si>
    <t>ventas_modelo1.E102</t>
  </si>
  <si>
    <t>E102</t>
  </si>
  <si>
    <t>ventas_modelo1.F102</t>
  </si>
  <si>
    <t>F102</t>
  </si>
  <si>
    <t>ventas_modelo1.G102</t>
  </si>
  <si>
    <t>G102</t>
  </si>
  <si>
    <t>ventas_modelo1.H102</t>
  </si>
  <si>
    <t>H102</t>
  </si>
  <si>
    <t>ventas_modelo1.E103</t>
  </si>
  <si>
    <t>E103</t>
  </si>
  <si>
    <t>ventas_modelo1.F103</t>
  </si>
  <si>
    <t>F103</t>
  </si>
  <si>
    <t>ventas_modelo1.G103</t>
  </si>
  <si>
    <t>G103</t>
  </si>
  <si>
    <t>ventas_modelo1.H103</t>
  </si>
  <si>
    <t>H103</t>
  </si>
  <si>
    <t>ventas_modelo1.E104</t>
  </si>
  <si>
    <t>E104</t>
  </si>
  <si>
    <t>ventas_modelo1.F104</t>
  </si>
  <si>
    <t>F104</t>
  </si>
  <si>
    <t>ventas_modelo1.G104</t>
  </si>
  <si>
    <t>G104</t>
  </si>
  <si>
    <t>ventas_modelo1.H104</t>
  </si>
  <si>
    <t>H104</t>
  </si>
  <si>
    <t>ciclo.1.A.calidad</t>
  </si>
  <si>
    <t>Pipeline_sim1</t>
  </si>
  <si>
    <t>AI2</t>
  </si>
  <si>
    <t>ciclo.1.A.puntajeEficiencia</t>
  </si>
  <si>
    <t>AF2</t>
  </si>
  <si>
    <t>ciclo.1.A.reputacionMatriz</t>
  </si>
  <si>
    <t>AL2</t>
  </si>
  <si>
    <t>ciclo.1.A.saludFinanciera</t>
  </si>
  <si>
    <t>AH2</t>
  </si>
  <si>
    <t>ciclo.1.A.capacidadDiaria</t>
  </si>
  <si>
    <t>CC2</t>
  </si>
  <si>
    <t>ciclo.1.A.capacidadCiclo</t>
  </si>
  <si>
    <t>CD2</t>
  </si>
  <si>
    <t>ciclo.1.A.factorEficiencia</t>
  </si>
  <si>
    <t>CB2</t>
  </si>
  <si>
    <t>ciclo.1.A.produccionCapacidad</t>
  </si>
  <si>
    <t>CE2</t>
  </si>
  <si>
    <t>ciclo.1.A.producido</t>
  </si>
  <si>
    <t>CZ2</t>
  </si>
  <si>
    <t>ciclo.1.A.consumoCuero</t>
  </si>
  <si>
    <t>DA2</t>
  </si>
  <si>
    <t>ciclo.1.A.consumoAccesorios</t>
  </si>
  <si>
    <t>DH2</t>
  </si>
  <si>
    <t>ciclo.1.A.consumoHilo</t>
  </si>
  <si>
    <t>DM2</t>
  </si>
  <si>
    <t>ciclo.1.A.costoMO</t>
  </si>
  <si>
    <t>DT2</t>
  </si>
  <si>
    <t>ciclo.1.A.costoMP</t>
  </si>
  <si>
    <t>DU2</t>
  </si>
  <si>
    <t>ciclo.1.A.mantenimiento</t>
  </si>
  <si>
    <t>DV2</t>
  </si>
  <si>
    <t>ciclo.1.A.depreciacion</t>
  </si>
  <si>
    <t>DW2</t>
  </si>
  <si>
    <t>ciclo.1.A.reputacionOperativa</t>
  </si>
  <si>
    <t>DX2</t>
  </si>
  <si>
    <t>ciclo.1.A.reputacionMercado</t>
  </si>
  <si>
    <t>DY2</t>
  </si>
  <si>
    <t>ciclo.1.A.asignado</t>
  </si>
  <si>
    <t>EG2</t>
  </si>
  <si>
    <t>ciclo.1.A.demandaAjustada</t>
  </si>
  <si>
    <t>EH2</t>
  </si>
  <si>
    <t>ciclo.1.A.vendido</t>
  </si>
  <si>
    <t>EI2</t>
  </si>
  <si>
    <t>ciclo.1.A.ingresos</t>
  </si>
  <si>
    <t>EJ2</t>
  </si>
  <si>
    <t>ciclo.1.A.inventarioProducto</t>
  </si>
  <si>
    <t>EK2</t>
  </si>
  <si>
    <t>ciclo.1.A.almacenaje</t>
  </si>
  <si>
    <t>EL2</t>
  </si>
  <si>
    <t>ciclo.1.A.horasExtra</t>
  </si>
  <si>
    <t>EM2</t>
  </si>
  <si>
    <t>ciclo.1.A.costoGarantia</t>
  </si>
  <si>
    <t>EN2</t>
  </si>
  <si>
    <t>ciclo.1.A.costoRecurrente</t>
  </si>
  <si>
    <t>EO2</t>
  </si>
  <si>
    <t>ciclo.1.A.costosTotales</t>
  </si>
  <si>
    <t>EQ2</t>
  </si>
  <si>
    <t>ciclo.1.A.utilidad</t>
  </si>
  <si>
    <t>ER2</t>
  </si>
  <si>
    <t>ciclo.1.A.ciclosReputacionBaja</t>
  </si>
  <si>
    <t>AM2</t>
  </si>
  <si>
    <t>ciclo.1.A.tasaAdicionalPP</t>
  </si>
  <si>
    <t>AO2</t>
  </si>
  <si>
    <t>ciclo.1.A.stockMP_INS-01</t>
  </si>
  <si>
    <t>DC2</t>
  </si>
  <si>
    <t>ciclo.1.A.stockMP_INS-02</t>
  </si>
  <si>
    <t>DE2</t>
  </si>
  <si>
    <t>ciclo.1.A.stockMP_INS-03</t>
  </si>
  <si>
    <t>DG2</t>
  </si>
  <si>
    <t>ciclo.1.A.stockMP_INS-04</t>
  </si>
  <si>
    <t>DJ2</t>
  </si>
  <si>
    <t>ciclo.1.A.stockMP_INS-05</t>
  </si>
  <si>
    <t>DL2</t>
  </si>
  <si>
    <t>ciclo.1.A.stockMP_INS-06</t>
  </si>
  <si>
    <t>DO2</t>
  </si>
  <si>
    <t>ciclo.1.A.stockMP_INS-07</t>
  </si>
  <si>
    <t>DQ2</t>
  </si>
  <si>
    <t>ciclo.1.A.stockMP_INS-08</t>
  </si>
  <si>
    <t>DS2</t>
  </si>
  <si>
    <t>ciclo.1.A.CONS-01</t>
  </si>
  <si>
    <t>ES2</t>
  </si>
  <si>
    <t>ciclo.1.A.CONS-02</t>
  </si>
  <si>
    <t>ET2</t>
  </si>
  <si>
    <t>ciclo.1.A.CONS-03</t>
  </si>
  <si>
    <t>EU2</t>
  </si>
  <si>
    <t>ciclo.1.A.CONS-04</t>
  </si>
  <si>
    <t>EV2</t>
  </si>
  <si>
    <t>ciclo.1.A.CONS-05</t>
  </si>
  <si>
    <t>EW2</t>
  </si>
  <si>
    <t>ciclo.1.A.CONS-06</t>
  </si>
  <si>
    <t>EX2</t>
  </si>
  <si>
    <t>ciclo.1.A.CONS-07</t>
  </si>
  <si>
    <t>EY2</t>
  </si>
  <si>
    <t>ciclo.1.A.CONS-08</t>
  </si>
  <si>
    <t>EZ2</t>
  </si>
  <si>
    <t>ciclo.1.A.financiamiento.montoPrestamo</t>
  </si>
  <si>
    <t>AP2</t>
  </si>
  <si>
    <t>ciclo.1.A.financiamiento.tasaTEA</t>
  </si>
  <si>
    <t>AR2</t>
  </si>
  <si>
    <t>ciclo.1.A.financiamiento.deudaPrincipal</t>
  </si>
  <si>
    <t>AS2</t>
  </si>
  <si>
    <t>ciclo.1.A.financiamiento.tasaAdicionalProximoPrestamo</t>
  </si>
  <si>
    <t>AT2</t>
  </si>
  <si>
    <t>ciclo.1.B.calidad</t>
  </si>
  <si>
    <t>AI3</t>
  </si>
  <si>
    <t>ciclo.1.B.puntajeEficiencia</t>
  </si>
  <si>
    <t>AF3</t>
  </si>
  <si>
    <t>ciclo.1.B.reputacionMatriz</t>
  </si>
  <si>
    <t>AL3</t>
  </si>
  <si>
    <t>ciclo.1.B.saludFinanciera</t>
  </si>
  <si>
    <t>AH3</t>
  </si>
  <si>
    <t>ciclo.1.B.capacidadDiaria</t>
  </si>
  <si>
    <t>CC3</t>
  </si>
  <si>
    <t>ciclo.1.B.capacidadCiclo</t>
  </si>
  <si>
    <t>CD3</t>
  </si>
  <si>
    <t>ciclo.1.B.factorEficiencia</t>
  </si>
  <si>
    <t>CB3</t>
  </si>
  <si>
    <t>ciclo.1.B.produccionCapacidad</t>
  </si>
  <si>
    <t>CE3</t>
  </si>
  <si>
    <t>ciclo.1.B.producido</t>
  </si>
  <si>
    <t>CZ3</t>
  </si>
  <si>
    <t>ciclo.1.B.consumoCuero</t>
  </si>
  <si>
    <t>DA3</t>
  </si>
  <si>
    <t>ciclo.1.B.consumoAccesorios</t>
  </si>
  <si>
    <t>DH3</t>
  </si>
  <si>
    <t>ciclo.1.B.consumoHilo</t>
  </si>
  <si>
    <t>DM3</t>
  </si>
  <si>
    <t>ciclo.1.B.costoMO</t>
  </si>
  <si>
    <t>DT3</t>
  </si>
  <si>
    <t>ciclo.1.B.costoMP</t>
  </si>
  <si>
    <t>DU3</t>
  </si>
  <si>
    <t>ciclo.1.B.mantenimiento</t>
  </si>
  <si>
    <t>DV3</t>
  </si>
  <si>
    <t>ciclo.1.B.depreciacion</t>
  </si>
  <si>
    <t>DW3</t>
  </si>
  <si>
    <t>ciclo.1.B.reputacionOperativa</t>
  </si>
  <si>
    <t>DX3</t>
  </si>
  <si>
    <t>ciclo.1.B.reputacionMercado</t>
  </si>
  <si>
    <t>DY3</t>
  </si>
  <si>
    <t>ciclo.1.B.asignado</t>
  </si>
  <si>
    <t>EG3</t>
  </si>
  <si>
    <t>ciclo.1.B.demandaAjustada</t>
  </si>
  <si>
    <t>EH3</t>
  </si>
  <si>
    <t>ciclo.1.B.vendido</t>
  </si>
  <si>
    <t>EI3</t>
  </si>
  <si>
    <t>ciclo.1.B.ingresos</t>
  </si>
  <si>
    <t>EJ3</t>
  </si>
  <si>
    <t>ciclo.1.B.inventarioProducto</t>
  </si>
  <si>
    <t>EK3</t>
  </si>
  <si>
    <t>ciclo.1.B.almacenaje</t>
  </si>
  <si>
    <t>EL3</t>
  </si>
  <si>
    <t>ciclo.1.B.horasExtra</t>
  </si>
  <si>
    <t>EM3</t>
  </si>
  <si>
    <t>ciclo.1.B.costoGarantia</t>
  </si>
  <si>
    <t>EN3</t>
  </si>
  <si>
    <t>ciclo.1.B.costoRecurrente</t>
  </si>
  <si>
    <t>EO3</t>
  </si>
  <si>
    <t>ciclo.1.B.costosTotales</t>
  </si>
  <si>
    <t>EQ3</t>
  </si>
  <si>
    <t>ciclo.1.B.utilidad</t>
  </si>
  <si>
    <t>ER3</t>
  </si>
  <si>
    <t>ciclo.1.B.ciclosReputacionBaja</t>
  </si>
  <si>
    <t>AM3</t>
  </si>
  <si>
    <t>ciclo.1.B.tasaAdicionalPP</t>
  </si>
  <si>
    <t>AO3</t>
  </si>
  <si>
    <t>ciclo.1.B.stockMP_INS-01</t>
  </si>
  <si>
    <t>DC3</t>
  </si>
  <si>
    <t>ciclo.1.B.stockMP_INS-02</t>
  </si>
  <si>
    <t>DE3</t>
  </si>
  <si>
    <t>ciclo.1.B.stockMP_INS-03</t>
  </si>
  <si>
    <t>DG3</t>
  </si>
  <si>
    <t>ciclo.1.B.stockMP_INS-04</t>
  </si>
  <si>
    <t>DJ3</t>
  </si>
  <si>
    <t>ciclo.1.B.stockMP_INS-05</t>
  </si>
  <si>
    <t>DL3</t>
  </si>
  <si>
    <t>ciclo.1.B.stockMP_INS-06</t>
  </si>
  <si>
    <t>DO3</t>
  </si>
  <si>
    <t>ciclo.1.B.stockMP_INS-07</t>
  </si>
  <si>
    <t>DQ3</t>
  </si>
  <si>
    <t>ciclo.1.B.stockMP_INS-08</t>
  </si>
  <si>
    <t>DS3</t>
  </si>
  <si>
    <t>ciclo.1.B.CONS-01</t>
  </si>
  <si>
    <t>ES3</t>
  </si>
  <si>
    <t>ciclo.1.B.CONS-02</t>
  </si>
  <si>
    <t>ET3</t>
  </si>
  <si>
    <t>ciclo.1.B.CONS-03</t>
  </si>
  <si>
    <t>EU3</t>
  </si>
  <si>
    <t>ciclo.1.B.CONS-04</t>
  </si>
  <si>
    <t>EV3</t>
  </si>
  <si>
    <t>ciclo.1.B.CONS-05</t>
  </si>
  <si>
    <t>EW3</t>
  </si>
  <si>
    <t>ciclo.1.B.CONS-06</t>
  </si>
  <si>
    <t>EX3</t>
  </si>
  <si>
    <t>ciclo.1.B.CONS-07</t>
  </si>
  <si>
    <t>EY3</t>
  </si>
  <si>
    <t>ciclo.1.B.CONS-08</t>
  </si>
  <si>
    <t>EZ3</t>
  </si>
  <si>
    <t>ciclo.1.B.financiamiento.montoPrestamo</t>
  </si>
  <si>
    <t>AP3</t>
  </si>
  <si>
    <t>ciclo.1.B.financiamiento.tasaTEA</t>
  </si>
  <si>
    <t>AR3</t>
  </si>
  <si>
    <t>ciclo.1.B.financiamiento.deudaPrincipal</t>
  </si>
  <si>
    <t>AS3</t>
  </si>
  <si>
    <t>ciclo.1.B.financiamiento.tasaAdicionalProximoPrestamo</t>
  </si>
  <si>
    <t>AT3</t>
  </si>
  <si>
    <t>ciclo.1.C.calidad</t>
  </si>
  <si>
    <t>AI4</t>
  </si>
  <si>
    <t>ciclo.1.C.puntajeEficiencia</t>
  </si>
  <si>
    <t>AF4</t>
  </si>
  <si>
    <t>ciclo.1.C.reputacionMatriz</t>
  </si>
  <si>
    <t>AL4</t>
  </si>
  <si>
    <t>ciclo.1.C.saludFinanciera</t>
  </si>
  <si>
    <t>AH4</t>
  </si>
  <si>
    <t>ciclo.1.C.capacidadDiaria</t>
  </si>
  <si>
    <t>CC4</t>
  </si>
  <si>
    <t>ciclo.1.C.capacidadCiclo</t>
  </si>
  <si>
    <t>CD4</t>
  </si>
  <si>
    <t>ciclo.1.C.factorEficiencia</t>
  </si>
  <si>
    <t>CB4</t>
  </si>
  <si>
    <t>ciclo.1.C.produccionCapacidad</t>
  </si>
  <si>
    <t>CE4</t>
  </si>
  <si>
    <t>ciclo.1.C.producido</t>
  </si>
  <si>
    <t>CZ4</t>
  </si>
  <si>
    <t>ciclo.1.C.consumoCuero</t>
  </si>
  <si>
    <t>DA4</t>
  </si>
  <si>
    <t>ciclo.1.C.consumoAccesorios</t>
  </si>
  <si>
    <t>DH4</t>
  </si>
  <si>
    <t>ciclo.1.C.consumoHilo</t>
  </si>
  <si>
    <t>DM4</t>
  </si>
  <si>
    <t>ciclo.1.C.costoMO</t>
  </si>
  <si>
    <t>DT4</t>
  </si>
  <si>
    <t>ciclo.1.C.costoMP</t>
  </si>
  <si>
    <t>DU4</t>
  </si>
  <si>
    <t>ciclo.1.C.mantenimiento</t>
  </si>
  <si>
    <t>DV4</t>
  </si>
  <si>
    <t>ciclo.1.C.depreciacion</t>
  </si>
  <si>
    <t>DW4</t>
  </si>
  <si>
    <t>ciclo.1.C.reputacionOperativa</t>
  </si>
  <si>
    <t>DX4</t>
  </si>
  <si>
    <t>ciclo.1.C.reputacionMercado</t>
  </si>
  <si>
    <t>DY4</t>
  </si>
  <si>
    <t>ciclo.1.C.asignado</t>
  </si>
  <si>
    <t>EG4</t>
  </si>
  <si>
    <t>ciclo.1.C.demandaAjustada</t>
  </si>
  <si>
    <t>EH4</t>
  </si>
  <si>
    <t>ciclo.1.C.vendido</t>
  </si>
  <si>
    <t>EI4</t>
  </si>
  <si>
    <t>ciclo.1.C.ingresos</t>
  </si>
  <si>
    <t>EJ4</t>
  </si>
  <si>
    <t>ciclo.1.C.inventarioProducto</t>
  </si>
  <si>
    <t>EK4</t>
  </si>
  <si>
    <t>ciclo.1.C.almacenaje</t>
  </si>
  <si>
    <t>EL4</t>
  </si>
  <si>
    <t>ciclo.1.C.horasExtra</t>
  </si>
  <si>
    <t>EM4</t>
  </si>
  <si>
    <t>ciclo.1.C.costoGarantia</t>
  </si>
  <si>
    <t>EN4</t>
  </si>
  <si>
    <t>ciclo.1.C.costoRecurrente</t>
  </si>
  <si>
    <t>EO4</t>
  </si>
  <si>
    <t>ciclo.1.C.costosTotales</t>
  </si>
  <si>
    <t>EQ4</t>
  </si>
  <si>
    <t>ciclo.1.C.utilidad</t>
  </si>
  <si>
    <t>ER4</t>
  </si>
  <si>
    <t>ciclo.1.C.ciclosReputacionBaja</t>
  </si>
  <si>
    <t>AM4</t>
  </si>
  <si>
    <t>ciclo.1.C.tasaAdicionalPP</t>
  </si>
  <si>
    <t>AO4</t>
  </si>
  <si>
    <t>ciclo.1.C.stockMP_INS-01</t>
  </si>
  <si>
    <t>DC4</t>
  </si>
  <si>
    <t>ciclo.1.C.stockMP_INS-02</t>
  </si>
  <si>
    <t>DE4</t>
  </si>
  <si>
    <t>ciclo.1.C.stockMP_INS-03</t>
  </si>
  <si>
    <t>DG4</t>
  </si>
  <si>
    <t>ciclo.1.C.stockMP_INS-04</t>
  </si>
  <si>
    <t>DJ4</t>
  </si>
  <si>
    <t>ciclo.1.C.stockMP_INS-05</t>
  </si>
  <si>
    <t>DL4</t>
  </si>
  <si>
    <t>ciclo.1.C.stockMP_INS-06</t>
  </si>
  <si>
    <t>DO4</t>
  </si>
  <si>
    <t>ciclo.1.C.stockMP_INS-07</t>
  </si>
  <si>
    <t>DQ4</t>
  </si>
  <si>
    <t>ciclo.1.C.stockMP_INS-08</t>
  </si>
  <si>
    <t>DS4</t>
  </si>
  <si>
    <t>ciclo.1.C.CONS-01</t>
  </si>
  <si>
    <t>ES4</t>
  </si>
  <si>
    <t>ciclo.1.C.CONS-02</t>
  </si>
  <si>
    <t>ET4</t>
  </si>
  <si>
    <t>ciclo.1.C.CONS-03</t>
  </si>
  <si>
    <t>EU4</t>
  </si>
  <si>
    <t>ciclo.1.C.CONS-04</t>
  </si>
  <si>
    <t>EV4</t>
  </si>
  <si>
    <t>ciclo.1.C.CONS-05</t>
  </si>
  <si>
    <t>EW4</t>
  </si>
  <si>
    <t>ciclo.1.C.CONS-06</t>
  </si>
  <si>
    <t>EX4</t>
  </si>
  <si>
    <t>ciclo.1.C.CONS-07</t>
  </si>
  <si>
    <t>EY4</t>
  </si>
  <si>
    <t>ciclo.1.C.CONS-08</t>
  </si>
  <si>
    <t>EZ4</t>
  </si>
  <si>
    <t>ciclo.1.C.financiamiento.montoPrestamo</t>
  </si>
  <si>
    <t>AP4</t>
  </si>
  <si>
    <t>ciclo.1.C.financiamiento.tasaTEA</t>
  </si>
  <si>
    <t>AR4</t>
  </si>
  <si>
    <t>ciclo.1.C.financiamiento.deudaPrincipal</t>
  </si>
  <si>
    <t>AS4</t>
  </si>
  <si>
    <t>ciclo.1.C.financiamiento.tasaAdicionalProximoPrestamo</t>
  </si>
  <si>
    <t>AT4</t>
  </si>
  <si>
    <t>ciclo.1.D.calidad</t>
  </si>
  <si>
    <t>AI5</t>
  </si>
  <si>
    <t>ciclo.1.D.puntajeEficiencia</t>
  </si>
  <si>
    <t>AF5</t>
  </si>
  <si>
    <t>ciclo.1.D.reputacionMatriz</t>
  </si>
  <si>
    <t>AL5</t>
  </si>
  <si>
    <t>ciclo.1.D.saludFinanciera</t>
  </si>
  <si>
    <t>AH5</t>
  </si>
  <si>
    <t>ciclo.1.D.capacidadDiaria</t>
  </si>
  <si>
    <t>CC5</t>
  </si>
  <si>
    <t>ciclo.1.D.capacidadCiclo</t>
  </si>
  <si>
    <t>CD5</t>
  </si>
  <si>
    <t>ciclo.1.D.factorEficiencia</t>
  </si>
  <si>
    <t>CB5</t>
  </si>
  <si>
    <t>ciclo.1.D.produccionCapacidad</t>
  </si>
  <si>
    <t>CE5</t>
  </si>
  <si>
    <t>ciclo.1.D.producido</t>
  </si>
  <si>
    <t>CZ5</t>
  </si>
  <si>
    <t>ciclo.1.D.consumoCuero</t>
  </si>
  <si>
    <t>DA5</t>
  </si>
  <si>
    <t>ciclo.1.D.consumoAccesorios</t>
  </si>
  <si>
    <t>DH5</t>
  </si>
  <si>
    <t>ciclo.1.D.consumoHilo</t>
  </si>
  <si>
    <t>DM5</t>
  </si>
  <si>
    <t>ciclo.1.D.costoMO</t>
  </si>
  <si>
    <t>DT5</t>
  </si>
  <si>
    <t>ciclo.1.D.costoMP</t>
  </si>
  <si>
    <t>DU5</t>
  </si>
  <si>
    <t>ciclo.1.D.mantenimiento</t>
  </si>
  <si>
    <t>DV5</t>
  </si>
  <si>
    <t>ciclo.1.D.depreciacion</t>
  </si>
  <si>
    <t>DW5</t>
  </si>
  <si>
    <t>ciclo.1.D.reputacionOperativa</t>
  </si>
  <si>
    <t>DX5</t>
  </si>
  <si>
    <t>ciclo.1.D.reputacionMercado</t>
  </si>
  <si>
    <t>DY5</t>
  </si>
  <si>
    <t>ciclo.1.D.asignado</t>
  </si>
  <si>
    <t>EG5</t>
  </si>
  <si>
    <t>ciclo.1.D.demandaAjustada</t>
  </si>
  <si>
    <t>EH5</t>
  </si>
  <si>
    <t>ciclo.1.D.vendido</t>
  </si>
  <si>
    <t>EI5</t>
  </si>
  <si>
    <t>ciclo.1.D.ingresos</t>
  </si>
  <si>
    <t>EJ5</t>
  </si>
  <si>
    <t>ciclo.1.D.inventarioProducto</t>
  </si>
  <si>
    <t>EK5</t>
  </si>
  <si>
    <t>ciclo.1.D.almacenaje</t>
  </si>
  <si>
    <t>EL5</t>
  </si>
  <si>
    <t>ciclo.1.D.horasExtra</t>
  </si>
  <si>
    <t>EM5</t>
  </si>
  <si>
    <t>ciclo.1.D.costoGarantia</t>
  </si>
  <si>
    <t>EN5</t>
  </si>
  <si>
    <t>ciclo.1.D.costoRecurrente</t>
  </si>
  <si>
    <t>EO5</t>
  </si>
  <si>
    <t>ciclo.1.D.costosTotales</t>
  </si>
  <si>
    <t>EQ5</t>
  </si>
  <si>
    <t>ciclo.1.D.utilidad</t>
  </si>
  <si>
    <t>ER5</t>
  </si>
  <si>
    <t>ciclo.1.D.ciclosReputacionBaja</t>
  </si>
  <si>
    <t>AM5</t>
  </si>
  <si>
    <t>ciclo.1.D.tasaAdicionalPP</t>
  </si>
  <si>
    <t>AO5</t>
  </si>
  <si>
    <t>ciclo.1.D.stockMP_INS-01</t>
  </si>
  <si>
    <t>DC5</t>
  </si>
  <si>
    <t>ciclo.1.D.stockMP_INS-02</t>
  </si>
  <si>
    <t>DE5</t>
  </si>
  <si>
    <t>ciclo.1.D.stockMP_INS-03</t>
  </si>
  <si>
    <t>DG5</t>
  </si>
  <si>
    <t>ciclo.1.D.stockMP_INS-04</t>
  </si>
  <si>
    <t>DJ5</t>
  </si>
  <si>
    <t>ciclo.1.D.stockMP_INS-05</t>
  </si>
  <si>
    <t>DL5</t>
  </si>
  <si>
    <t>ciclo.1.D.stockMP_INS-06</t>
  </si>
  <si>
    <t>DO5</t>
  </si>
  <si>
    <t>ciclo.1.D.stockMP_INS-07</t>
  </si>
  <si>
    <t>DQ5</t>
  </si>
  <si>
    <t>ciclo.1.D.stockMP_INS-08</t>
  </si>
  <si>
    <t>DS5</t>
  </si>
  <si>
    <t>ciclo.1.D.CONS-01</t>
  </si>
  <si>
    <t>ES5</t>
  </si>
  <si>
    <t>ciclo.1.D.CONS-02</t>
  </si>
  <si>
    <t>ET5</t>
  </si>
  <si>
    <t>ciclo.1.D.CONS-03</t>
  </si>
  <si>
    <t>EU5</t>
  </si>
  <si>
    <t>ciclo.1.D.CONS-04</t>
  </si>
  <si>
    <t>EV5</t>
  </si>
  <si>
    <t>ciclo.1.D.CONS-05</t>
  </si>
  <si>
    <t>EW5</t>
  </si>
  <si>
    <t>ciclo.1.D.CONS-06</t>
  </si>
  <si>
    <t>EX5</t>
  </si>
  <si>
    <t>ciclo.1.D.CONS-07</t>
  </si>
  <si>
    <t>EY5</t>
  </si>
  <si>
    <t>ciclo.1.D.CONS-08</t>
  </si>
  <si>
    <t>EZ5</t>
  </si>
  <si>
    <t>ciclo.1.D.financiamiento.montoPrestamo</t>
  </si>
  <si>
    <t>AP5</t>
  </si>
  <si>
    <t>ciclo.1.D.financiamiento.tasaTEA</t>
  </si>
  <si>
    <t>AR5</t>
  </si>
  <si>
    <t>ciclo.1.D.financiamiento.deudaPrincipal</t>
  </si>
  <si>
    <t>AS5</t>
  </si>
  <si>
    <t>ciclo.1.D.financiamiento.tasaAdicionalProximoPrestamo</t>
  </si>
  <si>
    <t>AT5</t>
  </si>
  <si>
    <t>ciclo.1.A.mercado.SEG-01.puntajePrecio</t>
  </si>
  <si>
    <t>Mercados_Pipeline_sim1</t>
  </si>
  <si>
    <t>ciclo.1.A.mercado.SEG-01.puntajeTotal</t>
  </si>
  <si>
    <t>ciclo.1.A.mercado.SEG-01.porcentaje</t>
  </si>
  <si>
    <t>N2</t>
  </si>
  <si>
    <t>ciclo.1.A.mercado.SEG-01.asignado</t>
  </si>
  <si>
    <t>ciclo.1.A.mercado.SEG-01.demandaAjustada</t>
  </si>
  <si>
    <t>ciclo.1.A.mercado.SEG-01.calidadMercado</t>
  </si>
  <si>
    <t>ciclo.1.A.mercado.SEG-01.reputacionEscalada</t>
  </si>
  <si>
    <t>M2</t>
  </si>
  <si>
    <t>ciclo.1.A.mercado.SEG-02.puntajePrecio</t>
  </si>
  <si>
    <t>ciclo.1.A.mercado.SEG-02.puntajeTotal</t>
  </si>
  <si>
    <t>ciclo.1.A.mercado.SEG-02.porcentaje</t>
  </si>
  <si>
    <t>N3</t>
  </si>
  <si>
    <t>ciclo.1.A.mercado.SEG-02.asignado</t>
  </si>
  <si>
    <t>ciclo.1.A.mercado.SEG-02.demandaAjustada</t>
  </si>
  <si>
    <t>ciclo.1.A.mercado.SEG-02.calidadMercado</t>
  </si>
  <si>
    <t>ciclo.1.A.mercado.SEG-02.reputacionEscalada</t>
  </si>
  <si>
    <t>M3</t>
  </si>
  <si>
    <t>ciclo.1.A.mercado.SEG-03.puntajePrecio</t>
  </si>
  <si>
    <t>ciclo.1.A.mercado.SEG-03.puntajeTotal</t>
  </si>
  <si>
    <t>ciclo.1.A.mercado.SEG-03.porcentaje</t>
  </si>
  <si>
    <t>N4</t>
  </si>
  <si>
    <t>ciclo.1.A.mercado.SEG-03.asignado</t>
  </si>
  <si>
    <t>ciclo.1.A.mercado.SEG-03.demandaAjustada</t>
  </si>
  <si>
    <t>ciclo.1.A.mercado.SEG-03.calidadMercado</t>
  </si>
  <si>
    <t>ciclo.1.A.mercado.SEG-03.reputacionEscalada</t>
  </si>
  <si>
    <t>M4</t>
  </si>
  <si>
    <t>ciclo.1.A.lote.0.calidad</t>
  </si>
  <si>
    <t>Lotes_Pipeline_sim1</t>
  </si>
  <si>
    <t>ciclo.1.A.lote.0.producido</t>
  </si>
  <si>
    <t>U2</t>
  </si>
  <si>
    <t>ciclo.1.A.lote.0.capacidadAsignada</t>
  </si>
  <si>
    <t>S2</t>
  </si>
  <si>
    <t>ciclo.1.A.lote.0.precioEfectivo</t>
  </si>
  <si>
    <t>AU2</t>
  </si>
  <si>
    <t>ciclo.1.A.lote.1.calidad</t>
  </si>
  <si>
    <t>ciclo.1.A.lote.1.producido</t>
  </si>
  <si>
    <t>U3</t>
  </si>
  <si>
    <t>ciclo.1.A.lote.1.capacidadAsignada</t>
  </si>
  <si>
    <t>S3</t>
  </si>
  <si>
    <t>ciclo.1.A.lote.1.precioEfectivo</t>
  </si>
  <si>
    <t>AU3</t>
  </si>
  <si>
    <t>ciclo.1.A.lote.2.calidad</t>
  </si>
  <si>
    <t>ciclo.1.A.lote.2.producido</t>
  </si>
  <si>
    <t>U4</t>
  </si>
  <si>
    <t>ciclo.1.A.lote.2.capacidadAsignada</t>
  </si>
  <si>
    <t>S4</t>
  </si>
  <si>
    <t>ciclo.1.A.lote.2.precioEfectivo</t>
  </si>
  <si>
    <t>AU4</t>
  </si>
  <si>
    <t>ciclo.1.B.mercado.SEG-01.puntajePrecio</t>
  </si>
  <si>
    <t>ciclo.1.B.mercado.SEG-01.puntajeTotal</t>
  </si>
  <si>
    <t>ciclo.1.B.mercado.SEG-01.porcentaje</t>
  </si>
  <si>
    <t>ciclo.1.B.mercado.SEG-01.asignado</t>
  </si>
  <si>
    <t>J5</t>
  </si>
  <si>
    <t>ciclo.1.B.mercado.SEG-01.demandaAjustada</t>
  </si>
  <si>
    <t>I5</t>
  </si>
  <si>
    <t>ciclo.1.B.mercado.SEG-01.calidadMercado</t>
  </si>
  <si>
    <t>ciclo.1.B.mercado.SEG-01.reputacionEscalada</t>
  </si>
  <si>
    <t>ciclo.1.B.mercado.SEG-02.puntajePrecio</t>
  </si>
  <si>
    <t>K6</t>
  </si>
  <si>
    <t>ciclo.1.B.mercado.SEG-02.puntajeTotal</t>
  </si>
  <si>
    <t>L6</t>
  </si>
  <si>
    <t>ciclo.1.B.mercado.SEG-02.porcentaje</t>
  </si>
  <si>
    <t>N6</t>
  </si>
  <si>
    <t>ciclo.1.B.mercado.SEG-02.asignado</t>
  </si>
  <si>
    <t>J6</t>
  </si>
  <si>
    <t>ciclo.1.B.mercado.SEG-02.demandaAjustada</t>
  </si>
  <si>
    <t>I6</t>
  </si>
  <si>
    <t>ciclo.1.B.mercado.SEG-02.calidadMercado</t>
  </si>
  <si>
    <t>H6</t>
  </si>
  <si>
    <t>ciclo.1.B.mercado.SEG-02.reputacionEscalada</t>
  </si>
  <si>
    <t>M6</t>
  </si>
  <si>
    <t>ciclo.1.B.mercado.SEG-03.puntajePrecio</t>
  </si>
  <si>
    <t>K7</t>
  </si>
  <si>
    <t>ciclo.1.B.mercado.SEG-03.puntajeTotal</t>
  </si>
  <si>
    <t>L7</t>
  </si>
  <si>
    <t>ciclo.1.B.mercado.SEG-03.porcentaje</t>
  </si>
  <si>
    <t>N7</t>
  </si>
  <si>
    <t>ciclo.1.B.mercado.SEG-03.asignado</t>
  </si>
  <si>
    <t>J7</t>
  </si>
  <si>
    <t>ciclo.1.B.mercado.SEG-03.demandaAjustada</t>
  </si>
  <si>
    <t>I7</t>
  </si>
  <si>
    <t>ciclo.1.B.mercado.SEG-03.calidadMercado</t>
  </si>
  <si>
    <t>H7</t>
  </si>
  <si>
    <t>ciclo.1.B.mercado.SEG-03.reputacionEscalada</t>
  </si>
  <si>
    <t>M7</t>
  </si>
  <si>
    <t>ciclo.1.B.lote.0.calidad</t>
  </si>
  <si>
    <t>ciclo.1.B.lote.0.producido</t>
  </si>
  <si>
    <t>U5</t>
  </si>
  <si>
    <t>ciclo.1.B.lote.0.capacidadAsignada</t>
  </si>
  <si>
    <t>S5</t>
  </si>
  <si>
    <t>ciclo.1.B.lote.0.precioEfectivo</t>
  </si>
  <si>
    <t>AU5</t>
  </si>
  <si>
    <t>ciclo.1.B.lote.1.calidad</t>
  </si>
  <si>
    <t>ciclo.1.B.lote.1.producido</t>
  </si>
  <si>
    <t>U6</t>
  </si>
  <si>
    <t>ciclo.1.B.lote.1.capacidadAsignada</t>
  </si>
  <si>
    <t>S6</t>
  </si>
  <si>
    <t>ciclo.1.B.lote.1.precioEfectivo</t>
  </si>
  <si>
    <t>AU6</t>
  </si>
  <si>
    <t>ciclo.1.B.lote.2.calidad</t>
  </si>
  <si>
    <t>ciclo.1.B.lote.2.producido</t>
  </si>
  <si>
    <t>U7</t>
  </si>
  <si>
    <t>ciclo.1.B.lote.2.capacidadAsignada</t>
  </si>
  <si>
    <t>S7</t>
  </si>
  <si>
    <t>ciclo.1.B.lote.2.precioEfectivo</t>
  </si>
  <si>
    <t>AU7</t>
  </si>
  <si>
    <t>ciclo.1.C.mercado.SEG-01.puntajePrecio</t>
  </si>
  <si>
    <t>K8</t>
  </si>
  <si>
    <t>ciclo.1.C.mercado.SEG-01.puntajeTotal</t>
  </si>
  <si>
    <t>L8</t>
  </si>
  <si>
    <t>ciclo.1.C.mercado.SEG-01.porcentaje</t>
  </si>
  <si>
    <t>N8</t>
  </si>
  <si>
    <t>ciclo.1.C.mercado.SEG-01.asignado</t>
  </si>
  <si>
    <t>J8</t>
  </si>
  <si>
    <t>ciclo.1.C.mercado.SEG-01.demandaAjustada</t>
  </si>
  <si>
    <t>ciclo.1.C.mercado.SEG-01.calidadMercado</t>
  </si>
  <si>
    <t>H8</t>
  </si>
  <si>
    <t>ciclo.1.C.mercado.SEG-01.reputacionEscalada</t>
  </si>
  <si>
    <t>M8</t>
  </si>
  <si>
    <t>ciclo.1.C.mercado.SEG-02.puntajePrecio</t>
  </si>
  <si>
    <t>K9</t>
  </si>
  <si>
    <t>ciclo.1.C.mercado.SEG-02.puntajeTotal</t>
  </si>
  <si>
    <t>ciclo.1.C.mercado.SEG-02.porcentaje</t>
  </si>
  <si>
    <t>N9</t>
  </si>
  <si>
    <t>ciclo.1.C.mercado.SEG-02.asignado</t>
  </si>
  <si>
    <t>J9</t>
  </si>
  <si>
    <t>ciclo.1.C.mercado.SEG-02.demandaAjustada</t>
  </si>
  <si>
    <t>I9</t>
  </si>
  <si>
    <t>ciclo.1.C.mercado.SEG-02.calidadMercado</t>
  </si>
  <si>
    <t>H9</t>
  </si>
  <si>
    <t>ciclo.1.C.mercado.SEG-02.reputacionEscalada</t>
  </si>
  <si>
    <t>M9</t>
  </si>
  <si>
    <t>ciclo.1.C.mercado.SEG-03.puntajePrecio</t>
  </si>
  <si>
    <t>K10</t>
  </si>
  <si>
    <t>ciclo.1.C.mercado.SEG-03.puntajeTotal</t>
  </si>
  <si>
    <t>ciclo.1.C.mercado.SEG-03.porcentaje</t>
  </si>
  <si>
    <t>N10</t>
  </si>
  <si>
    <t>ciclo.1.C.mercado.SEG-03.asignado</t>
  </si>
  <si>
    <t>J10</t>
  </si>
  <si>
    <t>ciclo.1.C.mercado.SEG-03.demandaAjustada</t>
  </si>
  <si>
    <t>I10</t>
  </si>
  <si>
    <t>ciclo.1.C.mercado.SEG-03.calidadMercado</t>
  </si>
  <si>
    <t>H10</t>
  </si>
  <si>
    <t>ciclo.1.C.mercado.SEG-03.reputacionEscalada</t>
  </si>
  <si>
    <t>ciclo.1.C.lote.0.calidad</t>
  </si>
  <si>
    <t>ciclo.1.C.lote.0.producido</t>
  </si>
  <si>
    <t>U8</t>
  </si>
  <si>
    <t>ciclo.1.C.lote.0.capacidadAsignada</t>
  </si>
  <si>
    <t>S8</t>
  </si>
  <si>
    <t>ciclo.1.C.lote.0.precioEfectivo</t>
  </si>
  <si>
    <t>AU8</t>
  </si>
  <si>
    <t>ciclo.1.C.lote.1.calidad</t>
  </si>
  <si>
    <t>ciclo.1.C.lote.1.producido</t>
  </si>
  <si>
    <t>U9</t>
  </si>
  <si>
    <t>ciclo.1.C.lote.1.capacidadAsignada</t>
  </si>
  <si>
    <t>S9</t>
  </si>
  <si>
    <t>ciclo.1.C.lote.1.precioEfectivo</t>
  </si>
  <si>
    <t>AU9</t>
  </si>
  <si>
    <t>ciclo.1.C.lote.2.calidad</t>
  </si>
  <si>
    <t>ciclo.1.C.lote.2.producido</t>
  </si>
  <si>
    <t>U10</t>
  </si>
  <si>
    <t>ciclo.1.C.lote.2.capacidadAsignada</t>
  </si>
  <si>
    <t>S10</t>
  </si>
  <si>
    <t>ciclo.1.C.lote.2.precioEfectivo</t>
  </si>
  <si>
    <t>AU10</t>
  </si>
  <si>
    <t>ciclo.1.D.mercado.SEG-01.puntajePrecio</t>
  </si>
  <si>
    <t>K11</t>
  </si>
  <si>
    <t>ciclo.1.D.mercado.SEG-01.puntajeTotal</t>
  </si>
  <si>
    <t>L11</t>
  </si>
  <si>
    <t>ciclo.1.D.mercado.SEG-01.porcentaje</t>
  </si>
  <si>
    <t>N11</t>
  </si>
  <si>
    <t>ciclo.1.D.mercado.SEG-01.asignado</t>
  </si>
  <si>
    <t>J11</t>
  </si>
  <si>
    <t>ciclo.1.D.mercado.SEG-01.demandaAjustada</t>
  </si>
  <si>
    <t>I11</t>
  </si>
  <si>
    <t>ciclo.1.D.mercado.SEG-01.calidadMercado</t>
  </si>
  <si>
    <t>H11</t>
  </si>
  <si>
    <t>ciclo.1.D.mercado.SEG-01.reputacionEscalada</t>
  </si>
  <si>
    <t>M11</t>
  </si>
  <si>
    <t>ciclo.1.D.mercado.SEG-02.puntajePrecio</t>
  </si>
  <si>
    <t>K12</t>
  </si>
  <si>
    <t>ciclo.1.D.mercado.SEG-02.puntajeTotal</t>
  </si>
  <si>
    <t>L12</t>
  </si>
  <si>
    <t>ciclo.1.D.mercado.SEG-02.porcentaje</t>
  </si>
  <si>
    <t>N12</t>
  </si>
  <si>
    <t>ciclo.1.D.mercado.SEG-02.asignado</t>
  </si>
  <si>
    <t>J12</t>
  </si>
  <si>
    <t>ciclo.1.D.mercado.SEG-02.demandaAjustada</t>
  </si>
  <si>
    <t>I12</t>
  </si>
  <si>
    <t>ciclo.1.D.mercado.SEG-02.calidadMercado</t>
  </si>
  <si>
    <t>H12</t>
  </si>
  <si>
    <t>ciclo.1.D.mercado.SEG-02.reputacionEscalada</t>
  </si>
  <si>
    <t>M12</t>
  </si>
  <si>
    <t>ciclo.1.D.mercado.SEG-03.puntajePrecio</t>
  </si>
  <si>
    <t>K13</t>
  </si>
  <si>
    <t>ciclo.1.D.mercado.SEG-03.puntajeTotal</t>
  </si>
  <si>
    <t>L13</t>
  </si>
  <si>
    <t>ciclo.1.D.mercado.SEG-03.porcentaje</t>
  </si>
  <si>
    <t>N13</t>
  </si>
  <si>
    <t>ciclo.1.D.mercado.SEG-03.asignado</t>
  </si>
  <si>
    <t>J13</t>
  </si>
  <si>
    <t>ciclo.1.D.mercado.SEG-03.demandaAjustada</t>
  </si>
  <si>
    <t>I13</t>
  </si>
  <si>
    <t>ciclo.1.D.mercado.SEG-03.calidadMercado</t>
  </si>
  <si>
    <t>H13</t>
  </si>
  <si>
    <t>ciclo.1.D.mercado.SEG-03.reputacionEscalada</t>
  </si>
  <si>
    <t>M13</t>
  </si>
  <si>
    <t>ciclo.1.D.lote.0.calidad</t>
  </si>
  <si>
    <t>ciclo.1.D.lote.0.producido</t>
  </si>
  <si>
    <t>ciclo.1.D.lote.0.capacidadAsignada</t>
  </si>
  <si>
    <t>S11</t>
  </si>
  <si>
    <t>ciclo.1.D.lote.0.precioEfectivo</t>
  </si>
  <si>
    <t>AU11</t>
  </si>
  <si>
    <t>ciclo.1.D.lote.1.calidad</t>
  </si>
  <si>
    <t>ciclo.1.D.lote.1.producido</t>
  </si>
  <si>
    <t>U12</t>
  </si>
  <si>
    <t>ciclo.1.D.lote.1.capacidadAsignada</t>
  </si>
  <si>
    <t>S12</t>
  </si>
  <si>
    <t>ciclo.1.D.lote.1.precioEfectivo</t>
  </si>
  <si>
    <t>AU12</t>
  </si>
  <si>
    <t>ciclo.1.D.lote.2.calidad</t>
  </si>
  <si>
    <t>ciclo.1.D.lote.2.producido</t>
  </si>
  <si>
    <t>U13</t>
  </si>
  <si>
    <t>ciclo.1.D.lote.2.capacidadAsignada</t>
  </si>
  <si>
    <t>S13</t>
  </si>
  <si>
    <t>ciclo.1.D.lote.2.precioEfectivo</t>
  </si>
  <si>
    <t>AU13</t>
  </si>
  <si>
    <t>ciclo.1.A.financial.estadoResultados.ingresos</t>
  </si>
  <si>
    <t>FP2</t>
  </si>
  <si>
    <t>ciclo.1.A.financial.estadoResultados.ventasNetas</t>
  </si>
  <si>
    <t>FQ2</t>
  </si>
  <si>
    <t>ciclo.1.A.financial.estadoResultados.costos</t>
  </si>
  <si>
    <t>FR2</t>
  </si>
  <si>
    <t>ciclo.1.A.financial.estadoResultados.utilidad</t>
  </si>
  <si>
    <t>FS2</t>
  </si>
  <si>
    <t>ciclo.1.A.financial.estadoResultados.depreciacion</t>
  </si>
  <si>
    <t>FT2</t>
  </si>
  <si>
    <t>ciclo.1.A.financial.estadoResultados.intereses</t>
  </si>
  <si>
    <t>FU2</t>
  </si>
  <si>
    <t>ciclo.1.A.financial.estadoResultados.costosProduccion</t>
  </si>
  <si>
    <t>FV2</t>
  </si>
  <si>
    <t>ciclo.1.A.financial.balanceCaja.cajaInicial</t>
  </si>
  <si>
    <t>FW2</t>
  </si>
  <si>
    <t>ciclo.1.A.financial.balanceCaja.entradas</t>
  </si>
  <si>
    <t>FX2</t>
  </si>
  <si>
    <t>ciclo.1.A.financial.balanceCaja.salidas</t>
  </si>
  <si>
    <t>FY2</t>
  </si>
  <si>
    <t>ciclo.1.A.financial.balanceCaja.cajaFinal</t>
  </si>
  <si>
    <t>FZ2</t>
  </si>
  <si>
    <t>ciclo.1.A.financial.flujoCaja.cajaInicial</t>
  </si>
  <si>
    <t>GA2</t>
  </si>
  <si>
    <t>ciclo.1.A.financial.flujoCaja.cobrosVentas</t>
  </si>
  <si>
    <t>GB2</t>
  </si>
  <si>
    <t>ciclo.1.A.financial.flujoCaja.pagosOperacion</t>
  </si>
  <si>
    <t>GC2</t>
  </si>
  <si>
    <t>ciclo.1.A.financial.flujoCaja.compraActivos</t>
  </si>
  <si>
    <t>GD2</t>
  </si>
  <si>
    <t>ciclo.1.A.financial.flujoCaja.financiamiento</t>
  </si>
  <si>
    <t>GE2</t>
  </si>
  <si>
    <t>ciclo.1.A.financial.flujoCaja.operacion</t>
  </si>
  <si>
    <t>GF2</t>
  </si>
  <si>
    <t>ciclo.1.A.financial.flujoCaja.inversion</t>
  </si>
  <si>
    <t>GG2</t>
  </si>
  <si>
    <t>ciclo.1.A.financial.flujoCaja.flujoNeto</t>
  </si>
  <si>
    <t>GH2</t>
  </si>
  <si>
    <t>ciclo.1.A.financial.flujoCaja.cajaFinal</t>
  </si>
  <si>
    <t>GI2</t>
  </si>
  <si>
    <t>ciclo.1.A.financial.balanceGeneral.efectivo</t>
  </si>
  <si>
    <t>GJ2</t>
  </si>
  <si>
    <t>ciclo.1.A.financial.balanceGeneral.activosFijos</t>
  </si>
  <si>
    <t>GK2</t>
  </si>
  <si>
    <t>ciclo.1.A.financial.balanceGeneral.inventarioMP</t>
  </si>
  <si>
    <t>GL2</t>
  </si>
  <si>
    <t>ciclo.1.A.financial.balanceGeneral.activos</t>
  </si>
  <si>
    <t>GM2</t>
  </si>
  <si>
    <t>ciclo.1.A.financial.balanceGeneral.deuda</t>
  </si>
  <si>
    <t>GN2</t>
  </si>
  <si>
    <t>ciclo.1.A.financial.balanceGeneral.patrimonio</t>
  </si>
  <si>
    <t>GO2</t>
  </si>
  <si>
    <t>ciclo.1.A.financial.balanceGeneral.pasivoPatrimonio</t>
  </si>
  <si>
    <t>GP2</t>
  </si>
  <si>
    <t>ciclo.1.A.financial.financiamiento.montoPrestamo</t>
  </si>
  <si>
    <t>GQ2</t>
  </si>
  <si>
    <t>ciclo.1.A.financial.financiamiento.tasaTEA</t>
  </si>
  <si>
    <t>GR2</t>
  </si>
  <si>
    <t>ciclo.1.A.financial.financiamiento.deudaPrincipal</t>
  </si>
  <si>
    <t>GS2</t>
  </si>
  <si>
    <t>ciclo.1.A.financial.financiamiento.tasaAdicionalProximoPrestamo</t>
  </si>
  <si>
    <t>GT2</t>
  </si>
  <si>
    <t>ciclo.1.A.financial.financiamiento.tasaMensual</t>
  </si>
  <si>
    <t>GU2</t>
  </si>
  <si>
    <t>ciclo.1.A.financial.financiamiento.intereses</t>
  </si>
  <si>
    <t>GV2</t>
  </si>
  <si>
    <t>ciclo.1.B.financial.estadoResultados.ingresos</t>
  </si>
  <si>
    <t>FP3</t>
  </si>
  <si>
    <t>ciclo.1.B.financial.estadoResultados.ventasNetas</t>
  </si>
  <si>
    <t>FQ3</t>
  </si>
  <si>
    <t>ciclo.1.B.financial.estadoResultados.costos</t>
  </si>
  <si>
    <t>FR3</t>
  </si>
  <si>
    <t>ciclo.1.B.financial.estadoResultados.utilidad</t>
  </si>
  <si>
    <t>FS3</t>
  </si>
  <si>
    <t>ciclo.1.B.financial.estadoResultados.depreciacion</t>
  </si>
  <si>
    <t>FT3</t>
  </si>
  <si>
    <t>ciclo.1.B.financial.estadoResultados.intereses</t>
  </si>
  <si>
    <t>FU3</t>
  </si>
  <si>
    <t>ciclo.1.B.financial.estadoResultados.costosProduccion</t>
  </si>
  <si>
    <t>FV3</t>
  </si>
  <si>
    <t>ciclo.1.B.financial.balanceCaja.cajaInicial</t>
  </si>
  <si>
    <t>FW3</t>
  </si>
  <si>
    <t>ciclo.1.B.financial.balanceCaja.entradas</t>
  </si>
  <si>
    <t>FX3</t>
  </si>
  <si>
    <t>ciclo.1.B.financial.balanceCaja.salidas</t>
  </si>
  <si>
    <t>FY3</t>
  </si>
  <si>
    <t>ciclo.1.B.financial.balanceCaja.cajaFinal</t>
  </si>
  <si>
    <t>FZ3</t>
  </si>
  <si>
    <t>ciclo.1.B.financial.flujoCaja.cajaInicial</t>
  </si>
  <si>
    <t>GA3</t>
  </si>
  <si>
    <t>ciclo.1.B.financial.flujoCaja.cobrosVentas</t>
  </si>
  <si>
    <t>GB3</t>
  </si>
  <si>
    <t>ciclo.1.B.financial.flujoCaja.pagosOperacion</t>
  </si>
  <si>
    <t>GC3</t>
  </si>
  <si>
    <t>ciclo.1.B.financial.flujoCaja.compraActivos</t>
  </si>
  <si>
    <t>GD3</t>
  </si>
  <si>
    <t>ciclo.1.B.financial.flujoCaja.financiamiento</t>
  </si>
  <si>
    <t>GE3</t>
  </si>
  <si>
    <t>ciclo.1.B.financial.flujoCaja.operacion</t>
  </si>
  <si>
    <t>GF3</t>
  </si>
  <si>
    <t>ciclo.1.B.financial.flujoCaja.inversion</t>
  </si>
  <si>
    <t>GG3</t>
  </si>
  <si>
    <t>ciclo.1.B.financial.flujoCaja.flujoNeto</t>
  </si>
  <si>
    <t>GH3</t>
  </si>
  <si>
    <t>ciclo.1.B.financial.flujoCaja.cajaFinal</t>
  </si>
  <si>
    <t>GI3</t>
  </si>
  <si>
    <t>ciclo.1.B.financial.balanceGeneral.efectivo</t>
  </si>
  <si>
    <t>GJ3</t>
  </si>
  <si>
    <t>ciclo.1.B.financial.balanceGeneral.activosFijos</t>
  </si>
  <si>
    <t>GK3</t>
  </si>
  <si>
    <t>ciclo.1.B.financial.balanceGeneral.inventarioMP</t>
  </si>
  <si>
    <t>GL3</t>
  </si>
  <si>
    <t>ciclo.1.B.financial.balanceGeneral.activos</t>
  </si>
  <si>
    <t>GM3</t>
  </si>
  <si>
    <t>ciclo.1.B.financial.balanceGeneral.deuda</t>
  </si>
  <si>
    <t>GN3</t>
  </si>
  <si>
    <t>ciclo.1.B.financial.balanceGeneral.patrimonio</t>
  </si>
  <si>
    <t>GO3</t>
  </si>
  <si>
    <t>ciclo.1.B.financial.balanceGeneral.pasivoPatrimonio</t>
  </si>
  <si>
    <t>GP3</t>
  </si>
  <si>
    <t>ciclo.1.B.financial.financiamiento.montoPrestamo</t>
  </si>
  <si>
    <t>GQ3</t>
  </si>
  <si>
    <t>ciclo.1.B.financial.financiamiento.tasaTEA</t>
  </si>
  <si>
    <t>GR3</t>
  </si>
  <si>
    <t>ciclo.1.B.financial.financiamiento.deudaPrincipal</t>
  </si>
  <si>
    <t>GS3</t>
  </si>
  <si>
    <t>ciclo.1.B.financial.financiamiento.tasaAdicionalProximoPrestamo</t>
  </si>
  <si>
    <t>GT3</t>
  </si>
  <si>
    <t>ciclo.1.B.financial.financiamiento.tasaMensual</t>
  </si>
  <si>
    <t>GU3</t>
  </si>
  <si>
    <t>ciclo.1.B.financial.financiamiento.intereses</t>
  </si>
  <si>
    <t>GV3</t>
  </si>
  <si>
    <t>ciclo.1.C.financial.estadoResultados.ingresos</t>
  </si>
  <si>
    <t>FP4</t>
  </si>
  <si>
    <t>ciclo.1.C.financial.estadoResultados.ventasNetas</t>
  </si>
  <si>
    <t>FQ4</t>
  </si>
  <si>
    <t>ciclo.1.C.financial.estadoResultados.costos</t>
  </si>
  <si>
    <t>FR4</t>
  </si>
  <si>
    <t>ciclo.1.C.financial.estadoResultados.utilidad</t>
  </si>
  <si>
    <t>FS4</t>
  </si>
  <si>
    <t>ciclo.1.C.financial.estadoResultados.depreciacion</t>
  </si>
  <si>
    <t>FT4</t>
  </si>
  <si>
    <t>ciclo.1.C.financial.estadoResultados.intereses</t>
  </si>
  <si>
    <t>FU4</t>
  </si>
  <si>
    <t>ciclo.1.C.financial.estadoResultados.costosProduccion</t>
  </si>
  <si>
    <t>FV4</t>
  </si>
  <si>
    <t>ciclo.1.C.financial.balanceCaja.cajaInicial</t>
  </si>
  <si>
    <t>FW4</t>
  </si>
  <si>
    <t>ciclo.1.C.financial.balanceCaja.entradas</t>
  </si>
  <si>
    <t>FX4</t>
  </si>
  <si>
    <t>ciclo.1.C.financial.balanceCaja.salidas</t>
  </si>
  <si>
    <t>FY4</t>
  </si>
  <si>
    <t>ciclo.1.C.financial.balanceCaja.cajaFinal</t>
  </si>
  <si>
    <t>FZ4</t>
  </si>
  <si>
    <t>ciclo.1.C.financial.flujoCaja.cajaInicial</t>
  </si>
  <si>
    <t>GA4</t>
  </si>
  <si>
    <t>ciclo.1.C.financial.flujoCaja.cobrosVentas</t>
  </si>
  <si>
    <t>GB4</t>
  </si>
  <si>
    <t>ciclo.1.C.financial.flujoCaja.pagosOperacion</t>
  </si>
  <si>
    <t>GC4</t>
  </si>
  <si>
    <t>ciclo.1.C.financial.flujoCaja.compraActivos</t>
  </si>
  <si>
    <t>GD4</t>
  </si>
  <si>
    <t>ciclo.1.C.financial.flujoCaja.financiamiento</t>
  </si>
  <si>
    <t>GE4</t>
  </si>
  <si>
    <t>ciclo.1.C.financial.flujoCaja.operacion</t>
  </si>
  <si>
    <t>GF4</t>
  </si>
  <si>
    <t>ciclo.1.C.financial.flujoCaja.inversion</t>
  </si>
  <si>
    <t>GG4</t>
  </si>
  <si>
    <t>ciclo.1.C.financial.flujoCaja.flujoNeto</t>
  </si>
  <si>
    <t>GH4</t>
  </si>
  <si>
    <t>ciclo.1.C.financial.flujoCaja.cajaFinal</t>
  </si>
  <si>
    <t>GI4</t>
  </si>
  <si>
    <t>ciclo.1.C.financial.balanceGeneral.efectivo</t>
  </si>
  <si>
    <t>GJ4</t>
  </si>
  <si>
    <t>ciclo.1.C.financial.balanceGeneral.activosFijos</t>
  </si>
  <si>
    <t>GK4</t>
  </si>
  <si>
    <t>ciclo.1.C.financial.balanceGeneral.inventarioMP</t>
  </si>
  <si>
    <t>GL4</t>
  </si>
  <si>
    <t>ciclo.1.C.financial.balanceGeneral.activos</t>
  </si>
  <si>
    <t>GM4</t>
  </si>
  <si>
    <t>ciclo.1.C.financial.balanceGeneral.deuda</t>
  </si>
  <si>
    <t>GN4</t>
  </si>
  <si>
    <t>ciclo.1.C.financial.balanceGeneral.patrimonio</t>
  </si>
  <si>
    <t>GO4</t>
  </si>
  <si>
    <t>ciclo.1.C.financial.balanceGeneral.pasivoPatrimonio</t>
  </si>
  <si>
    <t>GP4</t>
  </si>
  <si>
    <t>ciclo.1.C.financial.financiamiento.montoPrestamo</t>
  </si>
  <si>
    <t>GQ4</t>
  </si>
  <si>
    <t>ciclo.1.C.financial.financiamiento.tasaTEA</t>
  </si>
  <si>
    <t>GR4</t>
  </si>
  <si>
    <t>ciclo.1.C.financial.financiamiento.deudaPrincipal</t>
  </si>
  <si>
    <t>GS4</t>
  </si>
  <si>
    <t>ciclo.1.C.financial.financiamiento.tasaAdicionalProximoPrestamo</t>
  </si>
  <si>
    <t>GT4</t>
  </si>
  <si>
    <t>ciclo.1.C.financial.financiamiento.tasaMensual</t>
  </si>
  <si>
    <t>GU4</t>
  </si>
  <si>
    <t>ciclo.1.C.financial.financiamiento.intereses</t>
  </si>
  <si>
    <t>GV4</t>
  </si>
  <si>
    <t>ciclo.1.D.financial.estadoResultados.ingresos</t>
  </si>
  <si>
    <t>FP5</t>
  </si>
  <si>
    <t>ciclo.1.D.financial.estadoResultados.ventasNetas</t>
  </si>
  <si>
    <t>FQ5</t>
  </si>
  <si>
    <t>ciclo.1.D.financial.estadoResultados.costos</t>
  </si>
  <si>
    <t>FR5</t>
  </si>
  <si>
    <t>ciclo.1.D.financial.estadoResultados.utilidad</t>
  </si>
  <si>
    <t>FS5</t>
  </si>
  <si>
    <t>ciclo.1.D.financial.estadoResultados.depreciacion</t>
  </si>
  <si>
    <t>FT5</t>
  </si>
  <si>
    <t>ciclo.1.D.financial.estadoResultados.intereses</t>
  </si>
  <si>
    <t>FU5</t>
  </si>
  <si>
    <t>ciclo.1.D.financial.estadoResultados.costosProduccion</t>
  </si>
  <si>
    <t>FV5</t>
  </si>
  <si>
    <t>ciclo.1.D.financial.balanceCaja.cajaInicial</t>
  </si>
  <si>
    <t>FW5</t>
  </si>
  <si>
    <t>ciclo.1.D.financial.balanceCaja.entradas</t>
  </si>
  <si>
    <t>FX5</t>
  </si>
  <si>
    <t>ciclo.1.D.financial.balanceCaja.salidas</t>
  </si>
  <si>
    <t>FY5</t>
  </si>
  <si>
    <t>ciclo.1.D.financial.balanceCaja.cajaFinal</t>
  </si>
  <si>
    <t>FZ5</t>
  </si>
  <si>
    <t>ciclo.1.D.financial.flujoCaja.cajaInicial</t>
  </si>
  <si>
    <t>GA5</t>
  </si>
  <si>
    <t>ciclo.1.D.financial.flujoCaja.cobrosVentas</t>
  </si>
  <si>
    <t>GB5</t>
  </si>
  <si>
    <t>ciclo.1.D.financial.flujoCaja.pagosOperacion</t>
  </si>
  <si>
    <t>GC5</t>
  </si>
  <si>
    <t>ciclo.1.D.financial.flujoCaja.compraActivos</t>
  </si>
  <si>
    <t>GD5</t>
  </si>
  <si>
    <t>ciclo.1.D.financial.flujoCaja.financiamiento</t>
  </si>
  <si>
    <t>GE5</t>
  </si>
  <si>
    <t>ciclo.1.D.financial.flujoCaja.operacion</t>
  </si>
  <si>
    <t>GF5</t>
  </si>
  <si>
    <t>ciclo.1.D.financial.flujoCaja.inversion</t>
  </si>
  <si>
    <t>GG5</t>
  </si>
  <si>
    <t>ciclo.1.D.financial.flujoCaja.flujoNeto</t>
  </si>
  <si>
    <t>GH5</t>
  </si>
  <si>
    <t>ciclo.1.D.financial.flujoCaja.cajaFinal</t>
  </si>
  <si>
    <t>GI5</t>
  </si>
  <si>
    <t>ciclo.1.D.financial.balanceGeneral.efectivo</t>
  </si>
  <si>
    <t>GJ5</t>
  </si>
  <si>
    <t>ciclo.1.D.financial.balanceGeneral.activosFijos</t>
  </si>
  <si>
    <t>GK5</t>
  </si>
  <si>
    <t>ciclo.1.D.financial.balanceGeneral.inventarioMP</t>
  </si>
  <si>
    <t>GL5</t>
  </si>
  <si>
    <t>ciclo.1.D.financial.balanceGeneral.activos</t>
  </si>
  <si>
    <t>GM5</t>
  </si>
  <si>
    <t>ciclo.1.D.financial.balanceGeneral.deuda</t>
  </si>
  <si>
    <t>GN5</t>
  </si>
  <si>
    <t>ciclo.1.D.financial.balanceGeneral.patrimonio</t>
  </si>
  <si>
    <t>GO5</t>
  </si>
  <si>
    <t>ciclo.1.D.financial.balanceGeneral.pasivoPatrimonio</t>
  </si>
  <si>
    <t>GP5</t>
  </si>
  <si>
    <t>ciclo.1.D.financial.financiamiento.montoPrestamo</t>
  </si>
  <si>
    <t>GQ5</t>
  </si>
  <si>
    <t>ciclo.1.D.financial.financiamiento.tasaTEA</t>
  </si>
  <si>
    <t>GR5</t>
  </si>
  <si>
    <t>ciclo.1.D.financial.financiamiento.deudaPrincipal</t>
  </si>
  <si>
    <t>GS5</t>
  </si>
  <si>
    <t>ciclo.1.D.financial.financiamiento.tasaAdicionalProximoPrestamo</t>
  </si>
  <si>
    <t>GT5</t>
  </si>
  <si>
    <t>ciclo.1.D.financial.financiamiento.tasaMensual</t>
  </si>
  <si>
    <t>GU5</t>
  </si>
  <si>
    <t>ciclo.1.D.financial.financiamiento.intereses</t>
  </si>
  <si>
    <t>GV5</t>
  </si>
  <si>
    <t>Pipeline_sim2</t>
  </si>
  <si>
    <t>EC2</t>
  </si>
  <si>
    <t>EC3</t>
  </si>
  <si>
    <t>ciclo.2.A.calidad</t>
  </si>
  <si>
    <t>ciclo.2.A.puntajeEficiencia</t>
  </si>
  <si>
    <t>ciclo.2.A.reputacionMatriz</t>
  </si>
  <si>
    <t>ciclo.2.A.saludFinanciera</t>
  </si>
  <si>
    <t>ciclo.2.A.capacidadDiaria</t>
  </si>
  <si>
    <t>ciclo.2.A.capacidadCiclo</t>
  </si>
  <si>
    <t>ciclo.2.A.factorEficiencia</t>
  </si>
  <si>
    <t>ciclo.2.A.produccionCapacidad</t>
  </si>
  <si>
    <t>ciclo.2.A.producido</t>
  </si>
  <si>
    <t>ciclo.2.A.consumoCuero</t>
  </si>
  <si>
    <t>ciclo.2.A.consumoAccesorios</t>
  </si>
  <si>
    <t>ciclo.2.A.consumoHilo</t>
  </si>
  <si>
    <t>ciclo.2.A.costoMO</t>
  </si>
  <si>
    <t>ciclo.2.A.costoMP</t>
  </si>
  <si>
    <t>ciclo.2.A.mantenimiento</t>
  </si>
  <si>
    <t>ciclo.2.A.depreciacion</t>
  </si>
  <si>
    <t>ciclo.2.A.reputacionOperativa</t>
  </si>
  <si>
    <t>ciclo.2.A.reputacionMercado</t>
  </si>
  <si>
    <t>ciclo.2.A.asignado</t>
  </si>
  <si>
    <t>ciclo.2.A.demandaAjustada</t>
  </si>
  <si>
    <t>ciclo.2.A.vendido</t>
  </si>
  <si>
    <t>ciclo.2.A.ingresos</t>
  </si>
  <si>
    <t>ciclo.2.A.inventarioProducto</t>
  </si>
  <si>
    <t>EC4</t>
  </si>
  <si>
    <t>ciclo.2.A.almacenaje</t>
  </si>
  <si>
    <t>ciclo.2.A.horasExtra</t>
  </si>
  <si>
    <t>ciclo.2.A.costoGarantia</t>
  </si>
  <si>
    <t>ciclo.2.A.costoRecurrente</t>
  </si>
  <si>
    <t>ciclo.2.A.costosTotales</t>
  </si>
  <si>
    <t>ciclo.2.A.utilidad</t>
  </si>
  <si>
    <t>ciclo.2.A.ciclosReputacionBaja</t>
  </si>
  <si>
    <t>ciclo.2.A.tasaAdicionalPP</t>
  </si>
  <si>
    <t>ciclo.2.A.stockMP_INS-01</t>
  </si>
  <si>
    <t>ciclo.2.A.stockMP_INS-02</t>
  </si>
  <si>
    <t>ciclo.2.A.stockMP_INS-03</t>
  </si>
  <si>
    <t>ciclo.2.A.stockMP_INS-04</t>
  </si>
  <si>
    <t>ciclo.2.A.stockMP_INS-05</t>
  </si>
  <si>
    <t>ciclo.2.A.stockMP_INS-06</t>
  </si>
  <si>
    <t>ciclo.2.A.stockMP_INS-07</t>
  </si>
  <si>
    <t>ciclo.2.A.stockMP_INS-08</t>
  </si>
  <si>
    <t>ciclo.2.A.CONS-01</t>
  </si>
  <si>
    <t>ciclo.2.A.CONS-02</t>
  </si>
  <si>
    <t>ciclo.2.A.CONS-03</t>
  </si>
  <si>
    <t>ciclo.2.A.CONS-04</t>
  </si>
  <si>
    <t>ciclo.2.A.CONS-05</t>
  </si>
  <si>
    <t>ciclo.2.A.CONS-06</t>
  </si>
  <si>
    <t>ciclo.2.A.CONS-07</t>
  </si>
  <si>
    <t>ciclo.2.A.CONS-08</t>
  </si>
  <si>
    <t>ciclo.2.A.financiamiento.montoPrestamo</t>
  </si>
  <si>
    <t>ciclo.2.A.financiamiento.tasaTEA</t>
  </si>
  <si>
    <t>ciclo.2.A.financiamiento.deudaPrincipal</t>
  </si>
  <si>
    <t>ciclo.2.A.financiamiento.tasaAdicionalProximoPrestamo</t>
  </si>
  <si>
    <t>ciclo.2.B.calidad</t>
  </si>
  <si>
    <t>ciclo.2.B.puntajeEficiencia</t>
  </si>
  <si>
    <t>ciclo.2.B.reputacionMatriz</t>
  </si>
  <si>
    <t>ciclo.2.B.saludFinanciera</t>
  </si>
  <si>
    <t>ciclo.2.B.capacidadDiaria</t>
  </si>
  <si>
    <t>ciclo.2.B.capacidadCiclo</t>
  </si>
  <si>
    <t>ciclo.2.B.factorEficiencia</t>
  </si>
  <si>
    <t>ciclo.2.B.produccionCapacidad</t>
  </si>
  <si>
    <t>ciclo.2.B.producido</t>
  </si>
  <si>
    <t>ciclo.2.B.consumoCuero</t>
  </si>
  <si>
    <t>ciclo.2.B.consumoAccesorios</t>
  </si>
  <si>
    <t>ciclo.2.B.consumoHilo</t>
  </si>
  <si>
    <t>ciclo.2.B.costoMO</t>
  </si>
  <si>
    <t>ciclo.2.B.costoMP</t>
  </si>
  <si>
    <t>ciclo.2.B.mantenimiento</t>
  </si>
  <si>
    <t>ciclo.2.B.depreciacion</t>
  </si>
  <si>
    <t>ciclo.2.B.reputacionOperativa</t>
  </si>
  <si>
    <t>ciclo.2.B.reputacionMercado</t>
  </si>
  <si>
    <t>ciclo.2.B.asignado</t>
  </si>
  <si>
    <t>ciclo.2.B.demandaAjustada</t>
  </si>
  <si>
    <t>ciclo.2.B.vendido</t>
  </si>
  <si>
    <t>ciclo.2.B.ingresos</t>
  </si>
  <si>
    <t>ciclo.2.B.inventarioProducto</t>
  </si>
  <si>
    <t>EC5</t>
  </si>
  <si>
    <t>ciclo.2.B.almacenaje</t>
  </si>
  <si>
    <t>ciclo.2.B.horasExtra</t>
  </si>
  <si>
    <t>ciclo.2.B.costoGarantia</t>
  </si>
  <si>
    <t>ciclo.2.B.costoRecurrente</t>
  </si>
  <si>
    <t>ciclo.2.B.costosTotales</t>
  </si>
  <si>
    <t>ciclo.2.B.utilidad</t>
  </si>
  <si>
    <t>ciclo.2.B.ciclosReputacionBaja</t>
  </si>
  <si>
    <t>ciclo.2.B.tasaAdicionalPP</t>
  </si>
  <si>
    <t>ciclo.2.B.stockMP_INS-01</t>
  </si>
  <si>
    <t>ciclo.2.B.stockMP_INS-02</t>
  </si>
  <si>
    <t>ciclo.2.B.stockMP_INS-03</t>
  </si>
  <si>
    <t>ciclo.2.B.stockMP_INS-04</t>
  </si>
  <si>
    <t>ciclo.2.B.stockMP_INS-05</t>
  </si>
  <si>
    <t>ciclo.2.B.stockMP_INS-06</t>
  </si>
  <si>
    <t>ciclo.2.B.stockMP_INS-07</t>
  </si>
  <si>
    <t>ciclo.2.B.stockMP_INS-08</t>
  </si>
  <si>
    <t>ciclo.2.B.CONS-01</t>
  </si>
  <si>
    <t>ciclo.2.B.CONS-02</t>
  </si>
  <si>
    <t>ciclo.2.B.CONS-03</t>
  </si>
  <si>
    <t>ciclo.2.B.CONS-04</t>
  </si>
  <si>
    <t>ciclo.2.B.CONS-05</t>
  </si>
  <si>
    <t>ciclo.2.B.CONS-06</t>
  </si>
  <si>
    <t>ciclo.2.B.CONS-07</t>
  </si>
  <si>
    <t>ciclo.2.B.CONS-08</t>
  </si>
  <si>
    <t>ciclo.2.B.financiamiento.montoPrestamo</t>
  </si>
  <si>
    <t>ciclo.2.B.financiamiento.tasaTEA</t>
  </si>
  <si>
    <t>ciclo.2.B.financiamiento.deudaPrincipal</t>
  </si>
  <si>
    <t>ciclo.2.B.financiamiento.tasaAdicionalProximoPrestamo</t>
  </si>
  <si>
    <t>ciclo.3.A.calidad</t>
  </si>
  <si>
    <t>AI6</t>
  </si>
  <si>
    <t>ciclo.3.A.puntajeEficiencia</t>
  </si>
  <si>
    <t>AF6</t>
  </si>
  <si>
    <t>ciclo.3.A.reputacionMatriz</t>
  </si>
  <si>
    <t>AL6</t>
  </si>
  <si>
    <t>ciclo.3.A.saludFinanciera</t>
  </si>
  <si>
    <t>AH6</t>
  </si>
  <si>
    <t>ciclo.3.A.capacidadDiaria</t>
  </si>
  <si>
    <t>CC6</t>
  </si>
  <si>
    <t>ciclo.3.A.capacidadCiclo</t>
  </si>
  <si>
    <t>CD6</t>
  </si>
  <si>
    <t>ciclo.3.A.factorEficiencia</t>
  </si>
  <si>
    <t>CB6</t>
  </si>
  <si>
    <t>ciclo.3.A.produccionCapacidad</t>
  </si>
  <si>
    <t>CE6</t>
  </si>
  <si>
    <t>ciclo.3.A.producido</t>
  </si>
  <si>
    <t>CZ6</t>
  </si>
  <si>
    <t>ciclo.3.A.consumoCuero</t>
  </si>
  <si>
    <t>DA6</t>
  </si>
  <si>
    <t>ciclo.3.A.consumoAccesorios</t>
  </si>
  <si>
    <t>DH6</t>
  </si>
  <si>
    <t>ciclo.3.A.consumoHilo</t>
  </si>
  <si>
    <t>DM6</t>
  </si>
  <si>
    <t>ciclo.3.A.costoMO</t>
  </si>
  <si>
    <t>DT6</t>
  </si>
  <si>
    <t>ciclo.3.A.costoMP</t>
  </si>
  <si>
    <t>DU6</t>
  </si>
  <si>
    <t>ciclo.3.A.mantenimiento</t>
  </si>
  <si>
    <t>DV6</t>
  </si>
  <si>
    <t>ciclo.3.A.depreciacion</t>
  </si>
  <si>
    <t>DW6</t>
  </si>
  <si>
    <t>ciclo.3.A.reputacionOperativa</t>
  </si>
  <si>
    <t>DX6</t>
  </si>
  <si>
    <t>ciclo.3.A.reputacionMercado</t>
  </si>
  <si>
    <t>DY6</t>
  </si>
  <si>
    <t>ciclo.3.A.asignado</t>
  </si>
  <si>
    <t>EH6</t>
  </si>
  <si>
    <t>ciclo.3.A.demandaAjustada</t>
  </si>
  <si>
    <t>EI6</t>
  </si>
  <si>
    <t>ciclo.3.A.vendido</t>
  </si>
  <si>
    <t>EJ6</t>
  </si>
  <si>
    <t>ciclo.3.A.ingresos</t>
  </si>
  <si>
    <t>EK6</t>
  </si>
  <si>
    <t>ciclo.3.A.inventarioProducto</t>
  </si>
  <si>
    <t>EC6</t>
  </si>
  <si>
    <t>ciclo.3.A.almacenaje</t>
  </si>
  <si>
    <t>EL6</t>
  </si>
  <si>
    <t>ciclo.3.A.horasExtra</t>
  </si>
  <si>
    <t>EM6</t>
  </si>
  <si>
    <t>ciclo.3.A.costoGarantia</t>
  </si>
  <si>
    <t>EN6</t>
  </si>
  <si>
    <t>ciclo.3.A.costoRecurrente</t>
  </si>
  <si>
    <t>EO6</t>
  </si>
  <si>
    <t>ciclo.3.A.costosTotales</t>
  </si>
  <si>
    <t>EQ6</t>
  </si>
  <si>
    <t>ciclo.3.A.utilidad</t>
  </si>
  <si>
    <t>ER6</t>
  </si>
  <si>
    <t>ciclo.3.A.ciclosReputacionBaja</t>
  </si>
  <si>
    <t>AM6</t>
  </si>
  <si>
    <t>ciclo.3.A.tasaAdicionalPP</t>
  </si>
  <si>
    <t>AO6</t>
  </si>
  <si>
    <t>ciclo.3.A.stockMP_INS-01</t>
  </si>
  <si>
    <t>DC6</t>
  </si>
  <si>
    <t>ciclo.3.A.stockMP_INS-02</t>
  </si>
  <si>
    <t>DE6</t>
  </si>
  <si>
    <t>ciclo.3.A.stockMP_INS-03</t>
  </si>
  <si>
    <t>DG6</t>
  </si>
  <si>
    <t>ciclo.3.A.stockMP_INS-04</t>
  </si>
  <si>
    <t>DJ6</t>
  </si>
  <si>
    <t>ciclo.3.A.stockMP_INS-05</t>
  </si>
  <si>
    <t>DL6</t>
  </si>
  <si>
    <t>ciclo.3.A.stockMP_INS-06</t>
  </si>
  <si>
    <t>DO6</t>
  </si>
  <si>
    <t>ciclo.3.A.stockMP_INS-07</t>
  </si>
  <si>
    <t>DQ6</t>
  </si>
  <si>
    <t>ciclo.3.A.stockMP_INS-08</t>
  </si>
  <si>
    <t>DS6</t>
  </si>
  <si>
    <t>ciclo.3.A.CONS-01</t>
  </si>
  <si>
    <t>ES6</t>
  </si>
  <si>
    <t>ciclo.3.A.CONS-02</t>
  </si>
  <si>
    <t>ET6</t>
  </si>
  <si>
    <t>ciclo.3.A.CONS-03</t>
  </si>
  <si>
    <t>EU6</t>
  </si>
  <si>
    <t>ciclo.3.A.CONS-04</t>
  </si>
  <si>
    <t>EV6</t>
  </si>
  <si>
    <t>ciclo.3.A.CONS-05</t>
  </si>
  <si>
    <t>EW6</t>
  </si>
  <si>
    <t>ciclo.3.A.CONS-06</t>
  </si>
  <si>
    <t>EX6</t>
  </si>
  <si>
    <t>ciclo.3.A.CONS-07</t>
  </si>
  <si>
    <t>EY6</t>
  </si>
  <si>
    <t>ciclo.3.A.CONS-08</t>
  </si>
  <si>
    <t>EZ6</t>
  </si>
  <si>
    <t>ciclo.3.A.financiamiento.montoPrestamo</t>
  </si>
  <si>
    <t>AP6</t>
  </si>
  <si>
    <t>ciclo.3.A.financiamiento.tasaTEA</t>
  </si>
  <si>
    <t>AR6</t>
  </si>
  <si>
    <t>ciclo.3.A.financiamiento.deudaPrincipal</t>
  </si>
  <si>
    <t>AS6</t>
  </si>
  <si>
    <t>ciclo.3.A.financiamiento.tasaAdicionalProximoPrestamo</t>
  </si>
  <si>
    <t>AT6</t>
  </si>
  <si>
    <t>ciclo.3.B.calidad</t>
  </si>
  <si>
    <t>AI7</t>
  </si>
  <si>
    <t>ciclo.3.B.puntajeEficiencia</t>
  </si>
  <si>
    <t>AF7</t>
  </si>
  <si>
    <t>ciclo.3.B.reputacionMatriz</t>
  </si>
  <si>
    <t>AL7</t>
  </si>
  <si>
    <t>ciclo.3.B.saludFinanciera</t>
  </si>
  <si>
    <t>AH7</t>
  </si>
  <si>
    <t>ciclo.3.B.capacidadDiaria</t>
  </si>
  <si>
    <t>CC7</t>
  </si>
  <si>
    <t>ciclo.3.B.capacidadCiclo</t>
  </si>
  <si>
    <t>CD7</t>
  </si>
  <si>
    <t>ciclo.3.B.factorEficiencia</t>
  </si>
  <si>
    <t>CB7</t>
  </si>
  <si>
    <t>ciclo.3.B.produccionCapacidad</t>
  </si>
  <si>
    <t>CE7</t>
  </si>
  <si>
    <t>ciclo.3.B.producido</t>
  </si>
  <si>
    <t>CZ7</t>
  </si>
  <si>
    <t>ciclo.3.B.consumoCuero</t>
  </si>
  <si>
    <t>DA7</t>
  </si>
  <si>
    <t>ciclo.3.B.consumoAccesorios</t>
  </si>
  <si>
    <t>DH7</t>
  </si>
  <si>
    <t>ciclo.3.B.consumoHilo</t>
  </si>
  <si>
    <t>DM7</t>
  </si>
  <si>
    <t>ciclo.3.B.costoMO</t>
  </si>
  <si>
    <t>DT7</t>
  </si>
  <si>
    <t>ciclo.3.B.costoMP</t>
  </si>
  <si>
    <t>DU7</t>
  </si>
  <si>
    <t>ciclo.3.B.mantenimiento</t>
  </si>
  <si>
    <t>DV7</t>
  </si>
  <si>
    <t>ciclo.3.B.depreciacion</t>
  </si>
  <si>
    <t>DW7</t>
  </si>
  <si>
    <t>ciclo.3.B.reputacionOperativa</t>
  </si>
  <si>
    <t>DX7</t>
  </si>
  <si>
    <t>ciclo.3.B.reputacionMercado</t>
  </si>
  <si>
    <t>DY7</t>
  </si>
  <si>
    <t>ciclo.3.B.asignado</t>
  </si>
  <si>
    <t>EH7</t>
  </si>
  <si>
    <t>ciclo.3.B.demandaAjustada</t>
  </si>
  <si>
    <t>EI7</t>
  </si>
  <si>
    <t>ciclo.3.B.vendido</t>
  </si>
  <si>
    <t>EJ7</t>
  </si>
  <si>
    <t>ciclo.3.B.ingresos</t>
  </si>
  <si>
    <t>EK7</t>
  </si>
  <si>
    <t>ciclo.3.B.inventarioProducto</t>
  </si>
  <si>
    <t>EC7</t>
  </si>
  <si>
    <t>ciclo.3.B.almacenaje</t>
  </si>
  <si>
    <t>EL7</t>
  </si>
  <si>
    <t>ciclo.3.B.horasExtra</t>
  </si>
  <si>
    <t>EM7</t>
  </si>
  <si>
    <t>ciclo.3.B.costoGarantia</t>
  </si>
  <si>
    <t>EN7</t>
  </si>
  <si>
    <t>ciclo.3.B.costoRecurrente</t>
  </si>
  <si>
    <t>EO7</t>
  </si>
  <si>
    <t>ciclo.3.B.costosTotales</t>
  </si>
  <si>
    <t>EQ7</t>
  </si>
  <si>
    <t>ciclo.3.B.utilidad</t>
  </si>
  <si>
    <t>ER7</t>
  </si>
  <si>
    <t>ciclo.3.B.ciclosReputacionBaja</t>
  </si>
  <si>
    <t>AM7</t>
  </si>
  <si>
    <t>ciclo.3.B.tasaAdicionalPP</t>
  </si>
  <si>
    <t>AO7</t>
  </si>
  <si>
    <t>ciclo.3.B.stockMP_INS-01</t>
  </si>
  <si>
    <t>DC7</t>
  </si>
  <si>
    <t>ciclo.3.B.stockMP_INS-02</t>
  </si>
  <si>
    <t>DE7</t>
  </si>
  <si>
    <t>ciclo.3.B.stockMP_INS-03</t>
  </si>
  <si>
    <t>DG7</t>
  </si>
  <si>
    <t>ciclo.3.B.stockMP_INS-04</t>
  </si>
  <si>
    <t>DJ7</t>
  </si>
  <si>
    <t>ciclo.3.B.stockMP_INS-05</t>
  </si>
  <si>
    <t>DL7</t>
  </si>
  <si>
    <t>ciclo.3.B.stockMP_INS-06</t>
  </si>
  <si>
    <t>DO7</t>
  </si>
  <si>
    <t>ciclo.3.B.stockMP_INS-07</t>
  </si>
  <si>
    <t>DQ7</t>
  </si>
  <si>
    <t>ciclo.3.B.stockMP_INS-08</t>
  </si>
  <si>
    <t>DS7</t>
  </si>
  <si>
    <t>ciclo.3.B.CONS-01</t>
  </si>
  <si>
    <t>ES7</t>
  </si>
  <si>
    <t>ciclo.3.B.CONS-02</t>
  </si>
  <si>
    <t>ET7</t>
  </si>
  <si>
    <t>ciclo.3.B.CONS-03</t>
  </si>
  <si>
    <t>EU7</t>
  </si>
  <si>
    <t>ciclo.3.B.CONS-04</t>
  </si>
  <si>
    <t>EV7</t>
  </si>
  <si>
    <t>ciclo.3.B.CONS-05</t>
  </si>
  <si>
    <t>EW7</t>
  </si>
  <si>
    <t>ciclo.3.B.CONS-06</t>
  </si>
  <si>
    <t>EX7</t>
  </si>
  <si>
    <t>ciclo.3.B.CONS-07</t>
  </si>
  <si>
    <t>EY7</t>
  </si>
  <si>
    <t>ciclo.3.B.CONS-08</t>
  </si>
  <si>
    <t>EZ7</t>
  </si>
  <si>
    <t>ciclo.3.B.financiamiento.montoPrestamo</t>
  </si>
  <si>
    <t>AP7</t>
  </si>
  <si>
    <t>ciclo.3.B.financiamiento.tasaTEA</t>
  </si>
  <si>
    <t>AR7</t>
  </si>
  <si>
    <t>ciclo.3.B.financiamiento.deudaPrincipal</t>
  </si>
  <si>
    <t>AS7</t>
  </si>
  <si>
    <t>ciclo.3.B.financiamiento.tasaAdicionalProximoPrestamo</t>
  </si>
  <si>
    <t>AT7</t>
  </si>
  <si>
    <t>ciclo.2.A.financial.estadoResultados.ingresos</t>
  </si>
  <si>
    <t>ciclo.2.A.financial.estadoResultados.ventasNetas</t>
  </si>
  <si>
    <t>ciclo.2.A.financial.estadoResultados.costos</t>
  </si>
  <si>
    <t>ciclo.2.A.financial.estadoResultados.utilidad</t>
  </si>
  <si>
    <t>ciclo.2.A.financial.estadoResultados.depreciacion</t>
  </si>
  <si>
    <t>ciclo.2.A.financial.estadoResultados.intereses</t>
  </si>
  <si>
    <t>ciclo.2.A.financial.estadoResultados.costosProduccion</t>
  </si>
  <si>
    <t>ciclo.2.A.financial.balanceCaja.cajaInicial</t>
  </si>
  <si>
    <t>ciclo.2.A.financial.balanceCaja.entradas</t>
  </si>
  <si>
    <t>ciclo.2.A.financial.balanceCaja.salidas</t>
  </si>
  <si>
    <t>ciclo.2.A.financial.balanceCaja.cajaFinal</t>
  </si>
  <si>
    <t>ciclo.2.A.financial.flujoCaja.cajaInicial</t>
  </si>
  <si>
    <t>ciclo.2.A.financial.flujoCaja.cobrosVentas</t>
  </si>
  <si>
    <t>ciclo.2.A.financial.flujoCaja.pagosOperacion</t>
  </si>
  <si>
    <t>ciclo.2.A.financial.flujoCaja.compraActivos</t>
  </si>
  <si>
    <t>ciclo.2.A.financial.flujoCaja.financiamiento</t>
  </si>
  <si>
    <t>ciclo.2.A.financial.flujoCaja.operacion</t>
  </si>
  <si>
    <t>ciclo.2.A.financial.flujoCaja.inversion</t>
  </si>
  <si>
    <t>ciclo.2.A.financial.flujoCaja.flujoNeto</t>
  </si>
  <si>
    <t>ciclo.2.A.financial.flujoCaja.cajaFinal</t>
  </si>
  <si>
    <t>ciclo.2.A.financial.balanceGeneral.efectivo</t>
  </si>
  <si>
    <t>ciclo.2.A.financial.balanceGeneral.activosFijos</t>
  </si>
  <si>
    <t>ciclo.2.A.financial.balanceGeneral.inventarioMP</t>
  </si>
  <si>
    <t>ciclo.2.A.financial.balanceGeneral.activos</t>
  </si>
  <si>
    <t>ciclo.2.A.financial.balanceGeneral.deuda</t>
  </si>
  <si>
    <t>ciclo.2.A.financial.balanceGeneral.patrimonio</t>
  </si>
  <si>
    <t>ciclo.2.A.financial.balanceGeneral.pasivoPatrimonio</t>
  </si>
  <si>
    <t>ciclo.2.A.financial.financiamiento.montoPrestamo</t>
  </si>
  <si>
    <t>ciclo.2.A.financial.financiamiento.tasaTEA</t>
  </si>
  <si>
    <t>ciclo.2.A.financial.financiamiento.deudaPrincipal</t>
  </si>
  <si>
    <t>ciclo.2.A.financial.financiamiento.tasaAdicionalProximoPrestamo</t>
  </si>
  <si>
    <t>ciclo.2.A.financial.financiamiento.tasaMensual</t>
  </si>
  <si>
    <t>ciclo.2.A.financial.financiamiento.intereses</t>
  </si>
  <si>
    <t>ciclo.2.B.financial.estadoResultados.ingresos</t>
  </si>
  <si>
    <t>ciclo.2.B.financial.estadoResultados.ventasNetas</t>
  </si>
  <si>
    <t>ciclo.2.B.financial.estadoResultados.costos</t>
  </si>
  <si>
    <t>ciclo.2.B.financial.estadoResultados.utilidad</t>
  </si>
  <si>
    <t>ciclo.2.B.financial.estadoResultados.depreciacion</t>
  </si>
  <si>
    <t>ciclo.2.B.financial.estadoResultados.intereses</t>
  </si>
  <si>
    <t>ciclo.2.B.financial.estadoResultados.costosProduccion</t>
  </si>
  <si>
    <t>ciclo.2.B.financial.balanceCaja.cajaInicial</t>
  </si>
  <si>
    <t>ciclo.2.B.financial.balanceCaja.entradas</t>
  </si>
  <si>
    <t>ciclo.2.B.financial.balanceCaja.salidas</t>
  </si>
  <si>
    <t>ciclo.2.B.financial.balanceCaja.cajaFinal</t>
  </si>
  <si>
    <t>ciclo.2.B.financial.flujoCaja.cajaInicial</t>
  </si>
  <si>
    <t>ciclo.2.B.financial.flujoCaja.cobrosVentas</t>
  </si>
  <si>
    <t>ciclo.2.B.financial.flujoCaja.pagosOperacion</t>
  </si>
  <si>
    <t>ciclo.2.B.financial.flujoCaja.compraActivos</t>
  </si>
  <si>
    <t>ciclo.2.B.financial.flujoCaja.financiamiento</t>
  </si>
  <si>
    <t>ciclo.2.B.financial.flujoCaja.operacion</t>
  </si>
  <si>
    <t>ciclo.2.B.financial.flujoCaja.inversion</t>
  </si>
  <si>
    <t>ciclo.2.B.financial.flujoCaja.flujoNeto</t>
  </si>
  <si>
    <t>ciclo.2.B.financial.flujoCaja.cajaFinal</t>
  </si>
  <si>
    <t>ciclo.2.B.financial.balanceGeneral.efectivo</t>
  </si>
  <si>
    <t>ciclo.2.B.financial.balanceGeneral.activosFijos</t>
  </si>
  <si>
    <t>ciclo.2.B.financial.balanceGeneral.inventarioMP</t>
  </si>
  <si>
    <t>ciclo.2.B.financial.balanceGeneral.activos</t>
  </si>
  <si>
    <t>ciclo.2.B.financial.balanceGeneral.deuda</t>
  </si>
  <si>
    <t>ciclo.2.B.financial.balanceGeneral.patrimonio</t>
  </si>
  <si>
    <t>ciclo.2.B.financial.balanceGeneral.pasivoPatrimonio</t>
  </si>
  <si>
    <t>ciclo.2.B.financial.financiamiento.montoPrestamo</t>
  </si>
  <si>
    <t>ciclo.2.B.financial.financiamiento.tasaTEA</t>
  </si>
  <si>
    <t>ciclo.2.B.financial.financiamiento.deudaPrincipal</t>
  </si>
  <si>
    <t>ciclo.2.B.financial.financiamiento.tasaAdicionalProximoPrestamo</t>
  </si>
  <si>
    <t>ciclo.2.B.financial.financiamiento.tasaMensual</t>
  </si>
  <si>
    <t>ciclo.2.B.financial.financiamiento.intereses</t>
  </si>
  <si>
    <t>ciclo.3.A.financial.estadoResultados.ingresos</t>
  </si>
  <si>
    <t>FP6</t>
  </si>
  <si>
    <t>ciclo.3.A.financial.estadoResultados.ventasNetas</t>
  </si>
  <si>
    <t>FQ6</t>
  </si>
  <si>
    <t>ciclo.3.A.financial.estadoResultados.costos</t>
  </si>
  <si>
    <t>FR6</t>
  </si>
  <si>
    <t>ciclo.3.A.financial.estadoResultados.utilidad</t>
  </si>
  <si>
    <t>FS6</t>
  </si>
  <si>
    <t>ciclo.3.A.financial.estadoResultados.depreciacion</t>
  </si>
  <si>
    <t>FT6</t>
  </si>
  <si>
    <t>ciclo.3.A.financial.estadoResultados.intereses</t>
  </si>
  <si>
    <t>FU6</t>
  </si>
  <si>
    <t>ciclo.3.A.financial.estadoResultados.costosProduccion</t>
  </si>
  <si>
    <t>FV6</t>
  </si>
  <si>
    <t>ciclo.3.A.financial.balanceCaja.cajaInicial</t>
  </si>
  <si>
    <t>FW6</t>
  </si>
  <si>
    <t>ciclo.3.A.financial.balanceCaja.entradas</t>
  </si>
  <si>
    <t>FX6</t>
  </si>
  <si>
    <t>ciclo.3.A.financial.balanceCaja.salidas</t>
  </si>
  <si>
    <t>FY6</t>
  </si>
  <si>
    <t>ciclo.3.A.financial.balanceCaja.cajaFinal</t>
  </si>
  <si>
    <t>FZ6</t>
  </si>
  <si>
    <t>ciclo.3.A.financial.flujoCaja.cajaInicial</t>
  </si>
  <si>
    <t>GA6</t>
  </si>
  <si>
    <t>ciclo.3.A.financial.flujoCaja.cobrosVentas</t>
  </si>
  <si>
    <t>GB6</t>
  </si>
  <si>
    <t>ciclo.3.A.financial.flujoCaja.pagosOperacion</t>
  </si>
  <si>
    <t>GC6</t>
  </si>
  <si>
    <t>ciclo.3.A.financial.flujoCaja.compraActivos</t>
  </si>
  <si>
    <t>GD6</t>
  </si>
  <si>
    <t>ciclo.3.A.financial.flujoCaja.financiamiento</t>
  </si>
  <si>
    <t>GE6</t>
  </si>
  <si>
    <t>ciclo.3.A.financial.flujoCaja.operacion</t>
  </si>
  <si>
    <t>GF6</t>
  </si>
  <si>
    <t>ciclo.3.A.financial.flujoCaja.inversion</t>
  </si>
  <si>
    <t>GG6</t>
  </si>
  <si>
    <t>ciclo.3.A.financial.flujoCaja.flujoNeto</t>
  </si>
  <si>
    <t>GH6</t>
  </si>
  <si>
    <t>ciclo.3.A.financial.flujoCaja.cajaFinal</t>
  </si>
  <si>
    <t>GI6</t>
  </si>
  <si>
    <t>ciclo.3.A.financial.balanceGeneral.efectivo</t>
  </si>
  <si>
    <t>GJ6</t>
  </si>
  <si>
    <t>ciclo.3.A.financial.balanceGeneral.activosFijos</t>
  </si>
  <si>
    <t>GK6</t>
  </si>
  <si>
    <t>ciclo.3.A.financial.balanceGeneral.inventarioMP</t>
  </si>
  <si>
    <t>GL6</t>
  </si>
  <si>
    <t>ciclo.3.A.financial.balanceGeneral.activos</t>
  </si>
  <si>
    <t>GM6</t>
  </si>
  <si>
    <t>ciclo.3.A.financial.balanceGeneral.deuda</t>
  </si>
  <si>
    <t>GN6</t>
  </si>
  <si>
    <t>ciclo.3.A.financial.balanceGeneral.patrimonio</t>
  </si>
  <si>
    <t>GO6</t>
  </si>
  <si>
    <t>ciclo.3.A.financial.balanceGeneral.pasivoPatrimonio</t>
  </si>
  <si>
    <t>GP6</t>
  </si>
  <si>
    <t>ciclo.3.A.financial.financiamiento.montoPrestamo</t>
  </si>
  <si>
    <t>GQ6</t>
  </si>
  <si>
    <t>ciclo.3.A.financial.financiamiento.tasaTEA</t>
  </si>
  <si>
    <t>GR6</t>
  </si>
  <si>
    <t>ciclo.3.A.financial.financiamiento.deudaPrincipal</t>
  </si>
  <si>
    <t>GS6</t>
  </si>
  <si>
    <t>ciclo.3.A.financial.financiamiento.tasaAdicionalProximoPrestamo</t>
  </si>
  <si>
    <t>GT6</t>
  </si>
  <si>
    <t>ciclo.3.A.financial.financiamiento.tasaMensual</t>
  </si>
  <si>
    <t>GU6</t>
  </si>
  <si>
    <t>ciclo.3.A.financial.financiamiento.intereses</t>
  </si>
  <si>
    <t>GV6</t>
  </si>
  <si>
    <t>ciclo.3.B.financial.estadoResultados.ingresos</t>
  </si>
  <si>
    <t>FP7</t>
  </si>
  <si>
    <t>ciclo.3.B.financial.estadoResultados.ventasNetas</t>
  </si>
  <si>
    <t>FQ7</t>
  </si>
  <si>
    <t>ciclo.3.B.financial.estadoResultados.costos</t>
  </si>
  <si>
    <t>FR7</t>
  </si>
  <si>
    <t>ciclo.3.B.financial.estadoResultados.utilidad</t>
  </si>
  <si>
    <t>FS7</t>
  </si>
  <si>
    <t>ciclo.3.B.financial.estadoResultados.depreciacion</t>
  </si>
  <si>
    <t>FT7</t>
  </si>
  <si>
    <t>ciclo.3.B.financial.estadoResultados.intereses</t>
  </si>
  <si>
    <t>FU7</t>
  </si>
  <si>
    <t>ciclo.3.B.financial.estadoResultados.costosProduccion</t>
  </si>
  <si>
    <t>FV7</t>
  </si>
  <si>
    <t>ciclo.3.B.financial.balanceCaja.cajaInicial</t>
  </si>
  <si>
    <t>FW7</t>
  </si>
  <si>
    <t>ciclo.3.B.financial.balanceCaja.entradas</t>
  </si>
  <si>
    <t>FX7</t>
  </si>
  <si>
    <t>ciclo.3.B.financial.balanceCaja.salidas</t>
  </si>
  <si>
    <t>FY7</t>
  </si>
  <si>
    <t>ciclo.3.B.financial.balanceCaja.cajaFinal</t>
  </si>
  <si>
    <t>FZ7</t>
  </si>
  <si>
    <t>ciclo.3.B.financial.flujoCaja.cajaInicial</t>
  </si>
  <si>
    <t>GA7</t>
  </si>
  <si>
    <t>ciclo.3.B.financial.flujoCaja.cobrosVentas</t>
  </si>
  <si>
    <t>GB7</t>
  </si>
  <si>
    <t>ciclo.3.B.financial.flujoCaja.pagosOperacion</t>
  </si>
  <si>
    <t>GC7</t>
  </si>
  <si>
    <t>ciclo.3.B.financial.flujoCaja.compraActivos</t>
  </si>
  <si>
    <t>GD7</t>
  </si>
  <si>
    <t>ciclo.3.B.financial.flujoCaja.financiamiento</t>
  </si>
  <si>
    <t>GE7</t>
  </si>
  <si>
    <t>ciclo.3.B.financial.flujoCaja.operacion</t>
  </si>
  <si>
    <t>GF7</t>
  </si>
  <si>
    <t>ciclo.3.B.financial.flujoCaja.inversion</t>
  </si>
  <si>
    <t>GG7</t>
  </si>
  <si>
    <t>ciclo.3.B.financial.flujoCaja.flujoNeto</t>
  </si>
  <si>
    <t>GH7</t>
  </si>
  <si>
    <t>ciclo.3.B.financial.flujoCaja.cajaFinal</t>
  </si>
  <si>
    <t>GI7</t>
  </si>
  <si>
    <t>ciclo.3.B.financial.balanceGeneral.efectivo</t>
  </si>
  <si>
    <t>GJ7</t>
  </si>
  <si>
    <t>ciclo.3.B.financial.balanceGeneral.activosFijos</t>
  </si>
  <si>
    <t>GK7</t>
  </si>
  <si>
    <t>ciclo.3.B.financial.balanceGeneral.inventarioMP</t>
  </si>
  <si>
    <t>GL7</t>
  </si>
  <si>
    <t>ciclo.3.B.financial.balanceGeneral.activos</t>
  </si>
  <si>
    <t>GM7</t>
  </si>
  <si>
    <t>ciclo.3.B.financial.balanceGeneral.deuda</t>
  </si>
  <si>
    <t>GN7</t>
  </si>
  <si>
    <t>ciclo.3.B.financial.balanceGeneral.patrimonio</t>
  </si>
  <si>
    <t>GO7</t>
  </si>
  <si>
    <t>ciclo.3.B.financial.balanceGeneral.pasivoPatrimonio</t>
  </si>
  <si>
    <t>GP7</t>
  </si>
  <si>
    <t>ciclo.3.B.financial.financiamiento.montoPrestamo</t>
  </si>
  <si>
    <t>GQ7</t>
  </si>
  <si>
    <t>ciclo.3.B.financial.financiamiento.tasaTEA</t>
  </si>
  <si>
    <t>GR7</t>
  </si>
  <si>
    <t>ciclo.3.B.financial.financiamiento.deudaPrincipal</t>
  </si>
  <si>
    <t>GS7</t>
  </si>
  <si>
    <t>ciclo.3.B.financial.financiamiento.tasaAdicionalProximoPrestamo</t>
  </si>
  <si>
    <t>GT7</t>
  </si>
  <si>
    <t>ciclo.3.B.financial.financiamiento.tasaMensual</t>
  </si>
  <si>
    <t>GU7</t>
  </si>
  <si>
    <t>ciclo.3.B.financial.financiamiento.intereses</t>
  </si>
  <si>
    <t>GV7</t>
  </si>
  <si>
    <t>Pipeline_sim3</t>
  </si>
  <si>
    <t>ciclo.2.C.calidad</t>
  </si>
  <si>
    <t>AI8</t>
  </si>
  <si>
    <t>ciclo.2.C.puntajeEficiencia</t>
  </si>
  <si>
    <t>AF8</t>
  </si>
  <si>
    <t>ciclo.2.C.reputacionMatriz</t>
  </si>
  <si>
    <t>AL8</t>
  </si>
  <si>
    <t>ciclo.2.C.saludFinanciera</t>
  </si>
  <si>
    <t>AH8</t>
  </si>
  <si>
    <t>ciclo.2.C.capacidadDiaria</t>
  </si>
  <si>
    <t>CC8</t>
  </si>
  <si>
    <t>ciclo.2.C.capacidadCiclo</t>
  </si>
  <si>
    <t>CD8</t>
  </si>
  <si>
    <t>ciclo.2.C.factorEficiencia</t>
  </si>
  <si>
    <t>CB8</t>
  </si>
  <si>
    <t>ciclo.2.C.produccionCapacidad</t>
  </si>
  <si>
    <t>CE8</t>
  </si>
  <si>
    <t>ciclo.2.C.producido</t>
  </si>
  <si>
    <t>CZ8</t>
  </si>
  <si>
    <t>ciclo.2.C.consumoCuero</t>
  </si>
  <si>
    <t>DA8</t>
  </si>
  <si>
    <t>ciclo.2.C.consumoAccesorios</t>
  </si>
  <si>
    <t>DH8</t>
  </si>
  <si>
    <t>ciclo.2.C.consumoHilo</t>
  </si>
  <si>
    <t>DM8</t>
  </si>
  <si>
    <t>ciclo.2.C.costoMO</t>
  </si>
  <si>
    <t>DT8</t>
  </si>
  <si>
    <t>ciclo.2.C.costoMP</t>
  </si>
  <si>
    <t>DU8</t>
  </si>
  <si>
    <t>ciclo.2.C.mantenimiento</t>
  </si>
  <si>
    <t>DV8</t>
  </si>
  <si>
    <t>ciclo.2.C.depreciacion</t>
  </si>
  <si>
    <t>DW8</t>
  </si>
  <si>
    <t>ciclo.2.C.reputacionOperativa</t>
  </si>
  <si>
    <t>DX8</t>
  </si>
  <si>
    <t>ciclo.2.C.reputacionMercado</t>
  </si>
  <si>
    <t>DY8</t>
  </si>
  <si>
    <t>ciclo.2.C.asignado</t>
  </si>
  <si>
    <t>EH8</t>
  </si>
  <si>
    <t>ciclo.2.C.demandaAjustada</t>
  </si>
  <si>
    <t>EI8</t>
  </si>
  <si>
    <t>ciclo.2.C.vendido</t>
  </si>
  <si>
    <t>EJ8</t>
  </si>
  <si>
    <t>ciclo.2.C.ingresos</t>
  </si>
  <si>
    <t>EK8</t>
  </si>
  <si>
    <t>ciclo.2.C.inventarioProducto</t>
  </si>
  <si>
    <t>EC8</t>
  </si>
  <si>
    <t>ciclo.2.C.almacenaje</t>
  </si>
  <si>
    <t>EL8</t>
  </si>
  <si>
    <t>ciclo.2.C.horasExtra</t>
  </si>
  <si>
    <t>EM8</t>
  </si>
  <si>
    <t>ciclo.2.C.costoGarantia</t>
  </si>
  <si>
    <t>EN8</t>
  </si>
  <si>
    <t>ciclo.2.C.costoRecurrente</t>
  </si>
  <si>
    <t>EO8</t>
  </si>
  <si>
    <t>ciclo.2.C.costosTotales</t>
  </si>
  <si>
    <t>EQ8</t>
  </si>
  <si>
    <t>ciclo.2.C.utilidad</t>
  </si>
  <si>
    <t>ER8</t>
  </si>
  <si>
    <t>ciclo.2.C.ciclosReputacionBaja</t>
  </si>
  <si>
    <t>AM8</t>
  </si>
  <si>
    <t>ciclo.2.C.tasaAdicionalPP</t>
  </si>
  <si>
    <t>AO8</t>
  </si>
  <si>
    <t>ciclo.2.C.stockMP_INS-01</t>
  </si>
  <si>
    <t>DC8</t>
  </si>
  <si>
    <t>ciclo.2.C.stockMP_INS-02</t>
  </si>
  <si>
    <t>DE8</t>
  </si>
  <si>
    <t>ciclo.2.C.stockMP_INS-03</t>
  </si>
  <si>
    <t>DG8</t>
  </si>
  <si>
    <t>ciclo.2.C.stockMP_INS-04</t>
  </si>
  <si>
    <t>DJ8</t>
  </si>
  <si>
    <t>ciclo.2.C.stockMP_INS-05</t>
  </si>
  <si>
    <t>DL8</t>
  </si>
  <si>
    <t>ciclo.2.C.stockMP_INS-06</t>
  </si>
  <si>
    <t>DO8</t>
  </si>
  <si>
    <t>ciclo.2.C.stockMP_INS-07</t>
  </si>
  <si>
    <t>DQ8</t>
  </si>
  <si>
    <t>ciclo.2.C.stockMP_INS-08</t>
  </si>
  <si>
    <t>DS8</t>
  </si>
  <si>
    <t>ciclo.2.C.CONS-01</t>
  </si>
  <si>
    <t>ES8</t>
  </si>
  <si>
    <t>ciclo.2.C.CONS-02</t>
  </si>
  <si>
    <t>ET8</t>
  </si>
  <si>
    <t>ciclo.2.C.CONS-03</t>
  </si>
  <si>
    <t>EU8</t>
  </si>
  <si>
    <t>ciclo.2.C.CONS-04</t>
  </si>
  <si>
    <t>EV8</t>
  </si>
  <si>
    <t>ciclo.2.C.CONS-05</t>
  </si>
  <si>
    <t>EW8</t>
  </si>
  <si>
    <t>ciclo.2.C.CONS-06</t>
  </si>
  <si>
    <t>EX8</t>
  </si>
  <si>
    <t>ciclo.2.C.CONS-07</t>
  </si>
  <si>
    <t>EY8</t>
  </si>
  <si>
    <t>ciclo.2.C.CONS-08</t>
  </si>
  <si>
    <t>EZ8</t>
  </si>
  <si>
    <t>ciclo.2.C.financiamiento.montoPrestamo</t>
  </si>
  <si>
    <t>AP8</t>
  </si>
  <si>
    <t>ciclo.2.C.financiamiento.tasaTEA</t>
  </si>
  <si>
    <t>AR8</t>
  </si>
  <si>
    <t>ciclo.2.C.financiamiento.deudaPrincipal</t>
  </si>
  <si>
    <t>AS8</t>
  </si>
  <si>
    <t>ciclo.2.C.financiamiento.tasaAdicionalProximoPrestamo</t>
  </si>
  <si>
    <t>AT8</t>
  </si>
  <si>
    <t>ciclo.2.D.calidad</t>
  </si>
  <si>
    <t>AI9</t>
  </si>
  <si>
    <t>ciclo.2.D.puntajeEficiencia</t>
  </si>
  <si>
    <t>AF9</t>
  </si>
  <si>
    <t>ciclo.2.D.reputacionMatriz</t>
  </si>
  <si>
    <t>AL9</t>
  </si>
  <si>
    <t>ciclo.2.D.saludFinanciera</t>
  </si>
  <si>
    <t>AH9</t>
  </si>
  <si>
    <t>ciclo.2.D.capacidadDiaria</t>
  </si>
  <si>
    <t>CC9</t>
  </si>
  <si>
    <t>ciclo.2.D.capacidadCiclo</t>
  </si>
  <si>
    <t>CD9</t>
  </si>
  <si>
    <t>ciclo.2.D.factorEficiencia</t>
  </si>
  <si>
    <t>CB9</t>
  </si>
  <si>
    <t>ciclo.2.D.produccionCapacidad</t>
  </si>
  <si>
    <t>CE9</t>
  </si>
  <si>
    <t>ciclo.2.D.producido</t>
  </si>
  <si>
    <t>CZ9</t>
  </si>
  <si>
    <t>ciclo.2.D.consumoCuero</t>
  </si>
  <si>
    <t>DA9</t>
  </si>
  <si>
    <t>ciclo.2.D.consumoAccesorios</t>
  </si>
  <si>
    <t>DH9</t>
  </si>
  <si>
    <t>ciclo.2.D.consumoHilo</t>
  </si>
  <si>
    <t>DM9</t>
  </si>
  <si>
    <t>ciclo.2.D.costoMO</t>
  </si>
  <si>
    <t>DT9</t>
  </si>
  <si>
    <t>ciclo.2.D.costoMP</t>
  </si>
  <si>
    <t>DU9</t>
  </si>
  <si>
    <t>ciclo.2.D.mantenimiento</t>
  </si>
  <si>
    <t>DV9</t>
  </si>
  <si>
    <t>ciclo.2.D.depreciacion</t>
  </si>
  <si>
    <t>DW9</t>
  </si>
  <si>
    <t>ciclo.2.D.reputacionOperativa</t>
  </si>
  <si>
    <t>DX9</t>
  </si>
  <si>
    <t>ciclo.2.D.reputacionMercado</t>
  </si>
  <si>
    <t>DY9</t>
  </si>
  <si>
    <t>ciclo.2.D.asignado</t>
  </si>
  <si>
    <t>EH9</t>
  </si>
  <si>
    <t>ciclo.2.D.demandaAjustada</t>
  </si>
  <si>
    <t>EI9</t>
  </si>
  <si>
    <t>ciclo.2.D.vendido</t>
  </si>
  <si>
    <t>EJ9</t>
  </si>
  <si>
    <t>ciclo.2.D.ingresos</t>
  </si>
  <si>
    <t>EK9</t>
  </si>
  <si>
    <t>ciclo.2.D.inventarioProducto</t>
  </si>
  <si>
    <t>EC9</t>
  </si>
  <si>
    <t>ciclo.2.D.almacenaje</t>
  </si>
  <si>
    <t>EL9</t>
  </si>
  <si>
    <t>ciclo.2.D.horasExtra</t>
  </si>
  <si>
    <t>EM9</t>
  </si>
  <si>
    <t>ciclo.2.D.costoGarantia</t>
  </si>
  <si>
    <t>EN9</t>
  </si>
  <si>
    <t>ciclo.2.D.costoRecurrente</t>
  </si>
  <si>
    <t>EO9</t>
  </si>
  <si>
    <t>ciclo.2.D.costosTotales</t>
  </si>
  <si>
    <t>EQ9</t>
  </si>
  <si>
    <t>ciclo.2.D.utilidad</t>
  </si>
  <si>
    <t>ER9</t>
  </si>
  <si>
    <t>ciclo.2.D.ciclosReputacionBaja</t>
  </si>
  <si>
    <t>AM9</t>
  </si>
  <si>
    <t>ciclo.2.D.tasaAdicionalPP</t>
  </si>
  <si>
    <t>AO9</t>
  </si>
  <si>
    <t>ciclo.2.D.stockMP_INS-01</t>
  </si>
  <si>
    <t>DC9</t>
  </si>
  <si>
    <t>ciclo.2.D.stockMP_INS-02</t>
  </si>
  <si>
    <t>DE9</t>
  </si>
  <si>
    <t>ciclo.2.D.stockMP_INS-03</t>
  </si>
  <si>
    <t>DG9</t>
  </si>
  <si>
    <t>ciclo.2.D.stockMP_INS-04</t>
  </si>
  <si>
    <t>DJ9</t>
  </si>
  <si>
    <t>ciclo.2.D.stockMP_INS-05</t>
  </si>
  <si>
    <t>DL9</t>
  </si>
  <si>
    <t>ciclo.2.D.stockMP_INS-06</t>
  </si>
  <si>
    <t>DO9</t>
  </si>
  <si>
    <t>ciclo.2.D.stockMP_INS-07</t>
  </si>
  <si>
    <t>DQ9</t>
  </si>
  <si>
    <t>ciclo.2.D.stockMP_INS-08</t>
  </si>
  <si>
    <t>DS9</t>
  </si>
  <si>
    <t>ciclo.2.D.CONS-01</t>
  </si>
  <si>
    <t>ES9</t>
  </si>
  <si>
    <t>ciclo.2.D.CONS-02</t>
  </si>
  <si>
    <t>ET9</t>
  </si>
  <si>
    <t>ciclo.2.D.CONS-03</t>
  </si>
  <si>
    <t>EU9</t>
  </si>
  <si>
    <t>ciclo.2.D.CONS-04</t>
  </si>
  <si>
    <t>EV9</t>
  </si>
  <si>
    <t>ciclo.2.D.CONS-05</t>
  </si>
  <si>
    <t>EW9</t>
  </si>
  <si>
    <t>ciclo.2.D.CONS-06</t>
  </si>
  <si>
    <t>EX9</t>
  </si>
  <si>
    <t>ciclo.2.D.CONS-07</t>
  </si>
  <si>
    <t>EY9</t>
  </si>
  <si>
    <t>ciclo.2.D.CONS-08</t>
  </si>
  <si>
    <t>EZ9</t>
  </si>
  <si>
    <t>ciclo.2.D.financiamiento.montoPrestamo</t>
  </si>
  <si>
    <t>AP9</t>
  </si>
  <si>
    <t>ciclo.2.D.financiamiento.tasaTEA</t>
  </si>
  <si>
    <t>AR9</t>
  </si>
  <si>
    <t>ciclo.2.D.financiamiento.deudaPrincipal</t>
  </si>
  <si>
    <t>AS9</t>
  </si>
  <si>
    <t>ciclo.2.D.financiamiento.tasaAdicionalProximoPrestamo</t>
  </si>
  <si>
    <t>AT9</t>
  </si>
  <si>
    <t>AI10</t>
  </si>
  <si>
    <t>AF10</t>
  </si>
  <si>
    <t>AL10</t>
  </si>
  <si>
    <t>AH10</t>
  </si>
  <si>
    <t>CC10</t>
  </si>
  <si>
    <t>CD10</t>
  </si>
  <si>
    <t>CB10</t>
  </si>
  <si>
    <t>CE10</t>
  </si>
  <si>
    <t>CZ10</t>
  </si>
  <si>
    <t>DA10</t>
  </si>
  <si>
    <t>DH10</t>
  </si>
  <si>
    <t>DM10</t>
  </si>
  <si>
    <t>DT10</t>
  </si>
  <si>
    <t>DU10</t>
  </si>
  <si>
    <t>DV10</t>
  </si>
  <si>
    <t>DW10</t>
  </si>
  <si>
    <t>DX10</t>
  </si>
  <si>
    <t>DY10</t>
  </si>
  <si>
    <t>EH10</t>
  </si>
  <si>
    <t>EI10</t>
  </si>
  <si>
    <t>EJ10</t>
  </si>
  <si>
    <t>EK10</t>
  </si>
  <si>
    <t>EC10</t>
  </si>
  <si>
    <t>EL10</t>
  </si>
  <si>
    <t>EM10</t>
  </si>
  <si>
    <t>EN10</t>
  </si>
  <si>
    <t>EO10</t>
  </si>
  <si>
    <t>EQ10</t>
  </si>
  <si>
    <t>ER10</t>
  </si>
  <si>
    <t>AM10</t>
  </si>
  <si>
    <t>AO10</t>
  </si>
  <si>
    <t>DC10</t>
  </si>
  <si>
    <t>DE10</t>
  </si>
  <si>
    <t>DG10</t>
  </si>
  <si>
    <t>DJ10</t>
  </si>
  <si>
    <t>DL10</t>
  </si>
  <si>
    <t>DO10</t>
  </si>
  <si>
    <t>DQ10</t>
  </si>
  <si>
    <t>DS10</t>
  </si>
  <si>
    <t>ES10</t>
  </si>
  <si>
    <t>ET10</t>
  </si>
  <si>
    <t>EU10</t>
  </si>
  <si>
    <t>EV10</t>
  </si>
  <si>
    <t>EW10</t>
  </si>
  <si>
    <t>EX10</t>
  </si>
  <si>
    <t>EY10</t>
  </si>
  <si>
    <t>EZ10</t>
  </si>
  <si>
    <t>AP10</t>
  </si>
  <si>
    <t>AR10</t>
  </si>
  <si>
    <t>AS10</t>
  </si>
  <si>
    <t>AT10</t>
  </si>
  <si>
    <t>AI11</t>
  </si>
  <si>
    <t>AF11</t>
  </si>
  <si>
    <t>AL11</t>
  </si>
  <si>
    <t>AH11</t>
  </si>
  <si>
    <t>CC11</t>
  </si>
  <si>
    <t>CD11</t>
  </si>
  <si>
    <t>CB11</t>
  </si>
  <si>
    <t>CE11</t>
  </si>
  <si>
    <t>CZ11</t>
  </si>
  <si>
    <t>DA11</t>
  </si>
  <si>
    <t>DH11</t>
  </si>
  <si>
    <t>DM11</t>
  </si>
  <si>
    <t>DT11</t>
  </si>
  <si>
    <t>DU11</t>
  </si>
  <si>
    <t>DV11</t>
  </si>
  <si>
    <t>DW11</t>
  </si>
  <si>
    <t>DX11</t>
  </si>
  <si>
    <t>DY11</t>
  </si>
  <si>
    <t>EH11</t>
  </si>
  <si>
    <t>EI11</t>
  </si>
  <si>
    <t>EJ11</t>
  </si>
  <si>
    <t>EK11</t>
  </si>
  <si>
    <t>EC11</t>
  </si>
  <si>
    <t>EL11</t>
  </si>
  <si>
    <t>EM11</t>
  </si>
  <si>
    <t>EN11</t>
  </si>
  <si>
    <t>EO11</t>
  </si>
  <si>
    <t>EQ11</t>
  </si>
  <si>
    <t>ER11</t>
  </si>
  <si>
    <t>AM11</t>
  </si>
  <si>
    <t>AO11</t>
  </si>
  <si>
    <t>DC11</t>
  </si>
  <si>
    <t>DE11</t>
  </si>
  <si>
    <t>DG11</t>
  </si>
  <si>
    <t>DJ11</t>
  </si>
  <si>
    <t>DL11</t>
  </si>
  <si>
    <t>DO11</t>
  </si>
  <si>
    <t>DQ11</t>
  </si>
  <si>
    <t>DS11</t>
  </si>
  <si>
    <t>ES11</t>
  </si>
  <si>
    <t>ET11</t>
  </si>
  <si>
    <t>EU11</t>
  </si>
  <si>
    <t>EV11</t>
  </si>
  <si>
    <t>EW11</t>
  </si>
  <si>
    <t>EX11</t>
  </si>
  <si>
    <t>EY11</t>
  </si>
  <si>
    <t>EZ11</t>
  </si>
  <si>
    <t>AP11</t>
  </si>
  <si>
    <t>AR11</t>
  </si>
  <si>
    <t>AS11</t>
  </si>
  <si>
    <t>AT11</t>
  </si>
  <si>
    <t>ciclo.3.C.calidad</t>
  </si>
  <si>
    <t>AI12</t>
  </si>
  <si>
    <t>ciclo.3.C.puntajeEficiencia</t>
  </si>
  <si>
    <t>AF12</t>
  </si>
  <si>
    <t>ciclo.3.C.reputacionMatriz</t>
  </si>
  <si>
    <t>AL12</t>
  </si>
  <si>
    <t>ciclo.3.C.saludFinanciera</t>
  </si>
  <si>
    <t>AH12</t>
  </si>
  <si>
    <t>ciclo.3.C.capacidadDiaria</t>
  </si>
  <si>
    <t>CC12</t>
  </si>
  <si>
    <t>ciclo.3.C.capacidadCiclo</t>
  </si>
  <si>
    <t>CD12</t>
  </si>
  <si>
    <t>ciclo.3.C.factorEficiencia</t>
  </si>
  <si>
    <t>CB12</t>
  </si>
  <si>
    <t>ciclo.3.C.produccionCapacidad</t>
  </si>
  <si>
    <t>CE12</t>
  </si>
  <si>
    <t>ciclo.3.C.producido</t>
  </si>
  <si>
    <t>CZ12</t>
  </si>
  <si>
    <t>ciclo.3.C.consumoCuero</t>
  </si>
  <si>
    <t>DA12</t>
  </si>
  <si>
    <t>ciclo.3.C.consumoAccesorios</t>
  </si>
  <si>
    <t>DH12</t>
  </si>
  <si>
    <t>ciclo.3.C.consumoHilo</t>
  </si>
  <si>
    <t>DM12</t>
  </si>
  <si>
    <t>ciclo.3.C.costoMO</t>
  </si>
  <si>
    <t>DT12</t>
  </si>
  <si>
    <t>ciclo.3.C.costoMP</t>
  </si>
  <si>
    <t>DU12</t>
  </si>
  <si>
    <t>ciclo.3.C.mantenimiento</t>
  </si>
  <si>
    <t>DV12</t>
  </si>
  <si>
    <t>ciclo.3.C.depreciacion</t>
  </si>
  <si>
    <t>DW12</t>
  </si>
  <si>
    <t>ciclo.3.C.reputacionOperativa</t>
  </si>
  <si>
    <t>DX12</t>
  </si>
  <si>
    <t>ciclo.3.C.reputacionMercado</t>
  </si>
  <si>
    <t>DY12</t>
  </si>
  <si>
    <t>ciclo.3.C.asignado</t>
  </si>
  <si>
    <t>EH12</t>
  </si>
  <si>
    <t>ciclo.3.C.demandaAjustada</t>
  </si>
  <si>
    <t>EI12</t>
  </si>
  <si>
    <t>ciclo.3.C.vendido</t>
  </si>
  <si>
    <t>EJ12</t>
  </si>
  <si>
    <t>ciclo.3.C.ingresos</t>
  </si>
  <si>
    <t>EK12</t>
  </si>
  <si>
    <t>ciclo.3.C.inventarioProducto</t>
  </si>
  <si>
    <t>EC12</t>
  </si>
  <si>
    <t>ciclo.3.C.almacenaje</t>
  </si>
  <si>
    <t>EL12</t>
  </si>
  <si>
    <t>ciclo.3.C.horasExtra</t>
  </si>
  <si>
    <t>EM12</t>
  </si>
  <si>
    <t>ciclo.3.C.costoGarantia</t>
  </si>
  <si>
    <t>EN12</t>
  </si>
  <si>
    <t>ciclo.3.C.costoRecurrente</t>
  </si>
  <si>
    <t>EO12</t>
  </si>
  <si>
    <t>ciclo.3.C.costosTotales</t>
  </si>
  <si>
    <t>EQ12</t>
  </si>
  <si>
    <t>ciclo.3.C.utilidad</t>
  </si>
  <si>
    <t>ER12</t>
  </si>
  <si>
    <t>ciclo.3.C.ciclosReputacionBaja</t>
  </si>
  <si>
    <t>AM12</t>
  </si>
  <si>
    <t>ciclo.3.C.tasaAdicionalPP</t>
  </si>
  <si>
    <t>AO12</t>
  </si>
  <si>
    <t>ciclo.3.C.stockMP_INS-01</t>
  </si>
  <si>
    <t>DC12</t>
  </si>
  <si>
    <t>ciclo.3.C.stockMP_INS-02</t>
  </si>
  <si>
    <t>DE12</t>
  </si>
  <si>
    <t>ciclo.3.C.stockMP_INS-03</t>
  </si>
  <si>
    <t>DG12</t>
  </si>
  <si>
    <t>ciclo.3.C.stockMP_INS-04</t>
  </si>
  <si>
    <t>DJ12</t>
  </si>
  <si>
    <t>ciclo.3.C.stockMP_INS-05</t>
  </si>
  <si>
    <t>DL12</t>
  </si>
  <si>
    <t>ciclo.3.C.stockMP_INS-06</t>
  </si>
  <si>
    <t>DO12</t>
  </si>
  <si>
    <t>ciclo.3.C.stockMP_INS-07</t>
  </si>
  <si>
    <t>DQ12</t>
  </si>
  <si>
    <t>ciclo.3.C.stockMP_INS-08</t>
  </si>
  <si>
    <t>DS12</t>
  </si>
  <si>
    <t>ciclo.3.C.CONS-01</t>
  </si>
  <si>
    <t>ES12</t>
  </si>
  <si>
    <t>ciclo.3.C.CONS-02</t>
  </si>
  <si>
    <t>ET12</t>
  </si>
  <si>
    <t>ciclo.3.C.CONS-03</t>
  </si>
  <si>
    <t>EU12</t>
  </si>
  <si>
    <t>ciclo.3.C.CONS-04</t>
  </si>
  <si>
    <t>EV12</t>
  </si>
  <si>
    <t>ciclo.3.C.CONS-05</t>
  </si>
  <si>
    <t>EW12</t>
  </si>
  <si>
    <t>ciclo.3.C.CONS-06</t>
  </si>
  <si>
    <t>EX12</t>
  </si>
  <si>
    <t>ciclo.3.C.CONS-07</t>
  </si>
  <si>
    <t>EY12</t>
  </si>
  <si>
    <t>ciclo.3.C.CONS-08</t>
  </si>
  <si>
    <t>EZ12</t>
  </si>
  <si>
    <t>ciclo.3.C.financiamiento.montoPrestamo</t>
  </si>
  <si>
    <t>AP12</t>
  </si>
  <si>
    <t>ciclo.3.C.financiamiento.tasaTEA</t>
  </si>
  <si>
    <t>AR12</t>
  </si>
  <si>
    <t>ciclo.3.C.financiamiento.deudaPrincipal</t>
  </si>
  <si>
    <t>AS12</t>
  </si>
  <si>
    <t>ciclo.3.C.financiamiento.tasaAdicionalProximoPrestamo</t>
  </si>
  <si>
    <t>AT12</t>
  </si>
  <si>
    <t>ciclo.3.D.calidad</t>
  </si>
  <si>
    <t>AI13</t>
  </si>
  <si>
    <t>ciclo.3.D.puntajeEficiencia</t>
  </si>
  <si>
    <t>AF13</t>
  </si>
  <si>
    <t>ciclo.3.D.reputacionMatriz</t>
  </si>
  <si>
    <t>AL13</t>
  </si>
  <si>
    <t>ciclo.3.D.saludFinanciera</t>
  </si>
  <si>
    <t>AH13</t>
  </si>
  <si>
    <t>ciclo.3.D.capacidadDiaria</t>
  </si>
  <si>
    <t>CC13</t>
  </si>
  <si>
    <t>ciclo.3.D.capacidadCiclo</t>
  </si>
  <si>
    <t>CD13</t>
  </si>
  <si>
    <t>ciclo.3.D.factorEficiencia</t>
  </si>
  <si>
    <t>CB13</t>
  </si>
  <si>
    <t>ciclo.3.D.produccionCapacidad</t>
  </si>
  <si>
    <t>CE13</t>
  </si>
  <si>
    <t>ciclo.3.D.producido</t>
  </si>
  <si>
    <t>CZ13</t>
  </si>
  <si>
    <t>ciclo.3.D.consumoCuero</t>
  </si>
  <si>
    <t>DA13</t>
  </si>
  <si>
    <t>ciclo.3.D.consumoAccesorios</t>
  </si>
  <si>
    <t>DH13</t>
  </si>
  <si>
    <t>ciclo.3.D.consumoHilo</t>
  </si>
  <si>
    <t>DM13</t>
  </si>
  <si>
    <t>ciclo.3.D.costoMO</t>
  </si>
  <si>
    <t>DT13</t>
  </si>
  <si>
    <t>ciclo.3.D.costoMP</t>
  </si>
  <si>
    <t>DU13</t>
  </si>
  <si>
    <t>ciclo.3.D.mantenimiento</t>
  </si>
  <si>
    <t>DV13</t>
  </si>
  <si>
    <t>ciclo.3.D.depreciacion</t>
  </si>
  <si>
    <t>DW13</t>
  </si>
  <si>
    <t>ciclo.3.D.reputacionOperativa</t>
  </si>
  <si>
    <t>DX13</t>
  </si>
  <si>
    <t>ciclo.3.D.reputacionMercado</t>
  </si>
  <si>
    <t>DY13</t>
  </si>
  <si>
    <t>ciclo.3.D.asignado</t>
  </si>
  <si>
    <t>EH13</t>
  </si>
  <si>
    <t>ciclo.3.D.demandaAjustada</t>
  </si>
  <si>
    <t>EI13</t>
  </si>
  <si>
    <t>ciclo.3.D.vendido</t>
  </si>
  <si>
    <t>EJ13</t>
  </si>
  <si>
    <t>ciclo.3.D.ingresos</t>
  </si>
  <si>
    <t>EK13</t>
  </si>
  <si>
    <t>ciclo.3.D.inventarioProducto</t>
  </si>
  <si>
    <t>EC13</t>
  </si>
  <si>
    <t>ciclo.3.D.almacenaje</t>
  </si>
  <si>
    <t>EL13</t>
  </si>
  <si>
    <t>ciclo.3.D.horasExtra</t>
  </si>
  <si>
    <t>EM13</t>
  </si>
  <si>
    <t>ciclo.3.D.costoGarantia</t>
  </si>
  <si>
    <t>EN13</t>
  </si>
  <si>
    <t>ciclo.3.D.costoRecurrente</t>
  </si>
  <si>
    <t>EO13</t>
  </si>
  <si>
    <t>ciclo.3.D.costosTotales</t>
  </si>
  <si>
    <t>EQ13</t>
  </si>
  <si>
    <t>ciclo.3.D.utilidad</t>
  </si>
  <si>
    <t>ER13</t>
  </si>
  <si>
    <t>ciclo.3.D.ciclosReputacionBaja</t>
  </si>
  <si>
    <t>AM13</t>
  </si>
  <si>
    <t>ciclo.3.D.tasaAdicionalPP</t>
  </si>
  <si>
    <t>AO13</t>
  </si>
  <si>
    <t>ciclo.3.D.stockMP_INS-01</t>
  </si>
  <si>
    <t>DC13</t>
  </si>
  <si>
    <t>ciclo.3.D.stockMP_INS-02</t>
  </si>
  <si>
    <t>DE13</t>
  </si>
  <si>
    <t>ciclo.3.D.stockMP_INS-03</t>
  </si>
  <si>
    <t>DG13</t>
  </si>
  <si>
    <t>ciclo.3.D.stockMP_INS-04</t>
  </si>
  <si>
    <t>DJ13</t>
  </si>
  <si>
    <t>ciclo.3.D.stockMP_INS-05</t>
  </si>
  <si>
    <t>DL13</t>
  </si>
  <si>
    <t>ciclo.3.D.stockMP_INS-06</t>
  </si>
  <si>
    <t>DO13</t>
  </si>
  <si>
    <t>ciclo.3.D.stockMP_INS-07</t>
  </si>
  <si>
    <t>DQ13</t>
  </si>
  <si>
    <t>ciclo.3.D.stockMP_INS-08</t>
  </si>
  <si>
    <t>DS13</t>
  </si>
  <si>
    <t>ciclo.3.D.CONS-01</t>
  </si>
  <si>
    <t>ES13</t>
  </si>
  <si>
    <t>ciclo.3.D.CONS-02</t>
  </si>
  <si>
    <t>ET13</t>
  </si>
  <si>
    <t>ciclo.3.D.CONS-03</t>
  </si>
  <si>
    <t>EU13</t>
  </si>
  <si>
    <t>ciclo.3.D.CONS-04</t>
  </si>
  <si>
    <t>EV13</t>
  </si>
  <si>
    <t>ciclo.3.D.CONS-05</t>
  </si>
  <si>
    <t>EW13</t>
  </si>
  <si>
    <t>ciclo.3.D.CONS-06</t>
  </si>
  <si>
    <t>EX13</t>
  </si>
  <si>
    <t>ciclo.3.D.CONS-07</t>
  </si>
  <si>
    <t>EY13</t>
  </si>
  <si>
    <t>ciclo.3.D.CONS-08</t>
  </si>
  <si>
    <t>EZ13</t>
  </si>
  <si>
    <t>ciclo.3.D.financiamiento.montoPrestamo</t>
  </si>
  <si>
    <t>AP13</t>
  </si>
  <si>
    <t>ciclo.3.D.financiamiento.tasaTEA</t>
  </si>
  <si>
    <t>AR13</t>
  </si>
  <si>
    <t>ciclo.3.D.financiamiento.deudaPrincipal</t>
  </si>
  <si>
    <t>AS13</t>
  </si>
  <si>
    <t>ciclo.3.D.financiamiento.tasaAdicionalProximoPrestamo</t>
  </si>
  <si>
    <t>AT13</t>
  </si>
  <si>
    <t>ciclo.2.C.financial.estadoResultados.ingresos</t>
  </si>
  <si>
    <t>FP8</t>
  </si>
  <si>
    <t>ciclo.2.C.financial.estadoResultados.ventasNetas</t>
  </si>
  <si>
    <t>FQ8</t>
  </si>
  <si>
    <t>ciclo.2.C.financial.estadoResultados.costos</t>
  </si>
  <si>
    <t>FR8</t>
  </si>
  <si>
    <t>ciclo.2.C.financial.estadoResultados.utilidad</t>
  </si>
  <si>
    <t>FS8</t>
  </si>
  <si>
    <t>ciclo.2.C.financial.estadoResultados.depreciacion</t>
  </si>
  <si>
    <t>FT8</t>
  </si>
  <si>
    <t>ciclo.2.C.financial.estadoResultados.intereses</t>
  </si>
  <si>
    <t>FU8</t>
  </si>
  <si>
    <t>ciclo.2.C.financial.estadoResultados.costosProduccion</t>
  </si>
  <si>
    <t>FV8</t>
  </si>
  <si>
    <t>ciclo.2.C.financial.balanceCaja.cajaInicial</t>
  </si>
  <si>
    <t>FW8</t>
  </si>
  <si>
    <t>ciclo.2.C.financial.balanceCaja.entradas</t>
  </si>
  <si>
    <t>FX8</t>
  </si>
  <si>
    <t>ciclo.2.C.financial.balanceCaja.salidas</t>
  </si>
  <si>
    <t>FY8</t>
  </si>
  <si>
    <t>ciclo.2.C.financial.balanceCaja.cajaFinal</t>
  </si>
  <si>
    <t>FZ8</t>
  </si>
  <si>
    <t>ciclo.2.C.financial.flujoCaja.cajaInicial</t>
  </si>
  <si>
    <t>GA8</t>
  </si>
  <si>
    <t>ciclo.2.C.financial.flujoCaja.cobrosVentas</t>
  </si>
  <si>
    <t>GB8</t>
  </si>
  <si>
    <t>ciclo.2.C.financial.flujoCaja.pagosOperacion</t>
  </si>
  <si>
    <t>GC8</t>
  </si>
  <si>
    <t>ciclo.2.C.financial.flujoCaja.compraActivos</t>
  </si>
  <si>
    <t>GD8</t>
  </si>
  <si>
    <t>ciclo.2.C.financial.flujoCaja.financiamiento</t>
  </si>
  <si>
    <t>GE8</t>
  </si>
  <si>
    <t>ciclo.2.C.financial.flujoCaja.operacion</t>
  </si>
  <si>
    <t>GF8</t>
  </si>
  <si>
    <t>ciclo.2.C.financial.flujoCaja.inversion</t>
  </si>
  <si>
    <t>GG8</t>
  </si>
  <si>
    <t>ciclo.2.C.financial.flujoCaja.flujoNeto</t>
  </si>
  <si>
    <t>GH8</t>
  </si>
  <si>
    <t>ciclo.2.C.financial.flujoCaja.cajaFinal</t>
  </si>
  <si>
    <t>GI8</t>
  </si>
  <si>
    <t>ciclo.2.C.financial.balanceGeneral.efectivo</t>
  </si>
  <si>
    <t>GJ8</t>
  </si>
  <si>
    <t>ciclo.2.C.financial.balanceGeneral.activosFijos</t>
  </si>
  <si>
    <t>GK8</t>
  </si>
  <si>
    <t>ciclo.2.C.financial.balanceGeneral.inventarioMP</t>
  </si>
  <si>
    <t>GL8</t>
  </si>
  <si>
    <t>ciclo.2.C.financial.balanceGeneral.activos</t>
  </si>
  <si>
    <t>GM8</t>
  </si>
  <si>
    <t>ciclo.2.C.financial.balanceGeneral.deuda</t>
  </si>
  <si>
    <t>GN8</t>
  </si>
  <si>
    <t>ciclo.2.C.financial.balanceGeneral.patrimonio</t>
  </si>
  <si>
    <t>GO8</t>
  </si>
  <si>
    <t>ciclo.2.C.financial.balanceGeneral.pasivoPatrimonio</t>
  </si>
  <si>
    <t>GP8</t>
  </si>
  <si>
    <t>ciclo.2.C.financial.financiamiento.montoPrestamo</t>
  </si>
  <si>
    <t>GQ8</t>
  </si>
  <si>
    <t>ciclo.2.C.financial.financiamiento.tasaTEA</t>
  </si>
  <si>
    <t>GR8</t>
  </si>
  <si>
    <t>ciclo.2.C.financial.financiamiento.deudaPrincipal</t>
  </si>
  <si>
    <t>GS8</t>
  </si>
  <si>
    <t>ciclo.2.C.financial.financiamiento.tasaAdicionalProximoPrestamo</t>
  </si>
  <si>
    <t>GT8</t>
  </si>
  <si>
    <t>ciclo.2.C.financial.financiamiento.tasaMensual</t>
  </si>
  <si>
    <t>GU8</t>
  </si>
  <si>
    <t>ciclo.2.C.financial.financiamiento.intereses</t>
  </si>
  <si>
    <t>GV8</t>
  </si>
  <si>
    <t>ciclo.2.D.financial.estadoResultados.ingresos</t>
  </si>
  <si>
    <t>FP9</t>
  </si>
  <si>
    <t>ciclo.2.D.financial.estadoResultados.ventasNetas</t>
  </si>
  <si>
    <t>FQ9</t>
  </si>
  <si>
    <t>ciclo.2.D.financial.estadoResultados.costos</t>
  </si>
  <si>
    <t>FR9</t>
  </si>
  <si>
    <t>ciclo.2.D.financial.estadoResultados.utilidad</t>
  </si>
  <si>
    <t>FS9</t>
  </si>
  <si>
    <t>ciclo.2.D.financial.estadoResultados.depreciacion</t>
  </si>
  <si>
    <t>FT9</t>
  </si>
  <si>
    <t>ciclo.2.D.financial.estadoResultados.intereses</t>
  </si>
  <si>
    <t>FU9</t>
  </si>
  <si>
    <t>ciclo.2.D.financial.estadoResultados.costosProduccion</t>
  </si>
  <si>
    <t>FV9</t>
  </si>
  <si>
    <t>ciclo.2.D.financial.balanceCaja.cajaInicial</t>
  </si>
  <si>
    <t>FW9</t>
  </si>
  <si>
    <t>ciclo.2.D.financial.balanceCaja.entradas</t>
  </si>
  <si>
    <t>FX9</t>
  </si>
  <si>
    <t>ciclo.2.D.financial.balanceCaja.salidas</t>
  </si>
  <si>
    <t>FY9</t>
  </si>
  <si>
    <t>ciclo.2.D.financial.balanceCaja.cajaFinal</t>
  </si>
  <si>
    <t>FZ9</t>
  </si>
  <si>
    <t>ciclo.2.D.financial.flujoCaja.cajaInicial</t>
  </si>
  <si>
    <t>GA9</t>
  </si>
  <si>
    <t>ciclo.2.D.financial.flujoCaja.cobrosVentas</t>
  </si>
  <si>
    <t>GB9</t>
  </si>
  <si>
    <t>ciclo.2.D.financial.flujoCaja.pagosOperacion</t>
  </si>
  <si>
    <t>GC9</t>
  </si>
  <si>
    <t>ciclo.2.D.financial.flujoCaja.compraActivos</t>
  </si>
  <si>
    <t>GD9</t>
  </si>
  <si>
    <t>ciclo.2.D.financial.flujoCaja.financiamiento</t>
  </si>
  <si>
    <t>GE9</t>
  </si>
  <si>
    <t>ciclo.2.D.financial.flujoCaja.operacion</t>
  </si>
  <si>
    <t>GF9</t>
  </si>
  <si>
    <t>ciclo.2.D.financial.flujoCaja.inversion</t>
  </si>
  <si>
    <t>GG9</t>
  </si>
  <si>
    <t>ciclo.2.D.financial.flujoCaja.flujoNeto</t>
  </si>
  <si>
    <t>GH9</t>
  </si>
  <si>
    <t>ciclo.2.D.financial.flujoCaja.cajaFinal</t>
  </si>
  <si>
    <t>GI9</t>
  </si>
  <si>
    <t>ciclo.2.D.financial.balanceGeneral.efectivo</t>
  </si>
  <si>
    <t>GJ9</t>
  </si>
  <si>
    <t>ciclo.2.D.financial.balanceGeneral.activosFijos</t>
  </si>
  <si>
    <t>GK9</t>
  </si>
  <si>
    <t>ciclo.2.D.financial.balanceGeneral.inventarioMP</t>
  </si>
  <si>
    <t>GL9</t>
  </si>
  <si>
    <t>ciclo.2.D.financial.balanceGeneral.activos</t>
  </si>
  <si>
    <t>GM9</t>
  </si>
  <si>
    <t>ciclo.2.D.financial.balanceGeneral.deuda</t>
  </si>
  <si>
    <t>GN9</t>
  </si>
  <si>
    <t>ciclo.2.D.financial.balanceGeneral.patrimonio</t>
  </si>
  <si>
    <t>GO9</t>
  </si>
  <si>
    <t>ciclo.2.D.financial.balanceGeneral.pasivoPatrimonio</t>
  </si>
  <si>
    <t>GP9</t>
  </si>
  <si>
    <t>ciclo.2.D.financial.financiamiento.montoPrestamo</t>
  </si>
  <si>
    <t>GQ9</t>
  </si>
  <si>
    <t>ciclo.2.D.financial.financiamiento.tasaTEA</t>
  </si>
  <si>
    <t>GR9</t>
  </si>
  <si>
    <t>ciclo.2.D.financial.financiamiento.deudaPrincipal</t>
  </si>
  <si>
    <t>GS9</t>
  </si>
  <si>
    <t>ciclo.2.D.financial.financiamiento.tasaAdicionalProximoPrestamo</t>
  </si>
  <si>
    <t>GT9</t>
  </si>
  <si>
    <t>ciclo.2.D.financial.financiamiento.tasaMensual</t>
  </si>
  <si>
    <t>GU9</t>
  </si>
  <si>
    <t>ciclo.2.D.financial.financiamiento.intereses</t>
  </si>
  <si>
    <t>GV9</t>
  </si>
  <si>
    <t>FP10</t>
  </si>
  <si>
    <t>FQ10</t>
  </si>
  <si>
    <t>FR10</t>
  </si>
  <si>
    <t>FS10</t>
  </si>
  <si>
    <t>FT10</t>
  </si>
  <si>
    <t>FU10</t>
  </si>
  <si>
    <t>FV10</t>
  </si>
  <si>
    <t>FW10</t>
  </si>
  <si>
    <t>FX10</t>
  </si>
  <si>
    <t>FY10</t>
  </si>
  <si>
    <t>FZ10</t>
  </si>
  <si>
    <t>GA10</t>
  </si>
  <si>
    <t>GB10</t>
  </si>
  <si>
    <t>GC10</t>
  </si>
  <si>
    <t>GD10</t>
  </si>
  <si>
    <t>GE10</t>
  </si>
  <si>
    <t>GF10</t>
  </si>
  <si>
    <t>GG10</t>
  </si>
  <si>
    <t>GH10</t>
  </si>
  <si>
    <t>GI10</t>
  </si>
  <si>
    <t>GJ10</t>
  </si>
  <si>
    <t>GK10</t>
  </si>
  <si>
    <t>GL10</t>
  </si>
  <si>
    <t>GM10</t>
  </si>
  <si>
    <t>GN10</t>
  </si>
  <si>
    <t>GO10</t>
  </si>
  <si>
    <t>GP10</t>
  </si>
  <si>
    <t>GQ10</t>
  </si>
  <si>
    <t>GR10</t>
  </si>
  <si>
    <t>GS10</t>
  </si>
  <si>
    <t>GT10</t>
  </si>
  <si>
    <t>GU10</t>
  </si>
  <si>
    <t>GV10</t>
  </si>
  <si>
    <t>FP11</t>
  </si>
  <si>
    <t>FQ11</t>
  </si>
  <si>
    <t>FR11</t>
  </si>
  <si>
    <t>FS11</t>
  </si>
  <si>
    <t>FT11</t>
  </si>
  <si>
    <t>FU11</t>
  </si>
  <si>
    <t>FV11</t>
  </si>
  <si>
    <t>FW11</t>
  </si>
  <si>
    <t>FX11</t>
  </si>
  <si>
    <t>FY11</t>
  </si>
  <si>
    <t>FZ11</t>
  </si>
  <si>
    <t>GA11</t>
  </si>
  <si>
    <t>GB11</t>
  </si>
  <si>
    <t>GC11</t>
  </si>
  <si>
    <t>GD11</t>
  </si>
  <si>
    <t>GE11</t>
  </si>
  <si>
    <t>GF11</t>
  </si>
  <si>
    <t>GG11</t>
  </si>
  <si>
    <t>GH11</t>
  </si>
  <si>
    <t>GI11</t>
  </si>
  <si>
    <t>GJ11</t>
  </si>
  <si>
    <t>GK11</t>
  </si>
  <si>
    <t>GL11</t>
  </si>
  <si>
    <t>GM11</t>
  </si>
  <si>
    <t>GN11</t>
  </si>
  <si>
    <t>GO11</t>
  </si>
  <si>
    <t>GP11</t>
  </si>
  <si>
    <t>GQ11</t>
  </si>
  <si>
    <t>GR11</t>
  </si>
  <si>
    <t>GS11</t>
  </si>
  <si>
    <t>GT11</t>
  </si>
  <si>
    <t>GU11</t>
  </si>
  <si>
    <t>GV11</t>
  </si>
  <si>
    <t>ciclo.3.C.financial.estadoResultados.ingresos</t>
  </si>
  <si>
    <t>FP12</t>
  </si>
  <si>
    <t>ciclo.3.C.financial.estadoResultados.ventasNetas</t>
  </si>
  <si>
    <t>FQ12</t>
  </si>
  <si>
    <t>ciclo.3.C.financial.estadoResultados.costos</t>
  </si>
  <si>
    <t>FR12</t>
  </si>
  <si>
    <t>ciclo.3.C.financial.estadoResultados.utilidad</t>
  </si>
  <si>
    <t>FS12</t>
  </si>
  <si>
    <t>ciclo.3.C.financial.estadoResultados.depreciacion</t>
  </si>
  <si>
    <t>FT12</t>
  </si>
  <si>
    <t>ciclo.3.C.financial.estadoResultados.intereses</t>
  </si>
  <si>
    <t>FU12</t>
  </si>
  <si>
    <t>ciclo.3.C.financial.estadoResultados.costosProduccion</t>
  </si>
  <si>
    <t>FV12</t>
  </si>
  <si>
    <t>ciclo.3.C.financial.balanceCaja.cajaInicial</t>
  </si>
  <si>
    <t>FW12</t>
  </si>
  <si>
    <t>ciclo.3.C.financial.balanceCaja.entradas</t>
  </si>
  <si>
    <t>FX12</t>
  </si>
  <si>
    <t>ciclo.3.C.financial.balanceCaja.salidas</t>
  </si>
  <si>
    <t>FY12</t>
  </si>
  <si>
    <t>ciclo.3.C.financial.balanceCaja.cajaFinal</t>
  </si>
  <si>
    <t>FZ12</t>
  </si>
  <si>
    <t>ciclo.3.C.financial.flujoCaja.cajaInicial</t>
  </si>
  <si>
    <t>GA12</t>
  </si>
  <si>
    <t>ciclo.3.C.financial.flujoCaja.cobrosVentas</t>
  </si>
  <si>
    <t>GB12</t>
  </si>
  <si>
    <t>ciclo.3.C.financial.flujoCaja.pagosOperacion</t>
  </si>
  <si>
    <t>GC12</t>
  </si>
  <si>
    <t>ciclo.3.C.financial.flujoCaja.compraActivos</t>
  </si>
  <si>
    <t>GD12</t>
  </si>
  <si>
    <t>ciclo.3.C.financial.flujoCaja.financiamiento</t>
  </si>
  <si>
    <t>GE12</t>
  </si>
  <si>
    <t>ciclo.3.C.financial.flujoCaja.operacion</t>
  </si>
  <si>
    <t>GF12</t>
  </si>
  <si>
    <t>ciclo.3.C.financial.flujoCaja.inversion</t>
  </si>
  <si>
    <t>GG12</t>
  </si>
  <si>
    <t>ciclo.3.C.financial.flujoCaja.flujoNeto</t>
  </si>
  <si>
    <t>GH12</t>
  </si>
  <si>
    <t>ciclo.3.C.financial.flujoCaja.cajaFinal</t>
  </si>
  <si>
    <t>GI12</t>
  </si>
  <si>
    <t>ciclo.3.C.financial.balanceGeneral.efectivo</t>
  </si>
  <si>
    <t>GJ12</t>
  </si>
  <si>
    <t>ciclo.3.C.financial.balanceGeneral.activosFijos</t>
  </si>
  <si>
    <t>GK12</t>
  </si>
  <si>
    <t>ciclo.3.C.financial.balanceGeneral.inventarioMP</t>
  </si>
  <si>
    <t>GL12</t>
  </si>
  <si>
    <t>ciclo.3.C.financial.balanceGeneral.activos</t>
  </si>
  <si>
    <t>GM12</t>
  </si>
  <si>
    <t>ciclo.3.C.financial.balanceGeneral.deuda</t>
  </si>
  <si>
    <t>GN12</t>
  </si>
  <si>
    <t>ciclo.3.C.financial.balanceGeneral.patrimonio</t>
  </si>
  <si>
    <t>GO12</t>
  </si>
  <si>
    <t>ciclo.3.C.financial.balanceGeneral.pasivoPatrimonio</t>
  </si>
  <si>
    <t>GP12</t>
  </si>
  <si>
    <t>ciclo.3.C.financial.financiamiento.montoPrestamo</t>
  </si>
  <si>
    <t>GQ12</t>
  </si>
  <si>
    <t>ciclo.3.C.financial.financiamiento.tasaTEA</t>
  </si>
  <si>
    <t>GR12</t>
  </si>
  <si>
    <t>ciclo.3.C.financial.financiamiento.deudaPrincipal</t>
  </si>
  <si>
    <t>GS12</t>
  </si>
  <si>
    <t>ciclo.3.C.financial.financiamiento.tasaAdicionalProximoPrestamo</t>
  </si>
  <si>
    <t>GT12</t>
  </si>
  <si>
    <t>ciclo.3.C.financial.financiamiento.tasaMensual</t>
  </si>
  <si>
    <t>GU12</t>
  </si>
  <si>
    <t>ciclo.3.C.financial.financiamiento.intereses</t>
  </si>
  <si>
    <t>GV12</t>
  </si>
  <si>
    <t>ciclo.3.D.financial.estadoResultados.ingresos</t>
  </si>
  <si>
    <t>FP13</t>
  </si>
  <si>
    <t>ciclo.3.D.financial.estadoResultados.ventasNetas</t>
  </si>
  <si>
    <t>FQ13</t>
  </si>
  <si>
    <t>ciclo.3.D.financial.estadoResultados.costos</t>
  </si>
  <si>
    <t>FR13</t>
  </si>
  <si>
    <t>ciclo.3.D.financial.estadoResultados.utilidad</t>
  </si>
  <si>
    <t>FS13</t>
  </si>
  <si>
    <t>ciclo.3.D.financial.estadoResultados.depreciacion</t>
  </si>
  <si>
    <t>FT13</t>
  </si>
  <si>
    <t>ciclo.3.D.financial.estadoResultados.intereses</t>
  </si>
  <si>
    <t>FU13</t>
  </si>
  <si>
    <t>ciclo.3.D.financial.estadoResultados.costosProduccion</t>
  </si>
  <si>
    <t>FV13</t>
  </si>
  <si>
    <t>ciclo.3.D.financial.balanceCaja.cajaInicial</t>
  </si>
  <si>
    <t>FW13</t>
  </si>
  <si>
    <t>ciclo.3.D.financial.balanceCaja.entradas</t>
  </si>
  <si>
    <t>FX13</t>
  </si>
  <si>
    <t>ciclo.3.D.financial.balanceCaja.salidas</t>
  </si>
  <si>
    <t>FY13</t>
  </si>
  <si>
    <t>ciclo.3.D.financial.balanceCaja.cajaFinal</t>
  </si>
  <si>
    <t>FZ13</t>
  </si>
  <si>
    <t>ciclo.3.D.financial.flujoCaja.cajaInicial</t>
  </si>
  <si>
    <t>GA13</t>
  </si>
  <si>
    <t>ciclo.3.D.financial.flujoCaja.cobrosVentas</t>
  </si>
  <si>
    <t>GB13</t>
  </si>
  <si>
    <t>ciclo.3.D.financial.flujoCaja.pagosOperacion</t>
  </si>
  <si>
    <t>GC13</t>
  </si>
  <si>
    <t>ciclo.3.D.financial.flujoCaja.compraActivos</t>
  </si>
  <si>
    <t>GD13</t>
  </si>
  <si>
    <t>ciclo.3.D.financial.flujoCaja.financiamiento</t>
  </si>
  <si>
    <t>GE13</t>
  </si>
  <si>
    <t>ciclo.3.D.financial.flujoCaja.operacion</t>
  </si>
  <si>
    <t>GF13</t>
  </si>
  <si>
    <t>ciclo.3.D.financial.flujoCaja.inversion</t>
  </si>
  <si>
    <t>GG13</t>
  </si>
  <si>
    <t>ciclo.3.D.financial.flujoCaja.flujoNeto</t>
  </si>
  <si>
    <t>GH13</t>
  </si>
  <si>
    <t>ciclo.3.D.financial.flujoCaja.cajaFinal</t>
  </si>
  <si>
    <t>GI13</t>
  </si>
  <si>
    <t>ciclo.3.D.financial.balanceGeneral.efectivo</t>
  </si>
  <si>
    <t>GJ13</t>
  </si>
  <si>
    <t>ciclo.3.D.financial.balanceGeneral.activosFijos</t>
  </si>
  <si>
    <t>GK13</t>
  </si>
  <si>
    <t>ciclo.3.D.financial.balanceGeneral.inventarioMP</t>
  </si>
  <si>
    <t>GL13</t>
  </si>
  <si>
    <t>ciclo.3.D.financial.balanceGeneral.activos</t>
  </si>
  <si>
    <t>GM13</t>
  </si>
  <si>
    <t>ciclo.3.D.financial.balanceGeneral.deuda</t>
  </si>
  <si>
    <t>GN13</t>
  </si>
  <si>
    <t>ciclo.3.D.financial.balanceGeneral.patrimonio</t>
  </si>
  <si>
    <t>GO13</t>
  </si>
  <si>
    <t>ciclo.3.D.financial.balanceGeneral.pasivoPatrimonio</t>
  </si>
  <si>
    <t>GP13</t>
  </si>
  <si>
    <t>ciclo.3.D.financial.financiamiento.montoPrestamo</t>
  </si>
  <si>
    <t>GQ13</t>
  </si>
  <si>
    <t>ciclo.3.D.financial.financiamiento.tasaTEA</t>
  </si>
  <si>
    <t>GR13</t>
  </si>
  <si>
    <t>ciclo.3.D.financial.financiamiento.deudaPrincipal</t>
  </si>
  <si>
    <t>GS13</t>
  </si>
  <si>
    <t>ciclo.3.D.financial.financiamiento.tasaAdicionalProximoPrestamo</t>
  </si>
  <si>
    <t>GT13</t>
  </si>
  <si>
    <t>ciclo.3.D.financial.financiamiento.tasaMensual</t>
  </si>
  <si>
    <t>GU13</t>
  </si>
  <si>
    <t>ciclo.3.D.financial.financiamiento.intereses</t>
  </si>
  <si>
    <t>GV13</t>
  </si>
  <si>
    <t>Pipeline_banca</t>
  </si>
  <si>
    <t>Pipeline_bancamezcla</t>
  </si>
  <si>
    <t>consecuencias.CONS-01.activa</t>
  </si>
  <si>
    <t>Consecuencias_Oracle</t>
  </si>
  <si>
    <t>D2</t>
  </si>
  <si>
    <t>consecuencias.CONS-01.efecto</t>
  </si>
  <si>
    <t>E2</t>
  </si>
  <si>
    <t>consecuencias.CONS-01.mensaje</t>
  </si>
  <si>
    <t>F2</t>
  </si>
  <si>
    <t>consecuencias.CONS-02.activa</t>
  </si>
  <si>
    <t>D3</t>
  </si>
  <si>
    <t>consecuencias.CONS-02.efecto</t>
  </si>
  <si>
    <t>E3</t>
  </si>
  <si>
    <t>consecuencias.CONS-02.mensaje</t>
  </si>
  <si>
    <t>F3</t>
  </si>
  <si>
    <t>consecuencias.CONS-03.activa</t>
  </si>
  <si>
    <t>D4</t>
  </si>
  <si>
    <t>consecuencias.CONS-03.efecto</t>
  </si>
  <si>
    <t>E4</t>
  </si>
  <si>
    <t>consecuencias.CONS-03.mensaje</t>
  </si>
  <si>
    <t>F4</t>
  </si>
  <si>
    <t>consecuencias.CONS-04.activa</t>
  </si>
  <si>
    <t>D5</t>
  </si>
  <si>
    <t>consecuencias.CONS-04.efecto</t>
  </si>
  <si>
    <t>E5</t>
  </si>
  <si>
    <t>consecuencias.CONS-04.mensaje</t>
  </si>
  <si>
    <t>F5</t>
  </si>
  <si>
    <t>consecuencias.CONS-05.activa</t>
  </si>
  <si>
    <t>consecuencias.CONS-05.efecto</t>
  </si>
  <si>
    <t>E6</t>
  </si>
  <si>
    <t>consecuencias.CONS-05.mensaje</t>
  </si>
  <si>
    <t>F6</t>
  </si>
  <si>
    <t>consecuencias.CONS-06.activa</t>
  </si>
  <si>
    <t>D7</t>
  </si>
  <si>
    <t>consecuencias.CONS-06.efecto</t>
  </si>
  <si>
    <t>E7</t>
  </si>
  <si>
    <t>consecuencias.CONS-06.mensaje</t>
  </si>
  <si>
    <t>F7</t>
  </si>
  <si>
    <t>consecuencias.CONS-07.activa</t>
  </si>
  <si>
    <t>D8</t>
  </si>
  <si>
    <t>consecuencias.CONS-07.efecto</t>
  </si>
  <si>
    <t>E8</t>
  </si>
  <si>
    <t>consecuencias.CONS-07.mensaje</t>
  </si>
  <si>
    <t>F8</t>
  </si>
  <si>
    <t>consecuencias.CONS-08.activa</t>
  </si>
  <si>
    <t>consecuencias.CONS-08.efecto</t>
  </si>
  <si>
    <t>E9</t>
  </si>
  <si>
    <t>consecuencias.CONS-08.mensaje</t>
  </si>
  <si>
    <t>F9</t>
  </si>
  <si>
    <t>consecuencias.produccion</t>
  </si>
  <si>
    <t>B14</t>
  </si>
  <si>
    <t>consecuencias.reputacionCambio</t>
  </si>
  <si>
    <t>B15</t>
  </si>
  <si>
    <t>consecuencias.precioFactor</t>
  </si>
  <si>
    <t>B16</t>
  </si>
  <si>
    <t>consecuencias.ciclosBajaFinal</t>
  </si>
  <si>
    <t>B17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</si>
</sst>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S/.]#,##0.00"/>
    <numFmt numFmtId="166" formatCode="d\.m"/>
  </numFmts>
  <fonts count="21" x14ac:knownFonts="1">
    <font>
      <sz val="11"/>
      <color theme="1"/>
      <name val="Calibri"/>
      <scheme val="minor"/>
    </font>
    <font>
      <b/>
      <sz val="14"/>
      <color rgb="FF1F3864"/>
      <name val="Arial"/>
    </font>
    <font>
      <b/>
      <sz val="11"/>
      <color rgb="FFFFFFFF"/>
      <name val="Calibri"/>
      <scheme val="minor"/>
    </font>
    <font>
      <sz val="11"/>
      <color theme="1"/>
      <name val="Calibri"/>
      <scheme val="minor"/>
    </font>
    <font>
      <sz val="10"/>
      <color theme="1"/>
      <name val="Arial"/>
    </font>
    <font>
      <b/>
      <sz val="10"/>
      <color theme="1"/>
      <name val="Arial"/>
    </font>
    <font>
      <b/>
      <sz val="11"/>
      <color rgb="FFFFFFFF"/>
      <name val="Arial"/>
    </font>
    <font>
      <sz val="18"/>
      <color theme="1"/>
      <name val="Calibri"/>
      <scheme val="minor"/>
    </font>
    <font>
      <b/>
      <sz val="11"/>
      <color theme="1"/>
      <name val="Calibri"/>
      <scheme val="minor"/>
    </font>
    <font>
      <sz val="19"/>
      <color theme="1"/>
      <name val="Calibri"/>
      <scheme val="minor"/>
    </font>
    <font>
      <sz val="11"/>
      <color rgb="FF000000"/>
      <name val="Calibri"/>
    </font>
    <font>
      <sz val="15"/>
      <color theme="1"/>
      <name val="Calibri"/>
      <scheme val="minor"/>
    </font>
    <font>
      <sz val="17"/>
      <color theme="1"/>
      <name val="Calibri"/>
      <scheme val="minor"/>
    </font>
    <font>
      <sz val="16"/>
      <color theme="1"/>
      <name val="Calibri"/>
      <scheme val="minor"/>
    </font>
    <font>
      <b/>
      <i/>
      <sz val="11"/>
      <color theme="1"/>
      <name val="Calibri"/>
      <scheme val="minor"/>
    </font>
    <font>
      <sz val="11"/>
      <color theme="1"/>
      <name val="Calibri"/>
    </font>
    <font>
      <i/>
      <sz val="9"/>
      <color rgb="FF666666"/>
      <name val="Arial"/>
    </font>
    <font>
      <b/>
      <i/>
      <sz val="10"/>
      <color rgb="FF1F3864"/>
      <name val="Arial"/>
    </font>
    <font>
      <sz val="10"/>
      <name val="Arial"/>
    </font>
    <font>
      <b/>
      <sz val="10"/>
      <color rgb="FFFFFFFF"/>
      <name val="Arial"/>
    </font>
    <font>
      <b/>
      <sz val="11"/>
      <color rgb="FFFFFFFF"/>
      <name val="Arial"/>
    </font>
  </fonts>
  <fills count="27">
    <fill>
      <patternFill patternType="none"/>
    </fill>
    <fill>
      <patternFill patternType="gray125"/>
    </fill>
    <fill>
      <patternFill patternType="solid">
        <fgColor rgb="FF134F5C"/>
        <bgColor rgb="FF134F5C"/>
      </patternFill>
    </fill>
    <fill>
      <patternFill patternType="solid">
        <fgColor rgb="FF1F3864"/>
        <bgColor rgb="FF1F3864"/>
      </patternFill>
    </fill>
    <fill>
      <patternFill patternType="solid">
        <fgColor rgb="FFFFF2CC"/>
        <bgColor rgb="FFFFF2CC"/>
      </patternFill>
    </fill>
    <fill>
      <patternFill patternType="solid">
        <fgColor rgb="FF93C47D"/>
        <bgColor rgb="FF93C47D"/>
      </patternFill>
    </fill>
    <fill>
      <patternFill patternType="solid">
        <fgColor rgb="FFE2EFDA"/>
        <bgColor rgb="FFE2EFDA"/>
      </patternFill>
    </fill>
    <fill>
      <patternFill patternType="solid">
        <fgColor rgb="FFFFFF00"/>
        <bgColor rgb="FFFFFF00"/>
      </patternFill>
    </fill>
    <fill>
      <patternFill patternType="solid">
        <fgColor rgb="FF999999"/>
        <bgColor rgb="FF999999"/>
      </patternFill>
    </fill>
    <fill>
      <patternFill patternType="solid">
        <fgColor rgb="FFC9DAF8"/>
        <bgColor rgb="FFC9DAF8"/>
      </patternFill>
    </fill>
    <fill>
      <patternFill patternType="solid">
        <fgColor rgb="FFB7B7B7"/>
        <bgColor rgb="FFB7B7B7"/>
      </patternFill>
    </fill>
    <fill>
      <patternFill patternType="solid">
        <fgColor rgb="FFB6D7A8"/>
        <bgColor rgb="FFB6D7A8"/>
      </patternFill>
    </fill>
    <fill>
      <patternFill patternType="solid">
        <fgColor rgb="FFD0E0E3"/>
        <bgColor rgb="FFD0E0E3"/>
      </patternFill>
    </fill>
    <fill>
      <patternFill patternType="solid">
        <fgColor rgb="FFA2C4C9"/>
        <bgColor rgb="FFA2C4C9"/>
      </patternFill>
    </fill>
    <fill>
      <patternFill patternType="solid">
        <fgColor rgb="FF6D9EEB"/>
        <bgColor rgb="FF6D9EEB"/>
      </patternFill>
    </fill>
    <fill>
      <patternFill patternType="solid">
        <fgColor rgb="FF6AA84F"/>
        <bgColor rgb="FF6AA84F"/>
      </patternFill>
    </fill>
    <fill>
      <patternFill patternType="solid">
        <fgColor rgb="FF3D85C6"/>
        <bgColor rgb="FF3D85C6"/>
      </patternFill>
    </fill>
    <fill>
      <patternFill patternType="solid">
        <fgColor rgb="FFF1C232"/>
        <bgColor rgb="FFF1C232"/>
      </patternFill>
    </fill>
    <fill>
      <patternFill patternType="solid">
        <fgColor theme="9"/>
        <bgColor theme="9"/>
      </patternFill>
    </fill>
    <fill>
      <patternFill patternType="solid">
        <fgColor rgb="FFD5A6BD"/>
        <bgColor rgb="FFD5A6BD"/>
      </patternFill>
    </fill>
    <fill>
      <patternFill patternType="solid">
        <fgColor theme="0"/>
        <bgColor theme="0"/>
      </patternFill>
    </fill>
    <fill>
      <patternFill patternType="solid">
        <fgColor rgb="FFD9D9D9"/>
        <bgColor rgb="FFD9D9D9"/>
      </patternFill>
    </fill>
    <fill>
      <patternFill patternType="solid">
        <fgColor rgb="FFE06666"/>
        <bgColor rgb="FFE06666"/>
      </patternFill>
    </fill>
    <fill>
      <patternFill patternType="solid">
        <fgColor rgb="FFF6B26B"/>
        <bgColor rgb="FFF6B26B"/>
      </patternFill>
    </fill>
    <fill>
      <patternFill patternType="solid">
        <fgColor rgb="FFD9EAD3"/>
        <bgColor rgb="FFD9EAD3"/>
      </patternFill>
    </fill>
    <fill>
      <patternFill patternType="solid">
        <fgColor rgb="FF214E65"/>
      </patternFill>
    </fill>
    <fill>
      <patternFill patternType="solid">
        <fgColor rgb="FF214E65"/>
      </patternFill>
    </fill>
  </fills>
  <borders count="2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top style="thin">
        <color rgb="FFBFBFBF"/>
      </top>
      <bottom style="thin">
        <color rgb="FFBFBFBF"/>
      </bottom>
      <diagonal/>
    </border>
    <border>
      <left style="thick">
        <color rgb="FFFF9900"/>
      </left>
      <right/>
      <top style="thick">
        <color rgb="FFFF9900"/>
      </top>
      <bottom/>
      <diagonal/>
    </border>
    <border>
      <left/>
      <right/>
      <top style="thick">
        <color rgb="FFFF9900"/>
      </top>
      <bottom/>
      <diagonal/>
    </border>
    <border>
      <left/>
      <right style="thick">
        <color rgb="FFFF9900"/>
      </right>
      <top style="thick">
        <color rgb="FFFF9900"/>
      </top>
      <bottom/>
      <diagonal/>
    </border>
    <border>
      <left style="thick">
        <color rgb="FFFF9900"/>
      </left>
      <right/>
      <top style="thin">
        <color rgb="FFBFBFBF"/>
      </top>
      <bottom style="thin">
        <color rgb="FFBFBFBF"/>
      </bottom>
      <diagonal/>
    </border>
    <border>
      <left/>
      <right style="thick">
        <color rgb="FFFF9900"/>
      </right>
      <top/>
      <bottom/>
      <diagonal/>
    </border>
    <border>
      <left style="thick">
        <color rgb="FFFF9900"/>
      </left>
      <right/>
      <top/>
      <bottom/>
      <diagonal/>
    </border>
    <border>
      <left style="thin">
        <color rgb="FFBFBFBF"/>
      </left>
      <right style="thick">
        <color rgb="FFFF9900"/>
      </right>
      <top style="thin">
        <color rgb="FFBFBFBF"/>
      </top>
      <bottom style="thin">
        <color rgb="FFBFBFBF"/>
      </bottom>
      <diagonal/>
    </border>
    <border>
      <left style="thin">
        <color rgb="FFBFBFBF"/>
      </left>
      <right style="thick">
        <color rgb="FFFF9900"/>
      </right>
      <top style="thin">
        <color rgb="FFBFBFBF"/>
      </top>
      <bottom/>
      <diagonal/>
    </border>
    <border>
      <left style="thin">
        <color rgb="FF000000"/>
      </left>
      <right style="thick">
        <color rgb="FFFF9900"/>
      </right>
      <top style="thin">
        <color rgb="FF000000"/>
      </top>
      <bottom style="thin">
        <color rgb="FF000000"/>
      </bottom>
      <diagonal/>
    </border>
    <border>
      <left style="thick">
        <color rgb="FFFF9900"/>
      </left>
      <right/>
      <top/>
      <bottom style="thick">
        <color rgb="FFFF9900"/>
      </bottom>
      <diagonal/>
    </border>
    <border>
      <left/>
      <right/>
      <top/>
      <bottom style="thick">
        <color rgb="FFFF9900"/>
      </bottom>
      <diagonal/>
    </border>
    <border>
      <left/>
      <right style="thick">
        <color rgb="FFFF9900"/>
      </right>
      <top/>
      <bottom style="thick">
        <color rgb="FFFF9900"/>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BFBFBF"/>
      </left>
      <right style="thin">
        <color rgb="FFBFBFBF"/>
      </right>
      <top/>
      <bottom/>
      <diagonal/>
    </border>
    <border>
      <left style="thin">
        <color rgb="FFBFBFBF"/>
      </left>
      <right/>
      <top style="thin">
        <color rgb="FFBFBFBF"/>
      </top>
      <bottom/>
      <diagonal/>
    </border>
  </borders>
  <cellStyleXfs count="1">
    <xf numFmtId="0" fontId="0" fillId="0" borderId="0"/>
  </cellStyleXfs>
  <cellXfs count="158">
    <xf numFmtId="0" fontId="0" fillId="0" borderId="0" xfId="0"/>
    <xf numFmtId="0" fontId="1" fillId="0" borderId="0" xfId="0" applyFont="1"/>
    <xf numFmtId="0" fontId="2" fillId="2" borderId="1" xfId="0" applyFont="1" applyFill="1" applyBorder="1"/>
    <xf numFmtId="0" fontId="3" fillId="0" borderId="1" xfId="0" applyFont="1" applyBorder="1"/>
    <xf numFmtId="0" fontId="4" fillId="0" borderId="0" xfId="0" applyFont="1" applyAlignment="1">
      <alignment wrapText="1"/>
    </xf>
    <xf numFmtId="0" fontId="5" fillId="0" borderId="0" xfId="0" applyFont="1" applyAlignment="1">
      <alignment wrapText="1"/>
    </xf>
    <xf numFmtId="0" fontId="3" fillId="0" borderId="2" xfId="0" applyFont="1" applyBorder="1"/>
    <xf numFmtId="0" fontId="6" fillId="3" borderId="3" xfId="0" applyFont="1" applyFill="1" applyBorder="1" applyAlignment="1">
      <alignment vertical="center" wrapText="1"/>
    </xf>
    <xf numFmtId="0" fontId="5" fillId="0" borderId="3" xfId="0" applyFont="1" applyBorder="1"/>
    <xf numFmtId="0" fontId="4" fillId="0" borderId="3" xfId="0" applyFont="1" applyBorder="1"/>
    <xf numFmtId="0" fontId="4" fillId="4" borderId="3" xfId="0" applyFont="1" applyFill="1" applyBorder="1"/>
    <xf numFmtId="0" fontId="4" fillId="5" borderId="3" xfId="0" applyFont="1" applyFill="1" applyBorder="1"/>
    <xf numFmtId="0" fontId="4" fillId="6" borderId="3" xfId="0" applyFont="1" applyFill="1" applyBorder="1" applyAlignment="1">
      <alignment horizontal="center"/>
    </xf>
    <xf numFmtId="0" fontId="4" fillId="7" borderId="3" xfId="0" applyFont="1" applyFill="1" applyBorder="1"/>
    <xf numFmtId="0" fontId="4" fillId="8" borderId="3" xfId="0" applyFont="1" applyFill="1" applyBorder="1"/>
    <xf numFmtId="0" fontId="7" fillId="0" borderId="0" xfId="0" applyFont="1"/>
    <xf numFmtId="0" fontId="8" fillId="0" borderId="1" xfId="0" applyFont="1" applyBorder="1" applyAlignment="1">
      <alignment horizontal="center"/>
    </xf>
    <xf numFmtId="0" fontId="3" fillId="9" borderId="1" xfId="0" applyFont="1" applyFill="1" applyBorder="1" applyAlignment="1">
      <alignment horizontal="center" vertical="center"/>
    </xf>
    <xf numFmtId="0" fontId="4" fillId="6" borderId="3" xfId="0" applyFont="1" applyFill="1" applyBorder="1"/>
    <xf numFmtId="0" fontId="3" fillId="0" borderId="1" xfId="0" applyFont="1" applyBorder="1" applyAlignment="1">
      <alignment horizontal="center"/>
    </xf>
    <xf numFmtId="0" fontId="3" fillId="0" borderId="1" xfId="0" applyFont="1" applyBorder="1" applyAlignment="1">
      <alignment horizontal="center" vertical="center"/>
    </xf>
    <xf numFmtId="0" fontId="3" fillId="10" borderId="1" xfId="0" applyFont="1" applyFill="1" applyBorder="1" applyAlignment="1">
      <alignment horizontal="center" vertical="center"/>
    </xf>
    <xf numFmtId="0" fontId="3" fillId="11" borderId="1" xfId="0" applyFont="1" applyFill="1" applyBorder="1" applyAlignment="1">
      <alignment horizontal="center" vertical="center"/>
    </xf>
    <xf numFmtId="0" fontId="3" fillId="0" borderId="0" xfId="0" applyFont="1"/>
    <xf numFmtId="0" fontId="8" fillId="0" borderId="0" xfId="0" applyFont="1" applyAlignment="1">
      <alignment wrapText="1"/>
    </xf>
    <xf numFmtId="0" fontId="3" fillId="12" borderId="0" xfId="0" applyFont="1" applyFill="1" applyAlignment="1">
      <alignment horizontal="center" vertical="center"/>
    </xf>
    <xf numFmtId="0" fontId="3" fillId="0" borderId="0" xfId="0" applyFont="1" applyAlignment="1">
      <alignment vertical="center"/>
    </xf>
    <xf numFmtId="0" fontId="3" fillId="13" borderId="0" xfId="0" applyFont="1" applyFill="1" applyAlignment="1">
      <alignment wrapText="1"/>
    </xf>
    <xf numFmtId="0" fontId="3" fillId="0" borderId="1" xfId="0" applyFont="1" applyBorder="1" applyAlignment="1">
      <alignment horizontal="center" vertical="center" wrapText="1"/>
    </xf>
    <xf numFmtId="0" fontId="3" fillId="0" borderId="0" xfId="0" applyFont="1" applyAlignment="1">
      <alignment wrapText="1"/>
    </xf>
    <xf numFmtId="0" fontId="3" fillId="14" borderId="0" xfId="0" applyFont="1" applyFill="1" applyAlignment="1">
      <alignment horizontal="center" vertical="center"/>
    </xf>
    <xf numFmtId="0" fontId="3" fillId="5" borderId="1" xfId="0" applyFont="1" applyFill="1" applyBorder="1" applyAlignment="1">
      <alignment horizontal="center" vertical="center"/>
    </xf>
    <xf numFmtId="0" fontId="3" fillId="0" borderId="0" xfId="0" applyFont="1" applyAlignment="1">
      <alignment horizontal="center" vertical="center"/>
    </xf>
    <xf numFmtId="9" fontId="3" fillId="0" borderId="0" xfId="0" applyNumberFormat="1" applyFont="1"/>
    <xf numFmtId="164" fontId="3" fillId="7" borderId="0" xfId="0" applyNumberFormat="1" applyFont="1" applyFill="1"/>
    <xf numFmtId="9" fontId="3" fillId="14" borderId="0" xfId="0" applyNumberFormat="1" applyFont="1" applyFill="1"/>
    <xf numFmtId="0" fontId="8" fillId="0" borderId="0" xfId="0" applyFont="1"/>
    <xf numFmtId="0" fontId="3" fillId="7" borderId="0" xfId="0" applyFont="1" applyFill="1" applyAlignment="1">
      <alignment vertical="center"/>
    </xf>
    <xf numFmtId="0" fontId="3" fillId="7" borderId="0" xfId="0" applyFont="1" applyFill="1" applyAlignment="1">
      <alignment horizontal="center" vertical="center"/>
    </xf>
    <xf numFmtId="0" fontId="10" fillId="0" borderId="0" xfId="0" applyFont="1"/>
    <xf numFmtId="0" fontId="3" fillId="14" borderId="1" xfId="0" applyFont="1" applyFill="1" applyBorder="1" applyAlignment="1">
      <alignment horizontal="center" vertical="center"/>
    </xf>
    <xf numFmtId="0" fontId="10" fillId="0" borderId="0" xfId="0" applyFont="1" applyAlignment="1">
      <alignment horizontal="right"/>
    </xf>
    <xf numFmtId="10" fontId="3" fillId="0" borderId="0" xfId="0" applyNumberFormat="1" applyFont="1"/>
    <xf numFmtId="0" fontId="3" fillId="7" borderId="0" xfId="0" applyFont="1" applyFill="1"/>
    <xf numFmtId="0" fontId="3" fillId="15" borderId="0" xfId="0" applyFont="1" applyFill="1"/>
    <xf numFmtId="0" fontId="3" fillId="16" borderId="0" xfId="0" applyFont="1" applyFill="1" applyAlignment="1">
      <alignment wrapText="1"/>
    </xf>
    <xf numFmtId="0" fontId="11" fillId="0" borderId="0" xfId="0" applyFont="1" applyAlignment="1">
      <alignment horizontal="center" vertical="center"/>
    </xf>
    <xf numFmtId="0" fontId="3" fillId="16" borderId="0" xfId="0" applyFont="1" applyFill="1"/>
    <xf numFmtId="0" fontId="3" fillId="5" borderId="0" xfId="0" applyFont="1" applyFill="1"/>
    <xf numFmtId="0" fontId="12" fillId="0" borderId="0" xfId="0" applyFont="1"/>
    <xf numFmtId="0" fontId="3" fillId="0" borderId="0" xfId="0" applyFont="1" applyAlignment="1">
      <alignment horizontal="center" vertical="center" wrapText="1"/>
    </xf>
    <xf numFmtId="165" fontId="3" fillId="7" borderId="0" xfId="0" applyNumberFormat="1" applyFont="1" applyFill="1"/>
    <xf numFmtId="0" fontId="4" fillId="17" borderId="3" xfId="0" applyFont="1" applyFill="1" applyBorder="1" applyAlignment="1">
      <alignment horizontal="center" vertical="center" wrapText="1"/>
    </xf>
    <xf numFmtId="165" fontId="3" fillId="15" borderId="0" xfId="0" applyNumberFormat="1" applyFont="1" applyFill="1"/>
    <xf numFmtId="165" fontId="3" fillId="16" borderId="0" xfId="0" applyNumberFormat="1" applyFont="1" applyFill="1"/>
    <xf numFmtId="0" fontId="4" fillId="18" borderId="3" xfId="0" applyFont="1" applyFill="1" applyBorder="1" applyAlignment="1">
      <alignment horizontal="center" vertical="center" wrapText="1"/>
    </xf>
    <xf numFmtId="0" fontId="4" fillId="19" borderId="3" xfId="0" applyFont="1" applyFill="1" applyBorder="1" applyAlignment="1">
      <alignment horizontal="center" vertical="center" wrapText="1"/>
    </xf>
    <xf numFmtId="0" fontId="4" fillId="0" borderId="4" xfId="0" applyFont="1" applyBorder="1" applyAlignment="1">
      <alignment horizontal="center" vertical="center" wrapText="1"/>
    </xf>
    <xf numFmtId="0" fontId="3" fillId="8" borderId="1" xfId="0" applyFont="1" applyFill="1" applyBorder="1" applyAlignment="1">
      <alignment horizontal="center" vertical="center" wrapText="1"/>
    </xf>
    <xf numFmtId="9" fontId="3" fillId="0" borderId="0" xfId="0" applyNumberFormat="1" applyFont="1" applyAlignment="1">
      <alignment horizontal="center" vertical="center" wrapText="1"/>
    </xf>
    <xf numFmtId="164" fontId="3" fillId="0" borderId="0" xfId="0" applyNumberFormat="1" applyFont="1" applyAlignment="1">
      <alignment horizontal="center" vertical="center" wrapText="1"/>
    </xf>
    <xf numFmtId="0" fontId="4" fillId="0" borderId="5" xfId="0" applyFont="1" applyBorder="1"/>
    <xf numFmtId="0" fontId="3" fillId="14" borderId="1" xfId="0" applyFont="1" applyFill="1" applyBorder="1" applyAlignment="1">
      <alignment horizontal="center"/>
    </xf>
    <xf numFmtId="0" fontId="3" fillId="20" borderId="1" xfId="0" applyFont="1" applyFill="1" applyBorder="1" applyAlignment="1">
      <alignment horizontal="center" vertical="center" wrapText="1"/>
    </xf>
    <xf numFmtId="164" fontId="3" fillId="21" borderId="0" xfId="0" applyNumberFormat="1" applyFont="1" applyFill="1"/>
    <xf numFmtId="0" fontId="3" fillId="0" borderId="6" xfId="0" applyFont="1" applyBorder="1"/>
    <xf numFmtId="0" fontId="8" fillId="0" borderId="7" xfId="0" applyFont="1" applyBorder="1"/>
    <xf numFmtId="0" fontId="8" fillId="21" borderId="7" xfId="0" applyFont="1" applyFill="1" applyBorder="1"/>
    <xf numFmtId="0" fontId="3" fillId="0" borderId="7" xfId="0" applyFont="1" applyBorder="1"/>
    <xf numFmtId="0" fontId="3" fillId="0" borderId="8" xfId="0" applyFont="1" applyBorder="1"/>
    <xf numFmtId="0" fontId="4" fillId="0" borderId="9" xfId="0" applyFont="1" applyBorder="1"/>
    <xf numFmtId="0" fontId="8" fillId="5" borderId="0" xfId="0" applyFont="1" applyFill="1" applyAlignment="1">
      <alignment horizontal="center" vertical="center" wrapText="1"/>
    </xf>
    <xf numFmtId="0" fontId="3" fillId="21" borderId="0" xfId="0" applyFont="1" applyFill="1"/>
    <xf numFmtId="0" fontId="3" fillId="0" borderId="10" xfId="0" applyFont="1" applyBorder="1"/>
    <xf numFmtId="0" fontId="3" fillId="0" borderId="11" xfId="0" applyFont="1" applyBorder="1"/>
    <xf numFmtId="0" fontId="4" fillId="19" borderId="12" xfId="0" applyFont="1" applyFill="1" applyBorder="1" applyAlignment="1">
      <alignment horizontal="center" vertical="center" wrapText="1"/>
    </xf>
    <xf numFmtId="0" fontId="4" fillId="0" borderId="13" xfId="0" applyFont="1" applyBorder="1" applyAlignment="1">
      <alignment horizontal="center" vertical="center" wrapText="1"/>
    </xf>
    <xf numFmtId="0" fontId="3" fillId="0" borderId="14" xfId="0" applyFont="1" applyBorder="1" applyAlignment="1">
      <alignment horizontal="center" vertical="center"/>
    </xf>
    <xf numFmtId="0" fontId="3" fillId="20" borderId="0" xfId="0" applyFont="1" applyFill="1"/>
    <xf numFmtId="0" fontId="3" fillId="20" borderId="15" xfId="0" applyFont="1" applyFill="1" applyBorder="1"/>
    <xf numFmtId="0" fontId="4" fillId="20" borderId="16" xfId="0" applyFont="1" applyFill="1" applyBorder="1" applyAlignment="1">
      <alignment horizontal="center" vertical="center" wrapText="1"/>
    </xf>
    <xf numFmtId="0" fontId="4" fillId="20" borderId="17" xfId="0" applyFont="1" applyFill="1" applyBorder="1" applyAlignment="1">
      <alignment horizontal="center" vertical="center" wrapText="1"/>
    </xf>
    <xf numFmtId="0" fontId="4" fillId="20" borderId="0" xfId="0" applyFont="1" applyFill="1" applyAlignment="1">
      <alignment horizontal="center" vertical="center" wrapText="1"/>
    </xf>
    <xf numFmtId="0" fontId="3" fillId="7" borderId="0" xfId="0" applyFont="1" applyFill="1" applyAlignment="1">
      <alignment wrapText="1"/>
    </xf>
    <xf numFmtId="0" fontId="3" fillId="15" borderId="0" xfId="0" applyFont="1" applyFill="1" applyAlignment="1">
      <alignment wrapText="1"/>
    </xf>
    <xf numFmtId="0" fontId="8" fillId="0" borderId="0" xfId="0" applyFont="1" applyAlignment="1">
      <alignment horizontal="center" vertical="center" wrapText="1"/>
    </xf>
    <xf numFmtId="0" fontId="3" fillId="0" borderId="0" xfId="0" applyFont="1" applyAlignment="1">
      <alignment horizontal="center"/>
    </xf>
    <xf numFmtId="0" fontId="8" fillId="0" borderId="0" xfId="0" applyFont="1" applyAlignment="1">
      <alignment horizontal="center"/>
    </xf>
    <xf numFmtId="10" fontId="3" fillId="0" borderId="0" xfId="0" applyNumberFormat="1" applyFont="1" applyAlignment="1">
      <alignment horizontal="center" vertical="center"/>
    </xf>
    <xf numFmtId="2" fontId="3" fillId="0" borderId="0" xfId="0" applyNumberFormat="1" applyFont="1"/>
    <xf numFmtId="0" fontId="4" fillId="4" borderId="3" xfId="0" applyFont="1" applyFill="1" applyBorder="1" applyAlignment="1">
      <alignment vertical="center" wrapText="1"/>
    </xf>
    <xf numFmtId="166" fontId="3" fillId="0" borderId="0" xfId="0" applyNumberFormat="1" applyFont="1"/>
    <xf numFmtId="0" fontId="4" fillId="6" borderId="3" xfId="0" applyFont="1" applyFill="1" applyBorder="1" applyAlignment="1">
      <alignment vertical="center" wrapText="1"/>
    </xf>
    <xf numFmtId="0" fontId="8" fillId="0" borderId="1" xfId="0" applyFont="1" applyBorder="1" applyAlignment="1">
      <alignment horizontal="center" vertical="center"/>
    </xf>
    <xf numFmtId="10" fontId="8" fillId="0" borderId="0" xfId="0" applyNumberFormat="1" applyFont="1" applyAlignment="1">
      <alignment horizontal="center" vertical="center"/>
    </xf>
    <xf numFmtId="0" fontId="4" fillId="0" borderId="3" xfId="0" applyFont="1" applyBorder="1" applyAlignment="1">
      <alignment vertical="center" wrapText="1"/>
    </xf>
    <xf numFmtId="0" fontId="13" fillId="0" borderId="0" xfId="0" applyFont="1"/>
    <xf numFmtId="2" fontId="3" fillId="0" borderId="0" xfId="0" applyNumberFormat="1" applyFont="1" applyAlignment="1">
      <alignment horizontal="center" vertical="center"/>
    </xf>
    <xf numFmtId="0" fontId="14" fillId="0" borderId="0" xfId="0" applyFont="1" applyAlignment="1">
      <alignment horizontal="right" vertical="center"/>
    </xf>
    <xf numFmtId="2" fontId="3" fillId="0" borderId="1" xfId="0" applyNumberFormat="1" applyFont="1" applyBorder="1"/>
    <xf numFmtId="10" fontId="3" fillId="0" borderId="1" xfId="0" applyNumberFormat="1" applyFont="1" applyBorder="1"/>
    <xf numFmtId="0" fontId="3" fillId="0" borderId="2" xfId="0" applyFont="1" applyBorder="1" applyAlignment="1">
      <alignment horizontal="center" vertical="center" wrapText="1"/>
    </xf>
    <xf numFmtId="166" fontId="3" fillId="0" borderId="0" xfId="0" applyNumberFormat="1" applyFont="1" applyAlignment="1">
      <alignment horizontal="center" vertical="center"/>
    </xf>
    <xf numFmtId="4" fontId="3" fillId="0" borderId="1" xfId="0" applyNumberFormat="1" applyFont="1" applyBorder="1" applyAlignment="1">
      <alignment horizontal="center" vertical="center"/>
    </xf>
    <xf numFmtId="2" fontId="3" fillId="0" borderId="18" xfId="0" applyNumberFormat="1" applyFont="1" applyBorder="1"/>
    <xf numFmtId="0" fontId="3" fillId="0" borderId="18" xfId="0" applyFont="1" applyBorder="1"/>
    <xf numFmtId="9" fontId="3" fillId="0" borderId="2" xfId="0" applyNumberFormat="1" applyFont="1" applyBorder="1"/>
    <xf numFmtId="0" fontId="3" fillId="0" borderId="19" xfId="0" applyFont="1" applyBorder="1"/>
    <xf numFmtId="0" fontId="15" fillId="0" borderId="3" xfId="0" applyFont="1" applyBorder="1"/>
    <xf numFmtId="0" fontId="3" fillId="0" borderId="20" xfId="0" applyFont="1" applyBorder="1"/>
    <xf numFmtId="0" fontId="3" fillId="0" borderId="21" xfId="0" applyFont="1" applyBorder="1"/>
    <xf numFmtId="0" fontId="5" fillId="6" borderId="3" xfId="0" applyFont="1" applyFill="1" applyBorder="1"/>
    <xf numFmtId="0" fontId="16" fillId="0" borderId="0" xfId="0" applyFont="1"/>
    <xf numFmtId="0" fontId="4" fillId="0" borderId="22" xfId="0" applyFont="1" applyBorder="1" applyAlignment="1">
      <alignment vertical="center" wrapText="1"/>
    </xf>
    <xf numFmtId="0" fontId="3" fillId="5" borderId="1" xfId="0" applyFont="1" applyFill="1" applyBorder="1" applyAlignment="1">
      <alignment horizontal="center" vertical="center" wrapText="1"/>
    </xf>
    <xf numFmtId="0" fontId="4" fillId="0" borderId="23" xfId="0" applyFont="1" applyBorder="1" applyAlignment="1">
      <alignment vertical="center" wrapText="1"/>
    </xf>
    <xf numFmtId="0" fontId="3" fillId="14" borderId="1" xfId="0" applyFont="1" applyFill="1" applyBorder="1" applyAlignment="1">
      <alignment horizontal="center" vertical="center" wrapText="1"/>
    </xf>
    <xf numFmtId="0" fontId="3" fillId="22" borderId="0" xfId="0" applyFont="1" applyFill="1"/>
    <xf numFmtId="0" fontId="3" fillId="23" borderId="0" xfId="0" applyFont="1" applyFill="1"/>
    <xf numFmtId="0" fontId="3" fillId="8" borderId="0" xfId="0" applyFont="1" applyFill="1"/>
    <xf numFmtId="165" fontId="3" fillId="22" borderId="0" xfId="0" applyNumberFormat="1" applyFont="1" applyFill="1"/>
    <xf numFmtId="165" fontId="3" fillId="23" borderId="0" xfId="0" applyNumberFormat="1" applyFont="1" applyFill="1"/>
    <xf numFmtId="165" fontId="3" fillId="8" borderId="0" xfId="0" applyNumberFormat="1" applyFont="1" applyFill="1"/>
    <xf numFmtId="165" fontId="3" fillId="0" borderId="0" xfId="0" applyNumberFormat="1" applyFont="1"/>
    <xf numFmtId="0" fontId="5" fillId="0" borderId="0" xfId="0" applyFont="1"/>
    <xf numFmtId="0" fontId="4" fillId="0" borderId="3" xfId="0" applyFont="1" applyBorder="1" applyAlignment="1">
      <alignment wrapText="1"/>
    </xf>
    <xf numFmtId="0" fontId="8" fillId="7" borderId="0" xfId="0" applyFont="1" applyFill="1" applyAlignment="1">
      <alignment horizontal="center" wrapText="1"/>
    </xf>
    <xf numFmtId="0" fontId="3" fillId="7" borderId="1" xfId="0" applyFont="1" applyFill="1" applyBorder="1"/>
    <xf numFmtId="9" fontId="3" fillId="7" borderId="1" xfId="0" applyNumberFormat="1" applyFont="1" applyFill="1" applyBorder="1"/>
    <xf numFmtId="0" fontId="3" fillId="0" borderId="1" xfId="0" applyFont="1" applyBorder="1" applyAlignment="1">
      <alignment vertical="center" wrapText="1"/>
    </xf>
    <xf numFmtId="0" fontId="3" fillId="0" borderId="0" xfId="0" applyFont="1" applyAlignment="1">
      <alignment vertical="center" wrapText="1"/>
    </xf>
    <xf numFmtId="0" fontId="10" fillId="0" borderId="1" xfId="0" applyFont="1" applyBorder="1" applyAlignment="1">
      <alignment horizontal="center"/>
    </xf>
    <xf numFmtId="165" fontId="3" fillId="4" borderId="1" xfId="0" applyNumberFormat="1" applyFont="1" applyFill="1" applyBorder="1" applyAlignment="1">
      <alignment vertical="center" wrapText="1"/>
    </xf>
    <xf numFmtId="0" fontId="3" fillId="4" borderId="1" xfId="0" applyFont="1" applyFill="1" applyBorder="1" applyAlignment="1">
      <alignment vertical="center" wrapText="1"/>
    </xf>
    <xf numFmtId="0" fontId="3" fillId="23" borderId="0" xfId="0" applyFont="1" applyFill="1" applyAlignment="1">
      <alignment wrapText="1"/>
    </xf>
    <xf numFmtId="0" fontId="3" fillId="8" borderId="0" xfId="0" applyFont="1" applyFill="1" applyAlignment="1">
      <alignment wrapText="1"/>
    </xf>
    <xf numFmtId="0" fontId="14" fillId="0" borderId="0" xfId="0" applyFont="1" applyAlignment="1">
      <alignment horizontal="center" vertical="center"/>
    </xf>
    <xf numFmtId="0" fontId="3" fillId="24" borderId="1" xfId="0" applyFont="1" applyFill="1" applyBorder="1" applyAlignment="1">
      <alignment vertical="center" wrapText="1"/>
    </xf>
    <xf numFmtId="10" fontId="3" fillId="24" borderId="1" xfId="0" applyNumberFormat="1" applyFont="1" applyFill="1" applyBorder="1" applyAlignment="1">
      <alignment vertical="center" wrapText="1"/>
    </xf>
    <xf numFmtId="0" fontId="3" fillId="24" borderId="1" xfId="0" applyFont="1" applyFill="1" applyBorder="1" applyAlignment="1">
      <alignment horizontal="right" vertical="center" wrapText="1"/>
    </xf>
    <xf numFmtId="9" fontId="3" fillId="0" borderId="1" xfId="0" applyNumberFormat="1" applyFont="1" applyBorder="1" applyAlignment="1">
      <alignment vertical="center" wrapText="1"/>
    </xf>
    <xf numFmtId="0" fontId="17" fillId="0" borderId="3" xfId="0" applyFont="1" applyBorder="1"/>
    <xf numFmtId="0" fontId="3" fillId="11" borderId="1" xfId="0" applyFont="1" applyFill="1" applyBorder="1" applyAlignment="1">
      <alignment horizontal="right" vertical="center" wrapText="1"/>
    </xf>
    <xf numFmtId="0" fontId="3" fillId="11" borderId="1" xfId="0" applyFont="1" applyFill="1" applyBorder="1" applyAlignment="1">
      <alignment vertical="center" wrapText="1"/>
    </xf>
    <xf numFmtId="0" fontId="3" fillId="5" borderId="0" xfId="0" applyFont="1" applyFill="1" applyAlignment="1">
      <alignment wrapText="1"/>
    </xf>
    <xf numFmtId="165" fontId="3" fillId="5" borderId="0" xfId="0" applyNumberFormat="1" applyFont="1" applyFill="1"/>
    <xf numFmtId="0" fontId="4" fillId="0" borderId="3" xfId="0" applyFont="1" applyBorder="1" applyAlignment="1">
      <alignment vertical="top" wrapText="1"/>
    </xf>
    <xf numFmtId="165" fontId="3" fillId="23" borderId="0" xfId="0" applyNumberFormat="1" applyFont="1" applyFill="1" applyAlignment="1">
      <alignment wrapText="1"/>
    </xf>
    <xf numFmtId="2" fontId="14" fillId="0" borderId="0" xfId="0" applyNumberFormat="1" applyFont="1" applyAlignment="1">
      <alignment horizontal="right" vertical="center"/>
    </xf>
    <xf numFmtId="0" fontId="3" fillId="8" borderId="0" xfId="0" applyFont="1" applyFill="1" applyAlignment="1">
      <alignment horizontal="center" wrapText="1"/>
    </xf>
    <xf numFmtId="165" fontId="3" fillId="8" borderId="0" xfId="0" applyNumberFormat="1" applyFont="1" applyFill="1" applyAlignment="1">
      <alignment horizontal="center"/>
    </xf>
    <xf numFmtId="0" fontId="3" fillId="8" borderId="0" xfId="0" applyFont="1" applyFill="1" applyAlignment="1">
      <alignment horizontal="center"/>
    </xf>
    <xf numFmtId="0" fontId="19" fillId="25" borderId="0" xfId="0" applyFont="1" applyFill="1"/>
    <xf numFmtId="0" fontId="18" fillId="0" borderId="0" xfId="0" applyFont="1"/>
    <xf numFmtId="0" fontId="20" fillId="26" borderId="0" xfId="0" applyFont="1" applyFill="1"/>
    <xf numFmtId="0" fontId="9" fillId="0" borderId="0" xfId="0" applyFont="1" applyAlignment="1">
      <alignment horizontal="center" vertical="center" textRotation="90" wrapText="1"/>
    </xf>
    <xf numFmtId="0" fontId="0" fillId="0" borderId="0" xfId="0"/>
    <xf numFmtId="0" fontId="8"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1000"/>
  <sheetViews>
    <sheetView showGridLines="0" tabSelected="1" workbookViewId="0"/>
  </sheetViews>
  <sheetFormatPr baseColWidth="10" defaultColWidth="14.44140625" defaultRowHeight="15" customHeight="1" x14ac:dyDescent="0.3"/>
  <cols>
    <col min="1" max="1" width="3" customWidth="1"/>
    <col min="2" max="2" width="110" customWidth="1"/>
    <col min="3" max="26" width="8.6640625" customWidth="1"/>
  </cols>
  <sheetData>
    <row r="1" spans="2:2" ht="14.4" customHeight="1" x14ac:dyDescent="0.3"/>
    <row r="2" spans="2:2" ht="17.399999999999999" customHeight="1" x14ac:dyDescent="0.3">
      <c r="B2" s="1" t="s">
        <v>21</v>
      </c>
    </row>
    <row r="3" spans="2:2" ht="14.4" customHeight="1" x14ac:dyDescent="0.3">
      <c r="B3" s="4"/>
    </row>
    <row r="4" spans="2:2" ht="14.4" customHeight="1" x14ac:dyDescent="0.3">
      <c r="B4" s="4" t="s">
        <v>22</v>
      </c>
    </row>
    <row r="5" spans="2:2" ht="14.4" customHeight="1" x14ac:dyDescent="0.3">
      <c r="B5" s="4"/>
    </row>
    <row r="6" spans="2:2" ht="27" customHeight="1" x14ac:dyDescent="0.3">
      <c r="B6" s="5" t="s">
        <v>23</v>
      </c>
    </row>
    <row r="7" spans="2:2" ht="27" customHeight="1" x14ac:dyDescent="0.3">
      <c r="B7" s="5" t="s">
        <v>24</v>
      </c>
    </row>
    <row r="8" spans="2:2" ht="53.4" customHeight="1" x14ac:dyDescent="0.3">
      <c r="B8" s="5" t="s">
        <v>25</v>
      </c>
    </row>
    <row r="9" spans="2:2" ht="40.200000000000003" customHeight="1" x14ac:dyDescent="0.3">
      <c r="B9" s="5" t="s">
        <v>26</v>
      </c>
    </row>
    <row r="10" spans="2:2" ht="27" customHeight="1" x14ac:dyDescent="0.3">
      <c r="B10" s="5" t="s">
        <v>27</v>
      </c>
    </row>
    <row r="11" spans="2:2" ht="14.4" customHeight="1" x14ac:dyDescent="0.3">
      <c r="B11" s="4"/>
    </row>
    <row r="12" spans="2:2" ht="14.4" customHeight="1" x14ac:dyDescent="0.3">
      <c r="B12" s="4" t="s">
        <v>28</v>
      </c>
    </row>
    <row r="13" spans="2:2" ht="14.4" customHeight="1" x14ac:dyDescent="0.3">
      <c r="B13" s="4"/>
    </row>
    <row r="14" spans="2:2" ht="27" customHeight="1" x14ac:dyDescent="0.3">
      <c r="B14" s="4" t="s">
        <v>29</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2:C25"/>
  <sheetViews>
    <sheetView workbookViewId="0"/>
  </sheetViews>
  <sheetFormatPr baseColWidth="10" defaultColWidth="14.44140625" defaultRowHeight="15" customHeight="1" x14ac:dyDescent="0.3"/>
  <cols>
    <col min="2" max="2" width="39.33203125" customWidth="1"/>
  </cols>
  <sheetData>
    <row r="2" spans="2:3" x14ac:dyDescent="0.3">
      <c r="B2" s="2" t="s">
        <v>30</v>
      </c>
      <c r="C2" s="2" t="s">
        <v>31</v>
      </c>
    </row>
    <row r="3" spans="2:3" x14ac:dyDescent="0.3">
      <c r="B3" s="3" t="s">
        <v>32</v>
      </c>
      <c r="C3" s="3"/>
    </row>
    <row r="4" spans="2:3" x14ac:dyDescent="0.3">
      <c r="B4" s="3" t="s">
        <v>33</v>
      </c>
      <c r="C4" s="3"/>
    </row>
    <row r="5" spans="2:3" x14ac:dyDescent="0.3">
      <c r="B5" s="6" t="s">
        <v>34</v>
      </c>
      <c r="C5" s="3"/>
    </row>
    <row r="6" spans="2:3" x14ac:dyDescent="0.3">
      <c r="B6" s="3" t="s">
        <v>35</v>
      </c>
      <c r="C6" s="3"/>
    </row>
    <row r="7" spans="2:3" x14ac:dyDescent="0.3">
      <c r="B7" s="3"/>
      <c r="C7" s="3"/>
    </row>
    <row r="8" spans="2:3" x14ac:dyDescent="0.3">
      <c r="B8" s="3"/>
      <c r="C8" s="3"/>
    </row>
    <row r="9" spans="2:3" x14ac:dyDescent="0.3">
      <c r="B9" s="3"/>
      <c r="C9" s="3"/>
    </row>
    <row r="10" spans="2:3" x14ac:dyDescent="0.3">
      <c r="B10" s="3"/>
      <c r="C10" s="3"/>
    </row>
    <row r="11" spans="2:3" x14ac:dyDescent="0.3">
      <c r="B11" s="3"/>
      <c r="C11" s="3"/>
    </row>
    <row r="12" spans="2:3" x14ac:dyDescent="0.3">
      <c r="B12" s="3"/>
      <c r="C12" s="3"/>
    </row>
    <row r="13" spans="2:3" x14ac:dyDescent="0.3">
      <c r="B13" s="3"/>
      <c r="C13" s="3"/>
    </row>
    <row r="14" spans="2:3" x14ac:dyDescent="0.3">
      <c r="B14" s="3"/>
      <c r="C14" s="3"/>
    </row>
    <row r="15" spans="2:3" x14ac:dyDescent="0.3">
      <c r="B15" s="3"/>
      <c r="C15" s="3"/>
    </row>
    <row r="16" spans="2:3" x14ac:dyDescent="0.3">
      <c r="B16" s="3"/>
      <c r="C16" s="3"/>
    </row>
    <row r="17" spans="2:3" x14ac:dyDescent="0.3">
      <c r="B17" s="3"/>
      <c r="C17" s="3"/>
    </row>
    <row r="18" spans="2:3" x14ac:dyDescent="0.3">
      <c r="B18" s="3"/>
      <c r="C18" s="3"/>
    </row>
    <row r="19" spans="2:3" x14ac:dyDescent="0.3">
      <c r="B19" s="3"/>
      <c r="C19" s="3"/>
    </row>
    <row r="20" spans="2:3" x14ac:dyDescent="0.3">
      <c r="B20" s="3"/>
      <c r="C20" s="3"/>
    </row>
    <row r="21" spans="2:3" x14ac:dyDescent="0.3">
      <c r="B21" s="3"/>
      <c r="C21" s="3"/>
    </row>
    <row r="22" spans="2:3" x14ac:dyDescent="0.3">
      <c r="B22" s="3"/>
      <c r="C22" s="3"/>
    </row>
    <row r="23" spans="2:3" x14ac:dyDescent="0.3">
      <c r="B23" s="3"/>
      <c r="C23" s="3"/>
    </row>
    <row r="24" spans="2:3" x14ac:dyDescent="0.3">
      <c r="B24" s="3"/>
      <c r="C24" s="3"/>
    </row>
    <row r="25" spans="2:3" x14ac:dyDescent="0.3">
      <c r="B25" s="3"/>
      <c r="C25" s="3"/>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00"/>
  <sheetViews>
    <sheetView showGridLines="0" workbookViewId="0">
      <pane ySplit="1" topLeftCell="A2" activePane="bottomLeft" state="frozen"/>
      <selection pane="bottomLeft" activeCell="B3" sqref="B3"/>
    </sheetView>
  </sheetViews>
  <sheetFormatPr baseColWidth="10" defaultColWidth="14.44140625" defaultRowHeight="15" customHeight="1" x14ac:dyDescent="0.3"/>
  <cols>
    <col min="1" max="1" width="31.88671875" customWidth="1"/>
    <col min="2" max="2" width="22" customWidth="1"/>
    <col min="3" max="3" width="26" customWidth="1"/>
    <col min="4" max="4" width="40" customWidth="1"/>
    <col min="5" max="5" width="14" customWidth="1"/>
    <col min="6" max="9" width="12" customWidth="1"/>
    <col min="10" max="26" width="8.6640625" customWidth="1"/>
  </cols>
  <sheetData>
    <row r="1" spans="1:9" ht="41.4" customHeight="1" x14ac:dyDescent="0.3">
      <c r="A1" s="7" t="s">
        <v>36</v>
      </c>
      <c r="B1" s="7" t="s">
        <v>37</v>
      </c>
      <c r="C1" s="7" t="s">
        <v>38</v>
      </c>
      <c r="D1" s="7" t="s">
        <v>39</v>
      </c>
      <c r="E1" s="7" t="s">
        <v>40</v>
      </c>
      <c r="F1" s="7" t="s">
        <v>41</v>
      </c>
      <c r="G1" s="7" t="s">
        <v>42</v>
      </c>
      <c r="H1" s="7" t="s">
        <v>43</v>
      </c>
      <c r="I1" s="7" t="s">
        <v>44</v>
      </c>
    </row>
    <row r="2" spans="1:9" ht="14.4" customHeight="1" x14ac:dyDescent="0.3">
      <c r="A2" s="8" t="s">
        <v>45</v>
      </c>
      <c r="B2" s="10" t="s">
        <v>46</v>
      </c>
      <c r="C2" s="9" t="str">
        <f t="array" ref="C2">IFERROR(INDEX(Catalogo_Decisiones!$D$2:$D$57,MATCH($B2,Catalogo_Decisiones!$A$2:$A$57,0)),"")</f>
        <v>Nivel 2: semi-industrial</v>
      </c>
      <c r="D2" s="9" t="str">
        <f t="array" ref="D2">IFERROR(INDEX(Catalogo_Decisiones!$F$2:$F$57,MATCH($B2,Catalogo_Decisiones!$A$2:$A$57,0)),"")</f>
        <v>Maquina de coser de columna/brazo (poste) Typical TB-801</v>
      </c>
      <c r="E2" s="9">
        <f t="array" ref="E2">IFERROR(INDEX(Catalogo_Decisiones!$G$2:$G$57,MATCH($B2,Catalogo_Decisiones!$A$2:$A$57,0)),0)</f>
        <v>7500</v>
      </c>
      <c r="F2" s="18">
        <f t="array" ref="F2">IFERROR(INDEX(Catalogo_Decisiones!$H$2:$H$57,MATCH($B2,Catalogo_Decisiones!$A$2:$A$57,0)),0)</f>
        <v>2</v>
      </c>
      <c r="G2" s="18">
        <f t="array" ref="G2">IFERROR(INDEX(Catalogo_Decisiones!$I$2:$I$57,MATCH($B2,Catalogo_Decisiones!$A$2:$A$57,0)),0)</f>
        <v>2</v>
      </c>
      <c r="H2" s="18">
        <f t="array" ref="H2">IFERROR(INDEX(Catalogo_Decisiones!$J$2:$J$57,MATCH($B2,Catalogo_Decisiones!$A$2:$A$57,0)),0)</f>
        <v>0</v>
      </c>
      <c r="I2" s="18">
        <f t="array" ref="I2">IFERROR(INDEX(Catalogo_Decisiones!$K$2:$K$57,MATCH($B2,Catalogo_Decisiones!$A$2:$A$57,0)),0)</f>
        <v>0</v>
      </c>
    </row>
    <row r="3" spans="1:9" ht="14.4" customHeight="1" x14ac:dyDescent="0.3">
      <c r="A3" s="8" t="s">
        <v>47</v>
      </c>
      <c r="B3" s="10" t="s">
        <v>48</v>
      </c>
      <c r="C3" s="9" t="str">
        <f t="array" ref="C3">IFERROR(INDEX(Catalogo_Decisiones!$D$2:$D$57,MATCH($B3,Catalogo_Decisiones!$A$2:$A$57,0)),"")</f>
        <v>Nivel 2: semi-industrial</v>
      </c>
      <c r="D3" s="9" t="str">
        <f t="array" ref="D3">IFERROR(INDEX(Catalogo_Decisiones!$F$2:$F$57,MATCH($B3,Catalogo_Decisiones!$A$2:$A$57,0)),"")</f>
        <v>Maquina de pulido de bordes (edge burnisher) electrica, tinte con pincel/aerografo</v>
      </c>
      <c r="E3" s="9">
        <f t="array" ref="E3">IFERROR(INDEX(Catalogo_Decisiones!$G$2:$G$57,MATCH($B3,Catalogo_Decisiones!$A$2:$A$57,0)),0)</f>
        <v>4500</v>
      </c>
      <c r="F3" s="18">
        <f t="array" ref="F3">IFERROR(INDEX(Catalogo_Decisiones!$H$2:$H$57,MATCH($B3,Catalogo_Decisiones!$A$2:$A$57,0)),0)</f>
        <v>2</v>
      </c>
      <c r="G3" s="18">
        <f t="array" ref="G3">IFERROR(INDEX(Catalogo_Decisiones!$I$2:$I$57,MATCH($B3,Catalogo_Decisiones!$A$2:$A$57,0)),0)</f>
        <v>2</v>
      </c>
      <c r="H3" s="18">
        <f t="array" ref="H3">IFERROR(INDEX(Catalogo_Decisiones!$J$2:$J$57,MATCH($B3,Catalogo_Decisiones!$A$2:$A$57,0)),0)</f>
        <v>0</v>
      </c>
      <c r="I3" s="18">
        <f t="array" ref="I3">IFERROR(INDEX(Catalogo_Decisiones!$K$2:$K$57,MATCH($B3,Catalogo_Decisiones!$A$2:$A$57,0)),0)</f>
        <v>0</v>
      </c>
    </row>
    <row r="4" spans="1:9" ht="14.4" customHeight="1" x14ac:dyDescent="0.3">
      <c r="A4" s="8" t="s">
        <v>49</v>
      </c>
      <c r="B4" s="10" t="s">
        <v>50</v>
      </c>
      <c r="C4" s="9" t="str">
        <f t="array" ref="C4">IFERROR(INDEX(Catalogo_Decisiones!$D$2:$D$57,MATCH($B4,Catalogo_Decisiones!$A$2:$A$57,0)),"")</f>
        <v>Nivel 2 - Generico mejorado</v>
      </c>
      <c r="D4" s="9" t="str">
        <f t="array" ref="D4">IFERROR(INDEX(Catalogo_Decisiones!$F$2:$F$57,MATCH($B4,Catalogo_Decisiones!$A$2:$A$57,0)),"")</f>
        <v>Patron tecnico mas elaborado, con lineas de corte, marcado y perforaciones bien definidas</v>
      </c>
      <c r="E4" s="9">
        <f t="array" ref="E4">IFERROR(INDEX(Catalogo_Decisiones!$G$2:$G$57,MATCH($B4,Catalogo_Decisiones!$A$2:$A$57,0)),0)</f>
        <v>1200</v>
      </c>
      <c r="F4" s="18">
        <f t="array" ref="F4">IFERROR(INDEX(Catalogo_Decisiones!$H$2:$H$57,MATCH($B4,Catalogo_Decisiones!$A$2:$A$57,0)),0)</f>
        <v>2</v>
      </c>
      <c r="G4" s="18">
        <f t="array" ref="G4">IFERROR(INDEX(Catalogo_Decisiones!$I$2:$I$57,MATCH($B4,Catalogo_Decisiones!$A$2:$A$57,0)),0)</f>
        <v>2</v>
      </c>
      <c r="H4" s="18">
        <f t="array" ref="H4">IFERROR(INDEX(Catalogo_Decisiones!$J$2:$J$57,MATCH($B4,Catalogo_Decisiones!$A$2:$A$57,0)),0)</f>
        <v>1</v>
      </c>
      <c r="I4" s="18">
        <f t="array" ref="I4">IFERROR(INDEX(Catalogo_Decisiones!$K$2:$K$57,MATCH($B4,Catalogo_Decisiones!$A$2:$A$57,0)),0)</f>
        <v>0</v>
      </c>
    </row>
    <row r="5" spans="1:9" ht="14.4" customHeight="1" x14ac:dyDescent="0.3">
      <c r="A5" s="8" t="s">
        <v>51</v>
      </c>
      <c r="B5" s="10" t="s">
        <v>52</v>
      </c>
      <c r="C5" s="9" t="str">
        <f t="array" ref="C5">IFERROR(INDEX(Catalogo_Decisiones!$D$2:$D$57,MATCH($B5,Catalogo_Decisiones!$A$2:$A$57,0)),"")</f>
        <v>Nivel 2 - Cortador con experiencia</v>
      </c>
      <c r="D5" s="9" t="str">
        <f t="array" ref="D5">IFERROR(INDEX(Catalogo_Decisiones!$F$2:$F$57,MATCH($B5,Catalogo_Decisiones!$A$2:$A$57,0)),"")</f>
        <v>Optimiza el aprovechamiento del cuero, reduce desperdicio, mas rapido</v>
      </c>
      <c r="E5" s="9">
        <f t="array" ref="E5">IFERROR(INDEX(Catalogo_Decisiones!$G$2:$G$57,MATCH($B5,Catalogo_Decisiones!$A$2:$A$57,0)),0)</f>
        <v>2500</v>
      </c>
      <c r="F5" s="18">
        <f t="array" ref="F5">IFERROR(INDEX(Catalogo_Decisiones!$H$2:$H$57,MATCH($B5,Catalogo_Decisiones!$A$2:$A$57,0)),0)</f>
        <v>1</v>
      </c>
      <c r="G5" s="18">
        <f t="array" ref="G5">IFERROR(INDEX(Catalogo_Decisiones!$I$2:$I$57,MATCH($B5,Catalogo_Decisiones!$A$2:$A$57,0)),0)</f>
        <v>2</v>
      </c>
      <c r="H5" s="18">
        <f t="array" ref="H5">IFERROR(INDEX(Catalogo_Decisiones!$J$2:$J$57,MATCH($B5,Catalogo_Decisiones!$A$2:$A$57,0)),0)</f>
        <v>0</v>
      </c>
      <c r="I5" s="18">
        <f t="array" ref="I5">IFERROR(INDEX(Catalogo_Decisiones!$K$2:$K$57,MATCH($B5,Catalogo_Decisiones!$A$2:$A$57,0)),0)</f>
        <v>0</v>
      </c>
    </row>
    <row r="6" spans="1:9" ht="14.4" customHeight="1" x14ac:dyDescent="0.3">
      <c r="A6" s="8" t="s">
        <v>53</v>
      </c>
      <c r="B6" s="10" t="s">
        <v>54</v>
      </c>
      <c r="C6" s="9" t="str">
        <f t="array" ref="C6">IFERROR(INDEX(Catalogo_Decisiones!$D$2:$D$57,MATCH($B6,Catalogo_Decisiones!$A$2:$A$57,0)),"")</f>
        <v>Nivel 2 - Maquinista industrial</v>
      </c>
      <c r="D6" s="9" t="str">
        <f t="array" ref="D6">IFERROR(INDEX(Catalogo_Decisiones!$F$2:$F$57,MATCH($B6,Catalogo_Decisiones!$A$2:$A$57,0)),"")</f>
        <v>Maquina semi-industrial/industrial, costuras reforzadas, mayor velocidad</v>
      </c>
      <c r="E6" s="9">
        <f t="array" ref="E6">IFERROR(INDEX(Catalogo_Decisiones!$G$2:$G$57,MATCH($B6,Catalogo_Decisiones!$A$2:$A$57,0)),0)</f>
        <v>2800</v>
      </c>
      <c r="F6" s="18">
        <f t="array" ref="F6">IFERROR(INDEX(Catalogo_Decisiones!$H$2:$H$57,MATCH($B6,Catalogo_Decisiones!$A$2:$A$57,0)),0)</f>
        <v>1</v>
      </c>
      <c r="G6" s="18">
        <f t="array" ref="G6">IFERROR(INDEX(Catalogo_Decisiones!$I$2:$I$57,MATCH($B6,Catalogo_Decisiones!$A$2:$A$57,0)),0)</f>
        <v>2</v>
      </c>
      <c r="H6" s="18">
        <f t="array" ref="H6">IFERROR(INDEX(Catalogo_Decisiones!$J$2:$J$57,MATCH($B6,Catalogo_Decisiones!$A$2:$A$57,0)),0)</f>
        <v>0</v>
      </c>
      <c r="I6" s="18">
        <f t="array" ref="I6">IFERROR(INDEX(Catalogo_Decisiones!$K$2:$K$57,MATCH($B6,Catalogo_Decisiones!$A$2:$A$57,0)),0)</f>
        <v>0</v>
      </c>
    </row>
    <row r="7" spans="1:9" ht="14.4" customHeight="1" x14ac:dyDescent="0.3">
      <c r="A7" s="8" t="s">
        <v>55</v>
      </c>
      <c r="B7" s="10" t="s">
        <v>56</v>
      </c>
      <c r="C7" s="9" t="str">
        <f t="array" ref="C7">IFERROR(INDEX(Catalogo_Decisiones!$D$2:$D$57,MATCH($B7,Catalogo_Decisiones!$A$2:$A$57,0)),"")</f>
        <v>Nivel 2 - Tecnico en acabados</v>
      </c>
      <c r="D7" s="9" t="str">
        <f t="array" ref="D7">IFERROR(INDEX(Catalogo_Decisiones!$F$2:$F$57,MATCH($B7,Catalogo_Decisiones!$A$2:$A$57,0)),"")</f>
        <v>Maneja maquina de pulido de bordes, tinte con aerografo, resultado consistente</v>
      </c>
      <c r="E7" s="9">
        <f t="array" ref="E7">IFERROR(INDEX(Catalogo_Decisiones!$G$2:$G$57,MATCH($B7,Catalogo_Decisiones!$A$2:$A$57,0)),0)</f>
        <v>2800</v>
      </c>
      <c r="F7" s="18">
        <f t="array" ref="F7">IFERROR(INDEX(Catalogo_Decisiones!$H$2:$H$57,MATCH($B7,Catalogo_Decisiones!$A$2:$A$57,0)),0)</f>
        <v>1</v>
      </c>
      <c r="G7" s="18">
        <f t="array" ref="G7">IFERROR(INDEX(Catalogo_Decisiones!$I$2:$I$57,MATCH($B7,Catalogo_Decisiones!$A$2:$A$57,0)),0)</f>
        <v>2</v>
      </c>
      <c r="H7" s="18">
        <f t="array" ref="H7">IFERROR(INDEX(Catalogo_Decisiones!$J$2:$J$57,MATCH($B7,Catalogo_Decisiones!$A$2:$A$57,0)),0)</f>
        <v>0</v>
      </c>
      <c r="I7" s="18">
        <f t="array" ref="I7">IFERROR(INDEX(Catalogo_Decisiones!$K$2:$K$57,MATCH($B7,Catalogo_Decisiones!$A$2:$A$57,0)),0)</f>
        <v>0</v>
      </c>
    </row>
    <row r="8" spans="1:9" ht="14.4" customHeight="1" x14ac:dyDescent="0.3">
      <c r="A8" s="8" t="s">
        <v>57</v>
      </c>
      <c r="B8" s="10" t="s">
        <v>58</v>
      </c>
      <c r="C8" s="9" t="str">
        <f t="array" ref="C8">IFERROR(INDEX(Catalogo_Decisiones!$D$2:$D$57,MATCH($B8,Catalogo_Decisiones!$A$2:$A$57,0)),"")</f>
        <v>Contratar jefatura</v>
      </c>
      <c r="D8" s="9" t="str">
        <f t="array" ref="D8">IFERROR(INDEX(Catalogo_Decisiones!$F$2:$F$57,MATCH($B8,Catalogo_Decisiones!$A$2:$A$57,0)),"")</f>
        <v>Coordina el equipo, reduce riesgo de descoordinacion</v>
      </c>
      <c r="E8" s="9">
        <f t="array" ref="E8">IFERROR(INDEX(Catalogo_Decisiones!$G$2:$G$57,MATCH($B8,Catalogo_Decisiones!$A$2:$A$57,0)),0)</f>
        <v>3000</v>
      </c>
      <c r="F8" s="18">
        <f t="array" ref="F8">IFERROR(INDEX(Catalogo_Decisiones!$H$2:$H$57,MATCH($B8,Catalogo_Decisiones!$A$2:$A$57,0)),0)</f>
        <v>0</v>
      </c>
      <c r="G8" s="18">
        <f t="array" ref="G8">IFERROR(INDEX(Catalogo_Decisiones!$I$2:$I$57,MATCH($B8,Catalogo_Decisiones!$A$2:$A$57,0)),0)</f>
        <v>2</v>
      </c>
      <c r="H8" s="18">
        <f t="array" ref="H8">IFERROR(INDEX(Catalogo_Decisiones!$J$2:$J$57,MATCH($B8,Catalogo_Decisiones!$A$2:$A$57,0)),0)</f>
        <v>1</v>
      </c>
      <c r="I8" s="18">
        <f t="array" ref="I8">IFERROR(INDEX(Catalogo_Decisiones!$K$2:$K$57,MATCH($B8,Catalogo_Decisiones!$A$2:$A$57,0)),0)</f>
        <v>0</v>
      </c>
    </row>
    <row r="9" spans="1:9" ht="14.4" customHeight="1" x14ac:dyDescent="0.3">
      <c r="A9" s="8" t="s">
        <v>59</v>
      </c>
      <c r="B9" s="10" t="s">
        <v>60</v>
      </c>
      <c r="C9" s="9" t="str">
        <f t="array" ref="C9">IFERROR(INDEX(Catalogo_Decisiones!$D$2:$D$57,MATCH($B9,Catalogo_Decisiones!$A$2:$A$57,0)),"")</f>
        <v>Web y fisico</v>
      </c>
      <c r="D9" s="9" t="str">
        <f t="array" ref="D9">IFERROR(INDEX(Catalogo_Decisiones!$F$2:$F$57,MATCH($B9,Catalogo_Decisiones!$A$2:$A$57,0)),"")</f>
        <v>Mayor cobertura y demanda; incrementa complejidad y costo</v>
      </c>
      <c r="E9" s="9">
        <f t="array" ref="E9">IFERROR(INDEX(Catalogo_Decisiones!$G$2:$G$57,MATCH($B9,Catalogo_Decisiones!$A$2:$A$57,0)),0)</f>
        <v>1500</v>
      </c>
      <c r="F9" s="18">
        <f t="array" ref="F9">IFERROR(INDEX(Catalogo_Decisiones!$H$2:$H$57,MATCH($B9,Catalogo_Decisiones!$A$2:$A$57,0)),0)</f>
        <v>0</v>
      </c>
      <c r="G9" s="18">
        <f t="array" ref="G9">IFERROR(INDEX(Catalogo_Decisiones!$I$2:$I$57,MATCH($B9,Catalogo_Decisiones!$A$2:$A$57,0)),0)</f>
        <v>0</v>
      </c>
      <c r="H9" s="18">
        <f t="array" ref="H9">IFERROR(INDEX(Catalogo_Decisiones!$J$2:$J$57,MATCH($B9,Catalogo_Decisiones!$A$2:$A$57,0)),0)</f>
        <v>2</v>
      </c>
      <c r="I9" s="18">
        <f t="array" ref="I9">IFERROR(INDEX(Catalogo_Decisiones!$K$2:$K$57,MATCH($B9,Catalogo_Decisiones!$A$2:$A$57,0)),0)</f>
        <v>-1</v>
      </c>
    </row>
    <row r="10" spans="1:9" ht="14.4" customHeight="1" x14ac:dyDescent="0.3">
      <c r="A10" s="8" t="s">
        <v>61</v>
      </c>
      <c r="B10" s="10" t="s">
        <v>62</v>
      </c>
      <c r="C10" s="9" t="str">
        <f t="array" ref="C10">IFERROR(INDEX(Catalogo_Decisiones!$D$2:$D$57,MATCH($B10,Catalogo_Decisiones!$A$2:$A$57,0)),"")</f>
        <v>No solicitar prestamo</v>
      </c>
      <c r="D10" s="9" t="str">
        <f t="array" ref="D10">IFERROR(INDEX(Catalogo_Decisiones!$F$2:$F$57,MATCH($B10,Catalogo_Decisiones!$A$2:$A$57,0)),"")</f>
        <v>Evita intereses; la expansion depende del capital propio</v>
      </c>
      <c r="E10" s="9">
        <f t="array" ref="E10">IFERROR(INDEX(Catalogo_Decisiones!$G$2:$G$57,MATCH($B10,Catalogo_Decisiones!$A$2:$A$57,0)),0)</f>
        <v>0</v>
      </c>
      <c r="F10" s="18">
        <f t="array" ref="F10">IFERROR(INDEX(Catalogo_Decisiones!$H$2:$H$57,MATCH($B10,Catalogo_Decisiones!$A$2:$A$57,0)),0)</f>
        <v>0</v>
      </c>
      <c r="G10" s="18">
        <f t="array" ref="G10">IFERROR(INDEX(Catalogo_Decisiones!$I$2:$I$57,MATCH($B10,Catalogo_Decisiones!$A$2:$A$57,0)),0)</f>
        <v>0</v>
      </c>
      <c r="H10" s="18">
        <f t="array" ref="H10">IFERROR(INDEX(Catalogo_Decisiones!$J$2:$J$57,MATCH($B10,Catalogo_Decisiones!$A$2:$A$57,0)),0)</f>
        <v>1</v>
      </c>
      <c r="I10" s="18">
        <f t="array" ref="I10">IFERROR(INDEX(Catalogo_Decisiones!$K$2:$K$57,MATCH($B10,Catalogo_Decisiones!$A$2:$A$57,0)),0)</f>
        <v>1</v>
      </c>
    </row>
    <row r="11" spans="1:9" ht="14.4" customHeight="1" x14ac:dyDescent="0.3">
      <c r="A11" s="8" t="s">
        <v>63</v>
      </c>
      <c r="B11" s="10" t="s">
        <v>64</v>
      </c>
      <c r="C11" s="9" t="str">
        <f t="array" ref="C11">IFERROR(INDEX(Catalogo_Decisiones!$D$2:$D$57,MATCH($B11,Catalogo_Decisiones!$A$2:$A$57,0)),"")</f>
        <v>Varios proveedores</v>
      </c>
      <c r="D11" s="9" t="str">
        <f t="array" ref="D11">IFERROR(INDEX(Catalogo_Decisiones!$F$2:$F$57,MATCH($B11,Catalogo_Decisiones!$A$2:$A$57,0)),"")</f>
        <v>Menor descuento, pero reduce el riesgo de desabastecimiento</v>
      </c>
      <c r="E11" s="9">
        <f t="array" ref="E11">IFERROR(INDEX(Catalogo_Decisiones!$G$2:$G$57,MATCH($B11,Catalogo_Decisiones!$A$2:$A$57,0)),0)</f>
        <v>0</v>
      </c>
      <c r="F11" s="18">
        <f t="array" ref="F11">IFERROR(INDEX(Catalogo_Decisiones!$H$2:$H$57,MATCH($B11,Catalogo_Decisiones!$A$2:$A$57,0)),0)</f>
        <v>0</v>
      </c>
      <c r="G11" s="18">
        <f t="array" ref="G11">IFERROR(INDEX(Catalogo_Decisiones!$I$2:$I$57,MATCH($B11,Catalogo_Decisiones!$A$2:$A$57,0)),0)</f>
        <v>1</v>
      </c>
      <c r="H11" s="18">
        <f t="array" ref="H11">IFERROR(INDEX(Catalogo_Decisiones!$J$2:$J$57,MATCH($B11,Catalogo_Decisiones!$A$2:$A$57,0)),0)</f>
        <v>0</v>
      </c>
      <c r="I11" s="18">
        <f t="array" ref="I11">IFERROR(INDEX(Catalogo_Decisiones!$K$2:$K$57,MATCH($B11,Catalogo_Decisiones!$A$2:$A$57,0)),0)</f>
        <v>0</v>
      </c>
    </row>
    <row r="12" spans="1:9" ht="14.4" customHeight="1" x14ac:dyDescent="0.3">
      <c r="A12" s="8" t="s">
        <v>65</v>
      </c>
      <c r="B12" s="10" t="s">
        <v>66</v>
      </c>
      <c r="C12" s="9" t="str">
        <f t="array" ref="C12">IFERROR(INDEX(Catalogo_Decisiones!$D$2:$D$57,MATCH($B12,Catalogo_Decisiones!$A$2:$A$57,0)),"")</f>
        <v>Contado</v>
      </c>
      <c r="D12" s="9" t="str">
        <f t="array" ref="D12">IFERROR(INDEX(Catalogo_Decisiones!$F$2:$F$57,MATCH($B12,Catalogo_Decisiones!$A$2:$A$57,0)),"")</f>
        <v>Obtiene 3% de descuento; reduce la caja inmediatamente</v>
      </c>
      <c r="E12" s="9">
        <f t="array" ref="E12">IFERROR(INDEX(Catalogo_Decisiones!$G$2:$G$57,MATCH($B12,Catalogo_Decisiones!$A$2:$A$57,0)),0)</f>
        <v>0</v>
      </c>
      <c r="F12" s="18">
        <f t="array" ref="F12">IFERROR(INDEX(Catalogo_Decisiones!$H$2:$H$57,MATCH($B12,Catalogo_Decisiones!$A$2:$A$57,0)),0)</f>
        <v>0</v>
      </c>
      <c r="G12" s="18">
        <f t="array" ref="G12">IFERROR(INDEX(Catalogo_Decisiones!$I$2:$I$57,MATCH($B12,Catalogo_Decisiones!$A$2:$A$57,0)),0)</f>
        <v>0</v>
      </c>
      <c r="H12" s="18">
        <f t="array" ref="H12">IFERROR(INDEX(Catalogo_Decisiones!$J$2:$J$57,MATCH($B12,Catalogo_Decisiones!$A$2:$A$57,0)),0)</f>
        <v>0</v>
      </c>
      <c r="I12" s="18">
        <f t="array" ref="I12">IFERROR(INDEX(Catalogo_Decisiones!$K$2:$K$57,MATCH($B12,Catalogo_Decisiones!$A$2:$A$57,0)),0)</f>
        <v>-1</v>
      </c>
    </row>
    <row r="13" spans="1:9" ht="14.4" customHeight="1" x14ac:dyDescent="0.3">
      <c r="A13" s="8" t="s">
        <v>67</v>
      </c>
      <c r="B13" s="10" t="s">
        <v>68</v>
      </c>
      <c r="C13" s="9" t="str">
        <f t="array" ref="C13">IFERROR(INDEX(Catalogo_Decisiones!$D$2:$D$57,MATCH($B13,Catalogo_Decisiones!$A$2:$A$57,0)),"")</f>
        <v>Normal - 7 dias</v>
      </c>
      <c r="D13" s="9" t="str">
        <f t="array" ref="D13">IFERROR(INDEX(Catalogo_Decisiones!$F$2:$F$57,MATCH($B13,Catalogo_Decisiones!$A$2:$A$57,0)),"")</f>
        <v>Equilibrio entre costo y disponibilidad</v>
      </c>
      <c r="E13" s="9">
        <f t="array" ref="E13">IFERROR(INDEX(Catalogo_Decisiones!$G$2:$G$57,MATCH($B13,Catalogo_Decisiones!$A$2:$A$57,0)),0)</f>
        <v>0</v>
      </c>
      <c r="F13" s="18">
        <f t="array" ref="F13">IFERROR(INDEX(Catalogo_Decisiones!$H$2:$H$57,MATCH($B13,Catalogo_Decisiones!$A$2:$A$57,0)),0)</f>
        <v>0</v>
      </c>
      <c r="G13" s="18">
        <f t="array" ref="G13">IFERROR(INDEX(Catalogo_Decisiones!$I$2:$I$57,MATCH($B13,Catalogo_Decisiones!$A$2:$A$57,0)),0)</f>
        <v>0</v>
      </c>
      <c r="H13" s="18">
        <f t="array" ref="H13">IFERROR(INDEX(Catalogo_Decisiones!$J$2:$J$57,MATCH($B13,Catalogo_Decisiones!$A$2:$A$57,0)),0)</f>
        <v>0</v>
      </c>
      <c r="I13" s="18">
        <f t="array" ref="I13">IFERROR(INDEX(Catalogo_Decisiones!$K$2:$K$57,MATCH($B13,Catalogo_Decisiones!$A$2:$A$57,0)),0)</f>
        <v>0</v>
      </c>
    </row>
    <row r="14" spans="1:9" ht="14.4" customHeight="1" x14ac:dyDescent="0.3">
      <c r="A14" s="8" t="s">
        <v>69</v>
      </c>
      <c r="B14" s="10" t="s">
        <v>70</v>
      </c>
      <c r="C14" s="9" t="str">
        <f t="array" ref="C14">IFERROR(INDEX(Catalogo_Decisiones!$D$2:$D$57,MATCH($B14,Catalogo_Decisiones!$A$2:$A$57,0)),"")</f>
        <v>Media</v>
      </c>
      <c r="D14" s="9" t="str">
        <f t="array" ref="D14">IFERROR(INDEX(Catalogo_Decisiones!$F$2:$F$57,MATCH($B14,Catalogo_Decisiones!$A$2:$A$57,0)),"")</f>
        <v>Capacitacion tecnica: +8% de capacidad y mejor reputacion</v>
      </c>
      <c r="E14" s="9">
        <f t="array" ref="E14">IFERROR(INDEX(Catalogo_Decisiones!$G$2:$G$57,MATCH($B14,Catalogo_Decisiones!$A$2:$A$57,0)),0)</f>
        <v>6000</v>
      </c>
      <c r="F14" s="18">
        <f t="array" ref="F14">IFERROR(INDEX(Catalogo_Decisiones!$H$2:$H$57,MATCH($B14,Catalogo_Decisiones!$A$2:$A$57,0)),0)</f>
        <v>0</v>
      </c>
      <c r="G14" s="18">
        <f t="array" ref="G14">IFERROR(INDEX(Catalogo_Decisiones!$I$2:$I$57,MATCH($B14,Catalogo_Decisiones!$A$2:$A$57,0)),0)</f>
        <v>2</v>
      </c>
      <c r="H14" s="18">
        <f t="array" ref="H14">IFERROR(INDEX(Catalogo_Decisiones!$J$2:$J$57,MATCH($B14,Catalogo_Decisiones!$A$2:$A$57,0)),0)</f>
        <v>1</v>
      </c>
      <c r="I14" s="18">
        <f t="array" ref="I14">IFERROR(INDEX(Catalogo_Decisiones!$K$2:$K$57,MATCH($B14,Catalogo_Decisiones!$A$2:$A$57,0)),0)</f>
        <v>-1</v>
      </c>
    </row>
    <row r="15" spans="1:9" ht="14.4" customHeight="1" x14ac:dyDescent="0.3">
      <c r="A15" s="8" t="s">
        <v>71</v>
      </c>
      <c r="B15" s="10" t="s">
        <v>72</v>
      </c>
      <c r="C15" s="9" t="str">
        <f t="array" ref="C15">IFERROR(INDEX(Catalogo_Decisiones!$D$2:$D$57,MATCH($B15,Catalogo_Decisiones!$A$2:$A$57,0)),"")</f>
        <v>Media</v>
      </c>
      <c r="D15" s="9" t="str">
        <f t="array" ref="D15">IFERROR(INDEX(Catalogo_Decisiones!$F$2:$F$57,MATCH($B15,Catalogo_Decisiones!$A$2:$A$57,0)),"")</f>
        <v>S/ 6,000 por ciclo; aumenta demanda estimada 12% y reputacion</v>
      </c>
      <c r="E15" s="9">
        <f t="array" ref="E15">IFERROR(INDEX(Catalogo_Decisiones!$G$2:$G$57,MATCH($B15,Catalogo_Decisiones!$A$2:$A$57,0)),0)</f>
        <v>6000</v>
      </c>
      <c r="F15" s="18">
        <f t="array" ref="F15">IFERROR(INDEX(Catalogo_Decisiones!$H$2:$H$57,MATCH($B15,Catalogo_Decisiones!$A$2:$A$57,0)),0)</f>
        <v>0</v>
      </c>
      <c r="G15" s="18">
        <f t="array" ref="G15">IFERROR(INDEX(Catalogo_Decisiones!$I$2:$I$57,MATCH($B15,Catalogo_Decisiones!$A$2:$A$57,0)),0)</f>
        <v>0</v>
      </c>
      <c r="H15" s="18">
        <f t="array" ref="H15">IFERROR(INDEX(Catalogo_Decisiones!$J$2:$J$57,MATCH($B15,Catalogo_Decisiones!$A$2:$A$57,0)),0)</f>
        <v>2</v>
      </c>
      <c r="I15" s="18">
        <f t="array" ref="I15">IFERROR(INDEX(Catalogo_Decisiones!$K$2:$K$57,MATCH($B15,Catalogo_Decisiones!$A$2:$A$57,0)),0)</f>
        <v>-1</v>
      </c>
    </row>
    <row r="16" spans="1:9" ht="14.4" customHeight="1" x14ac:dyDescent="0.3">
      <c r="A16" s="124" t="s">
        <v>73</v>
      </c>
    </row>
    <row r="17" spans="1:2" ht="27" customHeight="1" x14ac:dyDescent="0.3">
      <c r="A17" s="125" t="s">
        <v>74</v>
      </c>
      <c r="B17" s="10">
        <v>0</v>
      </c>
    </row>
    <row r="18" spans="1:2" ht="27" customHeight="1" x14ac:dyDescent="0.3">
      <c r="A18" s="125" t="s">
        <v>75</v>
      </c>
      <c r="B18" s="10">
        <v>0</v>
      </c>
    </row>
    <row r="19" spans="1:2" ht="27" customHeight="1" x14ac:dyDescent="0.3">
      <c r="A19" s="125" t="s">
        <v>76</v>
      </c>
      <c r="B19" s="10">
        <v>0</v>
      </c>
    </row>
    <row r="20" spans="1:2" ht="27" customHeight="1" x14ac:dyDescent="0.3">
      <c r="A20" s="125" t="s">
        <v>77</v>
      </c>
      <c r="B20" s="10">
        <v>0</v>
      </c>
    </row>
    <row r="21" spans="1:2" ht="15.75" customHeight="1" x14ac:dyDescent="0.3">
      <c r="A21" s="125" t="s">
        <v>78</v>
      </c>
      <c r="B21" s="10">
        <v>0</v>
      </c>
    </row>
    <row r="22" spans="1:2" ht="15.75" customHeight="1" x14ac:dyDescent="0.3">
      <c r="A22" s="125" t="s">
        <v>79</v>
      </c>
      <c r="B22" s="10">
        <v>0</v>
      </c>
    </row>
    <row r="23" spans="1:2" ht="15.75" customHeight="1" x14ac:dyDescent="0.3"/>
    <row r="24" spans="1:2" ht="15.75" customHeight="1" x14ac:dyDescent="0.3"/>
    <row r="25" spans="1:2" ht="15.75" customHeight="1" x14ac:dyDescent="0.3"/>
    <row r="26" spans="1:2" ht="15.75" customHeight="1" x14ac:dyDescent="0.3"/>
    <row r="27" spans="1:2" ht="15.75" customHeight="1" x14ac:dyDescent="0.3"/>
    <row r="28" spans="1:2" ht="15.75" customHeight="1" x14ac:dyDescent="0.3"/>
    <row r="29" spans="1:2" ht="15.75" customHeight="1" x14ac:dyDescent="0.3"/>
    <row r="30" spans="1:2" ht="15.75" customHeight="1" x14ac:dyDescent="0.3"/>
    <row r="31" spans="1:2" ht="15.75" customHeight="1" x14ac:dyDescent="0.3"/>
    <row r="32" spans="1: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dataValidations count="14">
    <dataValidation type="list" allowBlank="1" sqref="B4" xr:uid="{00000000-0002-0000-0200-000000000000}">
      <formula1>"INF-08,INF-09,INF-10"</formula1>
    </dataValidation>
    <dataValidation type="list" allowBlank="1" sqref="B8" xr:uid="{00000000-0002-0000-0200-000001000000}">
      <formula1>"RH-10A,RH-10B"</formula1>
    </dataValidation>
    <dataValidation type="list" allowBlank="1" sqref="B10" xr:uid="{00000000-0002-0000-0200-000002000000}">
      <formula1>"FIN-01A,FIN-01B"</formula1>
    </dataValidation>
    <dataValidation type="list" allowBlank="1" sqref="B9" xr:uid="{00000000-0002-0000-0200-000003000000}">
      <formula1>"COM-01A,COM-01B,COM-01C"</formula1>
    </dataValidation>
    <dataValidation type="list" allowBlank="1" sqref="B11" xr:uid="{00000000-0002-0000-0200-000004000000}">
      <formula1>"INS-09A,INS-09B"</formula1>
    </dataValidation>
    <dataValidation type="list" allowBlank="1" sqref="B3" xr:uid="{00000000-0002-0000-0200-000005000000}">
      <formula1>"INF-05,INF-06,INF-07"</formula1>
    </dataValidation>
    <dataValidation type="list" allowBlank="1" sqref="B6" xr:uid="{00000000-0002-0000-0200-000006000000}">
      <formula1>"RH-04,RH-05,RH-06"</formula1>
    </dataValidation>
    <dataValidation type="list" allowBlank="1" sqref="B15" xr:uid="{00000000-0002-0000-0200-000007000000}">
      <formula1>"INV-02A,INV-02B,INV-02C"</formula1>
    </dataValidation>
    <dataValidation type="list" allowBlank="1" sqref="B13" xr:uid="{00000000-0002-0000-0200-000008000000}">
      <formula1>"INS-11A,INS-11B,INS-11C"</formula1>
    </dataValidation>
    <dataValidation type="list" allowBlank="1" sqref="B5" xr:uid="{00000000-0002-0000-0200-000009000000}">
      <formula1>"RH-01,RH-02,RH-03"</formula1>
    </dataValidation>
    <dataValidation type="list" allowBlank="1" sqref="B14" xr:uid="{00000000-0002-0000-0200-00000A000000}">
      <formula1>"INV-01A,INV-01B,INV-01C"</formula1>
    </dataValidation>
    <dataValidation type="list" allowBlank="1" sqref="B12" xr:uid="{00000000-0002-0000-0200-00000B000000}">
      <formula1>"INS-10A,INS-10B"</formula1>
    </dataValidation>
    <dataValidation type="list" allowBlank="1" sqref="B2" xr:uid="{00000000-0002-0000-0200-00000C000000}">
      <formula1>"INF-02,INF-03,INF-04"</formula1>
    </dataValidation>
    <dataValidation type="list" allowBlank="1" sqref="B7" xr:uid="{00000000-0002-0000-0200-00000D000000}">
      <formula1>"RH-07,RH-08,RH-09"</formula1>
    </dataValidation>
  </dataValidations>
  <pageMargins left="0.75" right="0.75" top="1" bottom="1"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000"/>
  <sheetViews>
    <sheetView showGridLines="0" workbookViewId="0">
      <pane ySplit="1" topLeftCell="A2" activePane="bottomLeft" state="frozen"/>
      <selection pane="bottomLeft" activeCell="B3" sqref="B3"/>
    </sheetView>
  </sheetViews>
  <sheetFormatPr baseColWidth="10" defaultColWidth="14.44140625" defaultRowHeight="15" customHeight="1" x14ac:dyDescent="0.3"/>
  <cols>
    <col min="1" max="1" width="10" customWidth="1"/>
    <col min="2" max="2" width="16" customWidth="1"/>
    <col min="3" max="3" width="26" customWidth="1"/>
    <col min="4" max="4" width="31.88671875" customWidth="1"/>
    <col min="5" max="5" width="21.33203125" customWidth="1"/>
    <col min="6" max="6" width="79.88671875" customWidth="1"/>
    <col min="7" max="7" width="13.88671875" customWidth="1"/>
    <col min="8" max="11" width="12" customWidth="1"/>
    <col min="12" max="12" width="40.33203125" customWidth="1"/>
    <col min="13" max="26" width="8.6640625" customWidth="1"/>
  </cols>
  <sheetData>
    <row r="1" spans="1:12" ht="41.4" customHeight="1" x14ac:dyDescent="0.3">
      <c r="A1" s="7" t="s">
        <v>80</v>
      </c>
      <c r="B1" s="7" t="s">
        <v>81</v>
      </c>
      <c r="C1" s="7" t="s">
        <v>36</v>
      </c>
      <c r="D1" s="7" t="s">
        <v>82</v>
      </c>
      <c r="E1" s="7" t="s">
        <v>83</v>
      </c>
      <c r="F1" s="7" t="s">
        <v>84</v>
      </c>
      <c r="G1" s="7" t="s">
        <v>85</v>
      </c>
      <c r="H1" s="7" t="s">
        <v>86</v>
      </c>
      <c r="I1" s="7" t="s">
        <v>87</v>
      </c>
      <c r="J1" s="7" t="s">
        <v>88</v>
      </c>
      <c r="K1" s="7" t="s">
        <v>89</v>
      </c>
      <c r="L1" s="7" t="s">
        <v>90</v>
      </c>
    </row>
    <row r="2" spans="1:12" ht="14.4" customHeight="1" x14ac:dyDescent="0.3">
      <c r="A2" s="9" t="s">
        <v>91</v>
      </c>
      <c r="B2" s="9" t="s">
        <v>92</v>
      </c>
      <c r="C2" s="11" t="s">
        <v>93</v>
      </c>
      <c r="D2" s="9" t="s">
        <v>94</v>
      </c>
      <c r="E2" s="9" t="s">
        <v>95</v>
      </c>
      <c r="F2" s="9" t="s">
        <v>96</v>
      </c>
      <c r="G2" s="9">
        <v>0</v>
      </c>
      <c r="H2" s="12">
        <v>0</v>
      </c>
      <c r="I2" s="12">
        <v>0</v>
      </c>
      <c r="J2" s="12">
        <v>0</v>
      </c>
      <c r="K2" s="12">
        <v>0</v>
      </c>
      <c r="L2" s="9" t="s">
        <v>97</v>
      </c>
    </row>
    <row r="3" spans="1:12" ht="14.4" customHeight="1" x14ac:dyDescent="0.3">
      <c r="A3" s="9" t="s">
        <v>98</v>
      </c>
      <c r="B3" s="9" t="s">
        <v>92</v>
      </c>
      <c r="C3" s="13" t="s">
        <v>99</v>
      </c>
      <c r="D3" s="9" t="s">
        <v>94</v>
      </c>
      <c r="E3" s="9" t="s">
        <v>95</v>
      </c>
      <c r="F3" s="9" t="s">
        <v>100</v>
      </c>
      <c r="G3" s="9">
        <v>0</v>
      </c>
      <c r="H3" s="12">
        <v>0</v>
      </c>
      <c r="I3" s="12">
        <v>0</v>
      </c>
      <c r="J3" s="12">
        <v>0</v>
      </c>
      <c r="K3" s="12">
        <v>0</v>
      </c>
      <c r="L3" s="9" t="s">
        <v>97</v>
      </c>
    </row>
    <row r="4" spans="1:12" ht="14.4" customHeight="1" x14ac:dyDescent="0.3">
      <c r="A4" s="9" t="s">
        <v>101</v>
      </c>
      <c r="B4" s="9" t="s">
        <v>92</v>
      </c>
      <c r="C4" s="14" t="s">
        <v>102</v>
      </c>
      <c r="D4" s="9" t="s">
        <v>94</v>
      </c>
      <c r="E4" s="9" t="s">
        <v>95</v>
      </c>
      <c r="F4" s="9" t="s">
        <v>103</v>
      </c>
      <c r="G4" s="9">
        <v>0</v>
      </c>
      <c r="H4" s="12">
        <v>0</v>
      </c>
      <c r="I4" s="12">
        <v>0</v>
      </c>
      <c r="J4" s="12">
        <v>0</v>
      </c>
      <c r="K4" s="12">
        <v>0</v>
      </c>
      <c r="L4" s="9" t="s">
        <v>97</v>
      </c>
    </row>
    <row r="5" spans="1:12" ht="14.4" customHeight="1" x14ac:dyDescent="0.3">
      <c r="A5" s="9" t="s">
        <v>104</v>
      </c>
      <c r="B5" s="9" t="s">
        <v>92</v>
      </c>
      <c r="C5" s="9" t="s">
        <v>105</v>
      </c>
      <c r="D5" s="9" t="s">
        <v>106</v>
      </c>
      <c r="E5" s="9" t="s">
        <v>95</v>
      </c>
      <c r="F5" s="9" t="s">
        <v>107</v>
      </c>
      <c r="G5" s="9">
        <v>0</v>
      </c>
      <c r="H5" s="12">
        <v>0</v>
      </c>
      <c r="I5" s="12">
        <v>0</v>
      </c>
      <c r="J5" s="12">
        <v>1</v>
      </c>
      <c r="K5" s="12">
        <v>0</v>
      </c>
      <c r="L5" s="9" t="s">
        <v>108</v>
      </c>
    </row>
    <row r="6" spans="1:12" ht="14.4" customHeight="1" x14ac:dyDescent="0.3">
      <c r="A6" s="9" t="s">
        <v>109</v>
      </c>
      <c r="B6" s="9" t="s">
        <v>92</v>
      </c>
      <c r="C6" s="9" t="s">
        <v>105</v>
      </c>
      <c r="D6" s="9" t="s">
        <v>110</v>
      </c>
      <c r="E6" s="9" t="s">
        <v>95</v>
      </c>
      <c r="F6" s="9" t="s">
        <v>111</v>
      </c>
      <c r="G6" s="9">
        <v>0</v>
      </c>
      <c r="H6" s="12">
        <v>1</v>
      </c>
      <c r="I6" s="12">
        <v>0</v>
      </c>
      <c r="J6" s="12">
        <v>1</v>
      </c>
      <c r="K6" s="12">
        <v>0</v>
      </c>
      <c r="L6" s="9"/>
    </row>
    <row r="7" spans="1:12" ht="14.4" customHeight="1" x14ac:dyDescent="0.3">
      <c r="A7" s="9" t="s">
        <v>112</v>
      </c>
      <c r="B7" s="9" t="s">
        <v>92</v>
      </c>
      <c r="C7" s="9" t="s">
        <v>105</v>
      </c>
      <c r="D7" s="9" t="s">
        <v>113</v>
      </c>
      <c r="E7" s="9" t="s">
        <v>95</v>
      </c>
      <c r="F7" s="9" t="s">
        <v>114</v>
      </c>
      <c r="G7" s="9">
        <v>0</v>
      </c>
      <c r="H7" s="12">
        <v>2</v>
      </c>
      <c r="I7" s="12">
        <v>0</v>
      </c>
      <c r="J7" s="12">
        <v>2</v>
      </c>
      <c r="K7" s="12">
        <v>0</v>
      </c>
      <c r="L7" s="9" t="s">
        <v>115</v>
      </c>
    </row>
    <row r="8" spans="1:12" ht="14.4" customHeight="1" x14ac:dyDescent="0.3">
      <c r="A8" s="9" t="s">
        <v>116</v>
      </c>
      <c r="B8" s="9" t="s">
        <v>117</v>
      </c>
      <c r="C8" s="9" t="s">
        <v>118</v>
      </c>
      <c r="D8" s="9" t="s">
        <v>119</v>
      </c>
      <c r="E8" s="9" t="s">
        <v>95</v>
      </c>
      <c r="F8" s="9" t="s">
        <v>120</v>
      </c>
      <c r="G8" s="9">
        <v>2500</v>
      </c>
      <c r="H8" s="12">
        <v>0</v>
      </c>
      <c r="I8" s="12">
        <v>1</v>
      </c>
      <c r="J8" s="12">
        <v>0</v>
      </c>
      <c r="K8" s="12">
        <v>0</v>
      </c>
      <c r="L8" s="9" t="s">
        <v>121</v>
      </c>
    </row>
    <row r="9" spans="1:12" ht="14.4" customHeight="1" x14ac:dyDescent="0.3">
      <c r="A9" s="9" t="s">
        <v>122</v>
      </c>
      <c r="B9" s="9" t="s">
        <v>117</v>
      </c>
      <c r="C9" s="9" t="s">
        <v>45</v>
      </c>
      <c r="D9" s="9" t="s">
        <v>123</v>
      </c>
      <c r="E9" s="9" t="s">
        <v>95</v>
      </c>
      <c r="F9" s="9" t="s">
        <v>124</v>
      </c>
      <c r="G9" s="9">
        <v>3500</v>
      </c>
      <c r="H9" s="12">
        <v>1</v>
      </c>
      <c r="I9" s="12">
        <v>1</v>
      </c>
      <c r="J9" s="12">
        <v>0</v>
      </c>
      <c r="K9" s="12">
        <v>0</v>
      </c>
      <c r="L9" s="9"/>
    </row>
    <row r="10" spans="1:12" ht="14.4" customHeight="1" x14ac:dyDescent="0.3">
      <c r="A10" s="9" t="s">
        <v>46</v>
      </c>
      <c r="B10" s="9" t="s">
        <v>117</v>
      </c>
      <c r="C10" s="9" t="s">
        <v>45</v>
      </c>
      <c r="D10" s="9" t="s">
        <v>125</v>
      </c>
      <c r="E10" s="9" t="s">
        <v>95</v>
      </c>
      <c r="F10" s="9" t="s">
        <v>126</v>
      </c>
      <c r="G10" s="9">
        <v>7500</v>
      </c>
      <c r="H10" s="12">
        <v>2</v>
      </c>
      <c r="I10" s="12">
        <v>2</v>
      </c>
      <c r="J10" s="12">
        <v>0</v>
      </c>
      <c r="K10" s="12">
        <v>0</v>
      </c>
      <c r="L10" s="9"/>
    </row>
    <row r="11" spans="1:12" ht="14.4" customHeight="1" x14ac:dyDescent="0.3">
      <c r="A11" s="9" t="s">
        <v>127</v>
      </c>
      <c r="B11" s="9" t="s">
        <v>117</v>
      </c>
      <c r="C11" s="9" t="s">
        <v>45</v>
      </c>
      <c r="D11" s="9" t="s">
        <v>128</v>
      </c>
      <c r="E11" s="9" t="s">
        <v>95</v>
      </c>
      <c r="F11" s="9" t="s">
        <v>129</v>
      </c>
      <c r="G11" s="9">
        <v>15000</v>
      </c>
      <c r="H11" s="12">
        <v>3</v>
      </c>
      <c r="I11" s="12">
        <v>3</v>
      </c>
      <c r="J11" s="12">
        <v>0</v>
      </c>
      <c r="K11" s="12">
        <v>0</v>
      </c>
      <c r="L11" s="9"/>
    </row>
    <row r="12" spans="1:12" ht="14.4" customHeight="1" x14ac:dyDescent="0.3">
      <c r="A12" s="9" t="s">
        <v>130</v>
      </c>
      <c r="B12" s="9" t="s">
        <v>117</v>
      </c>
      <c r="C12" s="9" t="s">
        <v>47</v>
      </c>
      <c r="D12" s="9" t="s">
        <v>123</v>
      </c>
      <c r="E12" s="9" t="s">
        <v>95</v>
      </c>
      <c r="F12" s="9" t="s">
        <v>131</v>
      </c>
      <c r="G12" s="9">
        <v>1200</v>
      </c>
      <c r="H12" s="12">
        <v>1</v>
      </c>
      <c r="I12" s="12">
        <v>1</v>
      </c>
      <c r="J12" s="12">
        <v>0</v>
      </c>
      <c r="K12" s="12">
        <v>0</v>
      </c>
      <c r="L12" s="9"/>
    </row>
    <row r="13" spans="1:12" ht="14.4" customHeight="1" x14ac:dyDescent="0.3">
      <c r="A13" s="9" t="s">
        <v>48</v>
      </c>
      <c r="B13" s="9" t="s">
        <v>117</v>
      </c>
      <c r="C13" s="9" t="s">
        <v>47</v>
      </c>
      <c r="D13" s="9" t="s">
        <v>125</v>
      </c>
      <c r="E13" s="9" t="s">
        <v>95</v>
      </c>
      <c r="F13" s="9" t="s">
        <v>132</v>
      </c>
      <c r="G13" s="9">
        <v>4500</v>
      </c>
      <c r="H13" s="12">
        <v>2</v>
      </c>
      <c r="I13" s="12">
        <v>2</v>
      </c>
      <c r="J13" s="12">
        <v>0</v>
      </c>
      <c r="K13" s="12">
        <v>0</v>
      </c>
      <c r="L13" s="9"/>
    </row>
    <row r="14" spans="1:12" ht="14.4" customHeight="1" x14ac:dyDescent="0.3">
      <c r="A14" s="9" t="s">
        <v>133</v>
      </c>
      <c r="B14" s="9" t="s">
        <v>117</v>
      </c>
      <c r="C14" s="9" t="s">
        <v>47</v>
      </c>
      <c r="D14" s="9" t="s">
        <v>128</v>
      </c>
      <c r="E14" s="9" t="s">
        <v>95</v>
      </c>
      <c r="F14" s="9" t="s">
        <v>134</v>
      </c>
      <c r="G14" s="9">
        <v>9500</v>
      </c>
      <c r="H14" s="12">
        <v>3</v>
      </c>
      <c r="I14" s="12">
        <v>3</v>
      </c>
      <c r="J14" s="12">
        <v>0</v>
      </c>
      <c r="K14" s="12">
        <v>0</v>
      </c>
      <c r="L14" s="9"/>
    </row>
    <row r="15" spans="1:12" ht="14.4" customHeight="1" x14ac:dyDescent="0.3">
      <c r="A15" s="9" t="s">
        <v>135</v>
      </c>
      <c r="B15" s="9" t="s">
        <v>117</v>
      </c>
      <c r="C15" s="9" t="s">
        <v>49</v>
      </c>
      <c r="D15" s="9" t="s">
        <v>136</v>
      </c>
      <c r="E15" s="9" t="s">
        <v>95</v>
      </c>
      <c r="F15" s="9" t="s">
        <v>137</v>
      </c>
      <c r="G15" s="9">
        <v>300</v>
      </c>
      <c r="H15" s="12">
        <v>1</v>
      </c>
      <c r="I15" s="12">
        <v>1</v>
      </c>
      <c r="J15" s="12">
        <v>0</v>
      </c>
      <c r="K15" s="12">
        <v>0</v>
      </c>
      <c r="L15" s="9" t="s">
        <v>138</v>
      </c>
    </row>
    <row r="16" spans="1:12" ht="14.4" customHeight="1" x14ac:dyDescent="0.3">
      <c r="A16" s="9" t="s">
        <v>50</v>
      </c>
      <c r="B16" s="9" t="s">
        <v>117</v>
      </c>
      <c r="C16" s="9" t="s">
        <v>49</v>
      </c>
      <c r="D16" s="9" t="s">
        <v>139</v>
      </c>
      <c r="E16" s="9" t="s">
        <v>95</v>
      </c>
      <c r="F16" s="9" t="s">
        <v>140</v>
      </c>
      <c r="G16" s="9">
        <v>1200</v>
      </c>
      <c r="H16" s="12">
        <v>2</v>
      </c>
      <c r="I16" s="12">
        <v>2</v>
      </c>
      <c r="J16" s="12">
        <v>1</v>
      </c>
      <c r="K16" s="12">
        <v>0</v>
      </c>
      <c r="L16" s="9" t="s">
        <v>141</v>
      </c>
    </row>
    <row r="17" spans="1:12" ht="14.4" customHeight="1" x14ac:dyDescent="0.3">
      <c r="A17" s="9" t="s">
        <v>142</v>
      </c>
      <c r="B17" s="9" t="s">
        <v>117</v>
      </c>
      <c r="C17" s="9" t="s">
        <v>49</v>
      </c>
      <c r="D17" s="9" t="s">
        <v>143</v>
      </c>
      <c r="E17" s="9" t="s">
        <v>95</v>
      </c>
      <c r="F17" s="9" t="s">
        <v>144</v>
      </c>
      <c r="G17" s="9">
        <v>3500</v>
      </c>
      <c r="H17" s="12">
        <v>4</v>
      </c>
      <c r="I17" s="12">
        <v>2</v>
      </c>
      <c r="J17" s="12">
        <v>2</v>
      </c>
      <c r="K17" s="12">
        <v>0</v>
      </c>
      <c r="L17" s="9" t="s">
        <v>145</v>
      </c>
    </row>
    <row r="18" spans="1:12" ht="14.4" customHeight="1" x14ac:dyDescent="0.3">
      <c r="A18" s="9" t="s">
        <v>146</v>
      </c>
      <c r="B18" s="9" t="s">
        <v>147</v>
      </c>
      <c r="C18" s="9" t="s">
        <v>51</v>
      </c>
      <c r="D18" s="9" t="s">
        <v>148</v>
      </c>
      <c r="E18" s="9" t="s">
        <v>149</v>
      </c>
      <c r="F18" s="9" t="s">
        <v>150</v>
      </c>
      <c r="G18" s="9">
        <v>1500</v>
      </c>
      <c r="H18" s="12">
        <v>0</v>
      </c>
      <c r="I18" s="12">
        <v>1</v>
      </c>
      <c r="J18" s="12">
        <v>0</v>
      </c>
      <c r="K18" s="12">
        <v>0</v>
      </c>
      <c r="L18" s="9"/>
    </row>
    <row r="19" spans="1:12" ht="14.4" customHeight="1" x14ac:dyDescent="0.3">
      <c r="A19" s="9" t="s">
        <v>52</v>
      </c>
      <c r="B19" s="9" t="s">
        <v>147</v>
      </c>
      <c r="C19" s="9" t="s">
        <v>51</v>
      </c>
      <c r="D19" s="9" t="s">
        <v>151</v>
      </c>
      <c r="E19" s="9" t="s">
        <v>149</v>
      </c>
      <c r="F19" s="9" t="s">
        <v>152</v>
      </c>
      <c r="G19" s="9">
        <v>2500</v>
      </c>
      <c r="H19" s="12">
        <v>1</v>
      </c>
      <c r="I19" s="12">
        <v>2</v>
      </c>
      <c r="J19" s="12">
        <v>0</v>
      </c>
      <c r="K19" s="12">
        <v>0</v>
      </c>
      <c r="L19" s="9"/>
    </row>
    <row r="20" spans="1:12" ht="14.4" customHeight="1" x14ac:dyDescent="0.3">
      <c r="A20" s="9" t="s">
        <v>153</v>
      </c>
      <c r="B20" s="9" t="s">
        <v>147</v>
      </c>
      <c r="C20" s="9" t="s">
        <v>51</v>
      </c>
      <c r="D20" s="9" t="s">
        <v>154</v>
      </c>
      <c r="E20" s="9" t="s">
        <v>149</v>
      </c>
      <c r="F20" s="9" t="s">
        <v>155</v>
      </c>
      <c r="G20" s="9">
        <v>4000</v>
      </c>
      <c r="H20" s="12">
        <v>2</v>
      </c>
      <c r="I20" s="12">
        <v>3</v>
      </c>
      <c r="J20" s="12">
        <v>0</v>
      </c>
      <c r="K20" s="12">
        <v>0</v>
      </c>
      <c r="L20" s="9"/>
    </row>
    <row r="21" spans="1:12" ht="15.75" customHeight="1" x14ac:dyDescent="0.3">
      <c r="A21" s="9" t="s">
        <v>156</v>
      </c>
      <c r="B21" s="9" t="s">
        <v>147</v>
      </c>
      <c r="C21" s="9" t="s">
        <v>53</v>
      </c>
      <c r="D21" s="9" t="s">
        <v>157</v>
      </c>
      <c r="E21" s="9" t="s">
        <v>149</v>
      </c>
      <c r="F21" s="9" t="s">
        <v>158</v>
      </c>
      <c r="G21" s="9">
        <v>1500</v>
      </c>
      <c r="H21" s="12">
        <v>0</v>
      </c>
      <c r="I21" s="12">
        <v>1</v>
      </c>
      <c r="J21" s="12">
        <v>0</v>
      </c>
      <c r="K21" s="12">
        <v>0</v>
      </c>
      <c r="L21" s="9"/>
    </row>
    <row r="22" spans="1:12" ht="15.75" customHeight="1" x14ac:dyDescent="0.3">
      <c r="A22" s="9" t="s">
        <v>54</v>
      </c>
      <c r="B22" s="9" t="s">
        <v>147</v>
      </c>
      <c r="C22" s="9" t="s">
        <v>53</v>
      </c>
      <c r="D22" s="9" t="s">
        <v>159</v>
      </c>
      <c r="E22" s="9" t="s">
        <v>149</v>
      </c>
      <c r="F22" s="9" t="s">
        <v>160</v>
      </c>
      <c r="G22" s="9">
        <v>2800</v>
      </c>
      <c r="H22" s="12">
        <v>1</v>
      </c>
      <c r="I22" s="12">
        <v>2</v>
      </c>
      <c r="J22" s="12">
        <v>0</v>
      </c>
      <c r="K22" s="12">
        <v>0</v>
      </c>
      <c r="L22" s="9"/>
    </row>
    <row r="23" spans="1:12" ht="15.75" customHeight="1" x14ac:dyDescent="0.3">
      <c r="A23" s="9" t="s">
        <v>161</v>
      </c>
      <c r="B23" s="9" t="s">
        <v>147</v>
      </c>
      <c r="C23" s="9" t="s">
        <v>53</v>
      </c>
      <c r="D23" s="9" t="s">
        <v>162</v>
      </c>
      <c r="E23" s="9" t="s">
        <v>149</v>
      </c>
      <c r="F23" s="9" t="s">
        <v>163</v>
      </c>
      <c r="G23" s="9">
        <v>4500</v>
      </c>
      <c r="H23" s="12">
        <v>2</v>
      </c>
      <c r="I23" s="12">
        <v>3</v>
      </c>
      <c r="J23" s="12">
        <v>1</v>
      </c>
      <c r="K23" s="12">
        <v>0</v>
      </c>
      <c r="L23" s="9"/>
    </row>
    <row r="24" spans="1:12" ht="15.75" customHeight="1" x14ac:dyDescent="0.3">
      <c r="A24" s="9" t="s">
        <v>164</v>
      </c>
      <c r="B24" s="9" t="s">
        <v>147</v>
      </c>
      <c r="C24" s="9" t="s">
        <v>55</v>
      </c>
      <c r="D24" s="9" t="s">
        <v>165</v>
      </c>
      <c r="E24" s="9" t="s">
        <v>149</v>
      </c>
      <c r="F24" s="9" t="s">
        <v>166</v>
      </c>
      <c r="G24" s="9">
        <v>1500</v>
      </c>
      <c r="H24" s="12">
        <v>0</v>
      </c>
      <c r="I24" s="12">
        <v>1</v>
      </c>
      <c r="J24" s="12">
        <v>0</v>
      </c>
      <c r="K24" s="12">
        <v>0</v>
      </c>
      <c r="L24" s="9"/>
    </row>
    <row r="25" spans="1:12" ht="15.75" customHeight="1" x14ac:dyDescent="0.3">
      <c r="A25" s="9" t="s">
        <v>56</v>
      </c>
      <c r="B25" s="9" t="s">
        <v>147</v>
      </c>
      <c r="C25" s="9" t="s">
        <v>55</v>
      </c>
      <c r="D25" s="9" t="s">
        <v>167</v>
      </c>
      <c r="E25" s="9" t="s">
        <v>149</v>
      </c>
      <c r="F25" s="9" t="s">
        <v>168</v>
      </c>
      <c r="G25" s="9">
        <v>2800</v>
      </c>
      <c r="H25" s="12">
        <v>1</v>
      </c>
      <c r="I25" s="12">
        <v>2</v>
      </c>
      <c r="J25" s="12">
        <v>0</v>
      </c>
      <c r="K25" s="12">
        <v>0</v>
      </c>
      <c r="L25" s="9"/>
    </row>
    <row r="26" spans="1:12" ht="15.75" customHeight="1" x14ac:dyDescent="0.3">
      <c r="A26" s="9" t="s">
        <v>169</v>
      </c>
      <c r="B26" s="9" t="s">
        <v>147</v>
      </c>
      <c r="C26" s="9" t="s">
        <v>55</v>
      </c>
      <c r="D26" s="9" t="s">
        <v>170</v>
      </c>
      <c r="E26" s="9" t="s">
        <v>149</v>
      </c>
      <c r="F26" s="9" t="s">
        <v>171</v>
      </c>
      <c r="G26" s="9">
        <v>4500</v>
      </c>
      <c r="H26" s="12">
        <v>2</v>
      </c>
      <c r="I26" s="12">
        <v>3</v>
      </c>
      <c r="J26" s="12">
        <v>1</v>
      </c>
      <c r="K26" s="12">
        <v>0</v>
      </c>
      <c r="L26" s="9"/>
    </row>
    <row r="27" spans="1:12" ht="15.75" customHeight="1" x14ac:dyDescent="0.3">
      <c r="A27" s="9" t="s">
        <v>58</v>
      </c>
      <c r="B27" s="9" t="s">
        <v>147</v>
      </c>
      <c r="C27" s="9" t="s">
        <v>57</v>
      </c>
      <c r="D27" s="9" t="s">
        <v>172</v>
      </c>
      <c r="E27" s="9" t="s">
        <v>149</v>
      </c>
      <c r="F27" s="9" t="s">
        <v>173</v>
      </c>
      <c r="G27" s="9">
        <v>3000</v>
      </c>
      <c r="H27" s="12">
        <v>0</v>
      </c>
      <c r="I27" s="12">
        <v>2</v>
      </c>
      <c r="J27" s="12">
        <v>1</v>
      </c>
      <c r="K27" s="12">
        <v>0</v>
      </c>
      <c r="L27" s="9"/>
    </row>
    <row r="28" spans="1:12" ht="15.75" customHeight="1" x14ac:dyDescent="0.3">
      <c r="A28" s="9" t="s">
        <v>174</v>
      </c>
      <c r="B28" s="9" t="s">
        <v>147</v>
      </c>
      <c r="C28" s="9" t="s">
        <v>57</v>
      </c>
      <c r="D28" s="9" t="s">
        <v>175</v>
      </c>
      <c r="E28" s="9" t="s">
        <v>149</v>
      </c>
      <c r="F28" s="9" t="s">
        <v>176</v>
      </c>
      <c r="G28" s="9">
        <v>0</v>
      </c>
      <c r="H28" s="12">
        <v>0</v>
      </c>
      <c r="I28" s="12">
        <v>-1</v>
      </c>
      <c r="J28" s="12">
        <v>0</v>
      </c>
      <c r="K28" s="12">
        <v>1</v>
      </c>
      <c r="L28" s="9" t="s">
        <v>177</v>
      </c>
    </row>
    <row r="29" spans="1:12" ht="15.75" customHeight="1" x14ac:dyDescent="0.3">
      <c r="A29" s="9" t="s">
        <v>178</v>
      </c>
      <c r="B29" s="9" t="s">
        <v>147</v>
      </c>
      <c r="C29" s="9" t="s">
        <v>179</v>
      </c>
      <c r="D29" s="9" t="s">
        <v>119</v>
      </c>
      <c r="E29" s="9" t="s">
        <v>95</v>
      </c>
      <c r="F29" s="9" t="s">
        <v>180</v>
      </c>
      <c r="G29" s="9">
        <v>600</v>
      </c>
      <c r="H29" s="12">
        <v>0</v>
      </c>
      <c r="I29" s="12">
        <v>0</v>
      </c>
      <c r="J29" s="12">
        <v>0</v>
      </c>
      <c r="K29" s="12">
        <v>0</v>
      </c>
      <c r="L29" s="9"/>
    </row>
    <row r="30" spans="1:12" ht="15.75" customHeight="1" x14ac:dyDescent="0.3">
      <c r="A30" s="9" t="s">
        <v>181</v>
      </c>
      <c r="B30" s="9" t="s">
        <v>147</v>
      </c>
      <c r="C30" s="9" t="s">
        <v>182</v>
      </c>
      <c r="D30" s="9" t="s">
        <v>183</v>
      </c>
      <c r="E30" s="9" t="s">
        <v>95</v>
      </c>
      <c r="F30" s="9" t="s">
        <v>184</v>
      </c>
      <c r="G30" s="9">
        <v>2000</v>
      </c>
      <c r="H30" s="12">
        <v>0</v>
      </c>
      <c r="I30" s="12">
        <v>0</v>
      </c>
      <c r="J30" s="12">
        <v>0</v>
      </c>
      <c r="K30" s="12">
        <v>0</v>
      </c>
      <c r="L30" s="9"/>
    </row>
    <row r="31" spans="1:12" ht="15.75" customHeight="1" x14ac:dyDescent="0.3">
      <c r="A31" s="9" t="s">
        <v>185</v>
      </c>
      <c r="B31" s="9" t="s">
        <v>186</v>
      </c>
      <c r="C31" s="9" t="s">
        <v>59</v>
      </c>
      <c r="D31" s="9" t="s">
        <v>187</v>
      </c>
      <c r="E31" s="9" t="s">
        <v>188</v>
      </c>
      <c r="F31" s="9" t="s">
        <v>189</v>
      </c>
      <c r="G31" s="9">
        <v>0</v>
      </c>
      <c r="H31" s="12">
        <v>0</v>
      </c>
      <c r="I31" s="12">
        <v>0</v>
      </c>
      <c r="J31" s="12">
        <v>0</v>
      </c>
      <c r="K31" s="12">
        <v>1</v>
      </c>
      <c r="L31" s="9"/>
    </row>
    <row r="32" spans="1:12" ht="15.75" customHeight="1" x14ac:dyDescent="0.3">
      <c r="A32" s="9" t="s">
        <v>190</v>
      </c>
      <c r="B32" s="9" t="s">
        <v>186</v>
      </c>
      <c r="C32" s="9" t="s">
        <v>59</v>
      </c>
      <c r="D32" s="9" t="s">
        <v>191</v>
      </c>
      <c r="E32" s="9" t="s">
        <v>188</v>
      </c>
      <c r="F32" s="9" t="s">
        <v>192</v>
      </c>
      <c r="G32" s="9">
        <v>500</v>
      </c>
      <c r="H32" s="12">
        <v>0</v>
      </c>
      <c r="I32" s="12">
        <v>0</v>
      </c>
      <c r="J32" s="12">
        <v>1</v>
      </c>
      <c r="K32" s="12">
        <v>0</v>
      </c>
      <c r="L32" s="9"/>
    </row>
    <row r="33" spans="1:12" ht="15.75" customHeight="1" x14ac:dyDescent="0.3">
      <c r="A33" s="9" t="s">
        <v>60</v>
      </c>
      <c r="B33" s="9" t="s">
        <v>186</v>
      </c>
      <c r="C33" s="9" t="s">
        <v>59</v>
      </c>
      <c r="D33" s="9" t="s">
        <v>193</v>
      </c>
      <c r="E33" s="9" t="s">
        <v>188</v>
      </c>
      <c r="F33" s="9" t="s">
        <v>194</v>
      </c>
      <c r="G33" s="9">
        <v>1500</v>
      </c>
      <c r="H33" s="12">
        <v>0</v>
      </c>
      <c r="I33" s="12">
        <v>0</v>
      </c>
      <c r="J33" s="12">
        <v>2</v>
      </c>
      <c r="K33" s="12">
        <v>-1</v>
      </c>
      <c r="L33" s="9"/>
    </row>
    <row r="34" spans="1:12" ht="15.75" customHeight="1" x14ac:dyDescent="0.3">
      <c r="A34" s="9" t="s">
        <v>195</v>
      </c>
      <c r="B34" s="9" t="s">
        <v>186</v>
      </c>
      <c r="C34" s="9" t="s">
        <v>61</v>
      </c>
      <c r="D34" s="9" t="s">
        <v>196</v>
      </c>
      <c r="E34" s="9" t="s">
        <v>197</v>
      </c>
      <c r="F34" s="9" t="s">
        <v>198</v>
      </c>
      <c r="G34" s="9">
        <v>0</v>
      </c>
      <c r="H34" s="12">
        <v>0</v>
      </c>
      <c r="I34" s="12">
        <v>0</v>
      </c>
      <c r="J34" s="12">
        <v>0</v>
      </c>
      <c r="K34" s="12">
        <v>-1</v>
      </c>
      <c r="L34" s="9" t="s">
        <v>199</v>
      </c>
    </row>
    <row r="35" spans="1:12" ht="15.75" customHeight="1" x14ac:dyDescent="0.3">
      <c r="A35" s="9" t="s">
        <v>62</v>
      </c>
      <c r="B35" s="9" t="s">
        <v>186</v>
      </c>
      <c r="C35" s="9" t="s">
        <v>61</v>
      </c>
      <c r="D35" s="9" t="s">
        <v>200</v>
      </c>
      <c r="E35" s="9" t="s">
        <v>197</v>
      </c>
      <c r="F35" s="9" t="s">
        <v>201</v>
      </c>
      <c r="G35" s="9">
        <v>0</v>
      </c>
      <c r="H35" s="12">
        <v>0</v>
      </c>
      <c r="I35" s="12">
        <v>0</v>
      </c>
      <c r="J35" s="12">
        <v>1</v>
      </c>
      <c r="K35" s="12">
        <v>1</v>
      </c>
      <c r="L35" s="9"/>
    </row>
    <row r="36" spans="1:12" ht="15.75" customHeight="1" x14ac:dyDescent="0.3">
      <c r="A36" s="9" t="s">
        <v>202</v>
      </c>
      <c r="B36" s="9" t="s">
        <v>203</v>
      </c>
      <c r="C36" s="9" t="s">
        <v>204</v>
      </c>
      <c r="D36" s="9" t="s">
        <v>205</v>
      </c>
      <c r="E36" s="9" t="s">
        <v>188</v>
      </c>
      <c r="F36" s="9" t="s">
        <v>206</v>
      </c>
      <c r="G36" s="9">
        <v>25</v>
      </c>
      <c r="H36" s="12">
        <v>1</v>
      </c>
      <c r="I36" s="12">
        <v>0</v>
      </c>
      <c r="J36" s="12">
        <v>0</v>
      </c>
      <c r="K36" s="12">
        <v>1</v>
      </c>
      <c r="L36" s="9" t="s">
        <v>207</v>
      </c>
    </row>
    <row r="37" spans="1:12" ht="15.75" customHeight="1" x14ac:dyDescent="0.3">
      <c r="A37" s="9" t="s">
        <v>208</v>
      </c>
      <c r="B37" s="9" t="s">
        <v>203</v>
      </c>
      <c r="C37" s="9" t="s">
        <v>204</v>
      </c>
      <c r="D37" s="9" t="s">
        <v>209</v>
      </c>
      <c r="E37" s="9" t="s">
        <v>188</v>
      </c>
      <c r="F37" s="9" t="s">
        <v>210</v>
      </c>
      <c r="G37" s="9">
        <v>45</v>
      </c>
      <c r="H37" s="12">
        <v>2</v>
      </c>
      <c r="I37" s="12">
        <v>0</v>
      </c>
      <c r="J37" s="12">
        <v>0</v>
      </c>
      <c r="K37" s="12">
        <v>0</v>
      </c>
      <c r="L37" s="9" t="s">
        <v>207</v>
      </c>
    </row>
    <row r="38" spans="1:12" ht="15.75" customHeight="1" x14ac:dyDescent="0.3">
      <c r="A38" s="9" t="s">
        <v>211</v>
      </c>
      <c r="B38" s="9" t="s">
        <v>203</v>
      </c>
      <c r="C38" s="9" t="s">
        <v>204</v>
      </c>
      <c r="D38" s="9" t="s">
        <v>212</v>
      </c>
      <c r="E38" s="9" t="s">
        <v>188</v>
      </c>
      <c r="F38" s="9" t="s">
        <v>213</v>
      </c>
      <c r="G38" s="9">
        <v>80</v>
      </c>
      <c r="H38" s="12">
        <v>3</v>
      </c>
      <c r="I38" s="12">
        <v>0</v>
      </c>
      <c r="J38" s="12">
        <v>1</v>
      </c>
      <c r="K38" s="12">
        <v>-1</v>
      </c>
      <c r="L38" s="9" t="s">
        <v>207</v>
      </c>
    </row>
    <row r="39" spans="1:12" ht="15.75" customHeight="1" x14ac:dyDescent="0.3">
      <c r="A39" s="9" t="s">
        <v>214</v>
      </c>
      <c r="B39" s="9" t="s">
        <v>203</v>
      </c>
      <c r="C39" s="9" t="s">
        <v>215</v>
      </c>
      <c r="D39" s="9" t="s">
        <v>216</v>
      </c>
      <c r="E39" s="9" t="s">
        <v>188</v>
      </c>
      <c r="F39" s="9" t="s">
        <v>217</v>
      </c>
      <c r="G39" s="9">
        <v>4</v>
      </c>
      <c r="H39" s="12">
        <v>1</v>
      </c>
      <c r="I39" s="12">
        <v>0</v>
      </c>
      <c r="J39" s="12">
        <v>0</v>
      </c>
      <c r="K39" s="12">
        <v>1</v>
      </c>
      <c r="L39" s="9" t="s">
        <v>207</v>
      </c>
    </row>
    <row r="40" spans="1:12" ht="15.75" customHeight="1" x14ac:dyDescent="0.3">
      <c r="A40" s="9" t="s">
        <v>218</v>
      </c>
      <c r="B40" s="9" t="s">
        <v>203</v>
      </c>
      <c r="C40" s="9" t="s">
        <v>215</v>
      </c>
      <c r="D40" s="9" t="s">
        <v>219</v>
      </c>
      <c r="E40" s="9" t="s">
        <v>188</v>
      </c>
      <c r="F40" s="9" t="s">
        <v>220</v>
      </c>
      <c r="G40" s="9">
        <v>9</v>
      </c>
      <c r="H40" s="12">
        <v>2</v>
      </c>
      <c r="I40" s="12">
        <v>0</v>
      </c>
      <c r="J40" s="12">
        <v>1</v>
      </c>
      <c r="K40" s="12">
        <v>-1</v>
      </c>
      <c r="L40" s="9" t="s">
        <v>207</v>
      </c>
    </row>
    <row r="41" spans="1:12" ht="15.75" customHeight="1" x14ac:dyDescent="0.3">
      <c r="A41" s="9" t="s">
        <v>221</v>
      </c>
      <c r="B41" s="9" t="s">
        <v>203</v>
      </c>
      <c r="C41" s="9" t="s">
        <v>222</v>
      </c>
      <c r="D41" s="9" t="s">
        <v>223</v>
      </c>
      <c r="E41" s="9" t="s">
        <v>188</v>
      </c>
      <c r="F41" s="9" t="s">
        <v>224</v>
      </c>
      <c r="G41" s="9">
        <v>2</v>
      </c>
      <c r="H41" s="12">
        <v>1</v>
      </c>
      <c r="I41" s="12">
        <v>0</v>
      </c>
      <c r="J41" s="12">
        <v>0</v>
      </c>
      <c r="K41" s="12">
        <v>1</v>
      </c>
      <c r="L41" s="9" t="s">
        <v>207</v>
      </c>
    </row>
    <row r="42" spans="1:12" ht="15.75" customHeight="1" x14ac:dyDescent="0.3">
      <c r="A42" s="9" t="s">
        <v>225</v>
      </c>
      <c r="B42" s="9" t="s">
        <v>203</v>
      </c>
      <c r="C42" s="9" t="s">
        <v>222</v>
      </c>
      <c r="D42" s="9" t="s">
        <v>226</v>
      </c>
      <c r="E42" s="9" t="s">
        <v>188</v>
      </c>
      <c r="F42" s="9" t="s">
        <v>227</v>
      </c>
      <c r="G42" s="9">
        <v>4</v>
      </c>
      <c r="H42" s="12">
        <v>2</v>
      </c>
      <c r="I42" s="12">
        <v>0</v>
      </c>
      <c r="J42" s="12">
        <v>0</v>
      </c>
      <c r="K42" s="12">
        <v>0</v>
      </c>
      <c r="L42" s="9" t="s">
        <v>207</v>
      </c>
    </row>
    <row r="43" spans="1:12" ht="15.75" customHeight="1" x14ac:dyDescent="0.3">
      <c r="A43" s="9" t="s">
        <v>228</v>
      </c>
      <c r="B43" s="9" t="s">
        <v>203</v>
      </c>
      <c r="C43" s="9" t="s">
        <v>222</v>
      </c>
      <c r="D43" s="9" t="s">
        <v>229</v>
      </c>
      <c r="E43" s="9" t="s">
        <v>188</v>
      </c>
      <c r="F43" s="9" t="s">
        <v>230</v>
      </c>
      <c r="G43" s="9">
        <v>7</v>
      </c>
      <c r="H43" s="12">
        <v>3</v>
      </c>
      <c r="I43" s="12">
        <v>0</v>
      </c>
      <c r="J43" s="12">
        <v>1</v>
      </c>
      <c r="K43" s="12">
        <v>-1</v>
      </c>
      <c r="L43" s="9" t="s">
        <v>207</v>
      </c>
    </row>
    <row r="44" spans="1:12" ht="15.75" customHeight="1" x14ac:dyDescent="0.3">
      <c r="A44" s="9" t="s">
        <v>231</v>
      </c>
      <c r="B44" s="9" t="s">
        <v>203</v>
      </c>
      <c r="C44" s="9" t="s">
        <v>63</v>
      </c>
      <c r="D44" s="9" t="s">
        <v>232</v>
      </c>
      <c r="E44" s="9" t="s">
        <v>188</v>
      </c>
      <c r="F44" s="9" t="s">
        <v>233</v>
      </c>
      <c r="G44" s="9">
        <v>0</v>
      </c>
      <c r="H44" s="12">
        <v>0</v>
      </c>
      <c r="I44" s="12">
        <v>0</v>
      </c>
      <c r="J44" s="12">
        <v>0</v>
      </c>
      <c r="K44" s="12">
        <v>1</v>
      </c>
      <c r="L44" s="9" t="s">
        <v>234</v>
      </c>
    </row>
    <row r="45" spans="1:12" ht="15.75" customHeight="1" x14ac:dyDescent="0.3">
      <c r="A45" s="9" t="s">
        <v>64</v>
      </c>
      <c r="B45" s="9" t="s">
        <v>203</v>
      </c>
      <c r="C45" s="9" t="s">
        <v>63</v>
      </c>
      <c r="D45" s="9" t="s">
        <v>235</v>
      </c>
      <c r="E45" s="9" t="s">
        <v>188</v>
      </c>
      <c r="F45" s="9" t="s">
        <v>236</v>
      </c>
      <c r="G45" s="9">
        <v>0</v>
      </c>
      <c r="H45" s="12">
        <v>0</v>
      </c>
      <c r="I45" s="12">
        <v>1</v>
      </c>
      <c r="J45" s="12">
        <v>0</v>
      </c>
      <c r="K45" s="12">
        <v>0</v>
      </c>
      <c r="L45" s="9"/>
    </row>
    <row r="46" spans="1:12" ht="15.75" customHeight="1" x14ac:dyDescent="0.3">
      <c r="A46" s="9" t="s">
        <v>66</v>
      </c>
      <c r="B46" s="9" t="s">
        <v>203</v>
      </c>
      <c r="C46" s="9" t="s">
        <v>65</v>
      </c>
      <c r="D46" s="9" t="s">
        <v>237</v>
      </c>
      <c r="E46" s="9" t="s">
        <v>188</v>
      </c>
      <c r="F46" s="9" t="s">
        <v>238</v>
      </c>
      <c r="G46" s="9">
        <v>0</v>
      </c>
      <c r="H46" s="12">
        <v>0</v>
      </c>
      <c r="I46" s="12">
        <v>0</v>
      </c>
      <c r="J46" s="12">
        <v>0</v>
      </c>
      <c r="K46" s="12">
        <v>-1</v>
      </c>
      <c r="L46" s="9"/>
    </row>
    <row r="47" spans="1:12" ht="15.75" customHeight="1" x14ac:dyDescent="0.3">
      <c r="A47" s="9" t="s">
        <v>239</v>
      </c>
      <c r="B47" s="9" t="s">
        <v>203</v>
      </c>
      <c r="C47" s="9" t="s">
        <v>65</v>
      </c>
      <c r="D47" s="9" t="s">
        <v>240</v>
      </c>
      <c r="E47" s="9" t="s">
        <v>188</v>
      </c>
      <c r="F47" s="9" t="s">
        <v>241</v>
      </c>
      <c r="G47" s="9">
        <v>0</v>
      </c>
      <c r="H47" s="12">
        <v>0</v>
      </c>
      <c r="I47" s="12">
        <v>0</v>
      </c>
      <c r="J47" s="12">
        <v>0</v>
      </c>
      <c r="K47" s="12">
        <v>1</v>
      </c>
      <c r="L47" s="9"/>
    </row>
    <row r="48" spans="1:12" ht="15.75" customHeight="1" x14ac:dyDescent="0.3">
      <c r="A48" s="9" t="s">
        <v>242</v>
      </c>
      <c r="B48" s="9" t="s">
        <v>203</v>
      </c>
      <c r="C48" s="9" t="s">
        <v>67</v>
      </c>
      <c r="D48" s="9" t="s">
        <v>243</v>
      </c>
      <c r="E48" s="9" t="s">
        <v>188</v>
      </c>
      <c r="F48" s="9" t="s">
        <v>244</v>
      </c>
      <c r="G48" s="9">
        <v>0</v>
      </c>
      <c r="H48" s="12">
        <v>0</v>
      </c>
      <c r="I48" s="12">
        <v>1</v>
      </c>
      <c r="J48" s="12">
        <v>0</v>
      </c>
      <c r="K48" s="12">
        <v>-1</v>
      </c>
      <c r="L48" s="9"/>
    </row>
    <row r="49" spans="1:12" ht="15.75" customHeight="1" x14ac:dyDescent="0.3">
      <c r="A49" s="9" t="s">
        <v>68</v>
      </c>
      <c r="B49" s="9" t="s">
        <v>203</v>
      </c>
      <c r="C49" s="9" t="s">
        <v>67</v>
      </c>
      <c r="D49" s="9" t="s">
        <v>245</v>
      </c>
      <c r="E49" s="9" t="s">
        <v>188</v>
      </c>
      <c r="F49" s="9" t="s">
        <v>246</v>
      </c>
      <c r="G49" s="9">
        <v>0</v>
      </c>
      <c r="H49" s="12">
        <v>0</v>
      </c>
      <c r="I49" s="12">
        <v>0</v>
      </c>
      <c r="J49" s="12">
        <v>0</v>
      </c>
      <c r="K49" s="12">
        <v>0</v>
      </c>
      <c r="L49" s="9"/>
    </row>
    <row r="50" spans="1:12" ht="15.75" customHeight="1" x14ac:dyDescent="0.3">
      <c r="A50" s="9" t="s">
        <v>247</v>
      </c>
      <c r="B50" s="9" t="s">
        <v>203</v>
      </c>
      <c r="C50" s="9" t="s">
        <v>67</v>
      </c>
      <c r="D50" s="9" t="s">
        <v>248</v>
      </c>
      <c r="E50" s="9" t="s">
        <v>188</v>
      </c>
      <c r="F50" s="9" t="s">
        <v>249</v>
      </c>
      <c r="G50" s="9">
        <v>0</v>
      </c>
      <c r="H50" s="12">
        <v>0</v>
      </c>
      <c r="I50" s="12">
        <v>-1</v>
      </c>
      <c r="J50" s="12">
        <v>0</v>
      </c>
      <c r="K50" s="12">
        <v>1</v>
      </c>
      <c r="L50" s="9"/>
    </row>
    <row r="51" spans="1:12" ht="15.75" customHeight="1" x14ac:dyDescent="0.3">
      <c r="A51" s="9" t="s">
        <v>250</v>
      </c>
      <c r="B51" s="9" t="s">
        <v>186</v>
      </c>
      <c r="C51" s="9" t="s">
        <v>251</v>
      </c>
      <c r="D51" s="9" t="s">
        <v>252</v>
      </c>
      <c r="E51" s="9" t="s">
        <v>188</v>
      </c>
      <c r="F51" s="9" t="s">
        <v>253</v>
      </c>
      <c r="G51" s="9">
        <v>0</v>
      </c>
      <c r="H51" s="12">
        <v>0</v>
      </c>
      <c r="I51" s="12">
        <v>0</v>
      </c>
      <c r="J51" s="12">
        <v>1</v>
      </c>
      <c r="K51" s="12">
        <v>-1</v>
      </c>
      <c r="L51" s="9" t="s">
        <v>254</v>
      </c>
    </row>
    <row r="52" spans="1:12" ht="15.75" customHeight="1" x14ac:dyDescent="0.3">
      <c r="A52" s="9" t="s">
        <v>255</v>
      </c>
      <c r="B52" s="9" t="s">
        <v>256</v>
      </c>
      <c r="C52" s="9" t="s">
        <v>69</v>
      </c>
      <c r="D52" s="9" t="s">
        <v>257</v>
      </c>
      <c r="E52" s="9" t="s">
        <v>188</v>
      </c>
      <c r="F52" s="9" t="s">
        <v>258</v>
      </c>
      <c r="G52" s="9">
        <v>1000</v>
      </c>
      <c r="H52" s="12">
        <v>0</v>
      </c>
      <c r="I52" s="12">
        <v>1</v>
      </c>
      <c r="J52" s="12">
        <v>0</v>
      </c>
      <c r="K52" s="12">
        <v>-1</v>
      </c>
      <c r="L52" s="9"/>
    </row>
    <row r="53" spans="1:12" ht="15.75" customHeight="1" x14ac:dyDescent="0.3">
      <c r="A53" s="9" t="s">
        <v>70</v>
      </c>
      <c r="B53" s="9" t="s">
        <v>256</v>
      </c>
      <c r="C53" s="9" t="s">
        <v>69</v>
      </c>
      <c r="D53" s="9" t="s">
        <v>259</v>
      </c>
      <c r="E53" s="9" t="s">
        <v>188</v>
      </c>
      <c r="F53" s="9" t="s">
        <v>260</v>
      </c>
      <c r="G53" s="9">
        <v>6000</v>
      </c>
      <c r="H53" s="12">
        <v>0</v>
      </c>
      <c r="I53" s="12">
        <v>2</v>
      </c>
      <c r="J53" s="12">
        <v>1</v>
      </c>
      <c r="K53" s="12">
        <v>-1</v>
      </c>
      <c r="L53" s="9"/>
    </row>
    <row r="54" spans="1:12" ht="15.75" customHeight="1" x14ac:dyDescent="0.3">
      <c r="A54" s="9" t="s">
        <v>261</v>
      </c>
      <c r="B54" s="9" t="s">
        <v>256</v>
      </c>
      <c r="C54" s="9" t="s">
        <v>69</v>
      </c>
      <c r="D54" s="9" t="s">
        <v>262</v>
      </c>
      <c r="E54" s="9" t="s">
        <v>188</v>
      </c>
      <c r="F54" s="9" t="s">
        <v>263</v>
      </c>
      <c r="G54" s="9">
        <v>12000</v>
      </c>
      <c r="H54" s="12">
        <v>0</v>
      </c>
      <c r="I54" s="12">
        <v>3</v>
      </c>
      <c r="J54" s="12">
        <v>2</v>
      </c>
      <c r="K54" s="12">
        <v>-2</v>
      </c>
      <c r="L54" s="9"/>
    </row>
    <row r="55" spans="1:12" ht="15.75" customHeight="1" x14ac:dyDescent="0.3">
      <c r="A55" s="9" t="s">
        <v>264</v>
      </c>
      <c r="B55" s="9" t="s">
        <v>256</v>
      </c>
      <c r="C55" s="9" t="s">
        <v>71</v>
      </c>
      <c r="D55" s="9" t="s">
        <v>257</v>
      </c>
      <c r="E55" s="9" t="s">
        <v>188</v>
      </c>
      <c r="F55" s="9" t="s">
        <v>265</v>
      </c>
      <c r="G55" s="9">
        <v>1500</v>
      </c>
      <c r="H55" s="12">
        <v>0</v>
      </c>
      <c r="I55" s="12">
        <v>0</v>
      </c>
      <c r="J55" s="12">
        <v>1</v>
      </c>
      <c r="K55" s="12">
        <v>-1</v>
      </c>
      <c r="L55" s="9"/>
    </row>
    <row r="56" spans="1:12" ht="15.75" customHeight="1" x14ac:dyDescent="0.3">
      <c r="A56" s="9" t="s">
        <v>72</v>
      </c>
      <c r="B56" s="9" t="s">
        <v>256</v>
      </c>
      <c r="C56" s="9" t="s">
        <v>71</v>
      </c>
      <c r="D56" s="9" t="s">
        <v>259</v>
      </c>
      <c r="E56" s="9" t="s">
        <v>188</v>
      </c>
      <c r="F56" s="9" t="s">
        <v>266</v>
      </c>
      <c r="G56" s="9">
        <v>6000</v>
      </c>
      <c r="H56" s="12">
        <v>0</v>
      </c>
      <c r="I56" s="12">
        <v>0</v>
      </c>
      <c r="J56" s="12">
        <v>2</v>
      </c>
      <c r="K56" s="12">
        <v>-1</v>
      </c>
      <c r="L56" s="9"/>
    </row>
    <row r="57" spans="1:12" ht="15.75" customHeight="1" x14ac:dyDescent="0.3">
      <c r="A57" s="9" t="s">
        <v>267</v>
      </c>
      <c r="B57" s="9" t="s">
        <v>256</v>
      </c>
      <c r="C57" s="9" t="s">
        <v>71</v>
      </c>
      <c r="D57" s="9" t="s">
        <v>262</v>
      </c>
      <c r="E57" s="9" t="s">
        <v>188</v>
      </c>
      <c r="F57" s="9" t="s">
        <v>268</v>
      </c>
      <c r="G57" s="9">
        <v>12000</v>
      </c>
      <c r="H57" s="12">
        <v>0</v>
      </c>
      <c r="I57" s="12">
        <v>0</v>
      </c>
      <c r="J57" s="12">
        <v>3</v>
      </c>
      <c r="K57" s="12">
        <v>-2</v>
      </c>
      <c r="L57" s="9"/>
    </row>
    <row r="58" spans="1:12" ht="15.75" customHeight="1" x14ac:dyDescent="0.3">
      <c r="A58" s="39" t="s">
        <v>269</v>
      </c>
      <c r="B58" s="39" t="s">
        <v>270</v>
      </c>
      <c r="C58" s="39" t="s">
        <v>271</v>
      </c>
      <c r="D58" s="39" t="s">
        <v>272</v>
      </c>
      <c r="E58" s="39" t="s">
        <v>273</v>
      </c>
      <c r="F58" s="39" t="s">
        <v>274</v>
      </c>
      <c r="G58" s="41" t="s">
        <v>275</v>
      </c>
      <c r="H58" s="41">
        <v>0</v>
      </c>
      <c r="I58" s="41">
        <v>0</v>
      </c>
      <c r="J58" s="41">
        <v>0</v>
      </c>
      <c r="K58" s="41">
        <v>0</v>
      </c>
      <c r="L58" s="39" t="s">
        <v>276</v>
      </c>
    </row>
    <row r="59" spans="1:12" ht="15.75" customHeight="1" x14ac:dyDescent="0.3">
      <c r="A59" s="39" t="s">
        <v>277</v>
      </c>
      <c r="B59" s="39" t="s">
        <v>270</v>
      </c>
      <c r="C59" s="39" t="s">
        <v>271</v>
      </c>
      <c r="D59" s="39" t="s">
        <v>278</v>
      </c>
      <c r="E59" s="39" t="s">
        <v>273</v>
      </c>
      <c r="F59" s="39" t="s">
        <v>279</v>
      </c>
      <c r="G59" s="41" t="s">
        <v>275</v>
      </c>
      <c r="H59" s="41">
        <v>0</v>
      </c>
      <c r="I59" s="41">
        <v>0</v>
      </c>
      <c r="J59" s="41">
        <v>0</v>
      </c>
      <c r="K59" s="41">
        <f>1</f>
        <v>1</v>
      </c>
      <c r="L59" s="39" t="s">
        <v>280</v>
      </c>
    </row>
    <row r="60" spans="1:12" ht="15.75" customHeight="1" x14ac:dyDescent="0.3">
      <c r="A60" s="39" t="s">
        <v>281</v>
      </c>
      <c r="B60" s="39" t="s">
        <v>270</v>
      </c>
      <c r="C60" s="39" t="s">
        <v>271</v>
      </c>
      <c r="D60" s="39" t="s">
        <v>282</v>
      </c>
      <c r="E60" s="39" t="s">
        <v>273</v>
      </c>
      <c r="F60" s="39" t="s">
        <v>283</v>
      </c>
      <c r="G60" s="41" t="s">
        <v>275</v>
      </c>
      <c r="H60" s="41">
        <v>0</v>
      </c>
      <c r="I60" s="41">
        <v>0</v>
      </c>
      <c r="J60" s="41">
        <v>0</v>
      </c>
      <c r="K60" s="41">
        <v>-1</v>
      </c>
      <c r="L60" s="39" t="s">
        <v>284</v>
      </c>
    </row>
    <row r="61" spans="1:12" ht="15.75" customHeight="1" x14ac:dyDescent="0.3">
      <c r="A61" s="39" t="s">
        <v>285</v>
      </c>
      <c r="B61" s="39" t="s">
        <v>186</v>
      </c>
      <c r="C61" s="39" t="s">
        <v>33</v>
      </c>
      <c r="D61" s="39" t="s">
        <v>286</v>
      </c>
      <c r="E61" s="39" t="s">
        <v>188</v>
      </c>
      <c r="F61" s="39" t="s">
        <v>287</v>
      </c>
      <c r="G61" s="41" t="s">
        <v>275</v>
      </c>
      <c r="H61" s="41">
        <v>0</v>
      </c>
      <c r="I61" s="41">
        <v>0</v>
      </c>
      <c r="J61" s="41">
        <v>-1</v>
      </c>
      <c r="K61" s="41">
        <f>1</f>
        <v>1</v>
      </c>
      <c r="L61" s="39" t="s">
        <v>288</v>
      </c>
    </row>
    <row r="62" spans="1:12" ht="15.75" customHeight="1" x14ac:dyDescent="0.3">
      <c r="A62" s="39" t="s">
        <v>289</v>
      </c>
      <c r="B62" s="39" t="s">
        <v>186</v>
      </c>
      <c r="C62" s="39" t="s">
        <v>33</v>
      </c>
      <c r="D62" s="39" t="s">
        <v>290</v>
      </c>
      <c r="E62" s="39" t="s">
        <v>188</v>
      </c>
      <c r="F62" s="39" t="s">
        <v>291</v>
      </c>
      <c r="G62" s="41" t="s">
        <v>292</v>
      </c>
      <c r="H62" s="41">
        <v>0</v>
      </c>
      <c r="I62" s="41">
        <v>0</v>
      </c>
      <c r="J62" s="41">
        <f>1</f>
        <v>1</v>
      </c>
      <c r="K62" s="41">
        <v>0</v>
      </c>
      <c r="L62" s="39" t="s">
        <v>293</v>
      </c>
    </row>
    <row r="63" spans="1:12" ht="15.75" customHeight="1" x14ac:dyDescent="0.3">
      <c r="A63" s="39" t="s">
        <v>294</v>
      </c>
      <c r="B63" s="39" t="s">
        <v>186</v>
      </c>
      <c r="C63" s="39" t="s">
        <v>33</v>
      </c>
      <c r="D63" s="39" t="s">
        <v>295</v>
      </c>
      <c r="E63" s="39" t="s">
        <v>188</v>
      </c>
      <c r="F63" s="39" t="s">
        <v>296</v>
      </c>
      <c r="G63" s="41" t="s">
        <v>297</v>
      </c>
      <c r="H63" s="41">
        <v>0</v>
      </c>
      <c r="I63" s="41">
        <v>0</v>
      </c>
      <c r="J63" s="41">
        <f>2</f>
        <v>2</v>
      </c>
      <c r="K63" s="41">
        <v>-1</v>
      </c>
      <c r="L63" s="39" t="s">
        <v>298</v>
      </c>
    </row>
    <row r="64" spans="1:12" ht="15.75" customHeight="1" x14ac:dyDescent="0.3">
      <c r="A64" s="39" t="s">
        <v>299</v>
      </c>
      <c r="B64" s="39" t="s">
        <v>117</v>
      </c>
      <c r="C64" s="39" t="s">
        <v>34</v>
      </c>
      <c r="D64" s="39" t="s">
        <v>300</v>
      </c>
      <c r="E64" s="39" t="s">
        <v>188</v>
      </c>
      <c r="F64" s="39" t="s">
        <v>301</v>
      </c>
      <c r="G64" s="41" t="s">
        <v>275</v>
      </c>
      <c r="H64" s="41">
        <v>0</v>
      </c>
      <c r="I64" s="41">
        <v>-1</v>
      </c>
      <c r="J64" s="41">
        <v>0</v>
      </c>
      <c r="K64" s="41">
        <f>1</f>
        <v>1</v>
      </c>
      <c r="L64" s="39" t="s">
        <v>302</v>
      </c>
    </row>
    <row r="65" spans="1:12" ht="15.75" customHeight="1" x14ac:dyDescent="0.3">
      <c r="A65" s="39" t="s">
        <v>303</v>
      </c>
      <c r="B65" s="39" t="s">
        <v>117</v>
      </c>
      <c r="C65" s="39" t="s">
        <v>34</v>
      </c>
      <c r="D65" s="39" t="s">
        <v>304</v>
      </c>
      <c r="E65" s="39" t="s">
        <v>188</v>
      </c>
      <c r="F65" s="39" t="s">
        <v>305</v>
      </c>
      <c r="G65" s="41" t="s">
        <v>306</v>
      </c>
      <c r="H65" s="41">
        <v>0</v>
      </c>
      <c r="I65" s="41">
        <f>1</f>
        <v>1</v>
      </c>
      <c r="J65" s="41">
        <v>0</v>
      </c>
      <c r="K65" s="41">
        <v>0</v>
      </c>
      <c r="L65" s="39" t="s">
        <v>307</v>
      </c>
    </row>
    <row r="66" spans="1:12" ht="15.75" customHeight="1" x14ac:dyDescent="0.3">
      <c r="A66" s="39" t="s">
        <v>308</v>
      </c>
      <c r="B66" s="39" t="s">
        <v>117</v>
      </c>
      <c r="C66" s="39" t="s">
        <v>34</v>
      </c>
      <c r="D66" s="39" t="s">
        <v>309</v>
      </c>
      <c r="E66" s="39" t="s">
        <v>188</v>
      </c>
      <c r="F66" s="39" t="s">
        <v>310</v>
      </c>
      <c r="G66" s="41" t="s">
        <v>311</v>
      </c>
      <c r="H66" s="41">
        <f>1</f>
        <v>1</v>
      </c>
      <c r="I66" s="41">
        <f>2</f>
        <v>2</v>
      </c>
      <c r="J66" s="41">
        <v>0</v>
      </c>
      <c r="K66" s="41">
        <v>-1</v>
      </c>
      <c r="L66" s="39" t="s">
        <v>312</v>
      </c>
    </row>
    <row r="67" spans="1:12" ht="15.75" customHeight="1" x14ac:dyDescent="0.3">
      <c r="A67" s="39" t="s">
        <v>313</v>
      </c>
      <c r="B67" s="39" t="s">
        <v>203</v>
      </c>
      <c r="C67" s="39" t="s">
        <v>35</v>
      </c>
      <c r="D67" s="39" t="s">
        <v>314</v>
      </c>
      <c r="E67" s="39" t="s">
        <v>188</v>
      </c>
      <c r="F67" s="39" t="s">
        <v>315</v>
      </c>
      <c r="G67" s="41" t="s">
        <v>275</v>
      </c>
      <c r="H67" s="41">
        <v>0</v>
      </c>
      <c r="I67" s="41">
        <v>-1</v>
      </c>
      <c r="J67" s="41">
        <v>0</v>
      </c>
      <c r="K67" s="41">
        <f>1</f>
        <v>1</v>
      </c>
      <c r="L67" s="39" t="s">
        <v>316</v>
      </c>
    </row>
    <row r="68" spans="1:12" ht="15.75" customHeight="1" x14ac:dyDescent="0.3">
      <c r="A68" s="39" t="s">
        <v>317</v>
      </c>
      <c r="B68" s="39" t="s">
        <v>203</v>
      </c>
      <c r="C68" s="39" t="s">
        <v>35</v>
      </c>
      <c r="D68" s="39" t="s">
        <v>318</v>
      </c>
      <c r="E68" s="39" t="s">
        <v>188</v>
      </c>
      <c r="F68" s="39" t="s">
        <v>319</v>
      </c>
      <c r="G68" s="41" t="s">
        <v>320</v>
      </c>
      <c r="H68" s="41">
        <v>0</v>
      </c>
      <c r="I68" s="41">
        <f>1</f>
        <v>1</v>
      </c>
      <c r="J68" s="41">
        <v>0</v>
      </c>
      <c r="K68" s="41">
        <v>0</v>
      </c>
      <c r="L68" s="39" t="s">
        <v>321</v>
      </c>
    </row>
    <row r="69" spans="1:12" ht="15.75" customHeight="1" x14ac:dyDescent="0.3">
      <c r="A69" s="39" t="s">
        <v>322</v>
      </c>
      <c r="B69" s="39" t="s">
        <v>203</v>
      </c>
      <c r="C69" s="39" t="s">
        <v>35</v>
      </c>
      <c r="D69" s="39" t="s">
        <v>323</v>
      </c>
      <c r="E69" s="39" t="s">
        <v>188</v>
      </c>
      <c r="F69" s="39" t="s">
        <v>324</v>
      </c>
      <c r="G69" s="41" t="s">
        <v>325</v>
      </c>
      <c r="H69" s="41">
        <v>0</v>
      </c>
      <c r="I69" s="41">
        <f>2</f>
        <v>2</v>
      </c>
      <c r="J69" s="41">
        <v>0</v>
      </c>
      <c r="K69" s="41">
        <v>-1</v>
      </c>
      <c r="L69" s="39" t="s">
        <v>326</v>
      </c>
    </row>
    <row r="70" spans="1:12" ht="15.75" customHeight="1" x14ac:dyDescent="0.3"/>
    <row r="71" spans="1:12" ht="15.75" customHeight="1" x14ac:dyDescent="0.3"/>
    <row r="72" spans="1:12" ht="15.75" customHeight="1" x14ac:dyDescent="0.3"/>
    <row r="73" spans="1:12" ht="15.75" customHeight="1" x14ac:dyDescent="0.3"/>
    <row r="74" spans="1:12" ht="15.75" customHeight="1" x14ac:dyDescent="0.3"/>
    <row r="75" spans="1:12" ht="15.75" customHeight="1" x14ac:dyDescent="0.3"/>
    <row r="76" spans="1:12" ht="15.75" customHeight="1" x14ac:dyDescent="0.3"/>
    <row r="77" spans="1:12" ht="15.75" customHeight="1" x14ac:dyDescent="0.3"/>
    <row r="78" spans="1:12" ht="15.75" customHeight="1" x14ac:dyDescent="0.3"/>
    <row r="79" spans="1:12" ht="15.75" customHeight="1" x14ac:dyDescent="0.3"/>
    <row r="80" spans="1:12"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H39"/>
  <sheetViews>
    <sheetView workbookViewId="0"/>
  </sheetViews>
  <sheetFormatPr baseColWidth="10" defaultColWidth="14.44140625" defaultRowHeight="15" customHeight="1" x14ac:dyDescent="0.3"/>
  <cols>
    <col min="3" max="3" width="46" customWidth="1"/>
    <col min="4" max="4" width="36.6640625" customWidth="1"/>
    <col min="8" max="8" width="17.5546875" customWidth="1"/>
  </cols>
  <sheetData>
    <row r="1" spans="1:8" ht="14.4" customHeight="1" x14ac:dyDescent="0.3"/>
    <row r="2" spans="1:8" ht="14.4" customHeight="1" x14ac:dyDescent="0.3"/>
    <row r="3" spans="1:8" ht="23.4" customHeight="1" x14ac:dyDescent="0.45">
      <c r="B3" s="15" t="s">
        <v>327</v>
      </c>
    </row>
    <row r="4" spans="1:8" ht="14.4" customHeight="1" x14ac:dyDescent="0.3">
      <c r="B4" s="16" t="s">
        <v>328</v>
      </c>
      <c r="C4" s="16" t="s">
        <v>329</v>
      </c>
      <c r="D4" s="16" t="s">
        <v>330</v>
      </c>
      <c r="H4" s="17" t="s">
        <v>331</v>
      </c>
    </row>
    <row r="5" spans="1:8" ht="14.4" customHeight="1" x14ac:dyDescent="0.3">
      <c r="B5" s="19">
        <v>1</v>
      </c>
      <c r="C5" s="20" t="s">
        <v>332</v>
      </c>
      <c r="D5" s="21"/>
      <c r="H5" s="22" t="s">
        <v>333</v>
      </c>
    </row>
    <row r="6" spans="1:8" ht="14.4" customHeight="1" x14ac:dyDescent="0.3">
      <c r="B6" s="19">
        <v>2</v>
      </c>
      <c r="C6" s="17" t="s">
        <v>334</v>
      </c>
      <c r="D6" s="21"/>
      <c r="E6" s="23" t="s">
        <v>335</v>
      </c>
    </row>
    <row r="7" spans="1:8" ht="14.4" customHeight="1" x14ac:dyDescent="0.3">
      <c r="B7" s="19">
        <v>3</v>
      </c>
      <c r="C7" s="17" t="s">
        <v>336</v>
      </c>
      <c r="D7" s="21"/>
    </row>
    <row r="8" spans="1:8" ht="14.4" customHeight="1" x14ac:dyDescent="0.3">
      <c r="B8" s="19">
        <v>4</v>
      </c>
      <c r="C8" s="21"/>
      <c r="D8" s="20" t="s">
        <v>332</v>
      </c>
    </row>
    <row r="9" spans="1:8" ht="14.4" customHeight="1" x14ac:dyDescent="0.3">
      <c r="B9" s="19">
        <v>5</v>
      </c>
      <c r="C9" s="21"/>
      <c r="D9" s="20" t="s">
        <v>334</v>
      </c>
    </row>
    <row r="10" spans="1:8" ht="14.4" customHeight="1" x14ac:dyDescent="0.3">
      <c r="B10" s="19">
        <v>6</v>
      </c>
      <c r="C10" s="21"/>
      <c r="D10" s="17" t="s">
        <v>337</v>
      </c>
      <c r="E10" s="23" t="s">
        <v>338</v>
      </c>
    </row>
    <row r="11" spans="1:8" ht="14.4" customHeight="1" x14ac:dyDescent="0.3">
      <c r="A11" s="155" t="s">
        <v>339</v>
      </c>
      <c r="B11" s="19">
        <v>7</v>
      </c>
      <c r="C11" s="21"/>
      <c r="D11" s="22" t="s">
        <v>340</v>
      </c>
    </row>
    <row r="12" spans="1:8" ht="14.4" customHeight="1" x14ac:dyDescent="0.3">
      <c r="A12" s="156"/>
      <c r="B12" s="19">
        <v>8</v>
      </c>
      <c r="C12" s="21"/>
      <c r="D12" s="20" t="s">
        <v>341</v>
      </c>
      <c r="E12" s="23" t="s">
        <v>342</v>
      </c>
    </row>
    <row r="13" spans="1:8" ht="29.25" customHeight="1" x14ac:dyDescent="0.3">
      <c r="A13" s="156"/>
      <c r="B13" s="19">
        <v>9</v>
      </c>
      <c r="C13" s="28" t="s">
        <v>343</v>
      </c>
      <c r="D13" s="21"/>
    </row>
    <row r="14" spans="1:8" ht="29.25" customHeight="1" x14ac:dyDescent="0.3">
      <c r="A14" s="156"/>
      <c r="B14" s="19">
        <v>10</v>
      </c>
      <c r="C14" s="20" t="s">
        <v>344</v>
      </c>
      <c r="D14" s="28" t="s">
        <v>345</v>
      </c>
      <c r="E14" s="23" t="s">
        <v>346</v>
      </c>
    </row>
    <row r="15" spans="1:8" ht="14.4" customHeight="1" x14ac:dyDescent="0.3">
      <c r="A15" s="155" t="s">
        <v>347</v>
      </c>
      <c r="B15" s="19">
        <v>11</v>
      </c>
      <c r="C15" s="21"/>
      <c r="D15" s="20" t="s">
        <v>340</v>
      </c>
      <c r="G15" s="23" t="s">
        <v>348</v>
      </c>
    </row>
    <row r="16" spans="1:8" ht="14.4" customHeight="1" x14ac:dyDescent="0.3">
      <c r="A16" s="156"/>
      <c r="B16" s="19">
        <v>12</v>
      </c>
      <c r="C16" s="21"/>
      <c r="D16" s="20" t="s">
        <v>341</v>
      </c>
    </row>
    <row r="17" spans="1:5" ht="28.8" customHeight="1" x14ac:dyDescent="0.3">
      <c r="A17" s="156"/>
      <c r="B17" s="19">
        <v>13</v>
      </c>
      <c r="C17" s="28" t="s">
        <v>343</v>
      </c>
      <c r="D17" s="21"/>
    </row>
    <row r="18" spans="1:5" ht="28.8" customHeight="1" x14ac:dyDescent="0.3">
      <c r="A18" s="156"/>
      <c r="B18" s="19">
        <v>14</v>
      </c>
      <c r="C18" s="20" t="s">
        <v>344</v>
      </c>
      <c r="D18" s="28" t="s">
        <v>345</v>
      </c>
      <c r="E18" s="23" t="s">
        <v>346</v>
      </c>
    </row>
    <row r="19" spans="1:5" ht="14.4" customHeight="1" x14ac:dyDescent="0.3">
      <c r="A19" s="155" t="s">
        <v>349</v>
      </c>
      <c r="B19" s="19">
        <v>15</v>
      </c>
      <c r="C19" s="21"/>
      <c r="D19" s="20" t="s">
        <v>340</v>
      </c>
    </row>
    <row r="20" spans="1:5" ht="14.4" customHeight="1" x14ac:dyDescent="0.3">
      <c r="A20" s="156"/>
      <c r="B20" s="19">
        <v>16</v>
      </c>
      <c r="C20" s="21"/>
      <c r="D20" s="20" t="s">
        <v>341</v>
      </c>
    </row>
    <row r="21" spans="1:5" ht="28.8" customHeight="1" x14ac:dyDescent="0.3">
      <c r="A21" s="156"/>
      <c r="B21" s="19">
        <v>17</v>
      </c>
      <c r="C21" s="28" t="s">
        <v>343</v>
      </c>
      <c r="D21" s="21"/>
    </row>
    <row r="22" spans="1:5" ht="28.8" customHeight="1" x14ac:dyDescent="0.3">
      <c r="A22" s="156"/>
      <c r="B22" s="19">
        <v>18</v>
      </c>
      <c r="C22" s="20" t="s">
        <v>344</v>
      </c>
      <c r="D22" s="28" t="s">
        <v>345</v>
      </c>
      <c r="E22" s="23" t="s">
        <v>346</v>
      </c>
    </row>
    <row r="23" spans="1:5" ht="14.4" customHeight="1" x14ac:dyDescent="0.3">
      <c r="A23" s="155" t="s">
        <v>350</v>
      </c>
      <c r="B23" s="19">
        <v>15</v>
      </c>
      <c r="C23" s="21"/>
      <c r="D23" s="20" t="s">
        <v>340</v>
      </c>
    </row>
    <row r="24" spans="1:5" ht="14.4" customHeight="1" x14ac:dyDescent="0.3">
      <c r="A24" s="156"/>
      <c r="B24" s="19">
        <v>16</v>
      </c>
      <c r="C24" s="21"/>
      <c r="D24" s="20" t="s">
        <v>341</v>
      </c>
    </row>
    <row r="25" spans="1:5" ht="28.8" customHeight="1" x14ac:dyDescent="0.3">
      <c r="A25" s="156"/>
      <c r="B25" s="19">
        <v>17</v>
      </c>
      <c r="C25" s="28" t="s">
        <v>343</v>
      </c>
      <c r="D25" s="21"/>
    </row>
    <row r="26" spans="1:5" ht="28.8" customHeight="1" x14ac:dyDescent="0.3">
      <c r="A26" s="156"/>
      <c r="B26" s="19">
        <v>18</v>
      </c>
      <c r="C26" s="20" t="s">
        <v>344</v>
      </c>
      <c r="D26" s="28" t="s">
        <v>345</v>
      </c>
    </row>
    <row r="27" spans="1:5" ht="27" customHeight="1" x14ac:dyDescent="0.3">
      <c r="B27" s="19">
        <v>23</v>
      </c>
      <c r="C27" s="20" t="s">
        <v>351</v>
      </c>
      <c r="D27" s="28" t="s">
        <v>352</v>
      </c>
      <c r="E27" s="23" t="s">
        <v>346</v>
      </c>
    </row>
    <row r="28" spans="1:5" ht="14.4" customHeight="1" x14ac:dyDescent="0.3">
      <c r="B28" s="19">
        <v>24</v>
      </c>
      <c r="C28" s="20"/>
      <c r="D28" s="20" t="s">
        <v>353</v>
      </c>
      <c r="E28" s="23" t="s">
        <v>354</v>
      </c>
    </row>
    <row r="29" spans="1:5" ht="14.4" customHeight="1" x14ac:dyDescent="0.3">
      <c r="B29" s="19"/>
      <c r="C29" s="19"/>
      <c r="D29" s="19"/>
    </row>
    <row r="30" spans="1:5" ht="14.4" customHeight="1" x14ac:dyDescent="0.3">
      <c r="B30" s="19"/>
      <c r="C30" s="19"/>
      <c r="D30" s="19"/>
    </row>
    <row r="31" spans="1:5" ht="14.4" customHeight="1" x14ac:dyDescent="0.3">
      <c r="B31" s="19"/>
      <c r="C31" s="19"/>
      <c r="D31" s="19"/>
    </row>
    <row r="32" spans="1:5" ht="14.4" customHeight="1" x14ac:dyDescent="0.3">
      <c r="B32" s="19"/>
      <c r="C32" s="19"/>
      <c r="D32" s="19"/>
    </row>
    <row r="33" spans="2:4" ht="14.4" customHeight="1" x14ac:dyDescent="0.3">
      <c r="B33" s="19"/>
      <c r="C33" s="19"/>
      <c r="D33" s="19"/>
    </row>
    <row r="34" spans="2:4" ht="14.4" customHeight="1" x14ac:dyDescent="0.3">
      <c r="B34" s="19"/>
      <c r="C34" s="19"/>
      <c r="D34" s="19"/>
    </row>
    <row r="35" spans="2:4" ht="14.4" customHeight="1" x14ac:dyDescent="0.3"/>
    <row r="36" spans="2:4" ht="14.4" customHeight="1" x14ac:dyDescent="0.3"/>
    <row r="37" spans="2:4" ht="14.4" customHeight="1" x14ac:dyDescent="0.3">
      <c r="B37" s="23" t="s">
        <v>355</v>
      </c>
    </row>
    <row r="38" spans="2:4" ht="14.4" customHeight="1" x14ac:dyDescent="0.3">
      <c r="B38" s="23" t="s">
        <v>356</v>
      </c>
    </row>
    <row r="39" spans="2:4" ht="14.4" customHeight="1" x14ac:dyDescent="0.3">
      <c r="B39" s="23" t="s">
        <v>357</v>
      </c>
    </row>
  </sheetData>
  <mergeCells count="4">
    <mergeCell ref="A19:A22"/>
    <mergeCell ref="A11:A14"/>
    <mergeCell ref="A15:A18"/>
    <mergeCell ref="A23:A26"/>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B162"/>
  <sheetViews>
    <sheetView showGridLines="0" workbookViewId="0"/>
  </sheetViews>
  <sheetFormatPr baseColWidth="10" defaultColWidth="14.44140625" defaultRowHeight="15" customHeight="1" x14ac:dyDescent="0.3"/>
  <cols>
    <col min="1" max="1" width="17.5546875" customWidth="1"/>
    <col min="2" max="2" width="20.6640625" customWidth="1"/>
    <col min="3" max="3" width="40.109375" customWidth="1"/>
    <col min="4" max="4" width="18.44140625" customWidth="1"/>
    <col min="5" max="5" width="16.5546875" customWidth="1"/>
    <col min="6" max="6" width="18.88671875" customWidth="1"/>
    <col min="7" max="7" width="17.6640625" customWidth="1"/>
    <col min="8" max="8" width="16.88671875" customWidth="1"/>
    <col min="10" max="10" width="10.6640625" customWidth="1"/>
    <col min="11" max="11" width="20.109375" customWidth="1"/>
    <col min="15" max="15" width="17.44140625" customWidth="1"/>
  </cols>
  <sheetData>
    <row r="1" spans="1:15" ht="23.4" customHeight="1" x14ac:dyDescent="0.45">
      <c r="A1" s="15" t="s">
        <v>358</v>
      </c>
    </row>
    <row r="2" spans="1:15" ht="14.4" customHeight="1" x14ac:dyDescent="0.3">
      <c r="A2" s="24"/>
      <c r="B2" s="24"/>
    </row>
    <row r="3" spans="1:15" ht="14.4" customHeight="1" x14ac:dyDescent="0.3">
      <c r="A3" s="157" t="s">
        <v>359</v>
      </c>
      <c r="B3" s="156"/>
    </row>
    <row r="4" spans="1:15" ht="14.4" customHeight="1" x14ac:dyDescent="0.3">
      <c r="E4" s="25" t="s">
        <v>360</v>
      </c>
      <c r="F4" s="26" t="s">
        <v>118</v>
      </c>
      <c r="G4" s="26"/>
      <c r="H4" s="26"/>
      <c r="K4" s="27" t="s">
        <v>361</v>
      </c>
      <c r="L4" s="23" t="s">
        <v>362</v>
      </c>
      <c r="M4" s="23" t="s">
        <v>363</v>
      </c>
      <c r="N4" s="23" t="s">
        <v>364</v>
      </c>
      <c r="O4" s="29"/>
    </row>
    <row r="5" spans="1:15" ht="14.4" customHeight="1" x14ac:dyDescent="0.3">
      <c r="C5" s="29" t="s">
        <v>365</v>
      </c>
      <c r="E5" s="30">
        <v>5</v>
      </c>
      <c r="F5" s="31">
        <v>1</v>
      </c>
      <c r="G5" s="26"/>
      <c r="H5" s="26"/>
      <c r="I5" s="32">
        <f>E5*F5</f>
        <v>5</v>
      </c>
      <c r="K5" s="23">
        <f>MIN(I8,I14,I20)</f>
        <v>17.2</v>
      </c>
      <c r="L5" s="23">
        <f>K5*24</f>
        <v>412.79999999999995</v>
      </c>
      <c r="M5" s="33">
        <f>K7+(F7+F13+F19)/100+4%*F21</f>
        <v>0.96000000000000008</v>
      </c>
      <c r="N5" s="34">
        <f>ROUND(L5*M5,0)</f>
        <v>396</v>
      </c>
      <c r="O5" s="23" t="s">
        <v>366</v>
      </c>
    </row>
    <row r="6" spans="1:15" ht="14.4" customHeight="1" x14ac:dyDescent="0.3">
      <c r="C6" s="29" t="s">
        <v>367</v>
      </c>
      <c r="E6" s="30">
        <v>7</v>
      </c>
      <c r="F6" s="31">
        <v>1</v>
      </c>
      <c r="G6" s="26"/>
      <c r="H6" s="26"/>
      <c r="I6" s="32">
        <f>E6*F6</f>
        <v>7</v>
      </c>
      <c r="K6" s="23" t="s">
        <v>368</v>
      </c>
    </row>
    <row r="7" spans="1:15" ht="14.4" customHeight="1" x14ac:dyDescent="0.3">
      <c r="C7" s="29" t="s">
        <v>369</v>
      </c>
      <c r="E7" s="30">
        <v>9</v>
      </c>
      <c r="F7" s="31">
        <v>1</v>
      </c>
      <c r="G7" s="26"/>
      <c r="H7" s="26"/>
      <c r="I7" s="32">
        <f>E7*F7</f>
        <v>9</v>
      </c>
      <c r="K7" s="35">
        <v>0.9</v>
      </c>
    </row>
    <row r="8" spans="1:15" ht="14.4" customHeight="1" x14ac:dyDescent="0.3">
      <c r="A8" s="36" t="s">
        <v>370</v>
      </c>
      <c r="E8" s="32"/>
      <c r="F8" s="26"/>
      <c r="G8" s="37"/>
      <c r="H8" s="37"/>
      <c r="I8" s="38">
        <f>SUM(I5:I7)</f>
        <v>21</v>
      </c>
    </row>
    <row r="9" spans="1:15" ht="28.8" customHeight="1" x14ac:dyDescent="0.3">
      <c r="C9" s="23" t="s">
        <v>371</v>
      </c>
      <c r="E9" s="32"/>
      <c r="F9" s="28" t="s">
        <v>372</v>
      </c>
      <c r="G9" s="28" t="s">
        <v>373</v>
      </c>
      <c r="H9" s="28" t="s">
        <v>374</v>
      </c>
      <c r="I9" s="32"/>
      <c r="K9" s="23" t="s">
        <v>375</v>
      </c>
      <c r="L9" s="23">
        <f>SUM(F5:F7,F11:H13,F17:H19)</f>
        <v>8</v>
      </c>
    </row>
    <row r="10" spans="1:15" ht="14.4" customHeight="1" x14ac:dyDescent="0.3">
      <c r="A10" s="29"/>
      <c r="B10" s="23"/>
      <c r="C10" s="23"/>
      <c r="E10" s="32"/>
      <c r="F10" s="40">
        <v>1</v>
      </c>
      <c r="G10" s="40">
        <v>1.2</v>
      </c>
      <c r="H10" s="40">
        <v>1.5</v>
      </c>
      <c r="I10" s="32"/>
      <c r="K10" s="23" t="s">
        <v>376</v>
      </c>
      <c r="L10" s="23">
        <f>SUM(F7,F13:H13,F19:H19)</f>
        <v>3</v>
      </c>
      <c r="M10" s="42">
        <f>L10/L9</f>
        <v>0.375</v>
      </c>
    </row>
    <row r="11" spans="1:15" ht="14.4" customHeight="1" x14ac:dyDescent="0.3">
      <c r="A11" s="29"/>
      <c r="C11" s="23" t="s">
        <v>377</v>
      </c>
      <c r="E11" s="30">
        <v>6</v>
      </c>
      <c r="F11" s="31"/>
      <c r="G11" s="31"/>
      <c r="H11" s="31">
        <v>1</v>
      </c>
      <c r="I11" s="32">
        <f>SUM(F11*E11*$F$10,G11*E11*$G$10,H11*E11*$H$10)</f>
        <v>9</v>
      </c>
    </row>
    <row r="12" spans="1:15" ht="14.4" customHeight="1" x14ac:dyDescent="0.3">
      <c r="A12" s="29"/>
      <c r="C12" s="23" t="s">
        <v>378</v>
      </c>
      <c r="E12" s="30">
        <v>8</v>
      </c>
      <c r="F12" s="31">
        <v>1</v>
      </c>
      <c r="G12" s="31">
        <v>0</v>
      </c>
      <c r="H12" s="31"/>
      <c r="I12" s="32">
        <f>SUM(F12*E12*$F$10,G12*E12*$G$10,H12*E12*$H$10)</f>
        <v>8</v>
      </c>
    </row>
    <row r="13" spans="1:15" ht="14.4" customHeight="1" x14ac:dyDescent="0.3">
      <c r="A13" s="29"/>
      <c r="C13" s="23" t="s">
        <v>379</v>
      </c>
      <c r="E13" s="30">
        <v>12</v>
      </c>
      <c r="F13" s="31"/>
      <c r="G13" s="31">
        <v>1</v>
      </c>
      <c r="H13" s="31"/>
      <c r="I13" s="32">
        <f>SUM(F13*E13*$F$10,G13*E13*$G$10,H13*E13*$H$10)</f>
        <v>14.399999999999999</v>
      </c>
    </row>
    <row r="14" spans="1:15" ht="14.4" customHeight="1" x14ac:dyDescent="0.3">
      <c r="A14" s="36" t="s">
        <v>380</v>
      </c>
      <c r="E14" s="32"/>
      <c r="F14" s="26"/>
      <c r="G14" s="37"/>
      <c r="H14" s="37"/>
      <c r="I14" s="38">
        <f>SUM(I11:I13)</f>
        <v>31.4</v>
      </c>
    </row>
    <row r="15" spans="1:15" ht="28.8" customHeight="1" x14ac:dyDescent="0.3">
      <c r="C15" s="23" t="s">
        <v>371</v>
      </c>
      <c r="E15" s="46"/>
      <c r="F15" s="28" t="s">
        <v>372</v>
      </c>
      <c r="G15" s="28" t="s">
        <v>373</v>
      </c>
      <c r="H15" s="28" t="s">
        <v>374</v>
      </c>
      <c r="I15" s="32"/>
    </row>
    <row r="16" spans="1:15" ht="14.4" customHeight="1" x14ac:dyDescent="0.3">
      <c r="A16" s="29"/>
      <c r="C16" s="23"/>
      <c r="E16" s="32"/>
      <c r="F16" s="40">
        <v>1</v>
      </c>
      <c r="G16" s="40">
        <v>1.2</v>
      </c>
      <c r="H16" s="40">
        <v>1.5</v>
      </c>
      <c r="I16" s="32"/>
    </row>
    <row r="17" spans="1:28" ht="14.4" customHeight="1" x14ac:dyDescent="0.3">
      <c r="A17" s="29"/>
      <c r="C17" s="23" t="s">
        <v>377</v>
      </c>
      <c r="E17" s="30">
        <v>6</v>
      </c>
      <c r="F17" s="31"/>
      <c r="G17" s="31">
        <v>1</v>
      </c>
      <c r="H17" s="31"/>
      <c r="I17" s="32">
        <f>SUM(F17*E17*$F$16,G17*E17*$G$16,H17*E17*$H$16)</f>
        <v>7.1999999999999993</v>
      </c>
    </row>
    <row r="18" spans="1:28" ht="14.4" customHeight="1" x14ac:dyDescent="0.3">
      <c r="A18" s="29"/>
      <c r="C18" s="23" t="s">
        <v>378</v>
      </c>
      <c r="E18" s="30">
        <v>7</v>
      </c>
      <c r="F18" s="31"/>
      <c r="G18" s="31">
        <v>0</v>
      </c>
      <c r="H18" s="31">
        <v>0</v>
      </c>
      <c r="I18" s="32">
        <f>SUM(F18*E18*$F$16,G18*E18*$G$16,H18*E18*$H$16)</f>
        <v>0</v>
      </c>
    </row>
    <row r="19" spans="1:28" ht="14.4" customHeight="1" x14ac:dyDescent="0.3">
      <c r="A19" s="29"/>
      <c r="C19" s="23" t="s">
        <v>379</v>
      </c>
      <c r="E19" s="30">
        <v>10</v>
      </c>
      <c r="F19" s="31">
        <v>1</v>
      </c>
      <c r="G19" s="31"/>
      <c r="H19" s="31"/>
      <c r="I19" s="32">
        <f>SUM(F19*E19*$F$16,G19*E19*$G$16,H19*E19*$H$16)</f>
        <v>10</v>
      </c>
    </row>
    <row r="20" spans="1:28" ht="14.4" customHeight="1" x14ac:dyDescent="0.3">
      <c r="G20" s="43"/>
      <c r="H20" s="43"/>
      <c r="I20" s="38">
        <f>SUM(I17:I19)</f>
        <v>17.2</v>
      </c>
    </row>
    <row r="21" spans="1:28" ht="14.4" customHeight="1" x14ac:dyDescent="0.3">
      <c r="A21" s="23" t="s">
        <v>381</v>
      </c>
      <c r="F21" s="48">
        <v>1</v>
      </c>
    </row>
    <row r="22" spans="1:28" ht="14.4" customHeight="1" x14ac:dyDescent="0.3"/>
    <row r="23" spans="1:28" ht="14.4" customHeight="1" x14ac:dyDescent="0.3">
      <c r="B23" s="23" t="s">
        <v>382</v>
      </c>
    </row>
    <row r="24" spans="1:28" ht="14.4" customHeight="1" x14ac:dyDescent="0.3"/>
    <row r="25" spans="1:28" ht="22.2" customHeight="1" x14ac:dyDescent="0.45">
      <c r="A25" s="49" t="s">
        <v>383</v>
      </c>
    </row>
    <row r="26" spans="1:28" ht="14.4" customHeight="1" x14ac:dyDescent="0.3"/>
    <row r="27" spans="1:28" ht="51.75" customHeight="1" x14ac:dyDescent="0.3">
      <c r="A27" s="50"/>
      <c r="B27" s="50"/>
      <c r="C27" s="50"/>
      <c r="D27" s="52" t="s">
        <v>204</v>
      </c>
      <c r="E27" s="52" t="s">
        <v>204</v>
      </c>
      <c r="F27" s="52" t="s">
        <v>204</v>
      </c>
      <c r="G27" s="55" t="s">
        <v>215</v>
      </c>
      <c r="H27" s="55" t="s">
        <v>215</v>
      </c>
      <c r="I27" s="55" t="s">
        <v>215</v>
      </c>
      <c r="J27" s="56" t="s">
        <v>222</v>
      </c>
      <c r="K27" s="56" t="s">
        <v>222</v>
      </c>
      <c r="L27" s="56" t="s">
        <v>222</v>
      </c>
      <c r="M27" s="50"/>
      <c r="N27" s="50"/>
      <c r="O27" s="50"/>
      <c r="P27" s="50"/>
      <c r="Q27" s="50"/>
      <c r="R27" s="50"/>
      <c r="S27" s="50"/>
      <c r="T27" s="50"/>
      <c r="U27" s="50"/>
      <c r="V27" s="50"/>
      <c r="W27" s="50"/>
      <c r="X27" s="50"/>
      <c r="Y27" s="50"/>
      <c r="Z27" s="50"/>
      <c r="AA27" s="50"/>
      <c r="AB27" s="50"/>
    </row>
    <row r="28" spans="1:28" ht="51.75" customHeight="1" x14ac:dyDescent="0.3">
      <c r="A28" s="50"/>
      <c r="B28" s="50"/>
      <c r="C28" s="50"/>
      <c r="D28" s="57" t="s">
        <v>205</v>
      </c>
      <c r="E28" s="57" t="s">
        <v>209</v>
      </c>
      <c r="F28" s="57" t="s">
        <v>212</v>
      </c>
      <c r="G28" s="57" t="s">
        <v>216</v>
      </c>
      <c r="H28" s="57" t="s">
        <v>219</v>
      </c>
      <c r="I28" s="57" t="s">
        <v>384</v>
      </c>
      <c r="J28" s="57" t="s">
        <v>223</v>
      </c>
      <c r="K28" s="57" t="s">
        <v>226</v>
      </c>
      <c r="L28" s="57" t="s">
        <v>229</v>
      </c>
      <c r="M28" s="50"/>
      <c r="N28" s="50"/>
      <c r="O28" s="50"/>
      <c r="P28" s="50"/>
      <c r="Q28" s="50"/>
      <c r="R28" s="50"/>
      <c r="S28" s="50"/>
      <c r="T28" s="50"/>
      <c r="U28" s="50"/>
      <c r="V28" s="50"/>
      <c r="W28" s="50"/>
      <c r="X28" s="50"/>
      <c r="Y28" s="50"/>
      <c r="Z28" s="50"/>
      <c r="AA28" s="50"/>
      <c r="AB28" s="50"/>
    </row>
    <row r="29" spans="1:28" ht="51.75" customHeight="1" x14ac:dyDescent="0.3">
      <c r="A29" s="50"/>
      <c r="B29" s="50"/>
      <c r="C29" s="58" t="s">
        <v>385</v>
      </c>
      <c r="D29" s="58" t="s">
        <v>386</v>
      </c>
      <c r="E29" s="58" t="s">
        <v>387</v>
      </c>
      <c r="F29" s="58" t="s">
        <v>387</v>
      </c>
      <c r="G29" s="58" t="s">
        <v>388</v>
      </c>
      <c r="H29" s="58" t="s">
        <v>388</v>
      </c>
      <c r="I29" s="58" t="s">
        <v>388</v>
      </c>
      <c r="J29" s="58" t="s">
        <v>389</v>
      </c>
      <c r="K29" s="58" t="s">
        <v>389</v>
      </c>
      <c r="L29" s="58" t="s">
        <v>389</v>
      </c>
      <c r="M29" s="59"/>
      <c r="N29" s="60"/>
      <c r="O29" s="50"/>
      <c r="P29" s="50"/>
      <c r="Q29" s="50"/>
      <c r="R29" s="50"/>
      <c r="S29" s="50"/>
      <c r="T29" s="50"/>
      <c r="U29" s="50"/>
      <c r="V29" s="50"/>
      <c r="W29" s="50"/>
      <c r="X29" s="50"/>
      <c r="Y29" s="50"/>
      <c r="Z29" s="50"/>
      <c r="AA29" s="50"/>
      <c r="AB29" s="50"/>
    </row>
    <row r="30" spans="1:28" ht="40.5" customHeight="1" x14ac:dyDescent="0.3">
      <c r="C30" s="28" t="s">
        <v>390</v>
      </c>
      <c r="D30" s="20" t="s">
        <v>391</v>
      </c>
      <c r="E30" s="20" t="s">
        <v>391</v>
      </c>
      <c r="F30" s="20" t="s">
        <v>391</v>
      </c>
      <c r="G30" s="20" t="s">
        <v>392</v>
      </c>
      <c r="H30" s="20" t="s">
        <v>392</v>
      </c>
      <c r="I30" s="20" t="s">
        <v>392</v>
      </c>
      <c r="J30" s="20" t="s">
        <v>393</v>
      </c>
      <c r="K30" s="20" t="s">
        <v>393</v>
      </c>
      <c r="L30" s="20" t="s">
        <v>393</v>
      </c>
    </row>
    <row r="31" spans="1:28" ht="14.4" customHeight="1" x14ac:dyDescent="0.3">
      <c r="C31" s="61" t="s">
        <v>136</v>
      </c>
      <c r="D31" s="62">
        <v>0.3</v>
      </c>
      <c r="E31" s="62"/>
      <c r="F31" s="62"/>
      <c r="G31" s="63">
        <v>1</v>
      </c>
      <c r="H31" s="63"/>
      <c r="I31" s="63"/>
      <c r="J31" s="63">
        <v>6</v>
      </c>
      <c r="K31" s="63"/>
      <c r="L31" s="63"/>
    </row>
    <row r="32" spans="1:28" ht="14.4" customHeight="1" x14ac:dyDescent="0.3">
      <c r="C32" s="61" t="s">
        <v>139</v>
      </c>
      <c r="D32" s="63"/>
      <c r="E32" s="63">
        <v>0.4</v>
      </c>
      <c r="F32" s="63"/>
      <c r="G32" s="62"/>
      <c r="H32" s="62">
        <v>1</v>
      </c>
      <c r="I32" s="62"/>
      <c r="J32" s="63"/>
      <c r="K32" s="63">
        <v>7</v>
      </c>
      <c r="L32" s="63"/>
    </row>
    <row r="33" spans="1:28" ht="14.4" customHeight="1" x14ac:dyDescent="0.3">
      <c r="C33" s="61" t="s">
        <v>143</v>
      </c>
      <c r="D33" s="63"/>
      <c r="E33" s="63"/>
      <c r="F33" s="63">
        <v>0.7</v>
      </c>
      <c r="G33" s="63"/>
      <c r="H33" s="63"/>
      <c r="I33" s="63">
        <v>1</v>
      </c>
      <c r="J33" s="62"/>
      <c r="K33" s="62"/>
      <c r="L33" s="62">
        <v>13</v>
      </c>
    </row>
    <row r="34" spans="1:28" ht="14.4" customHeight="1" x14ac:dyDescent="0.3"/>
    <row r="35" spans="1:28" ht="14.4" customHeight="1" x14ac:dyDescent="0.3">
      <c r="E35" s="64">
        <f>N5</f>
        <v>396</v>
      </c>
    </row>
    <row r="36" spans="1:28" ht="14.4" customHeight="1" x14ac:dyDescent="0.3">
      <c r="C36" s="65" t="s">
        <v>394</v>
      </c>
      <c r="D36" s="66">
        <f>SUM(D37:D39)</f>
        <v>520</v>
      </c>
      <c r="E36" s="67">
        <f>SUM(E37:E39)</f>
        <v>395</v>
      </c>
      <c r="F36" s="68"/>
      <c r="G36" s="68"/>
      <c r="H36" s="68"/>
      <c r="I36" s="68"/>
      <c r="J36" s="68"/>
      <c r="K36" s="68"/>
      <c r="L36" s="69"/>
    </row>
    <row r="37" spans="1:28" ht="14.4" customHeight="1" x14ac:dyDescent="0.3">
      <c r="C37" s="70" t="s">
        <v>136</v>
      </c>
      <c r="D37" s="71">
        <v>250</v>
      </c>
      <c r="E37" s="72">
        <f>ROUNDDOWN(D37*E35/D36,0)</f>
        <v>190</v>
      </c>
      <c r="L37" s="73"/>
    </row>
    <row r="38" spans="1:28" ht="14.4" customHeight="1" x14ac:dyDescent="0.3">
      <c r="C38" s="70" t="s">
        <v>139</v>
      </c>
      <c r="D38" s="71">
        <v>180</v>
      </c>
      <c r="E38" s="72">
        <f>ROUNDDOWN(D38*E35/D36,0)</f>
        <v>137</v>
      </c>
      <c r="L38" s="73"/>
    </row>
    <row r="39" spans="1:28" ht="14.4" customHeight="1" x14ac:dyDescent="0.3">
      <c r="C39" s="70" t="s">
        <v>143</v>
      </c>
      <c r="D39" s="71">
        <v>90</v>
      </c>
      <c r="E39" s="72">
        <f>ROUNDDOWN(D39*E35/D36,0)</f>
        <v>68</v>
      </c>
      <c r="L39" s="73"/>
    </row>
    <row r="40" spans="1:28" ht="26.4" customHeight="1" x14ac:dyDescent="0.3">
      <c r="C40" s="74"/>
      <c r="D40" s="52" t="s">
        <v>204</v>
      </c>
      <c r="E40" s="52" t="s">
        <v>204</v>
      </c>
      <c r="F40" s="52" t="s">
        <v>204</v>
      </c>
      <c r="G40" s="55" t="s">
        <v>215</v>
      </c>
      <c r="H40" s="55" t="s">
        <v>215</v>
      </c>
      <c r="I40" s="55" t="s">
        <v>215</v>
      </c>
      <c r="J40" s="56" t="s">
        <v>222</v>
      </c>
      <c r="K40" s="56" t="s">
        <v>222</v>
      </c>
      <c r="L40" s="75" t="s">
        <v>222</v>
      </c>
    </row>
    <row r="41" spans="1:28" ht="39.6" customHeight="1" x14ac:dyDescent="0.3">
      <c r="C41" s="74"/>
      <c r="D41" s="57" t="s">
        <v>205</v>
      </c>
      <c r="E41" s="57" t="s">
        <v>209</v>
      </c>
      <c r="F41" s="57" t="s">
        <v>212</v>
      </c>
      <c r="G41" s="57" t="s">
        <v>216</v>
      </c>
      <c r="H41" s="57" t="s">
        <v>219</v>
      </c>
      <c r="I41" s="57" t="s">
        <v>384</v>
      </c>
      <c r="J41" s="57" t="s">
        <v>223</v>
      </c>
      <c r="K41" s="57" t="s">
        <v>226</v>
      </c>
      <c r="L41" s="76" t="s">
        <v>229</v>
      </c>
    </row>
    <row r="42" spans="1:28" ht="14.4" customHeight="1" x14ac:dyDescent="0.3">
      <c r="C42" s="70" t="s">
        <v>136</v>
      </c>
      <c r="D42" s="20">
        <f t="shared" ref="D42:L42" si="0">$D37*D31</f>
        <v>75</v>
      </c>
      <c r="E42" s="20">
        <f t="shared" si="0"/>
        <v>0</v>
      </c>
      <c r="F42" s="20">
        <f t="shared" si="0"/>
        <v>0</v>
      </c>
      <c r="G42" s="20">
        <f t="shared" si="0"/>
        <v>250</v>
      </c>
      <c r="H42" s="20">
        <f t="shared" si="0"/>
        <v>0</v>
      </c>
      <c r="I42" s="20">
        <f t="shared" si="0"/>
        <v>0</v>
      </c>
      <c r="J42" s="20">
        <f t="shared" si="0"/>
        <v>1500</v>
      </c>
      <c r="K42" s="20">
        <f t="shared" si="0"/>
        <v>0</v>
      </c>
      <c r="L42" s="77">
        <f t="shared" si="0"/>
        <v>0</v>
      </c>
    </row>
    <row r="43" spans="1:28" ht="14.4" customHeight="1" x14ac:dyDescent="0.3">
      <c r="C43" s="70" t="s">
        <v>139</v>
      </c>
      <c r="D43" s="20">
        <f t="shared" ref="D43:L43" si="1">$D38*D32</f>
        <v>0</v>
      </c>
      <c r="E43" s="20">
        <f t="shared" si="1"/>
        <v>72</v>
      </c>
      <c r="F43" s="20">
        <f t="shared" si="1"/>
        <v>0</v>
      </c>
      <c r="G43" s="20">
        <f t="shared" si="1"/>
        <v>0</v>
      </c>
      <c r="H43" s="20">
        <f t="shared" si="1"/>
        <v>180</v>
      </c>
      <c r="I43" s="20">
        <f t="shared" si="1"/>
        <v>0</v>
      </c>
      <c r="J43" s="20">
        <f t="shared" si="1"/>
        <v>0</v>
      </c>
      <c r="K43" s="20">
        <f t="shared" si="1"/>
        <v>1260</v>
      </c>
      <c r="L43" s="77">
        <f t="shared" si="1"/>
        <v>0</v>
      </c>
    </row>
    <row r="44" spans="1:28" ht="14.4" customHeight="1" x14ac:dyDescent="0.3">
      <c r="C44" s="70" t="s">
        <v>143</v>
      </c>
      <c r="D44" s="20">
        <f t="shared" ref="D44:L44" si="2">$D39*D33</f>
        <v>0</v>
      </c>
      <c r="E44" s="20">
        <f t="shared" si="2"/>
        <v>0</v>
      </c>
      <c r="F44" s="20">
        <f t="shared" si="2"/>
        <v>62.999999999999993</v>
      </c>
      <c r="G44" s="20">
        <f t="shared" si="2"/>
        <v>0</v>
      </c>
      <c r="H44" s="20">
        <f t="shared" si="2"/>
        <v>0</v>
      </c>
      <c r="I44" s="20">
        <f t="shared" si="2"/>
        <v>90</v>
      </c>
      <c r="J44" s="20">
        <f t="shared" si="2"/>
        <v>0</v>
      </c>
      <c r="K44" s="20">
        <f t="shared" si="2"/>
        <v>0</v>
      </c>
      <c r="L44" s="77">
        <f t="shared" si="2"/>
        <v>1170</v>
      </c>
    </row>
    <row r="45" spans="1:28" ht="14.4" customHeight="1" x14ac:dyDescent="0.3">
      <c r="A45" s="78"/>
      <c r="B45" s="78"/>
      <c r="C45" s="79"/>
      <c r="D45" s="80"/>
      <c r="E45" s="80"/>
      <c r="F45" s="80"/>
      <c r="G45" s="80"/>
      <c r="H45" s="80"/>
      <c r="I45" s="80"/>
      <c r="J45" s="80"/>
      <c r="K45" s="80"/>
      <c r="L45" s="81"/>
      <c r="M45" s="78"/>
      <c r="N45" s="78"/>
      <c r="O45" s="78"/>
      <c r="P45" s="78"/>
      <c r="Q45" s="78"/>
      <c r="R45" s="78"/>
      <c r="S45" s="78"/>
      <c r="T45" s="78"/>
      <c r="U45" s="78"/>
      <c r="V45" s="78"/>
      <c r="W45" s="78"/>
      <c r="X45" s="78"/>
      <c r="Y45" s="78"/>
      <c r="Z45" s="78"/>
      <c r="AA45" s="78"/>
      <c r="AB45" s="78"/>
    </row>
    <row r="46" spans="1:28" ht="14.4" customHeight="1" x14ac:dyDescent="0.3">
      <c r="A46" s="78"/>
      <c r="B46" s="78"/>
      <c r="C46" s="78"/>
      <c r="D46" s="82"/>
      <c r="E46" s="82"/>
      <c r="F46" s="82"/>
      <c r="G46" s="82"/>
      <c r="H46" s="82"/>
      <c r="I46" s="82"/>
      <c r="J46" s="82"/>
      <c r="K46" s="82"/>
      <c r="L46" s="82"/>
      <c r="M46" s="78"/>
      <c r="N46" s="78"/>
      <c r="O46" s="78"/>
      <c r="P46" s="78"/>
      <c r="Q46" s="78"/>
      <c r="R46" s="78"/>
      <c r="S46" s="78"/>
      <c r="T46" s="78"/>
      <c r="U46" s="78"/>
      <c r="V46" s="78"/>
      <c r="W46" s="78"/>
      <c r="X46" s="78"/>
      <c r="Y46" s="78"/>
      <c r="Z46" s="78"/>
      <c r="AA46" s="78"/>
      <c r="AB46" s="78"/>
    </row>
    <row r="47" spans="1:28" ht="26.4" customHeight="1" x14ac:dyDescent="0.3">
      <c r="D47" s="52" t="s">
        <v>204</v>
      </c>
      <c r="E47" s="52" t="s">
        <v>204</v>
      </c>
      <c r="F47" s="52" t="s">
        <v>204</v>
      </c>
      <c r="G47" s="55" t="s">
        <v>215</v>
      </c>
      <c r="H47" s="55" t="s">
        <v>215</v>
      </c>
      <c r="I47" s="55" t="s">
        <v>215</v>
      </c>
      <c r="J47" s="56" t="s">
        <v>222</v>
      </c>
      <c r="K47" s="56" t="s">
        <v>222</v>
      </c>
      <c r="L47" s="56" t="s">
        <v>222</v>
      </c>
    </row>
    <row r="48" spans="1:28" ht="40.5" customHeight="1" x14ac:dyDescent="0.3">
      <c r="C48" s="85" t="s">
        <v>395</v>
      </c>
      <c r="D48" s="57" t="s">
        <v>205</v>
      </c>
      <c r="E48" s="57" t="s">
        <v>209</v>
      </c>
      <c r="F48" s="57" t="s">
        <v>212</v>
      </c>
      <c r="G48" s="57" t="s">
        <v>216</v>
      </c>
      <c r="H48" s="57" t="s">
        <v>219</v>
      </c>
      <c r="I48" s="57" t="s">
        <v>384</v>
      </c>
      <c r="J48" s="57" t="s">
        <v>223</v>
      </c>
      <c r="K48" s="57" t="s">
        <v>226</v>
      </c>
      <c r="L48" s="57" t="s">
        <v>229</v>
      </c>
      <c r="M48" s="50"/>
      <c r="N48" s="50"/>
    </row>
    <row r="49" spans="3:14" ht="14.4" customHeight="1" x14ac:dyDescent="0.3">
      <c r="C49" s="61" t="s">
        <v>136</v>
      </c>
      <c r="D49" s="63">
        <v>60</v>
      </c>
      <c r="E49" s="63">
        <v>10</v>
      </c>
      <c r="F49" s="63"/>
      <c r="G49" s="63"/>
      <c r="H49" s="63">
        <v>200</v>
      </c>
      <c r="I49" s="63"/>
      <c r="J49" s="63">
        <v>1600</v>
      </c>
      <c r="K49" s="63"/>
      <c r="L49" s="63"/>
      <c r="M49" s="86"/>
      <c r="N49" s="86"/>
    </row>
    <row r="50" spans="3:14" ht="14.4" customHeight="1" x14ac:dyDescent="0.3">
      <c r="C50" s="61" t="s">
        <v>139</v>
      </c>
      <c r="D50" s="20"/>
      <c r="E50" s="20">
        <v>50</v>
      </c>
      <c r="F50" s="20"/>
      <c r="G50" s="20"/>
      <c r="H50" s="20">
        <v>150</v>
      </c>
      <c r="I50" s="20"/>
      <c r="J50" s="20"/>
      <c r="K50" s="20"/>
      <c r="L50" s="77">
        <v>1200</v>
      </c>
      <c r="M50" s="86"/>
      <c r="N50" s="86"/>
    </row>
    <row r="51" spans="3:14" ht="14.4" customHeight="1" x14ac:dyDescent="0.3">
      <c r="C51" s="61" t="s">
        <v>143</v>
      </c>
      <c r="D51" s="63"/>
      <c r="E51" s="63"/>
      <c r="F51" s="63">
        <v>70</v>
      </c>
      <c r="G51" s="63"/>
      <c r="H51" s="63">
        <v>50</v>
      </c>
      <c r="I51" s="63"/>
      <c r="J51" s="63"/>
      <c r="K51" s="63"/>
      <c r="L51" s="63">
        <v>1100</v>
      </c>
      <c r="M51" s="86"/>
      <c r="N51" s="86"/>
    </row>
    <row r="52" spans="3:14" ht="14.4" customHeight="1" x14ac:dyDescent="0.3">
      <c r="D52" s="87"/>
      <c r="E52" s="87"/>
      <c r="F52" s="88"/>
      <c r="H52" s="87"/>
      <c r="I52" s="87"/>
      <c r="J52" s="87"/>
      <c r="L52" s="87"/>
      <c r="M52" s="87"/>
      <c r="N52" s="87"/>
    </row>
    <row r="53" spans="3:14" ht="14.4" customHeight="1" x14ac:dyDescent="0.3">
      <c r="D53" s="89">
        <f>D49/D31</f>
        <v>200</v>
      </c>
      <c r="G53" s="23">
        <f>G49/G31</f>
        <v>0</v>
      </c>
      <c r="J53" s="89">
        <f>J49/J31</f>
        <v>266.66666666666669</v>
      </c>
    </row>
    <row r="54" spans="3:14" ht="14.4" customHeight="1" x14ac:dyDescent="0.3"/>
    <row r="55" spans="3:14" ht="14.4" customHeight="1" x14ac:dyDescent="0.3">
      <c r="C55" s="23" t="s">
        <v>396</v>
      </c>
      <c r="G55" s="23" t="s">
        <v>397</v>
      </c>
      <c r="H55" s="23" t="s">
        <v>398</v>
      </c>
      <c r="I55" s="23" t="s">
        <v>399</v>
      </c>
      <c r="K55" s="23" t="s">
        <v>400</v>
      </c>
    </row>
    <row r="56" spans="3:14" ht="14.4" customHeight="1" x14ac:dyDescent="0.3">
      <c r="C56" s="61" t="s">
        <v>136</v>
      </c>
      <c r="D56" s="23">
        <f>MIN(SUM(D49:F49)/D31,SUM(G49:I49)/G31,SUM(J49:L49)/J31,E37,D37)</f>
        <v>190</v>
      </c>
      <c r="E56" s="23">
        <f>ROUNDDOWN(D56,0)</f>
        <v>190</v>
      </c>
      <c r="G56" s="23">
        <f>E56*D31</f>
        <v>57</v>
      </c>
      <c r="H56" s="23">
        <f>E56*G31</f>
        <v>190</v>
      </c>
      <c r="I56" s="23">
        <f>E56*J31</f>
        <v>1140</v>
      </c>
      <c r="K56" s="91">
        <v>46143</v>
      </c>
    </row>
    <row r="57" spans="3:14" ht="14.4" customHeight="1" x14ac:dyDescent="0.3">
      <c r="C57" s="61" t="s">
        <v>139</v>
      </c>
      <c r="D57" s="23">
        <f>MIN(SUM(D50:F50)/E32,SUM(G50:I50)/H32,SUM(J50:L50)/K32,E38,D38)</f>
        <v>125</v>
      </c>
      <c r="E57" s="23">
        <f>ROUNDDOWN(D57,0)</f>
        <v>125</v>
      </c>
      <c r="G57" s="23">
        <f>E57*E32</f>
        <v>50</v>
      </c>
      <c r="H57" s="23">
        <f>E57*H32</f>
        <v>125</v>
      </c>
      <c r="I57" s="23">
        <f>E57*K32</f>
        <v>875</v>
      </c>
      <c r="K57" s="91">
        <v>46082</v>
      </c>
    </row>
    <row r="58" spans="3:14" ht="14.4" customHeight="1" x14ac:dyDescent="0.3">
      <c r="C58" s="61" t="s">
        <v>143</v>
      </c>
      <c r="D58" s="23">
        <f>MIN(SUM(D51:F51)/F33,SUM(G51:I51)/I33,SUM(J51:L51)/L33,E39,D39)</f>
        <v>50</v>
      </c>
      <c r="E58" s="23">
        <f>ROUNDDOWN(D58,0)</f>
        <v>50</v>
      </c>
      <c r="G58" s="23">
        <f>E58*F33</f>
        <v>35</v>
      </c>
      <c r="H58" s="23">
        <f>E58*I33</f>
        <v>50</v>
      </c>
      <c r="I58" s="23">
        <f>E58*L33</f>
        <v>650</v>
      </c>
      <c r="K58" s="91">
        <v>46054</v>
      </c>
    </row>
    <row r="59" spans="3:14" ht="14.4" customHeight="1" x14ac:dyDescent="0.3"/>
    <row r="60" spans="3:14" ht="14.4" customHeight="1" x14ac:dyDescent="0.3"/>
    <row r="61" spans="3:14" ht="14.4" customHeight="1" x14ac:dyDescent="0.3"/>
    <row r="62" spans="3:14" ht="14.4" customHeight="1" x14ac:dyDescent="0.3">
      <c r="C62" s="3"/>
      <c r="D62" s="3" t="s">
        <v>401</v>
      </c>
      <c r="E62" s="3" t="s">
        <v>402</v>
      </c>
      <c r="F62" s="3" t="s">
        <v>403</v>
      </c>
      <c r="G62" s="3" t="s">
        <v>404</v>
      </c>
      <c r="H62" s="23" t="s">
        <v>405</v>
      </c>
    </row>
    <row r="63" spans="3:14" ht="42" customHeight="1" x14ac:dyDescent="0.3">
      <c r="C63" s="52" t="s">
        <v>205</v>
      </c>
      <c r="D63" s="20">
        <v>15</v>
      </c>
      <c r="E63" s="20">
        <v>60</v>
      </c>
      <c r="F63" s="20">
        <v>75</v>
      </c>
      <c r="G63" s="93">
        <f t="shared" ref="G63:G71" si="3">D63+E63-F63</f>
        <v>0</v>
      </c>
    </row>
    <row r="64" spans="3:14" ht="42" customHeight="1" x14ac:dyDescent="0.3">
      <c r="C64" s="52" t="s">
        <v>209</v>
      </c>
      <c r="D64" s="20">
        <v>17</v>
      </c>
      <c r="E64" s="20">
        <v>55</v>
      </c>
      <c r="F64" s="20">
        <v>72</v>
      </c>
      <c r="G64" s="93">
        <f t="shared" si="3"/>
        <v>0</v>
      </c>
      <c r="H64" s="94"/>
    </row>
    <row r="65" spans="1:8" ht="42" customHeight="1" x14ac:dyDescent="0.3">
      <c r="C65" s="52" t="s">
        <v>212</v>
      </c>
      <c r="D65" s="20">
        <v>48</v>
      </c>
      <c r="E65" s="20">
        <v>15</v>
      </c>
      <c r="F65" s="20">
        <v>63</v>
      </c>
      <c r="G65" s="93">
        <f t="shared" si="3"/>
        <v>0</v>
      </c>
      <c r="H65" s="94"/>
    </row>
    <row r="66" spans="1:8" ht="42" customHeight="1" x14ac:dyDescent="0.3">
      <c r="C66" s="55" t="s">
        <v>216</v>
      </c>
      <c r="D66" s="20">
        <v>50</v>
      </c>
      <c r="E66" s="20">
        <v>200</v>
      </c>
      <c r="F66" s="20">
        <v>250</v>
      </c>
      <c r="G66" s="93">
        <f t="shared" si="3"/>
        <v>0</v>
      </c>
      <c r="H66" s="94"/>
    </row>
    <row r="67" spans="1:8" ht="42" customHeight="1" x14ac:dyDescent="0.3">
      <c r="C67" s="55" t="s">
        <v>219</v>
      </c>
      <c r="D67" s="20">
        <v>0</v>
      </c>
      <c r="E67" s="20">
        <v>190</v>
      </c>
      <c r="F67" s="20">
        <v>180</v>
      </c>
      <c r="G67" s="93">
        <f t="shared" si="3"/>
        <v>10</v>
      </c>
      <c r="H67" s="94"/>
    </row>
    <row r="68" spans="1:8" ht="42" customHeight="1" x14ac:dyDescent="0.3">
      <c r="C68" s="55" t="s">
        <v>384</v>
      </c>
      <c r="D68" s="20">
        <v>90</v>
      </c>
      <c r="E68" s="20">
        <v>0</v>
      </c>
      <c r="F68" s="20">
        <v>90</v>
      </c>
      <c r="G68" s="93">
        <f t="shared" si="3"/>
        <v>0</v>
      </c>
      <c r="H68" s="94"/>
    </row>
    <row r="69" spans="1:8" ht="42" customHeight="1" x14ac:dyDescent="0.3">
      <c r="C69" s="56" t="s">
        <v>223</v>
      </c>
      <c r="D69" s="20">
        <v>1494</v>
      </c>
      <c r="E69" s="20">
        <v>6</v>
      </c>
      <c r="F69" s="20">
        <v>1500</v>
      </c>
      <c r="G69" s="93">
        <f t="shared" si="3"/>
        <v>0</v>
      </c>
      <c r="H69" s="94"/>
    </row>
    <row r="70" spans="1:8" ht="42" customHeight="1" x14ac:dyDescent="0.3">
      <c r="C70" s="56" t="s">
        <v>226</v>
      </c>
      <c r="D70" s="20">
        <v>1253</v>
      </c>
      <c r="E70" s="20">
        <v>7</v>
      </c>
      <c r="F70" s="20">
        <v>1260</v>
      </c>
      <c r="G70" s="93">
        <f t="shared" si="3"/>
        <v>0</v>
      </c>
      <c r="H70" s="94"/>
    </row>
    <row r="71" spans="1:8" ht="42" customHeight="1" x14ac:dyDescent="0.3">
      <c r="C71" s="56" t="s">
        <v>229</v>
      </c>
      <c r="D71" s="20">
        <v>1170</v>
      </c>
      <c r="E71" s="20">
        <v>0</v>
      </c>
      <c r="F71" s="20">
        <v>1170</v>
      </c>
      <c r="G71" s="93">
        <f t="shared" si="3"/>
        <v>0</v>
      </c>
      <c r="H71" s="94"/>
    </row>
    <row r="72" spans="1:8" ht="14.4" customHeight="1" x14ac:dyDescent="0.3">
      <c r="B72" s="23" t="s">
        <v>406</v>
      </c>
    </row>
    <row r="73" spans="1:8" ht="67.5" customHeight="1" x14ac:dyDescent="0.3">
      <c r="A73" s="50" t="s">
        <v>407</v>
      </c>
      <c r="B73" s="32">
        <v>3000</v>
      </c>
    </row>
    <row r="74" spans="1:8" ht="21" customHeight="1" x14ac:dyDescent="0.4">
      <c r="A74" s="96"/>
    </row>
    <row r="75" spans="1:8" ht="21" customHeight="1" x14ac:dyDescent="0.4">
      <c r="A75" s="96" t="s">
        <v>408</v>
      </c>
      <c r="C75" s="97">
        <f>F51*10</f>
        <v>700</v>
      </c>
      <c r="D75" s="97">
        <f>M10*10</f>
        <v>3.75</v>
      </c>
      <c r="E75" s="97" t="e">
        <f>AVERAGE(H65,H68,H71)*10</f>
        <v>#DIV/0!</v>
      </c>
      <c r="F75" s="32">
        <f>B73/10000*10</f>
        <v>3</v>
      </c>
      <c r="G75" s="98" t="e">
        <f>SUM(C75:F75)</f>
        <v>#DIV/0!</v>
      </c>
      <c r="H75" s="26" t="s">
        <v>409</v>
      </c>
    </row>
    <row r="76" spans="1:8" ht="35.25" customHeight="1" x14ac:dyDescent="0.3">
      <c r="C76" s="50" t="s">
        <v>410</v>
      </c>
      <c r="D76" s="50" t="s">
        <v>411</v>
      </c>
      <c r="E76" s="50" t="s">
        <v>412</v>
      </c>
      <c r="F76" s="50" t="s">
        <v>413</v>
      </c>
    </row>
    <row r="77" spans="1:8" ht="14.4" customHeight="1" x14ac:dyDescent="0.3"/>
    <row r="78" spans="1:8" ht="14.4" customHeight="1" x14ac:dyDescent="0.3"/>
    <row r="79" spans="1:8" ht="14.4" customHeight="1" x14ac:dyDescent="0.3"/>
    <row r="80" spans="1:8" ht="14.4" customHeight="1" x14ac:dyDescent="0.3"/>
    <row r="81" spans="2:15" ht="14.4" customHeight="1" x14ac:dyDescent="0.3"/>
    <row r="82" spans="2:15" ht="46.5" customHeight="1" x14ac:dyDescent="0.3">
      <c r="B82" s="28" t="s">
        <v>414</v>
      </c>
      <c r="C82" s="20" t="s">
        <v>415</v>
      </c>
      <c r="D82" s="20" t="s">
        <v>416</v>
      </c>
      <c r="E82" s="20" t="s">
        <v>417</v>
      </c>
      <c r="F82" s="20" t="s">
        <v>418</v>
      </c>
      <c r="G82" s="20" t="s">
        <v>419</v>
      </c>
      <c r="H82" s="20" t="s">
        <v>420</v>
      </c>
      <c r="K82" s="50"/>
      <c r="L82" s="32"/>
      <c r="M82" s="32"/>
      <c r="N82" s="32"/>
    </row>
    <row r="83" spans="2:15" ht="14.4" customHeight="1" x14ac:dyDescent="0.3">
      <c r="B83" s="20" t="s">
        <v>421</v>
      </c>
      <c r="C83" s="20">
        <v>7</v>
      </c>
      <c r="D83" s="20">
        <v>40</v>
      </c>
      <c r="E83" s="20">
        <f>(MAX($D$83:$D$86)*2-D83)/10</f>
        <v>5</v>
      </c>
      <c r="F83" s="99">
        <f>SUM(C83,E83)</f>
        <v>12</v>
      </c>
      <c r="G83" s="100">
        <f>F83/$F$87</f>
        <v>0.22388059701492538</v>
      </c>
      <c r="H83" s="3">
        <f>ROUND(G83*$B$91,0)</f>
        <v>784</v>
      </c>
      <c r="K83" s="32"/>
      <c r="L83" s="32"/>
      <c r="M83" s="32"/>
      <c r="N83" s="32"/>
      <c r="O83" s="89"/>
    </row>
    <row r="84" spans="2:15" ht="14.4" customHeight="1" x14ac:dyDescent="0.3">
      <c r="B84" s="20" t="s">
        <v>422</v>
      </c>
      <c r="C84" s="20">
        <v>8.3000000000000007</v>
      </c>
      <c r="D84" s="20">
        <v>45</v>
      </c>
      <c r="E84" s="20">
        <f>(MAX($D$83:$D$86)*2-D84)/10</f>
        <v>4.5</v>
      </c>
      <c r="F84" s="99">
        <f>SUM(C84,E84)</f>
        <v>12.8</v>
      </c>
      <c r="G84" s="100">
        <f>F84/$F$87</f>
        <v>0.23880597014925373</v>
      </c>
      <c r="H84" s="3">
        <f>ROUND(G84*$B$91,0)</f>
        <v>836</v>
      </c>
      <c r="K84" s="32"/>
      <c r="L84" s="102"/>
      <c r="M84" s="32"/>
      <c r="N84" s="32"/>
      <c r="O84" s="89"/>
    </row>
    <row r="85" spans="2:15" ht="14.4" customHeight="1" x14ac:dyDescent="0.3">
      <c r="B85" s="20" t="s">
        <v>423</v>
      </c>
      <c r="C85" s="103">
        <v>10.199999999999999</v>
      </c>
      <c r="D85" s="20">
        <v>43</v>
      </c>
      <c r="E85" s="20">
        <f>(MAX($D$83:$D$86)*2-D85)/10</f>
        <v>4.7</v>
      </c>
      <c r="F85" s="99">
        <f>SUM(C85,E85)</f>
        <v>14.899999999999999</v>
      </c>
      <c r="G85" s="100">
        <f>F85/$F$87</f>
        <v>0.27798507462686561</v>
      </c>
      <c r="H85" s="3">
        <f>ROUND(G85*$B$91,0)</f>
        <v>973</v>
      </c>
      <c r="K85" s="32"/>
      <c r="L85" s="102"/>
      <c r="M85" s="32"/>
      <c r="N85" s="32"/>
      <c r="O85" s="89"/>
    </row>
    <row r="86" spans="2:15" ht="14.4" customHeight="1" x14ac:dyDescent="0.3">
      <c r="B86" s="20" t="s">
        <v>424</v>
      </c>
      <c r="C86" s="20">
        <v>9</v>
      </c>
      <c r="D86" s="20">
        <v>41</v>
      </c>
      <c r="E86" s="20">
        <f>(MAX($D$83:$D$86)*2-D86)/10</f>
        <v>4.9000000000000004</v>
      </c>
      <c r="F86" s="99">
        <f>SUM(C86,E86)</f>
        <v>13.9</v>
      </c>
      <c r="G86" s="100">
        <f>F86/$F$87</f>
        <v>0.25932835820895522</v>
      </c>
      <c r="H86" s="3">
        <f>ROUND(G86*$B$91,0)</f>
        <v>908</v>
      </c>
      <c r="K86" s="32"/>
      <c r="L86" s="32"/>
      <c r="M86" s="32"/>
      <c r="N86" s="32"/>
      <c r="O86" s="89"/>
    </row>
    <row r="87" spans="2:15" ht="14.4" customHeight="1" x14ac:dyDescent="0.3">
      <c r="B87" s="6"/>
      <c r="E87" s="23" t="s">
        <v>425</v>
      </c>
      <c r="F87" s="104">
        <f>SUM(F83:F86)</f>
        <v>53.6</v>
      </c>
      <c r="H87" s="23">
        <f>SUM(H83:H86)</f>
        <v>3501</v>
      </c>
    </row>
    <row r="88" spans="2:15" ht="14.4" customHeight="1" x14ac:dyDescent="0.3">
      <c r="B88" s="6"/>
      <c r="F88" s="105"/>
    </row>
    <row r="89" spans="2:15" ht="14.4" customHeight="1" x14ac:dyDescent="0.3">
      <c r="B89" s="6">
        <v>7000</v>
      </c>
      <c r="C89" s="23" t="s">
        <v>426</v>
      </c>
      <c r="F89" s="105"/>
      <c r="K89" s="23"/>
    </row>
    <row r="90" spans="2:15" ht="14.4" customHeight="1" x14ac:dyDescent="0.3">
      <c r="B90" s="106">
        <v>0.5</v>
      </c>
      <c r="F90" s="105"/>
      <c r="K90" s="33"/>
    </row>
    <row r="91" spans="2:15" ht="14.4" customHeight="1" x14ac:dyDescent="0.3">
      <c r="B91" s="6">
        <f>B89*B90</f>
        <v>3500</v>
      </c>
      <c r="C91" s="23" t="s">
        <v>427</v>
      </c>
      <c r="F91" s="105"/>
    </row>
    <row r="92" spans="2:15" ht="14.4" customHeight="1" x14ac:dyDescent="0.3">
      <c r="B92" s="107"/>
      <c r="C92" s="109"/>
      <c r="D92" s="109"/>
      <c r="E92" s="109"/>
      <c r="F92" s="110"/>
    </row>
    <row r="93" spans="2:15" ht="14.4" customHeight="1" x14ac:dyDescent="0.3"/>
    <row r="94" spans="2:15" ht="14.4" customHeight="1" x14ac:dyDescent="0.3"/>
    <row r="95" spans="2:15" ht="14.4" customHeight="1" x14ac:dyDescent="0.3"/>
    <row r="96" spans="2:15" ht="43.2" customHeight="1" x14ac:dyDescent="0.3">
      <c r="B96" s="28" t="s">
        <v>428</v>
      </c>
      <c r="C96" s="20" t="s">
        <v>415</v>
      </c>
      <c r="D96" s="20" t="s">
        <v>416</v>
      </c>
      <c r="E96" s="20" t="s">
        <v>417</v>
      </c>
      <c r="F96" s="20" t="s">
        <v>418</v>
      </c>
      <c r="G96" s="20" t="s">
        <v>419</v>
      </c>
      <c r="H96" s="20" t="s">
        <v>420</v>
      </c>
    </row>
    <row r="97" spans="2:8" ht="14.4" customHeight="1" x14ac:dyDescent="0.3">
      <c r="B97" s="20" t="s">
        <v>421</v>
      </c>
      <c r="C97" s="20">
        <v>7</v>
      </c>
      <c r="D97" s="20">
        <v>120</v>
      </c>
      <c r="E97" s="20">
        <f>(MAX($D$97:$D$100)*2-D97)/10</f>
        <v>28</v>
      </c>
      <c r="F97" s="99">
        <f>SUM(C97,E97)</f>
        <v>35</v>
      </c>
      <c r="G97" s="100">
        <f>F97/$F$101</f>
        <v>0.2723735408560311</v>
      </c>
      <c r="H97" s="3">
        <f>ROUND(G97*$B$91,0)</f>
        <v>953</v>
      </c>
    </row>
    <row r="98" spans="2:8" ht="14.4" customHeight="1" x14ac:dyDescent="0.3">
      <c r="B98" s="20" t="s">
        <v>422</v>
      </c>
      <c r="C98" s="20">
        <v>8.3000000000000007</v>
      </c>
      <c r="D98" s="20">
        <v>150</v>
      </c>
      <c r="E98" s="20">
        <f>(MAX($D$97:$D$100)*2-D98)/10</f>
        <v>25</v>
      </c>
      <c r="F98" s="99">
        <f>SUM(C98,E98)</f>
        <v>33.299999999999997</v>
      </c>
      <c r="G98" s="100">
        <f>F98/$F$101</f>
        <v>0.2591439688715953</v>
      </c>
      <c r="H98" s="3">
        <f>ROUND(G98*$B$91,0)</f>
        <v>907</v>
      </c>
    </row>
    <row r="99" spans="2:8" ht="14.4" customHeight="1" x14ac:dyDescent="0.3">
      <c r="B99" s="20" t="s">
        <v>423</v>
      </c>
      <c r="C99" s="20">
        <v>10.199999999999999</v>
      </c>
      <c r="D99" s="20">
        <v>190</v>
      </c>
      <c r="E99" s="20">
        <f>(MAX($D$97:$D$100)*2-D99)/10</f>
        <v>21</v>
      </c>
      <c r="F99" s="99">
        <f>SUM(C99,E99)</f>
        <v>31.2</v>
      </c>
      <c r="G99" s="100">
        <f>F99/$F$101</f>
        <v>0.24280155642023346</v>
      </c>
      <c r="H99" s="3">
        <f>ROUND(G99*$B$91,0)</f>
        <v>850</v>
      </c>
    </row>
    <row r="100" spans="2:8" ht="14.4" customHeight="1" x14ac:dyDescent="0.3">
      <c r="B100" s="20" t="s">
        <v>424</v>
      </c>
      <c r="C100" s="20">
        <v>9</v>
      </c>
      <c r="D100" s="20">
        <v>200</v>
      </c>
      <c r="E100" s="20">
        <f>(MAX($D$97:$D$100)*2-D100)/10</f>
        <v>20</v>
      </c>
      <c r="F100" s="99">
        <f>SUM(C100,E100)</f>
        <v>29</v>
      </c>
      <c r="G100" s="100">
        <f>F100/$F$101</f>
        <v>0.22568093385214008</v>
      </c>
      <c r="H100" s="3">
        <f>ROUND(G100*$B$91,0)</f>
        <v>790</v>
      </c>
    </row>
    <row r="101" spans="2:8" ht="14.4" customHeight="1" x14ac:dyDescent="0.3">
      <c r="B101" s="6"/>
      <c r="E101" s="23" t="s">
        <v>425</v>
      </c>
      <c r="F101" s="104">
        <f>SUM(F97:F100)</f>
        <v>128.5</v>
      </c>
    </row>
    <row r="102" spans="2:8" ht="14.4" customHeight="1" x14ac:dyDescent="0.3">
      <c r="B102" s="6"/>
      <c r="F102" s="105"/>
    </row>
    <row r="103" spans="2:8" ht="14.4" customHeight="1" x14ac:dyDescent="0.3">
      <c r="B103" s="6">
        <v>5000</v>
      </c>
      <c r="C103" s="23" t="s">
        <v>426</v>
      </c>
      <c r="F103" s="105"/>
    </row>
    <row r="104" spans="2:8" ht="14.4" customHeight="1" x14ac:dyDescent="0.3">
      <c r="B104" s="106">
        <v>0.7</v>
      </c>
      <c r="F104" s="105"/>
    </row>
    <row r="105" spans="2:8" ht="14.4" customHeight="1" x14ac:dyDescent="0.3">
      <c r="B105" s="6">
        <f>B103*B104</f>
        <v>3500</v>
      </c>
      <c r="C105" s="23" t="s">
        <v>427</v>
      </c>
      <c r="F105" s="105"/>
    </row>
    <row r="106" spans="2:8" ht="14.4" customHeight="1" x14ac:dyDescent="0.3">
      <c r="B106" s="107"/>
      <c r="C106" s="109"/>
      <c r="D106" s="109"/>
      <c r="E106" s="109"/>
      <c r="F106" s="110"/>
    </row>
    <row r="107" spans="2:8" ht="14.4" customHeight="1" x14ac:dyDescent="0.3"/>
    <row r="108" spans="2:8" ht="14.4" customHeight="1" x14ac:dyDescent="0.3"/>
    <row r="109" spans="2:8" ht="14.4" customHeight="1" x14ac:dyDescent="0.3"/>
    <row r="110" spans="2:8" ht="43.2" customHeight="1" x14ac:dyDescent="0.3">
      <c r="B110" s="28" t="s">
        <v>429</v>
      </c>
      <c r="C110" s="20" t="s">
        <v>415</v>
      </c>
      <c r="D110" s="20" t="s">
        <v>416</v>
      </c>
      <c r="E110" s="20" t="s">
        <v>417</v>
      </c>
      <c r="F110" s="20" t="s">
        <v>418</v>
      </c>
      <c r="G110" s="20" t="s">
        <v>419</v>
      </c>
      <c r="H110" s="20" t="s">
        <v>420</v>
      </c>
    </row>
    <row r="111" spans="2:8" ht="14.4" customHeight="1" x14ac:dyDescent="0.3">
      <c r="B111" s="20" t="s">
        <v>421</v>
      </c>
      <c r="C111" s="20">
        <v>7</v>
      </c>
      <c r="D111" s="20">
        <v>250</v>
      </c>
      <c r="E111" s="20">
        <f>(MAX($D$111:$D$114)*2-D111)/10</f>
        <v>55</v>
      </c>
      <c r="F111" s="99">
        <f>SUM(C111,E111)</f>
        <v>62</v>
      </c>
      <c r="G111" s="100">
        <f>F111/$F$115</f>
        <v>0.26105263157894737</v>
      </c>
      <c r="H111" s="3">
        <f>ROUND(G111*$B$119,0)</f>
        <v>209</v>
      </c>
    </row>
    <row r="112" spans="2:8" ht="14.4" customHeight="1" x14ac:dyDescent="0.3">
      <c r="B112" s="20" t="s">
        <v>422</v>
      </c>
      <c r="C112" s="20">
        <v>8.3000000000000007</v>
      </c>
      <c r="D112" s="20">
        <v>300</v>
      </c>
      <c r="E112" s="20">
        <f>(MAX($D$111:$D$114)*2-D112)/10</f>
        <v>50</v>
      </c>
      <c r="F112" s="99">
        <f>SUM(C112,E112)</f>
        <v>58.3</v>
      </c>
      <c r="G112" s="100">
        <f>F112/$F$115</f>
        <v>0.24547368421052632</v>
      </c>
      <c r="H112" s="3">
        <f>ROUND(G112*$B$119,0)</f>
        <v>196</v>
      </c>
    </row>
    <row r="113" spans="1:13" ht="14.4" customHeight="1" x14ac:dyDescent="0.3">
      <c r="B113" s="20" t="s">
        <v>423</v>
      </c>
      <c r="C113" s="20">
        <v>10.199999999999999</v>
      </c>
      <c r="D113" s="20">
        <v>220</v>
      </c>
      <c r="E113" s="20">
        <f>(MAX($D$111:$D$114)*2-D113)/10</f>
        <v>58</v>
      </c>
      <c r="F113" s="99">
        <f>SUM(C113,E113)</f>
        <v>68.2</v>
      </c>
      <c r="G113" s="100">
        <f>F113/$F$115</f>
        <v>0.28715789473684211</v>
      </c>
      <c r="H113" s="3">
        <f>ROUND(G113*$B$119,0)</f>
        <v>230</v>
      </c>
    </row>
    <row r="114" spans="1:13" ht="14.4" customHeight="1" x14ac:dyDescent="0.3">
      <c r="B114" s="20" t="s">
        <v>424</v>
      </c>
      <c r="C114" s="20">
        <v>9</v>
      </c>
      <c r="D114" s="20">
        <v>400</v>
      </c>
      <c r="E114" s="20">
        <f>(MAX($D$111:$D$114)*2-D114)/10</f>
        <v>40</v>
      </c>
      <c r="F114" s="99">
        <f>SUM(C114,E114)</f>
        <v>49</v>
      </c>
      <c r="G114" s="100">
        <f>F114/$F$115</f>
        <v>0.2063157894736842</v>
      </c>
      <c r="H114" s="3">
        <f>ROUND(G114*$B$119,0)</f>
        <v>165</v>
      </c>
    </row>
    <row r="115" spans="1:13" ht="14.4" customHeight="1" x14ac:dyDescent="0.3">
      <c r="B115" s="6"/>
      <c r="E115" s="23" t="s">
        <v>425</v>
      </c>
      <c r="F115" s="104">
        <f>SUM(F111:F114)</f>
        <v>237.5</v>
      </c>
    </row>
    <row r="116" spans="1:13" ht="14.4" customHeight="1" x14ac:dyDescent="0.3">
      <c r="B116" s="6"/>
      <c r="F116" s="105"/>
    </row>
    <row r="117" spans="1:13" ht="14.4" customHeight="1" x14ac:dyDescent="0.3">
      <c r="B117" s="6">
        <v>2000</v>
      </c>
      <c r="C117" s="23" t="s">
        <v>426</v>
      </c>
      <c r="F117" s="105"/>
    </row>
    <row r="118" spans="1:13" ht="14.4" customHeight="1" x14ac:dyDescent="0.3">
      <c r="B118" s="106">
        <v>0.4</v>
      </c>
      <c r="F118" s="105"/>
    </row>
    <row r="119" spans="1:13" ht="14.4" customHeight="1" x14ac:dyDescent="0.3">
      <c r="B119" s="6">
        <f>B117*B118</f>
        <v>800</v>
      </c>
      <c r="C119" s="23" t="s">
        <v>427</v>
      </c>
      <c r="F119" s="105"/>
    </row>
    <row r="120" spans="1:13" ht="14.4" customHeight="1" x14ac:dyDescent="0.3">
      <c r="B120" s="107"/>
      <c r="C120" s="109"/>
      <c r="D120" s="109"/>
      <c r="E120" s="109"/>
      <c r="F120" s="110"/>
    </row>
    <row r="121" spans="1:13" ht="14.4" customHeight="1" x14ac:dyDescent="0.3"/>
    <row r="122" spans="1:13" ht="14.4" customHeight="1" x14ac:dyDescent="0.3"/>
    <row r="123" spans="1:13" ht="21" customHeight="1" x14ac:dyDescent="0.4">
      <c r="A123" s="96" t="s">
        <v>408</v>
      </c>
      <c r="C123" s="97">
        <f>F51*10</f>
        <v>700</v>
      </c>
      <c r="D123" s="97">
        <f>M10*10</f>
        <v>3.75</v>
      </c>
      <c r="E123" s="97" t="e">
        <f>AVERAGE(H65,H68,H71)*10</f>
        <v>#DIV/0!</v>
      </c>
      <c r="F123" s="32">
        <f>B73/10000*10</f>
        <v>3</v>
      </c>
      <c r="G123" s="98" t="e">
        <f>SUM(C123:F123)</f>
        <v>#DIV/0!</v>
      </c>
      <c r="H123" s="26" t="s">
        <v>409</v>
      </c>
    </row>
    <row r="124" spans="1:13" ht="28.8" customHeight="1" x14ac:dyDescent="0.3">
      <c r="C124" s="50" t="s">
        <v>410</v>
      </c>
      <c r="D124" s="50" t="s">
        <v>411</v>
      </c>
      <c r="E124" s="50" t="s">
        <v>412</v>
      </c>
      <c r="F124" s="50" t="s">
        <v>413</v>
      </c>
      <c r="L124" s="127" t="s">
        <v>430</v>
      </c>
      <c r="M124" s="128">
        <v>0.7</v>
      </c>
    </row>
    <row r="125" spans="1:13" ht="14.4" customHeight="1" x14ac:dyDescent="0.3">
      <c r="L125" s="127" t="s">
        <v>431</v>
      </c>
      <c r="M125" s="128">
        <v>0.2</v>
      </c>
    </row>
    <row r="126" spans="1:13" ht="14.4" customHeight="1" x14ac:dyDescent="0.3">
      <c r="L126" s="127" t="s">
        <v>432</v>
      </c>
      <c r="M126" s="128">
        <v>0.1</v>
      </c>
    </row>
    <row r="127" spans="1:13" ht="43.2" customHeight="1" x14ac:dyDescent="0.3">
      <c r="B127" s="129" t="s">
        <v>414</v>
      </c>
      <c r="C127" s="129" t="s">
        <v>416</v>
      </c>
      <c r="D127" s="129" t="s">
        <v>433</v>
      </c>
      <c r="E127" s="129" t="s">
        <v>434</v>
      </c>
      <c r="F127" s="129" t="s">
        <v>435</v>
      </c>
      <c r="G127" s="129" t="s">
        <v>436</v>
      </c>
      <c r="H127" s="129" t="s">
        <v>418</v>
      </c>
      <c r="I127" s="129" t="s">
        <v>419</v>
      </c>
      <c r="J127" s="129" t="s">
        <v>420</v>
      </c>
      <c r="K127" s="130"/>
    </row>
    <row r="128" spans="1:13" ht="14.4" customHeight="1" x14ac:dyDescent="0.3">
      <c r="B128" s="131" t="s">
        <v>421</v>
      </c>
      <c r="C128" s="132">
        <v>40</v>
      </c>
      <c r="D128" s="133">
        <v>7</v>
      </c>
      <c r="E128" s="133">
        <f>ROUND((D128/$D$132)*100,0)</f>
        <v>20</v>
      </c>
      <c r="F128" s="137">
        <f>100*(MAX($C$128:$C$131)-C128)/(MAX($C$128:$C$131)-MIN($C$128:$C$131))</f>
        <v>100</v>
      </c>
      <c r="G128" s="137">
        <f>D128*10</f>
        <v>70</v>
      </c>
      <c r="H128" s="137">
        <f>$M$124*F128+$M$125*G128+$M$126*E128</f>
        <v>86</v>
      </c>
      <c r="I128" s="138">
        <f>H128/$H$132</f>
        <v>0.36909871244635195</v>
      </c>
      <c r="J128" s="137">
        <f>ROUND(I128*$B$136,0)</f>
        <v>1292</v>
      </c>
      <c r="K128" s="130"/>
    </row>
    <row r="129" spans="2:13" ht="14.4" customHeight="1" x14ac:dyDescent="0.3">
      <c r="B129" s="131" t="s">
        <v>422</v>
      </c>
      <c r="C129" s="132">
        <v>45</v>
      </c>
      <c r="D129" s="133">
        <v>8.3000000000000007</v>
      </c>
      <c r="E129" s="133">
        <f>ROUND((D129/$D$132)*100,0)</f>
        <v>24</v>
      </c>
      <c r="F129" s="137">
        <f>100*(MAX($C$128:$C$131)-C129)/(MAX($C$128:$C$131)-MIN($C$128:$C$131))</f>
        <v>0</v>
      </c>
      <c r="G129" s="137">
        <f>D129*10</f>
        <v>83</v>
      </c>
      <c r="H129" s="137">
        <f>$M$124*F129+$M$125*G129+$M$126*E129</f>
        <v>19</v>
      </c>
      <c r="I129" s="138">
        <f>H129/$H$132</f>
        <v>8.15450643776824E-2</v>
      </c>
      <c r="J129" s="137">
        <f>ROUND(I129*$B$136,0)</f>
        <v>285</v>
      </c>
      <c r="K129" s="130"/>
    </row>
    <row r="130" spans="2:13" ht="14.4" customHeight="1" x14ac:dyDescent="0.3">
      <c r="B130" s="131" t="s">
        <v>423</v>
      </c>
      <c r="C130" s="132">
        <v>43</v>
      </c>
      <c r="D130" s="133">
        <v>10.199999999999999</v>
      </c>
      <c r="E130" s="133">
        <f>ROUND((D130/$D$132)*100,0)</f>
        <v>30</v>
      </c>
      <c r="F130" s="137">
        <f>100*(MAX($C$128:$C$131)-C130)/(MAX($C$128:$C$131)-MIN($C$128:$C$131))</f>
        <v>40</v>
      </c>
      <c r="G130" s="137">
        <f>D130*10</f>
        <v>102</v>
      </c>
      <c r="H130" s="137">
        <f>$M$124*F130+$M$125*G130+$M$126*E130</f>
        <v>51.400000000000006</v>
      </c>
      <c r="I130" s="138">
        <f>H130/$H$132</f>
        <v>0.22060085836909873</v>
      </c>
      <c r="J130" s="137">
        <f>ROUND(I130*$B$136,0)</f>
        <v>772</v>
      </c>
      <c r="K130" s="130"/>
    </row>
    <row r="131" spans="2:13" ht="14.4" customHeight="1" x14ac:dyDescent="0.3">
      <c r="B131" s="131" t="s">
        <v>424</v>
      </c>
      <c r="C131" s="132">
        <v>41</v>
      </c>
      <c r="D131" s="133">
        <v>9</v>
      </c>
      <c r="E131" s="133">
        <f>ROUND((D131/$D$132)*100,0)</f>
        <v>26</v>
      </c>
      <c r="F131" s="137">
        <f>100*(MAX($C$128:$C$131)-C131)/(MAX($C$128:$C$131)-MIN($C$128:$C$131))</f>
        <v>80</v>
      </c>
      <c r="G131" s="137">
        <f>D131*10</f>
        <v>90</v>
      </c>
      <c r="H131" s="137">
        <f>$M$124*F131+$M$125*G131+$M$126*E131</f>
        <v>76.599999999999994</v>
      </c>
      <c r="I131" s="138">
        <f>H131/$H$132</f>
        <v>0.3287553648068669</v>
      </c>
      <c r="J131" s="137">
        <f>ROUND(I131*$B$136,0)</f>
        <v>1151</v>
      </c>
      <c r="K131" s="130"/>
    </row>
    <row r="132" spans="2:13" ht="14.4" customHeight="1" x14ac:dyDescent="0.3">
      <c r="B132" s="129"/>
      <c r="C132" s="129" t="s">
        <v>437</v>
      </c>
      <c r="D132" s="129">
        <f>SUM(D128:D131)</f>
        <v>34.5</v>
      </c>
      <c r="E132" s="129"/>
      <c r="F132" s="129"/>
      <c r="G132" s="139" t="s">
        <v>438</v>
      </c>
      <c r="H132" s="137">
        <f>SUM(H128:H131)</f>
        <v>233</v>
      </c>
      <c r="I132" s="129"/>
      <c r="J132" s="129">
        <f>SUM(J128:J131)</f>
        <v>3500</v>
      </c>
      <c r="K132" s="130"/>
    </row>
    <row r="133" spans="2:13" ht="14.4" customHeight="1" x14ac:dyDescent="0.3">
      <c r="B133" s="130"/>
      <c r="C133" s="130"/>
      <c r="D133" s="130"/>
      <c r="E133" s="130"/>
      <c r="F133" s="130"/>
      <c r="G133" s="130"/>
      <c r="H133" s="130"/>
      <c r="I133" s="130"/>
      <c r="J133" s="130"/>
      <c r="K133" s="130"/>
    </row>
    <row r="134" spans="2:13" ht="14.4" customHeight="1" x14ac:dyDescent="0.3">
      <c r="B134" s="129">
        <v>7000</v>
      </c>
      <c r="C134" s="129" t="s">
        <v>439</v>
      </c>
      <c r="D134" s="130"/>
      <c r="E134" s="130"/>
      <c r="F134" s="130"/>
      <c r="G134" s="130"/>
      <c r="H134" s="130"/>
      <c r="I134" s="130"/>
      <c r="J134" s="130"/>
      <c r="K134" s="130"/>
    </row>
    <row r="135" spans="2:13" ht="14.4" customHeight="1" x14ac:dyDescent="0.3">
      <c r="B135" s="140">
        <v>0.5</v>
      </c>
      <c r="C135" s="129"/>
      <c r="D135" s="130"/>
      <c r="E135" s="130"/>
      <c r="F135" s="130"/>
      <c r="G135" s="130"/>
      <c r="H135" s="130"/>
      <c r="I135" s="130"/>
      <c r="J135" s="130"/>
      <c r="K135" s="130"/>
    </row>
    <row r="136" spans="2:13" ht="14.4" customHeight="1" x14ac:dyDescent="0.3">
      <c r="B136" s="129">
        <v>3500</v>
      </c>
      <c r="C136" s="129" t="s">
        <v>440</v>
      </c>
      <c r="D136" s="130"/>
      <c r="E136" s="130"/>
      <c r="F136" s="130"/>
      <c r="G136" s="130"/>
      <c r="H136" s="130"/>
      <c r="I136" s="130"/>
      <c r="J136" s="130"/>
      <c r="K136" s="130"/>
    </row>
    <row r="137" spans="2:13" ht="14.4" customHeight="1" x14ac:dyDescent="0.3">
      <c r="B137" s="130"/>
      <c r="C137" s="130"/>
      <c r="D137" s="130"/>
      <c r="E137" s="130"/>
      <c r="F137" s="130"/>
      <c r="G137" s="130"/>
      <c r="H137" s="130"/>
      <c r="I137" s="130"/>
      <c r="J137" s="130"/>
      <c r="K137" s="130"/>
      <c r="L137" s="127" t="s">
        <v>430</v>
      </c>
      <c r="M137" s="128">
        <v>0.4</v>
      </c>
    </row>
    <row r="138" spans="2:13" ht="14.4" customHeight="1" x14ac:dyDescent="0.3">
      <c r="B138" s="130"/>
      <c r="C138" s="130"/>
      <c r="D138" s="130"/>
      <c r="E138" s="130"/>
      <c r="F138" s="130"/>
      <c r="G138" s="130"/>
      <c r="H138" s="130"/>
      <c r="I138" s="130"/>
      <c r="J138" s="130"/>
      <c r="K138" s="130"/>
      <c r="L138" s="127" t="s">
        <v>431</v>
      </c>
      <c r="M138" s="128">
        <v>0.35</v>
      </c>
    </row>
    <row r="139" spans="2:13" ht="14.4" customHeight="1" x14ac:dyDescent="0.3">
      <c r="B139" s="130"/>
      <c r="C139" s="130"/>
      <c r="D139" s="130"/>
      <c r="E139" s="130"/>
      <c r="F139" s="130"/>
      <c r="G139" s="130"/>
      <c r="H139" s="130"/>
      <c r="I139" s="130"/>
      <c r="J139" s="130"/>
      <c r="K139" s="130"/>
      <c r="L139" s="127" t="s">
        <v>432</v>
      </c>
      <c r="M139" s="128">
        <v>0.25</v>
      </c>
    </row>
    <row r="140" spans="2:13" ht="43.2" customHeight="1" x14ac:dyDescent="0.3">
      <c r="B140" s="129" t="s">
        <v>441</v>
      </c>
      <c r="C140" s="129" t="s">
        <v>416</v>
      </c>
      <c r="D140" s="129" t="s">
        <v>433</v>
      </c>
      <c r="E140" s="129" t="s">
        <v>434</v>
      </c>
      <c r="F140" s="129" t="s">
        <v>435</v>
      </c>
      <c r="G140" s="129" t="s">
        <v>436</v>
      </c>
      <c r="H140" s="129" t="s">
        <v>418</v>
      </c>
      <c r="I140" s="129" t="s">
        <v>419</v>
      </c>
      <c r="J140" s="129" t="s">
        <v>420</v>
      </c>
      <c r="K140" s="130"/>
      <c r="L140" s="127" t="s">
        <v>442</v>
      </c>
      <c r="M140" s="127">
        <v>100</v>
      </c>
    </row>
    <row r="141" spans="2:13" ht="14.4" customHeight="1" x14ac:dyDescent="0.3">
      <c r="B141" s="131" t="s">
        <v>421</v>
      </c>
      <c r="C141" s="132">
        <v>120</v>
      </c>
      <c r="D141" s="133">
        <v>7</v>
      </c>
      <c r="E141" s="133">
        <f>ROUND((D141/$D$132)*100,0)</f>
        <v>20</v>
      </c>
      <c r="F141" s="137">
        <f>100-(ABS(C141-$M$140)/$M$140*100)</f>
        <v>80</v>
      </c>
      <c r="G141" s="137">
        <f>D141*10</f>
        <v>70</v>
      </c>
      <c r="H141" s="137">
        <f>$M$137*F141+$M$138*G141+$M$139*E141</f>
        <v>61.5</v>
      </c>
      <c r="I141" s="138">
        <f>H141/$H$145</f>
        <v>0.30483271375464682</v>
      </c>
      <c r="J141" s="137">
        <f>ROUND(I141*$B$149,0)</f>
        <v>1067</v>
      </c>
      <c r="K141" s="130"/>
    </row>
    <row r="142" spans="2:13" ht="14.4" customHeight="1" x14ac:dyDescent="0.3">
      <c r="B142" s="131" t="s">
        <v>422</v>
      </c>
      <c r="C142" s="132">
        <v>150</v>
      </c>
      <c r="D142" s="133">
        <v>8.3000000000000007</v>
      </c>
      <c r="E142" s="133">
        <f>ROUND((D142/$D$132)*100,0)</f>
        <v>24</v>
      </c>
      <c r="F142" s="137">
        <f>100-(ABS(C142-$M$140)/$M$140*100)</f>
        <v>50</v>
      </c>
      <c r="G142" s="137">
        <f>D142*10</f>
        <v>83</v>
      </c>
      <c r="H142" s="137">
        <f>$M$137*F142+$M$138*G142+$M$139*E142</f>
        <v>55.05</v>
      </c>
      <c r="I142" s="138">
        <f>H142/$H$145</f>
        <v>0.27286245353159849</v>
      </c>
      <c r="J142" s="137">
        <f>ROUND(I142*$B$149,0)</f>
        <v>955</v>
      </c>
      <c r="K142" s="130"/>
    </row>
    <row r="143" spans="2:13" ht="14.4" customHeight="1" x14ac:dyDescent="0.3">
      <c r="B143" s="131" t="s">
        <v>423</v>
      </c>
      <c r="C143" s="132">
        <v>190</v>
      </c>
      <c r="D143" s="133">
        <v>10.199999999999999</v>
      </c>
      <c r="E143" s="133">
        <f>ROUND((D143/$D$132)*100,0)</f>
        <v>30</v>
      </c>
      <c r="F143" s="137">
        <f>100-(ABS(C143-$M$140)/$M$140*100)</f>
        <v>10</v>
      </c>
      <c r="G143" s="137">
        <f>D143*10</f>
        <v>102</v>
      </c>
      <c r="H143" s="137">
        <f>$M$137*F143+$M$138*G143+$M$139*E143</f>
        <v>47.199999999999996</v>
      </c>
      <c r="I143" s="138">
        <f>H143/$H$145</f>
        <v>0.23395291201982649</v>
      </c>
      <c r="J143" s="137">
        <f>ROUND(I143*$B$149,0)</f>
        <v>819</v>
      </c>
      <c r="K143" s="130"/>
    </row>
    <row r="144" spans="2:13" ht="14.4" customHeight="1" x14ac:dyDescent="0.3">
      <c r="B144" s="131" t="s">
        <v>424</v>
      </c>
      <c r="C144" s="132">
        <v>200</v>
      </c>
      <c r="D144" s="133">
        <v>9</v>
      </c>
      <c r="E144" s="133">
        <f>ROUND((D144/$D$132)*100,0)</f>
        <v>26</v>
      </c>
      <c r="F144" s="137">
        <f>100-(ABS(C144-$M$140)/$M$140*100)</f>
        <v>0</v>
      </c>
      <c r="G144" s="137">
        <f>D144*10</f>
        <v>90</v>
      </c>
      <c r="H144" s="137">
        <f>$M$137*F144+$M$138*G144+$M$139*E144</f>
        <v>38</v>
      </c>
      <c r="I144" s="138">
        <f>H144/$H$145</f>
        <v>0.18835192069392812</v>
      </c>
      <c r="J144" s="137">
        <f>ROUND(I144*$B$149,0)</f>
        <v>659</v>
      </c>
      <c r="K144" s="130"/>
    </row>
    <row r="145" spans="2:13" ht="14.4" customHeight="1" x14ac:dyDescent="0.3">
      <c r="B145" s="129"/>
      <c r="C145" s="129" t="s">
        <v>437</v>
      </c>
      <c r="D145" s="129">
        <f>SUM(D141:D144)</f>
        <v>34.5</v>
      </c>
      <c r="E145" s="129"/>
      <c r="F145" s="129"/>
      <c r="G145" s="142" t="s">
        <v>438</v>
      </c>
      <c r="H145" s="143">
        <f>SUM(H141:H144)</f>
        <v>201.75</v>
      </c>
      <c r="I145" s="129"/>
      <c r="J145" s="129">
        <f>SUM(J141:J144)</f>
        <v>3500</v>
      </c>
      <c r="K145" s="130"/>
    </row>
    <row r="146" spans="2:13" ht="14.4" customHeight="1" x14ac:dyDescent="0.3">
      <c r="B146" s="130"/>
      <c r="C146" s="130"/>
      <c r="D146" s="130"/>
      <c r="E146" s="130"/>
      <c r="F146" s="130"/>
      <c r="G146" s="130"/>
      <c r="H146" s="130"/>
      <c r="I146" s="130"/>
      <c r="J146" s="130"/>
      <c r="K146" s="130"/>
    </row>
    <row r="147" spans="2:13" ht="14.4" customHeight="1" x14ac:dyDescent="0.3">
      <c r="B147" s="129">
        <v>5000</v>
      </c>
      <c r="C147" s="129" t="s">
        <v>439</v>
      </c>
      <c r="D147" s="130"/>
      <c r="E147" s="130"/>
      <c r="F147" s="130"/>
      <c r="G147" s="130"/>
      <c r="H147" s="130"/>
      <c r="I147" s="130"/>
      <c r="J147" s="130"/>
      <c r="K147" s="130"/>
    </row>
    <row r="148" spans="2:13" ht="14.4" customHeight="1" x14ac:dyDescent="0.3">
      <c r="B148" s="140">
        <v>0.7</v>
      </c>
      <c r="C148" s="129"/>
      <c r="D148" s="130"/>
      <c r="E148" s="130"/>
      <c r="F148" s="130"/>
      <c r="G148" s="130"/>
      <c r="H148" s="130"/>
      <c r="I148" s="130"/>
      <c r="J148" s="130"/>
    </row>
    <row r="149" spans="2:13" ht="14.4" customHeight="1" x14ac:dyDescent="0.3">
      <c r="B149" s="129">
        <v>3500</v>
      </c>
      <c r="C149" s="129" t="s">
        <v>440</v>
      </c>
      <c r="D149" s="130"/>
      <c r="E149" s="130"/>
      <c r="F149" s="130"/>
      <c r="G149" s="130"/>
      <c r="H149" s="130"/>
      <c r="I149" s="130"/>
      <c r="J149" s="130"/>
    </row>
    <row r="150" spans="2:13" ht="14.4" customHeight="1" x14ac:dyDescent="0.3">
      <c r="L150" s="127" t="s">
        <v>430</v>
      </c>
      <c r="M150" s="128">
        <v>0.1</v>
      </c>
    </row>
    <row r="151" spans="2:13" ht="14.4" customHeight="1" x14ac:dyDescent="0.3">
      <c r="L151" s="127" t="s">
        <v>431</v>
      </c>
      <c r="M151" s="128">
        <v>0.5</v>
      </c>
    </row>
    <row r="152" spans="2:13" ht="14.4" customHeight="1" x14ac:dyDescent="0.3">
      <c r="L152" s="127" t="s">
        <v>432</v>
      </c>
      <c r="M152" s="128">
        <v>0.4</v>
      </c>
    </row>
    <row r="153" spans="2:13" ht="43.2" customHeight="1" x14ac:dyDescent="0.3">
      <c r="B153" s="129" t="s">
        <v>443</v>
      </c>
      <c r="C153" s="129" t="s">
        <v>416</v>
      </c>
      <c r="D153" s="129" t="s">
        <v>433</v>
      </c>
      <c r="E153" s="129" t="s">
        <v>434</v>
      </c>
      <c r="F153" s="129" t="s">
        <v>435</v>
      </c>
      <c r="G153" s="129" t="s">
        <v>436</v>
      </c>
      <c r="H153" s="129" t="s">
        <v>418</v>
      </c>
      <c r="I153" s="129" t="s">
        <v>419</v>
      </c>
      <c r="J153" s="129" t="s">
        <v>420</v>
      </c>
      <c r="L153" s="127" t="s">
        <v>442</v>
      </c>
      <c r="M153" s="127">
        <v>250</v>
      </c>
    </row>
    <row r="154" spans="2:13" ht="14.4" customHeight="1" x14ac:dyDescent="0.3">
      <c r="B154" s="131" t="s">
        <v>421</v>
      </c>
      <c r="C154" s="132">
        <v>250</v>
      </c>
      <c r="D154" s="133">
        <v>7</v>
      </c>
      <c r="E154" s="133">
        <f>ROUND((D154/$D$132)*100,0)</f>
        <v>20</v>
      </c>
      <c r="F154" s="137">
        <f>100-(ABS(C154-$M$153)/$M$153*100)</f>
        <v>100</v>
      </c>
      <c r="G154" s="137">
        <f>D154*10</f>
        <v>70</v>
      </c>
      <c r="H154" s="137">
        <f>$M$150*F154+$M$151*G154+$M$152*E154</f>
        <v>53</v>
      </c>
      <c r="I154" s="138">
        <f>H154/$H$158</f>
        <v>0.21783806000822031</v>
      </c>
      <c r="J154" s="137">
        <f>ROUND(I154*$B$162,0)</f>
        <v>174</v>
      </c>
    </row>
    <row r="155" spans="2:13" ht="14.4" customHeight="1" x14ac:dyDescent="0.3">
      <c r="B155" s="131" t="s">
        <v>422</v>
      </c>
      <c r="C155" s="132">
        <v>300</v>
      </c>
      <c r="D155" s="133">
        <v>8.3000000000000007</v>
      </c>
      <c r="E155" s="133">
        <f>ROUND((D155/$D$132)*100,0)</f>
        <v>24</v>
      </c>
      <c r="F155" s="137">
        <f>100-(ABS(C155-$M$153)/$M$153*100)</f>
        <v>80</v>
      </c>
      <c r="G155" s="137">
        <f>D155*10</f>
        <v>83</v>
      </c>
      <c r="H155" s="137">
        <f>$M$150*F155+$M$151*G155+$M$152*E155</f>
        <v>59.1</v>
      </c>
      <c r="I155" s="138">
        <f>H155/$H$158</f>
        <v>0.2429099876695438</v>
      </c>
      <c r="J155" s="137">
        <f>ROUND(I155*$B$162,0)</f>
        <v>194</v>
      </c>
    </row>
    <row r="156" spans="2:13" ht="14.4" customHeight="1" x14ac:dyDescent="0.3">
      <c r="B156" s="131" t="s">
        <v>423</v>
      </c>
      <c r="C156" s="132">
        <v>220</v>
      </c>
      <c r="D156" s="133">
        <v>10.199999999999999</v>
      </c>
      <c r="E156" s="133">
        <f>ROUND((D156/$D$132)*100,0)</f>
        <v>30</v>
      </c>
      <c r="F156" s="137">
        <f>100-(ABS(C156-$M$153)/$M$153*100)</f>
        <v>88</v>
      </c>
      <c r="G156" s="137">
        <f>D156*10</f>
        <v>102</v>
      </c>
      <c r="H156" s="137">
        <f>$M$150*F156+$M$151*G156+$M$152*E156</f>
        <v>71.8</v>
      </c>
      <c r="I156" s="138">
        <f>H156/$H$158</f>
        <v>0.29510891903000414</v>
      </c>
      <c r="J156" s="137">
        <f>ROUND(I156*$B$162,0)</f>
        <v>236</v>
      </c>
    </row>
    <row r="157" spans="2:13" ht="14.4" customHeight="1" x14ac:dyDescent="0.3">
      <c r="B157" s="131" t="s">
        <v>424</v>
      </c>
      <c r="C157" s="132">
        <v>400</v>
      </c>
      <c r="D157" s="133">
        <v>9</v>
      </c>
      <c r="E157" s="133">
        <f>ROUND((D157/$D$132)*100,0)</f>
        <v>26</v>
      </c>
      <c r="F157" s="137">
        <f>100-(ABS(C157-$M$153)/$M$153*100)</f>
        <v>40</v>
      </c>
      <c r="G157" s="137">
        <f>D157*10</f>
        <v>90</v>
      </c>
      <c r="H157" s="137">
        <f>$M$150*F157+$M$151*G157+$M$152*E157</f>
        <v>59.4</v>
      </c>
      <c r="I157" s="138">
        <f>H157/$H$158</f>
        <v>0.24414303329223183</v>
      </c>
      <c r="J157" s="137">
        <f>ROUND(I157*$B$162,0)</f>
        <v>195</v>
      </c>
    </row>
    <row r="158" spans="2:13" ht="14.4" customHeight="1" x14ac:dyDescent="0.3">
      <c r="B158" s="129"/>
      <c r="C158" s="129" t="s">
        <v>437</v>
      </c>
      <c r="D158" s="129">
        <f>SUM(D154:D157)</f>
        <v>34.5</v>
      </c>
      <c r="E158" s="129"/>
      <c r="F158" s="129"/>
      <c r="G158" s="142" t="s">
        <v>438</v>
      </c>
      <c r="H158" s="143">
        <f>SUM(H154:H157)</f>
        <v>243.29999999999998</v>
      </c>
      <c r="I158" s="129"/>
      <c r="J158" s="129">
        <f>SUM(J154:J157)</f>
        <v>799</v>
      </c>
    </row>
    <row r="159" spans="2:13" ht="14.4" customHeight="1" x14ac:dyDescent="0.3">
      <c r="B159" s="130"/>
      <c r="C159" s="130"/>
      <c r="D159" s="130"/>
      <c r="E159" s="130"/>
      <c r="F159" s="130"/>
      <c r="G159" s="130"/>
      <c r="H159" s="130"/>
      <c r="I159" s="130"/>
      <c r="J159" s="130"/>
    </row>
    <row r="160" spans="2:13" ht="14.4" customHeight="1" x14ac:dyDescent="0.3">
      <c r="B160" s="129">
        <v>2000</v>
      </c>
      <c r="C160" s="129" t="s">
        <v>439</v>
      </c>
      <c r="D160" s="130"/>
      <c r="E160" s="130"/>
      <c r="F160" s="130"/>
      <c r="G160" s="130"/>
      <c r="H160" s="130"/>
      <c r="I160" s="130"/>
      <c r="J160" s="130"/>
    </row>
    <row r="161" spans="2:10" ht="14.4" customHeight="1" x14ac:dyDescent="0.3">
      <c r="B161" s="140">
        <v>0.4</v>
      </c>
      <c r="C161" s="129"/>
      <c r="D161" s="130"/>
      <c r="E161" s="130"/>
      <c r="F161" s="130"/>
      <c r="G161" s="130"/>
      <c r="H161" s="130"/>
      <c r="I161" s="130"/>
      <c r="J161" s="130"/>
    </row>
    <row r="162" spans="2:10" ht="14.4" customHeight="1" x14ac:dyDescent="0.3">
      <c r="B162" s="129">
        <v>800</v>
      </c>
      <c r="C162" s="129" t="s">
        <v>440</v>
      </c>
      <c r="D162" s="130"/>
      <c r="E162" s="130"/>
      <c r="F162" s="130"/>
      <c r="G162" s="130"/>
      <c r="H162" s="130"/>
      <c r="I162" s="130"/>
      <c r="J162" s="130"/>
    </row>
  </sheetData>
  <mergeCells count="1">
    <mergeCell ref="A3:B3"/>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D200"/>
  <sheetViews>
    <sheetView showGridLines="0" workbookViewId="0"/>
  </sheetViews>
  <sheetFormatPr baseColWidth="10" defaultColWidth="14.44140625" defaultRowHeight="15" customHeight="1" x14ac:dyDescent="0.3"/>
  <cols>
    <col min="1" max="1" width="17.5546875" customWidth="1"/>
    <col min="2" max="2" width="20.6640625" customWidth="1"/>
    <col min="3" max="3" width="26" customWidth="1"/>
    <col min="4" max="4" width="18.44140625" customWidth="1"/>
    <col min="5" max="5" width="16.5546875" customWidth="1"/>
    <col min="6" max="6" width="18.88671875" customWidth="1"/>
    <col min="7" max="7" width="17.6640625" customWidth="1"/>
    <col min="8" max="8" width="16.88671875" customWidth="1"/>
    <col min="10" max="10" width="10.6640625" customWidth="1"/>
    <col min="11" max="11" width="20.109375" customWidth="1"/>
    <col min="15" max="15" width="17.44140625" customWidth="1"/>
    <col min="20" max="20" width="18.88671875" customWidth="1"/>
    <col min="24" max="24" width="16.88671875" customWidth="1"/>
    <col min="28" max="28" width="17.5546875" customWidth="1"/>
  </cols>
  <sheetData>
    <row r="1" spans="1:30" ht="23.4" customHeight="1" x14ac:dyDescent="0.45">
      <c r="A1" s="15" t="s">
        <v>358</v>
      </c>
      <c r="S1" s="6"/>
    </row>
    <row r="2" spans="1:30" ht="14.4" customHeight="1" x14ac:dyDescent="0.3">
      <c r="A2" s="24"/>
      <c r="B2" s="24"/>
      <c r="S2" s="6"/>
      <c r="T2" s="36" t="s">
        <v>444</v>
      </c>
    </row>
    <row r="3" spans="1:30" ht="14.4" customHeight="1" x14ac:dyDescent="0.3">
      <c r="A3" s="157" t="s">
        <v>359</v>
      </c>
      <c r="B3" s="156"/>
      <c r="S3" s="6"/>
    </row>
    <row r="4" spans="1:30" ht="28.8" customHeight="1" x14ac:dyDescent="0.3">
      <c r="E4" s="25" t="s">
        <v>360</v>
      </c>
      <c r="F4" s="26" t="s">
        <v>118</v>
      </c>
      <c r="G4" s="26"/>
      <c r="H4" s="26"/>
      <c r="K4" s="27" t="s">
        <v>361</v>
      </c>
      <c r="L4" s="23" t="s">
        <v>362</v>
      </c>
      <c r="M4" s="23" t="s">
        <v>363</v>
      </c>
      <c r="N4" s="23" t="s">
        <v>364</v>
      </c>
      <c r="O4" s="29"/>
      <c r="S4" s="6"/>
      <c r="T4" s="43" t="s">
        <v>445</v>
      </c>
      <c r="U4" s="43" t="s">
        <v>446</v>
      </c>
      <c r="V4" s="43" t="s">
        <v>447</v>
      </c>
      <c r="X4" s="44" t="s">
        <v>448</v>
      </c>
      <c r="Y4" s="44" t="s">
        <v>446</v>
      </c>
      <c r="Z4" s="44" t="s">
        <v>447</v>
      </c>
      <c r="AB4" s="45" t="s">
        <v>449</v>
      </c>
      <c r="AC4" s="47" t="s">
        <v>446</v>
      </c>
      <c r="AD4" s="47" t="s">
        <v>447</v>
      </c>
    </row>
    <row r="5" spans="1:30" ht="14.4" customHeight="1" x14ac:dyDescent="0.3">
      <c r="C5" s="29" t="s">
        <v>365</v>
      </c>
      <c r="E5" s="30">
        <v>6</v>
      </c>
      <c r="F5" s="31">
        <v>1</v>
      </c>
      <c r="G5" s="26"/>
      <c r="H5" s="26"/>
      <c r="I5" s="32">
        <f>E5*F5</f>
        <v>6</v>
      </c>
      <c r="K5" s="23">
        <f>MIN(I8,I14,I20)</f>
        <v>14</v>
      </c>
      <c r="L5" s="23">
        <f>K5*30</f>
        <v>420</v>
      </c>
      <c r="M5" s="33">
        <f>K7+(F7+F13+F19)/100+4%*F21</f>
        <v>0.91</v>
      </c>
      <c r="N5" s="34">
        <f>ROUND(L5*M5,0)</f>
        <v>382</v>
      </c>
      <c r="O5" s="23" t="s">
        <v>366</v>
      </c>
      <c r="S5" s="6"/>
      <c r="T5" s="43" t="s">
        <v>450</v>
      </c>
      <c r="U5" s="51">
        <v>1500</v>
      </c>
      <c r="V5" s="51">
        <v>1500</v>
      </c>
      <c r="X5" s="44" t="s">
        <v>450</v>
      </c>
      <c r="Y5" s="53">
        <v>1500</v>
      </c>
      <c r="Z5" s="53">
        <v>1500</v>
      </c>
      <c r="AB5" s="47" t="s">
        <v>450</v>
      </c>
      <c r="AC5" s="54">
        <v>1500</v>
      </c>
      <c r="AD5" s="54">
        <v>1500</v>
      </c>
    </row>
    <row r="6" spans="1:30" ht="20.25" customHeight="1" x14ac:dyDescent="0.3">
      <c r="C6" s="29" t="s">
        <v>367</v>
      </c>
      <c r="E6" s="30">
        <v>8</v>
      </c>
      <c r="F6" s="31">
        <v>1</v>
      </c>
      <c r="G6" s="26"/>
      <c r="H6" s="26"/>
      <c r="I6" s="32">
        <f>E6*F6</f>
        <v>8</v>
      </c>
      <c r="K6" s="23" t="s">
        <v>368</v>
      </c>
      <c r="S6" s="6"/>
      <c r="T6" s="43" t="s">
        <v>451</v>
      </c>
      <c r="U6" s="51">
        <f>U5*0.09</f>
        <v>135</v>
      </c>
      <c r="V6" s="51">
        <f>V5*0.09</f>
        <v>135</v>
      </c>
      <c r="X6" s="44" t="s">
        <v>451</v>
      </c>
      <c r="Y6" s="53">
        <f>Y5*0.09</f>
        <v>135</v>
      </c>
      <c r="Z6" s="53">
        <f>Z5*0.09</f>
        <v>135</v>
      </c>
      <c r="AB6" s="47" t="s">
        <v>451</v>
      </c>
      <c r="AC6" s="54">
        <f>AC5*0.09</f>
        <v>135</v>
      </c>
      <c r="AD6" s="54">
        <f>AD5*0.09</f>
        <v>135</v>
      </c>
    </row>
    <row r="7" spans="1:30" ht="14.4" customHeight="1" x14ac:dyDescent="0.3">
      <c r="C7" s="29" t="s">
        <v>369</v>
      </c>
      <c r="E7" s="30">
        <v>12</v>
      </c>
      <c r="F7" s="31">
        <v>0</v>
      </c>
      <c r="G7" s="26"/>
      <c r="H7" s="26"/>
      <c r="I7" s="32">
        <f>E7*F7</f>
        <v>0</v>
      </c>
      <c r="K7" s="35">
        <v>0.9</v>
      </c>
      <c r="S7" s="6"/>
      <c r="T7" s="43" t="s">
        <v>452</v>
      </c>
      <c r="U7" s="51">
        <f>U5</f>
        <v>1500</v>
      </c>
      <c r="V7" s="51">
        <f>V5*2</f>
        <v>3000</v>
      </c>
      <c r="X7" s="44" t="s">
        <v>452</v>
      </c>
      <c r="Y7" s="53">
        <f>Y5</f>
        <v>1500</v>
      </c>
      <c r="Z7" s="53">
        <f>Z5*2</f>
        <v>3000</v>
      </c>
      <c r="AB7" s="47" t="s">
        <v>452</v>
      </c>
      <c r="AC7" s="54">
        <f>AC5</f>
        <v>1500</v>
      </c>
      <c r="AD7" s="54">
        <f>AD5*2</f>
        <v>3000</v>
      </c>
    </row>
    <row r="8" spans="1:30" ht="14.4" customHeight="1" x14ac:dyDescent="0.3">
      <c r="A8" s="36" t="s">
        <v>370</v>
      </c>
      <c r="E8" s="32"/>
      <c r="F8" s="26"/>
      <c r="G8" s="37"/>
      <c r="H8" s="37"/>
      <c r="I8" s="38">
        <f>SUM(I5:I7)</f>
        <v>14</v>
      </c>
      <c r="S8" s="6"/>
      <c r="T8" s="43" t="s">
        <v>453</v>
      </c>
      <c r="U8" s="51">
        <v>750</v>
      </c>
      <c r="V8" s="51">
        <v>1500</v>
      </c>
      <c r="X8" s="44" t="s">
        <v>453</v>
      </c>
      <c r="Y8" s="53">
        <v>750</v>
      </c>
      <c r="Z8" s="53">
        <v>1500</v>
      </c>
      <c r="AB8" s="47" t="s">
        <v>453</v>
      </c>
      <c r="AC8" s="54">
        <v>750</v>
      </c>
      <c r="AD8" s="54">
        <v>1500</v>
      </c>
    </row>
    <row r="9" spans="1:30" ht="28.8" customHeight="1" x14ac:dyDescent="0.3">
      <c r="C9" s="23" t="s">
        <v>371</v>
      </c>
      <c r="E9" s="32"/>
      <c r="F9" s="28" t="s">
        <v>372</v>
      </c>
      <c r="G9" s="28" t="s">
        <v>373</v>
      </c>
      <c r="H9" s="28" t="s">
        <v>374</v>
      </c>
      <c r="I9" s="32"/>
      <c r="K9" s="23" t="s">
        <v>375</v>
      </c>
      <c r="L9" s="23">
        <f>SUM(F5:F7,F11:H13,F17:H19)</f>
        <v>7</v>
      </c>
      <c r="S9" s="6"/>
      <c r="T9" s="43" t="s">
        <v>454</v>
      </c>
      <c r="U9" s="51">
        <f>U5/2</f>
        <v>750</v>
      </c>
      <c r="V9" s="51">
        <f>V5</f>
        <v>1500</v>
      </c>
      <c r="X9" s="44" t="s">
        <v>454</v>
      </c>
      <c r="Y9" s="53">
        <f>Y5/2</f>
        <v>750</v>
      </c>
      <c r="Z9" s="53">
        <f>Z5</f>
        <v>1500</v>
      </c>
      <c r="AB9" s="47" t="s">
        <v>454</v>
      </c>
      <c r="AC9" s="54">
        <f>AC5/2</f>
        <v>750</v>
      </c>
      <c r="AD9" s="54">
        <f>AD5</f>
        <v>1500</v>
      </c>
    </row>
    <row r="10" spans="1:30" ht="14.4" customHeight="1" x14ac:dyDescent="0.3">
      <c r="A10" s="29"/>
      <c r="B10" s="23"/>
      <c r="C10" s="23"/>
      <c r="E10" s="32"/>
      <c r="F10" s="40">
        <v>1</v>
      </c>
      <c r="G10" s="40">
        <v>1.2</v>
      </c>
      <c r="H10" s="40">
        <v>1.5</v>
      </c>
      <c r="I10" s="32"/>
      <c r="K10" s="23" t="s">
        <v>376</v>
      </c>
      <c r="L10" s="23">
        <f>SUM(F7,F13:H13,F19:H19)</f>
        <v>2</v>
      </c>
      <c r="M10" s="42">
        <f>L10/L9</f>
        <v>0.2857142857142857</v>
      </c>
      <c r="S10" s="6"/>
      <c r="T10" s="43" t="s">
        <v>455</v>
      </c>
      <c r="U10" s="51">
        <f>SUM(U6:U9)+U5*12</f>
        <v>21135</v>
      </c>
      <c r="V10" s="51">
        <f>SUM(V6:V9)+V5*12</f>
        <v>24135</v>
      </c>
      <c r="X10" s="44" t="s">
        <v>455</v>
      </c>
      <c r="Y10" s="53">
        <f>SUM(Y6:Y9)+Y5*12</f>
        <v>21135</v>
      </c>
      <c r="Z10" s="53">
        <f>SUM(Z6:Z9)+Z5*12</f>
        <v>24135</v>
      </c>
      <c r="AB10" s="47" t="s">
        <v>455</v>
      </c>
      <c r="AC10" s="54">
        <f>SUM(AC6:AC9)+AC5*12</f>
        <v>21135</v>
      </c>
      <c r="AD10" s="54">
        <f>SUM(AD6:AD9)+AD5*12</f>
        <v>24135</v>
      </c>
    </row>
    <row r="11" spans="1:30" ht="14.4" customHeight="1" x14ac:dyDescent="0.3">
      <c r="A11" s="29"/>
      <c r="C11" s="23" t="s">
        <v>377</v>
      </c>
      <c r="E11" s="30">
        <v>6</v>
      </c>
      <c r="F11" s="31"/>
      <c r="G11" s="31"/>
      <c r="H11" s="31">
        <v>1</v>
      </c>
      <c r="I11" s="32">
        <f>SUM(F11*E11*$F$10,G11*E11*$G$10,H11*E11*$H$10)</f>
        <v>9</v>
      </c>
      <c r="S11" s="6"/>
      <c r="T11" s="43" t="s">
        <v>456</v>
      </c>
      <c r="U11" s="51">
        <f>U10/12.5</f>
        <v>1690.8</v>
      </c>
      <c r="V11" s="51">
        <f>V10/13</f>
        <v>1856.5384615384614</v>
      </c>
      <c r="X11" s="44" t="s">
        <v>456</v>
      </c>
      <c r="Y11" s="53">
        <f>Y10/12.5</f>
        <v>1690.8</v>
      </c>
      <c r="Z11" s="53">
        <f>Z10/13</f>
        <v>1856.5384615384614</v>
      </c>
      <c r="AB11" s="47" t="s">
        <v>456</v>
      </c>
      <c r="AC11" s="54">
        <f>AC10/12.5</f>
        <v>1690.8</v>
      </c>
      <c r="AD11" s="54">
        <f>AD10/13</f>
        <v>1856.5384615384614</v>
      </c>
    </row>
    <row r="12" spans="1:30" ht="14.4" customHeight="1" x14ac:dyDescent="0.3">
      <c r="A12" s="29"/>
      <c r="C12" s="23" t="s">
        <v>378</v>
      </c>
      <c r="E12" s="30">
        <v>8</v>
      </c>
      <c r="F12" s="31">
        <v>1</v>
      </c>
      <c r="G12" s="31"/>
      <c r="H12" s="31"/>
      <c r="I12" s="32">
        <f>SUM(F12*E12*$F$10,G12*E12*$G$10,H12*E12*$H$10)</f>
        <v>8</v>
      </c>
      <c r="S12" s="6"/>
    </row>
    <row r="13" spans="1:30" ht="28.8" customHeight="1" x14ac:dyDescent="0.3">
      <c r="A13" s="29"/>
      <c r="C13" s="23" t="s">
        <v>379</v>
      </c>
      <c r="E13" s="30">
        <v>12</v>
      </c>
      <c r="F13" s="31"/>
      <c r="G13" s="31">
        <v>1</v>
      </c>
      <c r="H13" s="31"/>
      <c r="I13" s="32">
        <f>SUM(F13*E13*$F$10,G13*E13*$G$10,H13*E13*$H$10)</f>
        <v>14.399999999999999</v>
      </c>
      <c r="S13" s="6"/>
      <c r="T13" s="83" t="s">
        <v>457</v>
      </c>
      <c r="U13" s="43" t="s">
        <v>446</v>
      </c>
      <c r="V13" s="43" t="s">
        <v>447</v>
      </c>
      <c r="X13" s="84" t="s">
        <v>458</v>
      </c>
      <c r="Y13" s="44" t="s">
        <v>446</v>
      </c>
      <c r="Z13" s="44" t="s">
        <v>447</v>
      </c>
      <c r="AB13" s="45" t="s">
        <v>459</v>
      </c>
      <c r="AC13" s="47" t="s">
        <v>446</v>
      </c>
      <c r="AD13" s="47" t="s">
        <v>447</v>
      </c>
    </row>
    <row r="14" spans="1:30" ht="14.4" customHeight="1" x14ac:dyDescent="0.3">
      <c r="A14" s="36" t="s">
        <v>380</v>
      </c>
      <c r="E14" s="32"/>
      <c r="F14" s="26"/>
      <c r="G14" s="37"/>
      <c r="H14" s="37"/>
      <c r="I14" s="38">
        <f>SUM(I11:I13)</f>
        <v>31.4</v>
      </c>
      <c r="S14" s="6"/>
      <c r="T14" s="43" t="s">
        <v>450</v>
      </c>
      <c r="U14" s="51">
        <v>2000</v>
      </c>
      <c r="V14" s="51">
        <v>2000</v>
      </c>
      <c r="X14" s="44" t="s">
        <v>450</v>
      </c>
      <c r="Y14" s="53">
        <v>2800</v>
      </c>
      <c r="Z14" s="53">
        <v>2800</v>
      </c>
      <c r="AB14" s="47" t="s">
        <v>450</v>
      </c>
      <c r="AC14" s="54">
        <v>2800</v>
      </c>
      <c r="AD14" s="54">
        <v>2800</v>
      </c>
    </row>
    <row r="15" spans="1:30" ht="18" customHeight="1" x14ac:dyDescent="0.3">
      <c r="C15" s="23" t="s">
        <v>371</v>
      </c>
      <c r="E15" s="46"/>
      <c r="F15" s="28" t="s">
        <v>372</v>
      </c>
      <c r="G15" s="28" t="s">
        <v>373</v>
      </c>
      <c r="H15" s="28" t="s">
        <v>374</v>
      </c>
      <c r="I15" s="32"/>
      <c r="S15" s="6"/>
      <c r="T15" s="43" t="s">
        <v>451</v>
      </c>
      <c r="U15" s="51">
        <f>U14*0.09</f>
        <v>180</v>
      </c>
      <c r="V15" s="51">
        <f>V14*0.09</f>
        <v>180</v>
      </c>
      <c r="X15" s="44" t="s">
        <v>451</v>
      </c>
      <c r="Y15" s="53">
        <f>Y14*0.09</f>
        <v>252</v>
      </c>
      <c r="Z15" s="53">
        <f>Z14*0.09</f>
        <v>252</v>
      </c>
      <c r="AB15" s="47" t="s">
        <v>451</v>
      </c>
      <c r="AC15" s="54">
        <f>AC14*0.09</f>
        <v>252</v>
      </c>
      <c r="AD15" s="54">
        <f>AD14*0.09</f>
        <v>252</v>
      </c>
    </row>
    <row r="16" spans="1:30" ht="14.4" customHeight="1" x14ac:dyDescent="0.3">
      <c r="A16" s="29"/>
      <c r="C16" s="23"/>
      <c r="E16" s="32"/>
      <c r="F16" s="40">
        <v>1</v>
      </c>
      <c r="G16" s="40">
        <v>1.2</v>
      </c>
      <c r="H16" s="40">
        <v>1.5</v>
      </c>
      <c r="I16" s="32"/>
      <c r="S16" s="6"/>
      <c r="T16" s="43" t="s">
        <v>452</v>
      </c>
      <c r="U16" s="51">
        <f>U14</f>
        <v>2000</v>
      </c>
      <c r="V16" s="51">
        <f>V14*2</f>
        <v>4000</v>
      </c>
      <c r="X16" s="44" t="s">
        <v>452</v>
      </c>
      <c r="Y16" s="53">
        <f>Y14</f>
        <v>2800</v>
      </c>
      <c r="Z16" s="53">
        <f>Z14*2</f>
        <v>5600</v>
      </c>
      <c r="AB16" s="47" t="s">
        <v>452</v>
      </c>
      <c r="AC16" s="54">
        <f>AC14</f>
        <v>2800</v>
      </c>
      <c r="AD16" s="54">
        <f>AD14*2</f>
        <v>5600</v>
      </c>
    </row>
    <row r="17" spans="1:30" ht="14.4" customHeight="1" x14ac:dyDescent="0.3">
      <c r="A17" s="29"/>
      <c r="C17" s="23" t="s">
        <v>377</v>
      </c>
      <c r="E17" s="30">
        <v>6</v>
      </c>
      <c r="F17" s="31"/>
      <c r="G17" s="31"/>
      <c r="H17" s="31"/>
      <c r="I17" s="32">
        <f>SUM(F17*E17*$F$16,G17*E17*$G$16,H17*E17*$H$16)</f>
        <v>0</v>
      </c>
      <c r="S17" s="6"/>
      <c r="T17" s="43" t="s">
        <v>453</v>
      </c>
      <c r="U17" s="51">
        <f>U14/2</f>
        <v>1000</v>
      </c>
      <c r="V17" s="51">
        <f>V14</f>
        <v>2000</v>
      </c>
      <c r="X17" s="44" t="s">
        <v>453</v>
      </c>
      <c r="Y17" s="53">
        <v>750</v>
      </c>
      <c r="Z17" s="53">
        <v>1500</v>
      </c>
      <c r="AB17" s="47" t="s">
        <v>453</v>
      </c>
      <c r="AC17" s="54">
        <v>750</v>
      </c>
      <c r="AD17" s="54">
        <v>1500</v>
      </c>
    </row>
    <row r="18" spans="1:30" ht="14.4" customHeight="1" x14ac:dyDescent="0.3">
      <c r="A18" s="29"/>
      <c r="C18" s="23" t="s">
        <v>378</v>
      </c>
      <c r="E18" s="30">
        <v>8</v>
      </c>
      <c r="F18" s="31"/>
      <c r="G18" s="31"/>
      <c r="H18" s="31">
        <v>1</v>
      </c>
      <c r="I18" s="32">
        <f>SUM(F18*E18*$F$16,G18*E18*$G$16,H18*E18*$H$16)</f>
        <v>12</v>
      </c>
      <c r="S18" s="6"/>
      <c r="T18" s="43" t="s">
        <v>454</v>
      </c>
      <c r="U18" s="51">
        <f>U14/2</f>
        <v>1000</v>
      </c>
      <c r="V18" s="51">
        <f>V14</f>
        <v>2000</v>
      </c>
      <c r="X18" s="44" t="s">
        <v>454</v>
      </c>
      <c r="Y18" s="53">
        <f>Y14/2</f>
        <v>1400</v>
      </c>
      <c r="Z18" s="53">
        <f>Z14</f>
        <v>2800</v>
      </c>
      <c r="AB18" s="47" t="s">
        <v>454</v>
      </c>
      <c r="AC18" s="54">
        <f>AC14/2</f>
        <v>1400</v>
      </c>
      <c r="AD18" s="54">
        <f>AD14</f>
        <v>2800</v>
      </c>
    </row>
    <row r="19" spans="1:30" ht="14.4" customHeight="1" x14ac:dyDescent="0.3">
      <c r="A19" s="29"/>
      <c r="C19" s="23" t="s">
        <v>379</v>
      </c>
      <c r="E19" s="30">
        <v>12</v>
      </c>
      <c r="F19" s="31">
        <v>1</v>
      </c>
      <c r="G19" s="31"/>
      <c r="H19" s="31"/>
      <c r="I19" s="32">
        <f>SUM(F19*E19*$F$16,G19*E19*$G$16,H19*E19*$H$16)</f>
        <v>12</v>
      </c>
      <c r="S19" s="6"/>
      <c r="T19" s="43" t="s">
        <v>455</v>
      </c>
      <c r="U19" s="51">
        <f>SUM(U15:U18)+U14*12</f>
        <v>28180</v>
      </c>
      <c r="V19" s="51">
        <f>SUM(V15:V18)+V14*12</f>
        <v>32180</v>
      </c>
      <c r="X19" s="44" t="s">
        <v>455</v>
      </c>
      <c r="Y19" s="53">
        <f>SUM(Y15:Y18)+Y14*12</f>
        <v>38802</v>
      </c>
      <c r="Z19" s="53">
        <f>SUM(Z15:Z18)+Z14*12</f>
        <v>43752</v>
      </c>
      <c r="AB19" s="47" t="s">
        <v>455</v>
      </c>
      <c r="AC19" s="54">
        <f>SUM(AC15:AC18)+AC14*12</f>
        <v>38802</v>
      </c>
      <c r="AD19" s="54">
        <f>SUM(AD15:AD18)+AD14*12</f>
        <v>43752</v>
      </c>
    </row>
    <row r="20" spans="1:30" ht="14.4" customHeight="1" x14ac:dyDescent="0.3">
      <c r="G20" s="43"/>
      <c r="H20" s="43"/>
      <c r="I20" s="38">
        <f>SUM(I17:I19)</f>
        <v>24</v>
      </c>
      <c r="S20" s="6"/>
      <c r="T20" s="43" t="s">
        <v>456</v>
      </c>
      <c r="U20" s="51">
        <f>U19/12.5</f>
        <v>2254.4</v>
      </c>
      <c r="V20" s="51">
        <f>V19/13</f>
        <v>2475.3846153846152</v>
      </c>
      <c r="X20" s="44" t="s">
        <v>456</v>
      </c>
      <c r="Y20" s="53">
        <f>Y19/12.5</f>
        <v>3104.16</v>
      </c>
      <c r="Z20" s="53">
        <f>Z19/13</f>
        <v>3365.5384615384614</v>
      </c>
      <c r="AB20" s="47" t="s">
        <v>456</v>
      </c>
      <c r="AC20" s="54">
        <f>AC19/12.5</f>
        <v>3104.16</v>
      </c>
      <c r="AD20" s="54">
        <f>AD19/13</f>
        <v>3365.5384615384614</v>
      </c>
    </row>
    <row r="21" spans="1:30" ht="14.4" customHeight="1" x14ac:dyDescent="0.3">
      <c r="A21" s="23" t="s">
        <v>381</v>
      </c>
      <c r="F21" s="48">
        <v>0</v>
      </c>
      <c r="S21" s="6"/>
    </row>
    <row r="22" spans="1:30" ht="28.8" customHeight="1" x14ac:dyDescent="0.3">
      <c r="S22" s="6"/>
      <c r="T22" s="43" t="s">
        <v>460</v>
      </c>
      <c r="U22" s="43" t="s">
        <v>446</v>
      </c>
      <c r="V22" s="43" t="s">
        <v>447</v>
      </c>
      <c r="X22" s="84" t="s">
        <v>461</v>
      </c>
      <c r="Y22" s="44" t="s">
        <v>446</v>
      </c>
      <c r="Z22" s="44" t="s">
        <v>447</v>
      </c>
      <c r="AB22" s="45" t="s">
        <v>462</v>
      </c>
      <c r="AC22" s="47" t="s">
        <v>446</v>
      </c>
      <c r="AD22" s="47" t="s">
        <v>447</v>
      </c>
    </row>
    <row r="23" spans="1:30" ht="14.4" customHeight="1" x14ac:dyDescent="0.3">
      <c r="B23" s="23" t="s">
        <v>382</v>
      </c>
      <c r="S23" s="6"/>
      <c r="T23" s="43" t="s">
        <v>450</v>
      </c>
      <c r="U23" s="51">
        <v>3800</v>
      </c>
      <c r="V23" s="51">
        <v>3800</v>
      </c>
      <c r="X23" s="44" t="s">
        <v>450</v>
      </c>
      <c r="Y23" s="53">
        <v>4500</v>
      </c>
      <c r="Z23" s="53">
        <v>4500</v>
      </c>
      <c r="AB23" s="47" t="s">
        <v>450</v>
      </c>
      <c r="AC23" s="54">
        <v>4500</v>
      </c>
      <c r="AD23" s="54">
        <v>4500</v>
      </c>
    </row>
    <row r="24" spans="1:30" ht="14.4" customHeight="1" x14ac:dyDescent="0.3">
      <c r="S24" s="6"/>
      <c r="T24" s="43" t="s">
        <v>451</v>
      </c>
      <c r="U24" s="51">
        <f>U23*0.09</f>
        <v>342</v>
      </c>
      <c r="V24" s="51">
        <f>V23*0.09</f>
        <v>342</v>
      </c>
      <c r="X24" s="44" t="s">
        <v>451</v>
      </c>
      <c r="Y24" s="53">
        <f>Y23*0.09</f>
        <v>405</v>
      </c>
      <c r="Z24" s="53">
        <f>Z23*0.09</f>
        <v>405</v>
      </c>
      <c r="AB24" s="47" t="s">
        <v>451</v>
      </c>
      <c r="AC24" s="54">
        <f>AC23*0.09</f>
        <v>405</v>
      </c>
      <c r="AD24" s="54">
        <f>AD23*0.09</f>
        <v>405</v>
      </c>
    </row>
    <row r="25" spans="1:30" ht="22.2" customHeight="1" x14ac:dyDescent="0.45">
      <c r="A25" s="49" t="s">
        <v>383</v>
      </c>
      <c r="S25" s="6"/>
      <c r="T25" s="43" t="s">
        <v>452</v>
      </c>
      <c r="U25" s="51">
        <f>U23</f>
        <v>3800</v>
      </c>
      <c r="V25" s="51">
        <f>V23*2</f>
        <v>7600</v>
      </c>
      <c r="X25" s="44" t="s">
        <v>452</v>
      </c>
      <c r="Y25" s="53">
        <f>Y23</f>
        <v>4500</v>
      </c>
      <c r="Z25" s="53">
        <f>Z23*2</f>
        <v>9000</v>
      </c>
      <c r="AB25" s="47" t="s">
        <v>452</v>
      </c>
      <c r="AC25" s="54">
        <f>AC23</f>
        <v>4500</v>
      </c>
      <c r="AD25" s="54">
        <f>AD23*2</f>
        <v>9000</v>
      </c>
    </row>
    <row r="26" spans="1:30" ht="14.4" customHeight="1" x14ac:dyDescent="0.3">
      <c r="S26" s="6"/>
      <c r="T26" s="43" t="s">
        <v>453</v>
      </c>
      <c r="U26" s="51">
        <v>750</v>
      </c>
      <c r="V26" s="51">
        <v>1500</v>
      </c>
      <c r="X26" s="44" t="s">
        <v>453</v>
      </c>
      <c r="Y26" s="53">
        <v>750</v>
      </c>
      <c r="Z26" s="53">
        <v>1500</v>
      </c>
      <c r="AB26" s="47" t="s">
        <v>453</v>
      </c>
      <c r="AC26" s="54">
        <v>750</v>
      </c>
      <c r="AD26" s="54">
        <v>1500</v>
      </c>
    </row>
    <row r="27" spans="1:30" ht="24" customHeight="1" x14ac:dyDescent="0.3">
      <c r="A27" s="50"/>
      <c r="B27" s="50"/>
      <c r="C27" s="50"/>
      <c r="D27" s="52" t="s">
        <v>204</v>
      </c>
      <c r="E27" s="52" t="s">
        <v>204</v>
      </c>
      <c r="F27" s="52" t="s">
        <v>204</v>
      </c>
      <c r="G27" s="55" t="s">
        <v>215</v>
      </c>
      <c r="H27" s="55" t="s">
        <v>215</v>
      </c>
      <c r="I27" s="56" t="s">
        <v>222</v>
      </c>
      <c r="J27" s="56" t="s">
        <v>222</v>
      </c>
      <c r="K27" s="56" t="s">
        <v>222</v>
      </c>
      <c r="L27" s="50"/>
      <c r="M27" s="50"/>
      <c r="N27" s="50"/>
      <c r="O27" s="50"/>
      <c r="P27" s="50"/>
      <c r="Q27" s="50"/>
      <c r="R27" s="50"/>
      <c r="S27" s="101"/>
      <c r="T27" s="43" t="s">
        <v>454</v>
      </c>
      <c r="U27" s="51">
        <f>U23/2</f>
        <v>1900</v>
      </c>
      <c r="V27" s="51">
        <f>V23</f>
        <v>3800</v>
      </c>
      <c r="W27" s="50"/>
      <c r="X27" s="44" t="s">
        <v>454</v>
      </c>
      <c r="Y27" s="53">
        <f>Y23/2</f>
        <v>2250</v>
      </c>
      <c r="Z27" s="53">
        <f>Z23</f>
        <v>4500</v>
      </c>
      <c r="AA27" s="50"/>
      <c r="AB27" s="47" t="s">
        <v>454</v>
      </c>
      <c r="AC27" s="54">
        <f>AC23/2</f>
        <v>2250</v>
      </c>
      <c r="AD27" s="54">
        <f>AD23</f>
        <v>4500</v>
      </c>
    </row>
    <row r="28" spans="1:30" ht="12.75" customHeight="1" x14ac:dyDescent="0.3">
      <c r="A28" s="50"/>
      <c r="B28" s="50"/>
      <c r="C28" s="50"/>
      <c r="D28" s="57" t="s">
        <v>205</v>
      </c>
      <c r="E28" s="57" t="s">
        <v>209</v>
      </c>
      <c r="F28" s="57" t="s">
        <v>212</v>
      </c>
      <c r="G28" s="57" t="s">
        <v>216</v>
      </c>
      <c r="H28" s="57" t="s">
        <v>219</v>
      </c>
      <c r="I28" s="57" t="s">
        <v>223</v>
      </c>
      <c r="J28" s="57" t="s">
        <v>226</v>
      </c>
      <c r="K28" s="57" t="s">
        <v>229</v>
      </c>
      <c r="L28" s="50"/>
      <c r="M28" s="50"/>
      <c r="N28" s="50"/>
      <c r="O28" s="50"/>
      <c r="P28" s="50"/>
      <c r="Q28" s="50"/>
      <c r="R28" s="50"/>
      <c r="S28" s="101"/>
      <c r="T28" s="43" t="s">
        <v>455</v>
      </c>
      <c r="U28" s="51">
        <f>SUM(U24:U27)+U23*12</f>
        <v>52392</v>
      </c>
      <c r="V28" s="51">
        <f>SUM(V24:V27)+V23*12</f>
        <v>58842</v>
      </c>
      <c r="W28" s="50"/>
      <c r="X28" s="44" t="s">
        <v>455</v>
      </c>
      <c r="Y28" s="53">
        <f>SUM(Y24:Y27)+Y23*12</f>
        <v>61905</v>
      </c>
      <c r="Z28" s="53">
        <f>SUM(Z24:Z27)+Z23*12</f>
        <v>69405</v>
      </c>
      <c r="AA28" s="50"/>
      <c r="AB28" s="47" t="s">
        <v>455</v>
      </c>
      <c r="AC28" s="54">
        <f>SUM(AC24:AC27)+AC23*12</f>
        <v>61905</v>
      </c>
      <c r="AD28" s="54">
        <f>SUM(AD24:AD27)+AD23*12</f>
        <v>69405</v>
      </c>
    </row>
    <row r="29" spans="1:30" ht="19.5" customHeight="1" x14ac:dyDescent="0.3">
      <c r="A29" s="50"/>
      <c r="B29" s="50"/>
      <c r="C29" s="28" t="s">
        <v>385</v>
      </c>
      <c r="D29" s="28" t="s">
        <v>386</v>
      </c>
      <c r="E29" s="28" t="s">
        <v>387</v>
      </c>
      <c r="F29" s="28" t="s">
        <v>387</v>
      </c>
      <c r="G29" s="28" t="s">
        <v>388</v>
      </c>
      <c r="H29" s="28" t="s">
        <v>388</v>
      </c>
      <c r="I29" s="28" t="s">
        <v>389</v>
      </c>
      <c r="J29" s="28" t="s">
        <v>389</v>
      </c>
      <c r="K29" s="28" t="s">
        <v>389</v>
      </c>
      <c r="L29" s="50"/>
      <c r="M29" s="59"/>
      <c r="N29" s="60"/>
      <c r="O29" s="50"/>
      <c r="P29" s="50"/>
      <c r="Q29" s="50"/>
      <c r="R29" s="50"/>
      <c r="S29" s="101"/>
      <c r="T29" s="43" t="s">
        <v>456</v>
      </c>
      <c r="U29" s="51">
        <f>U28/12.5</f>
        <v>4191.3599999999997</v>
      </c>
      <c r="V29" s="51">
        <f>V28/13</f>
        <v>4526.3076923076924</v>
      </c>
      <c r="W29" s="50"/>
      <c r="X29" s="44" t="s">
        <v>456</v>
      </c>
      <c r="Y29" s="53">
        <f>Y28/12.5</f>
        <v>4952.3999999999996</v>
      </c>
      <c r="Z29" s="53">
        <f>Z28/13</f>
        <v>5338.8461538461543</v>
      </c>
      <c r="AA29" s="50"/>
      <c r="AB29" s="47" t="s">
        <v>456</v>
      </c>
      <c r="AC29" s="54">
        <f>AC28/12.5</f>
        <v>4952.3999999999996</v>
      </c>
      <c r="AD29" s="54">
        <f>AD28/13</f>
        <v>5338.8461538461543</v>
      </c>
    </row>
    <row r="30" spans="1:30" ht="40.5" customHeight="1" x14ac:dyDescent="0.3">
      <c r="C30" s="28" t="s">
        <v>390</v>
      </c>
      <c r="D30" s="20" t="s">
        <v>391</v>
      </c>
      <c r="E30" s="20" t="s">
        <v>391</v>
      </c>
      <c r="F30" s="20" t="s">
        <v>391</v>
      </c>
      <c r="G30" s="20" t="s">
        <v>392</v>
      </c>
      <c r="H30" s="20" t="s">
        <v>392</v>
      </c>
      <c r="I30" s="20" t="s">
        <v>393</v>
      </c>
      <c r="J30" s="20" t="s">
        <v>393</v>
      </c>
      <c r="K30" s="20" t="s">
        <v>393</v>
      </c>
      <c r="S30" s="6"/>
    </row>
    <row r="31" spans="1:30" ht="14.4" customHeight="1" x14ac:dyDescent="0.3">
      <c r="B31" s="23" t="s">
        <v>463</v>
      </c>
      <c r="C31" s="113" t="s">
        <v>464</v>
      </c>
      <c r="D31" s="114">
        <v>60</v>
      </c>
      <c r="E31" s="114">
        <v>55</v>
      </c>
      <c r="F31" s="114">
        <v>15</v>
      </c>
      <c r="G31" s="114">
        <v>200</v>
      </c>
      <c r="H31" s="114">
        <v>190</v>
      </c>
      <c r="I31" s="114">
        <v>0</v>
      </c>
      <c r="J31" s="114">
        <v>6</v>
      </c>
      <c r="K31" s="114">
        <v>7</v>
      </c>
      <c r="S31" s="6"/>
    </row>
    <row r="32" spans="1:30" ht="14.4" customHeight="1" x14ac:dyDescent="0.3">
      <c r="C32" s="115" t="s">
        <v>465</v>
      </c>
      <c r="D32" s="116">
        <v>1</v>
      </c>
      <c r="E32" s="116">
        <v>2</v>
      </c>
      <c r="F32" s="116">
        <v>2</v>
      </c>
      <c r="G32" s="116">
        <v>1</v>
      </c>
      <c r="H32" s="116">
        <v>1</v>
      </c>
      <c r="I32" s="116">
        <v>270</v>
      </c>
      <c r="J32" s="116">
        <v>250</v>
      </c>
      <c r="K32" s="116">
        <v>200</v>
      </c>
      <c r="S32" s="6"/>
      <c r="T32" s="117" t="s">
        <v>57</v>
      </c>
      <c r="U32" s="117" t="s">
        <v>446</v>
      </c>
      <c r="V32" s="117" t="s">
        <v>447</v>
      </c>
      <c r="X32" s="118" t="s">
        <v>466</v>
      </c>
      <c r="Y32" s="118" t="s">
        <v>446</v>
      </c>
      <c r="Z32" s="118" t="s">
        <v>447</v>
      </c>
      <c r="AB32" s="119" t="s">
        <v>467</v>
      </c>
      <c r="AC32" s="119" t="s">
        <v>446</v>
      </c>
      <c r="AD32" s="119" t="s">
        <v>447</v>
      </c>
    </row>
    <row r="33" spans="3:30" ht="14.4" customHeight="1" x14ac:dyDescent="0.3">
      <c r="C33" s="115"/>
      <c r="D33" s="63">
        <f t="shared" ref="D33:K33" si="0">D31*D32</f>
        <v>60</v>
      </c>
      <c r="E33" s="63">
        <f t="shared" si="0"/>
        <v>110</v>
      </c>
      <c r="F33" s="63">
        <f t="shared" si="0"/>
        <v>30</v>
      </c>
      <c r="G33" s="63">
        <f t="shared" si="0"/>
        <v>200</v>
      </c>
      <c r="H33" s="63">
        <f t="shared" si="0"/>
        <v>190</v>
      </c>
      <c r="I33" s="63">
        <f t="shared" si="0"/>
        <v>0</v>
      </c>
      <c r="J33" s="63">
        <f t="shared" si="0"/>
        <v>1500</v>
      </c>
      <c r="K33" s="63">
        <f t="shared" si="0"/>
        <v>1400</v>
      </c>
      <c r="S33" s="6"/>
      <c r="T33" s="117" t="s">
        <v>450</v>
      </c>
      <c r="U33" s="120">
        <v>3000</v>
      </c>
      <c r="V33" s="120">
        <v>3000</v>
      </c>
      <c r="X33" s="118" t="s">
        <v>450</v>
      </c>
      <c r="Y33" s="121">
        <v>600</v>
      </c>
      <c r="Z33" s="121">
        <v>600</v>
      </c>
      <c r="AB33" s="119" t="s">
        <v>468</v>
      </c>
      <c r="AC33" s="122">
        <v>2000</v>
      </c>
      <c r="AD33" s="122">
        <v>2000</v>
      </c>
    </row>
    <row r="34" spans="3:30" ht="14.4" customHeight="1" x14ac:dyDescent="0.3">
      <c r="S34" s="6"/>
      <c r="T34" s="117" t="s">
        <v>451</v>
      </c>
      <c r="U34" s="120">
        <f>U33*0.09</f>
        <v>270</v>
      </c>
      <c r="V34" s="120">
        <f>V33*0.09</f>
        <v>270</v>
      </c>
      <c r="X34" s="118" t="s">
        <v>451</v>
      </c>
      <c r="Y34" s="121">
        <f>Y33*0.09</f>
        <v>54</v>
      </c>
      <c r="Z34" s="121">
        <f>Z33*0.09</f>
        <v>54</v>
      </c>
      <c r="AC34" s="123"/>
      <c r="AD34" s="123"/>
    </row>
    <row r="35" spans="3:30" ht="14.4" customHeight="1" x14ac:dyDescent="0.3">
      <c r="H35" s="23" t="s">
        <v>405</v>
      </c>
      <c r="S35" s="6"/>
      <c r="T35" s="117" t="s">
        <v>452</v>
      </c>
      <c r="U35" s="120">
        <f>U33</f>
        <v>3000</v>
      </c>
      <c r="V35" s="120">
        <f>V33*2</f>
        <v>6000</v>
      </c>
      <c r="X35" s="118" t="s">
        <v>452</v>
      </c>
      <c r="Y35" s="121">
        <f>Y33</f>
        <v>600</v>
      </c>
      <c r="Z35" s="121">
        <f>Z33*2</f>
        <v>1200</v>
      </c>
      <c r="AC35" s="123"/>
      <c r="AD35" s="123"/>
    </row>
    <row r="36" spans="3:30" ht="14.4" customHeight="1" x14ac:dyDescent="0.3">
      <c r="D36" s="20" t="s">
        <v>391</v>
      </c>
      <c r="E36" s="20" t="s">
        <v>392</v>
      </c>
      <c r="F36" s="20" t="s">
        <v>393</v>
      </c>
      <c r="H36" s="23" t="s">
        <v>469</v>
      </c>
      <c r="S36" s="6"/>
      <c r="T36" s="117" t="s">
        <v>453</v>
      </c>
      <c r="U36" s="120">
        <v>750</v>
      </c>
      <c r="V36" s="120">
        <v>1500</v>
      </c>
      <c r="X36" s="118" t="s">
        <v>453</v>
      </c>
      <c r="Y36" s="121">
        <v>750</v>
      </c>
      <c r="Z36" s="121">
        <v>1500</v>
      </c>
      <c r="AC36" s="123"/>
      <c r="AD36" s="123"/>
    </row>
    <row r="37" spans="3:30" ht="14.4" customHeight="1" x14ac:dyDescent="0.3">
      <c r="C37" s="23" t="s">
        <v>470</v>
      </c>
      <c r="D37" s="19" t="s">
        <v>471</v>
      </c>
      <c r="E37" s="19" t="s">
        <v>472</v>
      </c>
      <c r="F37" s="19" t="s">
        <v>473</v>
      </c>
      <c r="H37" s="19" t="s">
        <v>471</v>
      </c>
      <c r="I37" s="19" t="s">
        <v>472</v>
      </c>
      <c r="J37" s="19" t="s">
        <v>473</v>
      </c>
      <c r="S37" s="6"/>
      <c r="T37" s="117" t="s">
        <v>454</v>
      </c>
      <c r="U37" s="120">
        <f>U33/2</f>
        <v>1500</v>
      </c>
      <c r="V37" s="120">
        <f>V33</f>
        <v>3000</v>
      </c>
      <c r="X37" s="118" t="s">
        <v>454</v>
      </c>
      <c r="Y37" s="121">
        <f>Y33/2</f>
        <v>300</v>
      </c>
      <c r="Z37" s="121">
        <f>Z33</f>
        <v>600</v>
      </c>
      <c r="AC37" s="123"/>
      <c r="AD37" s="123"/>
    </row>
    <row r="38" spans="3:30" ht="14.4" customHeight="1" x14ac:dyDescent="0.3">
      <c r="C38" s="61" t="s">
        <v>136</v>
      </c>
      <c r="D38" s="62">
        <v>0.3</v>
      </c>
      <c r="E38" s="62">
        <v>1</v>
      </c>
      <c r="F38" s="62">
        <v>6</v>
      </c>
      <c r="H38" s="126">
        <f>SUM(D33:F33)</f>
        <v>200</v>
      </c>
      <c r="I38" s="126">
        <f>SUM(G33:H33)</f>
        <v>390</v>
      </c>
      <c r="J38" s="126">
        <f>SUM(I33:K33)</f>
        <v>2900</v>
      </c>
      <c r="S38" s="6"/>
      <c r="T38" s="117" t="s">
        <v>455</v>
      </c>
      <c r="U38" s="120">
        <f>SUM(U34:U37)+U33*12</f>
        <v>41520</v>
      </c>
      <c r="V38" s="120">
        <f>SUM(V34:V37)+V33*12</f>
        <v>46770</v>
      </c>
      <c r="X38" s="118" t="s">
        <v>455</v>
      </c>
      <c r="Y38" s="121">
        <f>SUM(Y34:Y37)+Y33*12</f>
        <v>8904</v>
      </c>
      <c r="Z38" s="121">
        <f>SUM(Z34:Z37)+Z33*12</f>
        <v>10554</v>
      </c>
      <c r="AC38" s="123"/>
      <c r="AD38" s="123"/>
    </row>
    <row r="39" spans="3:30" ht="14.4" customHeight="1" x14ac:dyDescent="0.3">
      <c r="C39" s="61" t="s">
        <v>139</v>
      </c>
      <c r="D39" s="62">
        <v>0.4</v>
      </c>
      <c r="E39" s="62">
        <v>1</v>
      </c>
      <c r="F39" s="62">
        <v>7</v>
      </c>
      <c r="S39" s="6"/>
      <c r="T39" s="117" t="s">
        <v>456</v>
      </c>
      <c r="U39" s="120">
        <f>U38/12.5</f>
        <v>3321.6</v>
      </c>
      <c r="V39" s="120">
        <f>V38/13</f>
        <v>3597.6923076923076</v>
      </c>
      <c r="X39" s="118" t="s">
        <v>456</v>
      </c>
      <c r="Y39" s="121">
        <f>Y38/12.5</f>
        <v>712.32</v>
      </c>
      <c r="Z39" s="121">
        <f>Z38/13</f>
        <v>811.84615384615381</v>
      </c>
      <c r="AC39" s="123"/>
      <c r="AD39" s="123"/>
    </row>
    <row r="40" spans="3:30" ht="14.4" customHeight="1" x14ac:dyDescent="0.3">
      <c r="C40" s="61" t="s">
        <v>143</v>
      </c>
      <c r="D40" s="62">
        <v>0.7</v>
      </c>
      <c r="E40" s="62">
        <v>1</v>
      </c>
      <c r="F40" s="62">
        <v>13</v>
      </c>
      <c r="S40" s="6"/>
    </row>
    <row r="41" spans="3:30" ht="14.4" customHeight="1" x14ac:dyDescent="0.3">
      <c r="C41" s="23"/>
      <c r="S41" s="6"/>
    </row>
    <row r="42" spans="3:30" ht="14.4" customHeight="1" x14ac:dyDescent="0.3">
      <c r="C42" s="23"/>
      <c r="S42" s="6"/>
      <c r="T42" s="36" t="s">
        <v>474</v>
      </c>
    </row>
    <row r="43" spans="3:30" ht="14.4" customHeight="1" x14ac:dyDescent="0.3">
      <c r="C43" s="23"/>
      <c r="S43" s="6"/>
    </row>
    <row r="44" spans="3:30" ht="28.8" customHeight="1" x14ac:dyDescent="0.3">
      <c r="S44" s="6"/>
      <c r="T44" s="43" t="s">
        <v>118</v>
      </c>
      <c r="U44" s="43" t="s">
        <v>446</v>
      </c>
      <c r="V44" s="43" t="s">
        <v>447</v>
      </c>
      <c r="X44" s="134" t="s">
        <v>475</v>
      </c>
      <c r="Y44" s="118" t="s">
        <v>446</v>
      </c>
      <c r="Z44" s="118" t="s">
        <v>447</v>
      </c>
      <c r="AB44" s="135" t="s">
        <v>476</v>
      </c>
      <c r="AC44" s="119" t="s">
        <v>446</v>
      </c>
      <c r="AD44" s="119" t="s">
        <v>447</v>
      </c>
    </row>
    <row r="45" spans="3:30" ht="43.5" customHeight="1" x14ac:dyDescent="0.3">
      <c r="C45" s="23" t="s">
        <v>477</v>
      </c>
      <c r="E45" s="29" t="s">
        <v>478</v>
      </c>
      <c r="H45" s="50" t="s">
        <v>479</v>
      </c>
      <c r="I45" s="50" t="s">
        <v>480</v>
      </c>
      <c r="J45" s="50" t="s">
        <v>481</v>
      </c>
      <c r="L45" s="50" t="s">
        <v>482</v>
      </c>
      <c r="M45" s="50" t="s">
        <v>483</v>
      </c>
      <c r="N45" s="50" t="s">
        <v>484</v>
      </c>
      <c r="S45" s="6"/>
      <c r="T45" s="83" t="s">
        <v>485</v>
      </c>
      <c r="U45" s="51">
        <v>2500</v>
      </c>
      <c r="V45" s="51">
        <v>2500</v>
      </c>
      <c r="X45" s="134" t="s">
        <v>485</v>
      </c>
      <c r="Y45" s="121">
        <v>3500</v>
      </c>
      <c r="Z45" s="121">
        <v>3500</v>
      </c>
      <c r="AB45" s="135" t="s">
        <v>485</v>
      </c>
      <c r="AC45" s="122">
        <v>1200</v>
      </c>
      <c r="AD45" s="122">
        <v>1200</v>
      </c>
    </row>
    <row r="46" spans="3:30" ht="14.4" customHeight="1" x14ac:dyDescent="0.3">
      <c r="C46" s="61" t="s">
        <v>136</v>
      </c>
      <c r="D46" s="31">
        <v>150</v>
      </c>
      <c r="E46" s="136">
        <v>150</v>
      </c>
      <c r="F46" s="88">
        <f>E46/E49</f>
        <v>0.40760869565217389</v>
      </c>
      <c r="H46" s="86">
        <f>D38*D46</f>
        <v>45</v>
      </c>
      <c r="I46" s="86">
        <f>D46*E38</f>
        <v>150</v>
      </c>
      <c r="J46" s="86">
        <f>F38*D46</f>
        <v>900</v>
      </c>
      <c r="L46" s="86">
        <f>E46*D38</f>
        <v>45</v>
      </c>
      <c r="M46" s="86">
        <f>E46*E38</f>
        <v>150</v>
      </c>
      <c r="N46" s="86">
        <f>F38*E46</f>
        <v>900</v>
      </c>
      <c r="S46" s="6"/>
      <c r="T46" s="43" t="s">
        <v>486</v>
      </c>
      <c r="U46" s="51">
        <f>U45*3%</f>
        <v>75</v>
      </c>
      <c r="V46" s="51">
        <f>V45*5%</f>
        <v>125</v>
      </c>
      <c r="X46" s="118" t="s">
        <v>486</v>
      </c>
      <c r="Y46" s="121">
        <f>Y45*3%</f>
        <v>105</v>
      </c>
      <c r="Z46" s="121">
        <f>Z45*5%</f>
        <v>175</v>
      </c>
      <c r="AB46" s="119" t="s">
        <v>486</v>
      </c>
      <c r="AC46" s="122">
        <f>AC45*3%</f>
        <v>36</v>
      </c>
      <c r="AD46" s="122">
        <f>AD45*5%</f>
        <v>60</v>
      </c>
    </row>
    <row r="47" spans="3:30" ht="14.4" customHeight="1" x14ac:dyDescent="0.3">
      <c r="C47" s="61" t="s">
        <v>139</v>
      </c>
      <c r="D47" s="31">
        <v>140</v>
      </c>
      <c r="E47" s="136">
        <v>140</v>
      </c>
      <c r="F47" s="88">
        <f>E47/E49</f>
        <v>0.38043478260869568</v>
      </c>
      <c r="H47" s="86">
        <f>D39*D47</f>
        <v>56</v>
      </c>
      <c r="I47" s="86">
        <f>D47*E39</f>
        <v>140</v>
      </c>
      <c r="J47" s="86">
        <f>F39*D47</f>
        <v>980</v>
      </c>
      <c r="L47" s="86">
        <f>E47*D39</f>
        <v>56</v>
      </c>
      <c r="M47" s="86">
        <f>E47*E39</f>
        <v>140</v>
      </c>
      <c r="N47" s="86">
        <f>F39*E47</f>
        <v>980</v>
      </c>
      <c r="S47" s="6"/>
      <c r="T47" s="43" t="s">
        <v>487</v>
      </c>
      <c r="U47" s="51">
        <f>U45*2%</f>
        <v>50</v>
      </c>
      <c r="V47" s="51">
        <f>V45*3%</f>
        <v>75</v>
      </c>
      <c r="X47" s="118" t="s">
        <v>487</v>
      </c>
      <c r="Y47" s="121">
        <f>Y45*2%</f>
        <v>70</v>
      </c>
      <c r="Z47" s="121">
        <f>Z45*3%</f>
        <v>105</v>
      </c>
      <c r="AB47" s="119" t="s">
        <v>487</v>
      </c>
      <c r="AC47" s="122">
        <f>AC45*2%</f>
        <v>24</v>
      </c>
      <c r="AD47" s="122">
        <f>AD45*3%</f>
        <v>36</v>
      </c>
    </row>
    <row r="48" spans="3:30" ht="33" customHeight="1" x14ac:dyDescent="0.3">
      <c r="C48" s="61" t="s">
        <v>143</v>
      </c>
      <c r="D48" s="31">
        <v>95</v>
      </c>
      <c r="E48" s="136">
        <v>78</v>
      </c>
      <c r="F48" s="88">
        <f>E48/E49</f>
        <v>0.21195652173913043</v>
      </c>
      <c r="H48" s="86">
        <f>D40*D48</f>
        <v>66.5</v>
      </c>
      <c r="I48" s="86">
        <f>D48*E40</f>
        <v>95</v>
      </c>
      <c r="J48" s="86">
        <f>F40*D48</f>
        <v>1235</v>
      </c>
      <c r="L48" s="86">
        <f>D40*E48</f>
        <v>54.599999999999994</v>
      </c>
      <c r="M48" s="86">
        <f>E48*E40</f>
        <v>78</v>
      </c>
      <c r="N48" s="86">
        <f>F40*E48</f>
        <v>1014</v>
      </c>
      <c r="S48" s="6"/>
      <c r="T48" s="83" t="s">
        <v>488</v>
      </c>
      <c r="U48" s="51">
        <f>U45*5%</f>
        <v>125</v>
      </c>
      <c r="V48" s="51">
        <f>V45*8%</f>
        <v>200</v>
      </c>
      <c r="X48" s="134" t="s">
        <v>488</v>
      </c>
      <c r="Y48" s="121">
        <f>Y45*5%</f>
        <v>175</v>
      </c>
      <c r="Z48" s="121">
        <f>Z45*8%</f>
        <v>280</v>
      </c>
      <c r="AB48" s="135" t="s">
        <v>488</v>
      </c>
      <c r="AC48" s="122">
        <f>AC45*5%</f>
        <v>60</v>
      </c>
      <c r="AD48" s="122">
        <f>AD45*8%</f>
        <v>96</v>
      </c>
    </row>
    <row r="49" spans="1:30" ht="14.4" customHeight="1" x14ac:dyDescent="0.3">
      <c r="D49" s="87">
        <f>SUM(D46:D48)</f>
        <v>385</v>
      </c>
      <c r="E49" s="87">
        <f>SUM(E46:E48)</f>
        <v>368</v>
      </c>
      <c r="F49" s="88">
        <f>SUM(F46:F48)</f>
        <v>1</v>
      </c>
      <c r="H49" s="87">
        <f>SUM(H46:H48)</f>
        <v>167.5</v>
      </c>
      <c r="I49" s="87">
        <f>SUM(I46:I48)</f>
        <v>385</v>
      </c>
      <c r="J49" s="87">
        <f>SUM(J46:J48)</f>
        <v>3115</v>
      </c>
      <c r="L49" s="87">
        <f>SUM(L46:L48)</f>
        <v>155.6</v>
      </c>
      <c r="M49" s="87">
        <f>SUM(M46:M48)</f>
        <v>368</v>
      </c>
      <c r="N49" s="87">
        <f>SUM(N46:N48)</f>
        <v>2894</v>
      </c>
      <c r="S49" s="6"/>
      <c r="T49" s="43" t="s">
        <v>489</v>
      </c>
      <c r="U49" s="51">
        <f>-((U45-U45*5%)/10)</f>
        <v>-237.5</v>
      </c>
      <c r="V49" s="51">
        <f>-((V45-V45*10%)/10)</f>
        <v>-225</v>
      </c>
      <c r="X49" s="118" t="s">
        <v>489</v>
      </c>
      <c r="Y49" s="121">
        <f>-(Y45-Y45*5%)/10</f>
        <v>-332.5</v>
      </c>
      <c r="Z49" s="121">
        <f>-(Z45-Z45*10%)/10</f>
        <v>-315</v>
      </c>
      <c r="AB49" s="119" t="s">
        <v>489</v>
      </c>
      <c r="AC49" s="122">
        <f>-(AC45-AC45*5%)/8</f>
        <v>-142.5</v>
      </c>
      <c r="AD49" s="122">
        <f>-(AD45-AD45*10%)/8</f>
        <v>-135</v>
      </c>
    </row>
    <row r="50" spans="1:30" ht="14.4" customHeight="1" x14ac:dyDescent="0.3">
      <c r="S50" s="6"/>
      <c r="T50" s="43" t="s">
        <v>455</v>
      </c>
      <c r="U50" s="51">
        <f>SUM(U46:U49)+U45</f>
        <v>2512.5</v>
      </c>
      <c r="V50" s="51">
        <f>SUM(V46:V49)+V45</f>
        <v>2675</v>
      </c>
      <c r="X50" s="118" t="s">
        <v>455</v>
      </c>
      <c r="Y50" s="121">
        <f>SUM(Y46:Y49)+Y45</f>
        <v>3517.5</v>
      </c>
      <c r="Z50" s="121">
        <f>SUM(Z46:Z49)+Z45</f>
        <v>3745</v>
      </c>
      <c r="AB50" s="119" t="s">
        <v>455</v>
      </c>
      <c r="AC50" s="122">
        <f>SUM(AC46:AC49)+AC45</f>
        <v>1177.5</v>
      </c>
      <c r="AD50" s="122">
        <f>SUM(AD46:AD49)+AD45</f>
        <v>1257</v>
      </c>
    </row>
    <row r="51" spans="1:30" ht="14.4" customHeight="1" x14ac:dyDescent="0.3">
      <c r="S51" s="6"/>
    </row>
    <row r="52" spans="1:30" ht="28.8" customHeight="1" x14ac:dyDescent="0.3">
      <c r="C52" s="23" t="s">
        <v>490</v>
      </c>
      <c r="S52" s="6"/>
      <c r="T52" s="48" t="s">
        <v>491</v>
      </c>
      <c r="U52" s="48" t="s">
        <v>446</v>
      </c>
      <c r="V52" s="48" t="s">
        <v>447</v>
      </c>
      <c r="X52" s="134" t="s">
        <v>492</v>
      </c>
      <c r="Y52" s="118" t="s">
        <v>446</v>
      </c>
      <c r="Z52" s="118" t="s">
        <v>447</v>
      </c>
      <c r="AB52" s="135" t="s">
        <v>493</v>
      </c>
      <c r="AC52" s="119" t="s">
        <v>446</v>
      </c>
      <c r="AD52" s="119" t="s">
        <v>447</v>
      </c>
    </row>
    <row r="53" spans="1:30" ht="28.8" customHeight="1" x14ac:dyDescent="0.3">
      <c r="C53" s="3"/>
      <c r="D53" s="3" t="s">
        <v>401</v>
      </c>
      <c r="E53" s="3" t="s">
        <v>402</v>
      </c>
      <c r="F53" s="3" t="s">
        <v>403</v>
      </c>
      <c r="G53" s="3" t="s">
        <v>404</v>
      </c>
      <c r="S53" s="6"/>
      <c r="T53" s="144" t="s">
        <v>485</v>
      </c>
      <c r="U53" s="145">
        <v>300</v>
      </c>
      <c r="V53" s="145">
        <v>300</v>
      </c>
      <c r="X53" s="134" t="s">
        <v>485</v>
      </c>
      <c r="Y53" s="121">
        <v>7500</v>
      </c>
      <c r="Z53" s="121">
        <v>7500</v>
      </c>
      <c r="AB53" s="135" t="s">
        <v>485</v>
      </c>
      <c r="AC53" s="122">
        <v>4500</v>
      </c>
      <c r="AD53" s="122">
        <v>4500</v>
      </c>
    </row>
    <row r="54" spans="1:30" ht="42" customHeight="1" x14ac:dyDescent="0.3">
      <c r="C54" s="52" t="s">
        <v>205</v>
      </c>
      <c r="D54" s="20">
        <v>0</v>
      </c>
      <c r="E54" s="20">
        <f>D33</f>
        <v>60</v>
      </c>
      <c r="F54" s="20">
        <f>MIN(E54,H49)</f>
        <v>60</v>
      </c>
      <c r="G54" s="93">
        <f t="shared" ref="G54:G61" si="1">D54+E54-F54</f>
        <v>0</v>
      </c>
      <c r="S54" s="6"/>
      <c r="T54" s="48" t="s">
        <v>487</v>
      </c>
      <c r="U54" s="145">
        <f>U53*1%</f>
        <v>3</v>
      </c>
      <c r="V54" s="145">
        <f>V53*2%</f>
        <v>6</v>
      </c>
      <c r="X54" s="118" t="s">
        <v>486</v>
      </c>
      <c r="Y54" s="121">
        <f>Y53*3%</f>
        <v>225</v>
      </c>
      <c r="Z54" s="121">
        <f>Z53*5%</f>
        <v>375</v>
      </c>
      <c r="AB54" s="119" t="s">
        <v>486</v>
      </c>
      <c r="AC54" s="122">
        <f>AC53*3%</f>
        <v>135</v>
      </c>
      <c r="AD54" s="122">
        <f>AD53*5%</f>
        <v>225</v>
      </c>
    </row>
    <row r="55" spans="1:30" ht="42" customHeight="1" x14ac:dyDescent="0.3">
      <c r="C55" s="52" t="s">
        <v>209</v>
      </c>
      <c r="D55" s="20">
        <v>0</v>
      </c>
      <c r="E55" s="20">
        <f>E33</f>
        <v>110</v>
      </c>
      <c r="F55" s="20">
        <f>MIN(E55,H49-F54)</f>
        <v>107.5</v>
      </c>
      <c r="G55" s="93">
        <f t="shared" si="1"/>
        <v>2.5</v>
      </c>
      <c r="H55" s="94"/>
      <c r="S55" s="6"/>
      <c r="T55" s="144" t="s">
        <v>488</v>
      </c>
      <c r="U55" s="145">
        <f>U53*5%</f>
        <v>15</v>
      </c>
      <c r="V55" s="145">
        <f>V53*8%</f>
        <v>24</v>
      </c>
      <c r="X55" s="118" t="s">
        <v>487</v>
      </c>
      <c r="Y55" s="121">
        <f>Y53*2%</f>
        <v>150</v>
      </c>
      <c r="Z55" s="121">
        <f>Z53*3%</f>
        <v>225</v>
      </c>
      <c r="AB55" s="119" t="s">
        <v>487</v>
      </c>
      <c r="AC55" s="122">
        <f>AC53*2%</f>
        <v>90</v>
      </c>
      <c r="AD55" s="122">
        <f>AD53*3%</f>
        <v>135</v>
      </c>
    </row>
    <row r="56" spans="1:30" ht="42" customHeight="1" x14ac:dyDescent="0.3">
      <c r="C56" s="52" t="s">
        <v>212</v>
      </c>
      <c r="D56" s="20">
        <v>0</v>
      </c>
      <c r="E56" s="20">
        <f>F33</f>
        <v>30</v>
      </c>
      <c r="F56" s="20">
        <f>MIN(E56,H49-F54-F55)</f>
        <v>0</v>
      </c>
      <c r="G56" s="93">
        <f t="shared" si="1"/>
        <v>30</v>
      </c>
      <c r="H56" s="94">
        <f>F56/SUM(F54:F56)</f>
        <v>0</v>
      </c>
      <c r="S56" s="6"/>
      <c r="T56" s="48" t="s">
        <v>489</v>
      </c>
      <c r="U56" s="145">
        <f>-((U53-U53*5%)/5)</f>
        <v>-57</v>
      </c>
      <c r="V56" s="145">
        <f>-((V53-V53*10%)/5)</f>
        <v>-54</v>
      </c>
      <c r="X56" s="134" t="s">
        <v>488</v>
      </c>
      <c r="Y56" s="121">
        <f>Y53*5%</f>
        <v>375</v>
      </c>
      <c r="Z56" s="121">
        <f>Z53*8%</f>
        <v>600</v>
      </c>
      <c r="AB56" s="135" t="s">
        <v>488</v>
      </c>
      <c r="AC56" s="122">
        <f>AC53*5%</f>
        <v>225</v>
      </c>
      <c r="AD56" s="122">
        <f>AD53*8%</f>
        <v>360</v>
      </c>
    </row>
    <row r="57" spans="1:30" ht="42" customHeight="1" x14ac:dyDescent="0.3">
      <c r="C57" s="55" t="s">
        <v>216</v>
      </c>
      <c r="D57" s="20">
        <v>0</v>
      </c>
      <c r="E57" s="20">
        <f>G33</f>
        <v>200</v>
      </c>
      <c r="F57" s="20">
        <f>MIN(E57,I49)</f>
        <v>200</v>
      </c>
      <c r="G57" s="93">
        <f t="shared" si="1"/>
        <v>0</v>
      </c>
      <c r="H57" s="94"/>
      <c r="S57" s="6"/>
      <c r="T57" s="48" t="s">
        <v>455</v>
      </c>
      <c r="U57" s="145">
        <f>SUM(U54:U56)+U53</f>
        <v>261</v>
      </c>
      <c r="V57" s="145">
        <f>SUM(V54:V56)+V53</f>
        <v>276</v>
      </c>
      <c r="X57" s="118" t="s">
        <v>489</v>
      </c>
      <c r="Y57" s="121">
        <f>-(Y53-Y53*5%)/10</f>
        <v>-712.5</v>
      </c>
      <c r="Z57" s="121">
        <f>-(Z53-Z53*10%)/10</f>
        <v>-675</v>
      </c>
      <c r="AB57" s="119" t="s">
        <v>489</v>
      </c>
      <c r="AC57" s="122">
        <f>-(AC53-AC53*5%)/8</f>
        <v>-534.375</v>
      </c>
      <c r="AD57" s="122">
        <f>-(AD53-AD53*10%)/8</f>
        <v>-506.25</v>
      </c>
    </row>
    <row r="58" spans="1:30" ht="42" customHeight="1" x14ac:dyDescent="0.3">
      <c r="C58" s="55" t="s">
        <v>219</v>
      </c>
      <c r="D58" s="20">
        <v>0</v>
      </c>
      <c r="E58" s="20">
        <f>H33</f>
        <v>190</v>
      </c>
      <c r="F58" s="20">
        <f>MIN(E58,I49-F57)</f>
        <v>185</v>
      </c>
      <c r="G58" s="93">
        <f t="shared" si="1"/>
        <v>5</v>
      </c>
      <c r="H58" s="94">
        <f>F58/SUM(F57:F58)</f>
        <v>0.48051948051948051</v>
      </c>
      <c r="S58" s="6"/>
      <c r="X58" s="118" t="s">
        <v>455</v>
      </c>
      <c r="Y58" s="121">
        <f>SUM(Y54:Y57)+Y53</f>
        <v>7537.5</v>
      </c>
      <c r="Z58" s="121">
        <f>SUM(Z54:Z57)+Z53</f>
        <v>8025</v>
      </c>
      <c r="AB58" s="119" t="s">
        <v>455</v>
      </c>
      <c r="AC58" s="122">
        <f>SUM(AC54:AC57)+AC53</f>
        <v>4415.625</v>
      </c>
      <c r="AD58" s="122">
        <f>SUM(AD54:AD57)+AD53</f>
        <v>4713.75</v>
      </c>
    </row>
    <row r="59" spans="1:30" ht="39.75" customHeight="1" x14ac:dyDescent="0.3">
      <c r="C59" s="56" t="s">
        <v>223</v>
      </c>
      <c r="D59" s="20">
        <v>0</v>
      </c>
      <c r="E59" s="20">
        <f>I33</f>
        <v>0</v>
      </c>
      <c r="F59" s="20">
        <f>MIN(E59,J49)</f>
        <v>0</v>
      </c>
      <c r="G59" s="93">
        <f t="shared" si="1"/>
        <v>0</v>
      </c>
      <c r="H59" s="94"/>
      <c r="S59" s="6"/>
      <c r="T59" s="48" t="s">
        <v>494</v>
      </c>
      <c r="U59" s="48" t="s">
        <v>446</v>
      </c>
      <c r="V59" s="48" t="s">
        <v>447</v>
      </c>
    </row>
    <row r="60" spans="1:30" ht="27.75" customHeight="1" x14ac:dyDescent="0.3">
      <c r="C60" s="56" t="s">
        <v>226</v>
      </c>
      <c r="D60" s="20">
        <v>0</v>
      </c>
      <c r="E60" s="20">
        <f>J33</f>
        <v>1500</v>
      </c>
      <c r="F60" s="20">
        <f>MIN(E60,J49-F59)</f>
        <v>1500</v>
      </c>
      <c r="G60" s="93">
        <f t="shared" si="1"/>
        <v>0</v>
      </c>
      <c r="H60" s="94"/>
      <c r="S60" s="6"/>
      <c r="T60" s="144" t="s">
        <v>485</v>
      </c>
      <c r="U60" s="145">
        <v>1200</v>
      </c>
      <c r="V60" s="145">
        <v>1200</v>
      </c>
      <c r="X60" s="134" t="s">
        <v>495</v>
      </c>
      <c r="Y60" s="118" t="s">
        <v>446</v>
      </c>
      <c r="Z60" s="118" t="s">
        <v>447</v>
      </c>
      <c r="AB60" s="135" t="s">
        <v>496</v>
      </c>
      <c r="AC60" s="119" t="s">
        <v>446</v>
      </c>
      <c r="AD60" s="119" t="s">
        <v>447</v>
      </c>
    </row>
    <row r="61" spans="1:30" ht="42" customHeight="1" x14ac:dyDescent="0.3">
      <c r="C61" s="56" t="s">
        <v>229</v>
      </c>
      <c r="D61" s="20">
        <v>0</v>
      </c>
      <c r="E61" s="20">
        <f>K33</f>
        <v>1400</v>
      </c>
      <c r="F61" s="20">
        <f>MIN(E61,J49-F59-F60)</f>
        <v>1400</v>
      </c>
      <c r="G61" s="93">
        <f t="shared" si="1"/>
        <v>0</v>
      </c>
      <c r="H61" s="94">
        <f>F61/(SUM(F60:F61))</f>
        <v>0.48275862068965519</v>
      </c>
      <c r="S61" s="6"/>
      <c r="T61" s="48" t="s">
        <v>487</v>
      </c>
      <c r="U61" s="145">
        <f>U60*1%</f>
        <v>12</v>
      </c>
      <c r="V61" s="145">
        <f>V60*2%</f>
        <v>24</v>
      </c>
      <c r="X61" s="134" t="s">
        <v>485</v>
      </c>
      <c r="Y61" s="121">
        <v>15000</v>
      </c>
      <c r="Z61" s="121">
        <v>15000</v>
      </c>
      <c r="AB61" s="135" t="s">
        <v>485</v>
      </c>
      <c r="AC61" s="122">
        <v>9500</v>
      </c>
      <c r="AD61" s="122">
        <v>9500</v>
      </c>
    </row>
    <row r="62" spans="1:30" ht="14.4" customHeight="1" x14ac:dyDescent="0.3">
      <c r="B62" s="23" t="s">
        <v>406</v>
      </c>
      <c r="S62" s="6"/>
      <c r="T62" s="144" t="s">
        <v>488</v>
      </c>
      <c r="U62" s="145">
        <f>U60*5%</f>
        <v>60</v>
      </c>
      <c r="V62" s="145">
        <f>V60*8%</f>
        <v>96</v>
      </c>
      <c r="X62" s="118" t="s">
        <v>486</v>
      </c>
      <c r="Y62" s="121">
        <f>Y61*3%</f>
        <v>450</v>
      </c>
      <c r="Z62" s="121">
        <f>Z61*5%</f>
        <v>750</v>
      </c>
      <c r="AB62" s="119" t="s">
        <v>486</v>
      </c>
      <c r="AC62" s="122">
        <f>AC61*3%</f>
        <v>285</v>
      </c>
      <c r="AD62" s="122">
        <f>AD61*5%</f>
        <v>475</v>
      </c>
    </row>
    <row r="63" spans="1:30" ht="30" customHeight="1" x14ac:dyDescent="0.3">
      <c r="A63" s="50" t="s">
        <v>407</v>
      </c>
      <c r="B63" s="32">
        <v>3000</v>
      </c>
      <c r="S63" s="6"/>
      <c r="T63" s="48" t="s">
        <v>489</v>
      </c>
      <c r="U63" s="145">
        <f>-((U60-U60*5%)/5)</f>
        <v>-228</v>
      </c>
      <c r="V63" s="145">
        <f>-((V60-V60*10%)/5)</f>
        <v>-216</v>
      </c>
      <c r="X63" s="134" t="s">
        <v>487</v>
      </c>
      <c r="Y63" s="147">
        <f>Y61*2%</f>
        <v>300</v>
      </c>
      <c r="Z63" s="147">
        <f>Z61*3%</f>
        <v>450</v>
      </c>
      <c r="AB63" s="119" t="s">
        <v>487</v>
      </c>
      <c r="AC63" s="122">
        <f>AC61*2%</f>
        <v>190</v>
      </c>
      <c r="AD63" s="122">
        <f>AD61*3%</f>
        <v>285</v>
      </c>
    </row>
    <row r="64" spans="1:30" ht="30" customHeight="1" x14ac:dyDescent="0.4">
      <c r="A64" s="96"/>
      <c r="S64" s="6"/>
      <c r="T64" s="48" t="s">
        <v>455</v>
      </c>
      <c r="U64" s="145">
        <f>SUM(U61:U63)+U60</f>
        <v>1044</v>
      </c>
      <c r="V64" s="145">
        <f>SUM(V61:V63)+V60</f>
        <v>1104</v>
      </c>
      <c r="X64" s="134" t="s">
        <v>488</v>
      </c>
      <c r="Y64" s="121">
        <f>Y61*5%</f>
        <v>750</v>
      </c>
      <c r="Z64" s="121">
        <f>Z61*8%</f>
        <v>1200</v>
      </c>
      <c r="AB64" s="135" t="s">
        <v>488</v>
      </c>
      <c r="AC64" s="122">
        <f>AC61*5%</f>
        <v>475</v>
      </c>
      <c r="AD64" s="122">
        <f>AD61*8%</f>
        <v>760</v>
      </c>
    </row>
    <row r="65" spans="1:30" ht="21" customHeight="1" x14ac:dyDescent="0.4">
      <c r="A65" s="96" t="s">
        <v>408</v>
      </c>
      <c r="C65" s="97">
        <f>F48*10</f>
        <v>2.1195652173913042</v>
      </c>
      <c r="D65" s="97">
        <f>M10*10</f>
        <v>2.8571428571428568</v>
      </c>
      <c r="E65" s="97">
        <f>AVERAGE(H56,H58,H61)*10</f>
        <v>3.2109270040304523</v>
      </c>
      <c r="F65" s="32">
        <f>B63/10000*10</f>
        <v>3</v>
      </c>
      <c r="G65" s="148">
        <f>SUM(C65:F65)</f>
        <v>11.187635078564613</v>
      </c>
      <c r="H65" s="26" t="s">
        <v>409</v>
      </c>
      <c r="S65" s="6"/>
      <c r="X65" s="118" t="s">
        <v>489</v>
      </c>
      <c r="Y65" s="121">
        <f>-(Y61-Y61*5%)/10</f>
        <v>-1425</v>
      </c>
      <c r="Z65" s="121">
        <f>-(Z61-Z61*10%)/10</f>
        <v>-1350</v>
      </c>
      <c r="AB65" s="119" t="s">
        <v>489</v>
      </c>
      <c r="AC65" s="122">
        <f>-(AC61-AC61*5%)/8</f>
        <v>-1128.125</v>
      </c>
      <c r="AD65" s="122">
        <f>-(AD61-AD61*10%)/8</f>
        <v>-1068.75</v>
      </c>
    </row>
    <row r="66" spans="1:30" ht="35.25" customHeight="1" x14ac:dyDescent="0.3">
      <c r="C66" s="50" t="s">
        <v>410</v>
      </c>
      <c r="D66" s="50" t="s">
        <v>411</v>
      </c>
      <c r="E66" s="50" t="s">
        <v>412</v>
      </c>
      <c r="F66" s="50" t="s">
        <v>413</v>
      </c>
      <c r="S66" s="6"/>
      <c r="T66" s="48" t="s">
        <v>497</v>
      </c>
      <c r="U66" s="48" t="s">
        <v>446</v>
      </c>
      <c r="V66" s="48" t="s">
        <v>447</v>
      </c>
      <c r="X66" s="118" t="s">
        <v>455</v>
      </c>
      <c r="Y66" s="121">
        <f>SUM(Y62:Y65)+Y61</f>
        <v>15075</v>
      </c>
      <c r="Z66" s="121">
        <f>SUM(Z62:Z65)+Z61</f>
        <v>16050</v>
      </c>
      <c r="AB66" s="119" t="s">
        <v>455</v>
      </c>
      <c r="AC66" s="122">
        <f>SUM(AC62:AC65)+AC61</f>
        <v>9321.875</v>
      </c>
      <c r="AD66" s="122">
        <f>SUM(AD62:AD65)+AD61</f>
        <v>9951.25</v>
      </c>
    </row>
    <row r="67" spans="1:30" ht="14.4" customHeight="1" x14ac:dyDescent="0.3">
      <c r="S67" s="6"/>
      <c r="T67" s="144" t="s">
        <v>485</v>
      </c>
      <c r="U67" s="145">
        <v>3500</v>
      </c>
      <c r="V67" s="145">
        <v>3500</v>
      </c>
    </row>
    <row r="68" spans="1:30" ht="14.4" customHeight="1" x14ac:dyDescent="0.3">
      <c r="S68" s="6"/>
      <c r="T68" s="48" t="s">
        <v>487</v>
      </c>
      <c r="U68" s="145">
        <f>U67*1%</f>
        <v>35</v>
      </c>
      <c r="V68" s="145">
        <f>V67*2%</f>
        <v>70</v>
      </c>
    </row>
    <row r="69" spans="1:30" ht="14.4" customHeight="1" x14ac:dyDescent="0.3">
      <c r="S69" s="6"/>
      <c r="T69" s="144" t="s">
        <v>488</v>
      </c>
      <c r="U69" s="145">
        <f>U67*5%</f>
        <v>175</v>
      </c>
      <c r="V69" s="145">
        <f>V67*8%</f>
        <v>280</v>
      </c>
    </row>
    <row r="70" spans="1:30" ht="14.4" customHeight="1" x14ac:dyDescent="0.3">
      <c r="S70" s="6"/>
      <c r="T70" s="48" t="s">
        <v>489</v>
      </c>
      <c r="U70" s="145">
        <f>-((U67-U67*5%)/5)</f>
        <v>-665</v>
      </c>
      <c r="V70" s="145">
        <f>-((V67-V67*10%)/5)</f>
        <v>-630</v>
      </c>
    </row>
    <row r="71" spans="1:30" ht="14.4" customHeight="1" x14ac:dyDescent="0.3">
      <c r="S71" s="6"/>
      <c r="T71" s="48" t="s">
        <v>455</v>
      </c>
      <c r="U71" s="145">
        <f>SUM(U68:U70)+U67</f>
        <v>3045</v>
      </c>
      <c r="V71" s="145">
        <f>SUM(V68:V70)+V67</f>
        <v>3220</v>
      </c>
    </row>
    <row r="72" spans="1:30" ht="46.5" customHeight="1" x14ac:dyDescent="0.3">
      <c r="B72" s="28" t="s">
        <v>414</v>
      </c>
      <c r="C72" s="20" t="s">
        <v>415</v>
      </c>
      <c r="D72" s="20" t="s">
        <v>416</v>
      </c>
      <c r="E72" s="20" t="s">
        <v>417</v>
      </c>
      <c r="F72" s="20" t="s">
        <v>418</v>
      </c>
      <c r="G72" s="20" t="s">
        <v>419</v>
      </c>
      <c r="H72" s="20" t="s">
        <v>420</v>
      </c>
      <c r="K72" s="50"/>
      <c r="L72" s="32"/>
      <c r="M72" s="32"/>
      <c r="N72" s="32"/>
      <c r="S72" s="6"/>
    </row>
    <row r="73" spans="1:30" ht="14.4" customHeight="1" x14ac:dyDescent="0.3">
      <c r="B73" s="20" t="s">
        <v>421</v>
      </c>
      <c r="C73" s="20">
        <v>7</v>
      </c>
      <c r="D73" s="20">
        <v>40</v>
      </c>
      <c r="E73" s="20">
        <f>(MAX($D$73:$D$76)*2-D73)/10</f>
        <v>5</v>
      </c>
      <c r="F73" s="99">
        <f>SUM(C73,E73)</f>
        <v>12</v>
      </c>
      <c r="G73" s="100">
        <f>F73/$F$77</f>
        <v>0.22388059701492538</v>
      </c>
      <c r="H73" s="3">
        <f>ROUND(G73*$B$81,0)</f>
        <v>784</v>
      </c>
      <c r="K73" s="32"/>
      <c r="L73" s="32"/>
      <c r="M73" s="32"/>
      <c r="N73" s="32"/>
      <c r="O73" s="89"/>
      <c r="S73" s="6"/>
      <c r="T73" s="36" t="s">
        <v>498</v>
      </c>
    </row>
    <row r="74" spans="1:30" ht="14.4" customHeight="1" x14ac:dyDescent="0.3">
      <c r="B74" s="20" t="s">
        <v>422</v>
      </c>
      <c r="C74" s="20">
        <v>8.3000000000000007</v>
      </c>
      <c r="D74" s="20">
        <v>45</v>
      </c>
      <c r="E74" s="20">
        <f>(MAX($D$73:$D$76)*2-D74)/10</f>
        <v>4.5</v>
      </c>
      <c r="F74" s="99">
        <f>SUM(C74,E74)</f>
        <v>12.8</v>
      </c>
      <c r="G74" s="100">
        <f>F74/$F$77</f>
        <v>0.23880597014925373</v>
      </c>
      <c r="H74" s="3">
        <f>ROUND(G74*$B$81,0)</f>
        <v>836</v>
      </c>
      <c r="K74" s="32"/>
      <c r="L74" s="102"/>
      <c r="M74" s="32"/>
      <c r="N74" s="32"/>
      <c r="O74" s="89"/>
      <c r="S74" s="6"/>
      <c r="T74" s="23" t="s">
        <v>499</v>
      </c>
      <c r="Z74" s="23" t="s">
        <v>500</v>
      </c>
    </row>
    <row r="75" spans="1:30" ht="28.8" customHeight="1" x14ac:dyDescent="0.3">
      <c r="B75" s="20" t="s">
        <v>423</v>
      </c>
      <c r="C75" s="103">
        <v>10.199999999999999</v>
      </c>
      <c r="D75" s="20">
        <v>43</v>
      </c>
      <c r="E75" s="20">
        <f>(MAX($D$73:$D$76)*2-D75)/10</f>
        <v>4.7</v>
      </c>
      <c r="F75" s="99">
        <f>SUM(C75,E75)</f>
        <v>14.899999999999999</v>
      </c>
      <c r="G75" s="100">
        <f>F75/$F$77</f>
        <v>0.27798507462686561</v>
      </c>
      <c r="H75" s="3">
        <f>ROUND(G75*$B$81,0)</f>
        <v>973</v>
      </c>
      <c r="K75" s="32"/>
      <c r="L75" s="102"/>
      <c r="M75" s="32"/>
      <c r="N75" s="32"/>
      <c r="O75" s="89"/>
      <c r="S75" s="6"/>
      <c r="T75" s="119" t="s">
        <v>501</v>
      </c>
      <c r="U75" s="119" t="s">
        <v>502</v>
      </c>
      <c r="V75" s="119" t="s">
        <v>503</v>
      </c>
      <c r="W75" s="135" t="s">
        <v>504</v>
      </c>
      <c r="X75" s="119" t="s">
        <v>505</v>
      </c>
      <c r="Z75" s="119" t="s">
        <v>501</v>
      </c>
      <c r="AA75" s="119" t="s">
        <v>502</v>
      </c>
      <c r="AB75" s="119" t="s">
        <v>503</v>
      </c>
      <c r="AC75" s="135" t="s">
        <v>504</v>
      </c>
      <c r="AD75" s="119" t="s">
        <v>505</v>
      </c>
    </row>
    <row r="76" spans="1:30" ht="28.8" customHeight="1" x14ac:dyDescent="0.3">
      <c r="B76" s="20" t="s">
        <v>424</v>
      </c>
      <c r="C76" s="20">
        <v>9</v>
      </c>
      <c r="D76" s="20">
        <v>41</v>
      </c>
      <c r="E76" s="20">
        <f>(MAX($D$73:$D$76)*2-D76)/10</f>
        <v>4.9000000000000004</v>
      </c>
      <c r="F76" s="99">
        <f>SUM(C76,E76)</f>
        <v>13.9</v>
      </c>
      <c r="G76" s="100">
        <f>F76/$F$77</f>
        <v>0.25932835820895522</v>
      </c>
      <c r="H76" s="3">
        <f>ROUND(G76*$B$81,0)</f>
        <v>908</v>
      </c>
      <c r="K76" s="32"/>
      <c r="L76" s="32"/>
      <c r="M76" s="32"/>
      <c r="N76" s="32"/>
      <c r="O76" s="89"/>
      <c r="S76" s="6"/>
      <c r="T76" s="119" t="s">
        <v>204</v>
      </c>
      <c r="U76" s="149" t="s">
        <v>506</v>
      </c>
      <c r="V76" s="150">
        <v>25</v>
      </c>
      <c r="W76" s="150">
        <f t="shared" ref="W76:W83" si="2">V76-V76*8%</f>
        <v>23</v>
      </c>
      <c r="X76" s="151" t="s">
        <v>507</v>
      </c>
      <c r="Z76" s="119" t="s">
        <v>204</v>
      </c>
      <c r="AA76" s="149" t="s">
        <v>506</v>
      </c>
      <c r="AB76" s="150">
        <f>25*60</f>
        <v>1500</v>
      </c>
      <c r="AC76" s="150">
        <f t="shared" ref="AC76:AC83" si="3">AB76-AB76*8%</f>
        <v>1380</v>
      </c>
      <c r="AD76" s="151" t="s">
        <v>508</v>
      </c>
    </row>
    <row r="77" spans="1:30" ht="43.2" customHeight="1" x14ac:dyDescent="0.3">
      <c r="B77" s="6"/>
      <c r="E77" s="23" t="s">
        <v>425</v>
      </c>
      <c r="F77" s="104">
        <f>SUM(F73:F76)</f>
        <v>53.6</v>
      </c>
      <c r="H77" s="23">
        <f>SUM(H73:H76)</f>
        <v>3501</v>
      </c>
      <c r="S77" s="6"/>
      <c r="T77" s="119" t="s">
        <v>204</v>
      </c>
      <c r="U77" s="149" t="s">
        <v>509</v>
      </c>
      <c r="V77" s="150">
        <v>45</v>
      </c>
      <c r="W77" s="150">
        <f t="shared" si="2"/>
        <v>41.4</v>
      </c>
      <c r="X77" s="151" t="s">
        <v>507</v>
      </c>
      <c r="Z77" s="119" t="s">
        <v>204</v>
      </c>
      <c r="AA77" s="149" t="s">
        <v>509</v>
      </c>
      <c r="AB77" s="150">
        <f>45*55</f>
        <v>2475</v>
      </c>
      <c r="AC77" s="150">
        <f t="shared" si="3"/>
        <v>2277</v>
      </c>
      <c r="AD77" s="151" t="s">
        <v>510</v>
      </c>
    </row>
    <row r="78" spans="1:30" ht="28.8" customHeight="1" x14ac:dyDescent="0.3">
      <c r="B78" s="6"/>
      <c r="F78" s="105"/>
      <c r="S78" s="6"/>
      <c r="T78" s="119" t="s">
        <v>204</v>
      </c>
      <c r="U78" s="149" t="s">
        <v>511</v>
      </c>
      <c r="V78" s="150">
        <v>80</v>
      </c>
      <c r="W78" s="150">
        <f t="shared" si="2"/>
        <v>73.599999999999994</v>
      </c>
      <c r="X78" s="151" t="s">
        <v>507</v>
      </c>
      <c r="Z78" s="119" t="s">
        <v>204</v>
      </c>
      <c r="AA78" s="149" t="s">
        <v>511</v>
      </c>
      <c r="AB78" s="150">
        <f>80*15</f>
        <v>1200</v>
      </c>
      <c r="AC78" s="150">
        <f t="shared" si="3"/>
        <v>1104</v>
      </c>
      <c r="AD78" s="151" t="s">
        <v>512</v>
      </c>
    </row>
    <row r="79" spans="1:30" ht="28.8" customHeight="1" x14ac:dyDescent="0.3">
      <c r="B79" s="6">
        <v>7000</v>
      </c>
      <c r="C79" s="23" t="s">
        <v>426</v>
      </c>
      <c r="F79" s="105"/>
      <c r="K79" s="23"/>
      <c r="S79" s="6"/>
      <c r="T79" s="119" t="s">
        <v>215</v>
      </c>
      <c r="U79" s="149" t="s">
        <v>513</v>
      </c>
      <c r="V79" s="150">
        <v>4</v>
      </c>
      <c r="W79" s="150">
        <f t="shared" si="2"/>
        <v>3.68</v>
      </c>
      <c r="X79" s="151" t="s">
        <v>392</v>
      </c>
      <c r="Z79" s="119" t="s">
        <v>215</v>
      </c>
      <c r="AA79" s="149" t="s">
        <v>513</v>
      </c>
      <c r="AB79" s="150">
        <f>4*200</f>
        <v>800</v>
      </c>
      <c r="AC79" s="150">
        <f t="shared" si="3"/>
        <v>736</v>
      </c>
      <c r="AD79" s="151" t="s">
        <v>514</v>
      </c>
    </row>
    <row r="80" spans="1:30" ht="14.4" customHeight="1" x14ac:dyDescent="0.3">
      <c r="B80" s="106">
        <v>0.5</v>
      </c>
      <c r="F80" s="105"/>
      <c r="K80" s="33"/>
      <c r="S80" s="6"/>
      <c r="T80" s="119" t="s">
        <v>215</v>
      </c>
      <c r="U80" s="151" t="s">
        <v>515</v>
      </c>
      <c r="V80" s="150">
        <v>9</v>
      </c>
      <c r="W80" s="150">
        <f t="shared" si="2"/>
        <v>8.2799999999999994</v>
      </c>
      <c r="X80" s="151" t="s">
        <v>392</v>
      </c>
      <c r="Z80" s="119" t="s">
        <v>215</v>
      </c>
      <c r="AA80" s="151" t="s">
        <v>515</v>
      </c>
      <c r="AB80" s="150">
        <f>9*190</f>
        <v>1710</v>
      </c>
      <c r="AC80" s="150">
        <f t="shared" si="3"/>
        <v>1573.2</v>
      </c>
      <c r="AD80" s="151" t="s">
        <v>516</v>
      </c>
    </row>
    <row r="81" spans="2:30" ht="28.8" customHeight="1" x14ac:dyDescent="0.3">
      <c r="B81" s="6">
        <f>B79*B80</f>
        <v>3500</v>
      </c>
      <c r="C81" s="23" t="s">
        <v>427</v>
      </c>
      <c r="F81" s="105"/>
      <c r="S81" s="6"/>
      <c r="T81" s="119" t="s">
        <v>222</v>
      </c>
      <c r="U81" s="149" t="s">
        <v>517</v>
      </c>
      <c r="V81" s="150">
        <v>2</v>
      </c>
      <c r="W81" s="150">
        <f t="shared" si="2"/>
        <v>1.84</v>
      </c>
      <c r="X81" s="151" t="s">
        <v>518</v>
      </c>
      <c r="Z81" s="119" t="s">
        <v>222</v>
      </c>
      <c r="AA81" s="149" t="s">
        <v>517</v>
      </c>
      <c r="AB81" s="150">
        <f>2*0</f>
        <v>0</v>
      </c>
      <c r="AC81" s="150">
        <f t="shared" si="3"/>
        <v>0</v>
      </c>
      <c r="AD81" s="151" t="s">
        <v>519</v>
      </c>
    </row>
    <row r="82" spans="2:30" ht="28.8" customHeight="1" x14ac:dyDescent="0.3">
      <c r="B82" s="107"/>
      <c r="C82" s="109"/>
      <c r="D82" s="109"/>
      <c r="E82" s="109"/>
      <c r="F82" s="110"/>
      <c r="S82" s="6"/>
      <c r="T82" s="119" t="s">
        <v>222</v>
      </c>
      <c r="U82" s="149" t="s">
        <v>520</v>
      </c>
      <c r="V82" s="150">
        <v>4</v>
      </c>
      <c r="W82" s="150">
        <f t="shared" si="2"/>
        <v>3.68</v>
      </c>
      <c r="X82" s="151" t="s">
        <v>518</v>
      </c>
      <c r="Z82" s="119" t="s">
        <v>222</v>
      </c>
      <c r="AA82" s="149" t="s">
        <v>520</v>
      </c>
      <c r="AB82" s="150">
        <f>4*6</f>
        <v>24</v>
      </c>
      <c r="AC82" s="150">
        <f t="shared" si="3"/>
        <v>22.08</v>
      </c>
      <c r="AD82" s="151" t="s">
        <v>521</v>
      </c>
    </row>
    <row r="83" spans="2:30" ht="28.8" customHeight="1" x14ac:dyDescent="0.3">
      <c r="S83" s="6"/>
      <c r="T83" s="119" t="s">
        <v>222</v>
      </c>
      <c r="U83" s="149" t="s">
        <v>522</v>
      </c>
      <c r="V83" s="150">
        <v>7</v>
      </c>
      <c r="W83" s="150">
        <f t="shared" si="2"/>
        <v>6.4399999999999995</v>
      </c>
      <c r="X83" s="151" t="s">
        <v>518</v>
      </c>
      <c r="Z83" s="119" t="s">
        <v>222</v>
      </c>
      <c r="AA83" s="149" t="s">
        <v>522</v>
      </c>
      <c r="AB83" s="150">
        <f>7*7</f>
        <v>49</v>
      </c>
      <c r="AC83" s="150">
        <f t="shared" si="3"/>
        <v>45.08</v>
      </c>
      <c r="AD83" s="151" t="s">
        <v>523</v>
      </c>
    </row>
    <row r="84" spans="2:30" ht="14.4" customHeight="1" x14ac:dyDescent="0.3">
      <c r="S84" s="6"/>
      <c r="V84" s="123"/>
      <c r="W84" s="123"/>
      <c r="Z84" s="119" t="s">
        <v>425</v>
      </c>
      <c r="AA84" s="119"/>
      <c r="AB84" s="122">
        <f>SUM(AB76:AB83)</f>
        <v>7758</v>
      </c>
      <c r="AC84" s="122">
        <f>SUM(AC76:AC83)</f>
        <v>7137.36</v>
      </c>
      <c r="AD84" s="119"/>
    </row>
    <row r="85" spans="2:30" ht="14.4" customHeight="1" x14ac:dyDescent="0.3">
      <c r="S85" s="6"/>
      <c r="T85" s="23" t="s">
        <v>524</v>
      </c>
    </row>
    <row r="86" spans="2:30" ht="43.2" customHeight="1" x14ac:dyDescent="0.3">
      <c r="B86" s="28" t="s">
        <v>428</v>
      </c>
      <c r="C86" s="20" t="s">
        <v>415</v>
      </c>
      <c r="D86" s="20" t="s">
        <v>416</v>
      </c>
      <c r="E86" s="20" t="s">
        <v>417</v>
      </c>
      <c r="F86" s="20" t="s">
        <v>418</v>
      </c>
      <c r="G86" s="20" t="s">
        <v>419</v>
      </c>
      <c r="H86" s="20" t="s">
        <v>420</v>
      </c>
      <c r="S86" s="6"/>
      <c r="T86" s="119" t="s">
        <v>501</v>
      </c>
      <c r="U86" s="119" t="s">
        <v>502</v>
      </c>
      <c r="V86" s="119" t="s">
        <v>503</v>
      </c>
      <c r="W86" s="135" t="s">
        <v>504</v>
      </c>
      <c r="X86" s="135" t="s">
        <v>525</v>
      </c>
      <c r="Z86" s="23" t="s">
        <v>526</v>
      </c>
    </row>
    <row r="87" spans="2:30" ht="28.8" customHeight="1" x14ac:dyDescent="0.3">
      <c r="B87" s="20" t="s">
        <v>421</v>
      </c>
      <c r="C87" s="20">
        <v>7</v>
      </c>
      <c r="D87" s="20">
        <v>120</v>
      </c>
      <c r="E87" s="20">
        <f>(MAX($D$87:$D$90)*2-D87)/10</f>
        <v>28</v>
      </c>
      <c r="F87" s="99">
        <f>SUM(C87,E87)</f>
        <v>35</v>
      </c>
      <c r="G87" s="100">
        <f>F87/$F$91</f>
        <v>0.2723735408560311</v>
      </c>
      <c r="H87" s="3">
        <f>ROUND(G87*$B$81,0)</f>
        <v>953</v>
      </c>
      <c r="S87" s="6"/>
      <c r="T87" s="119" t="s">
        <v>204</v>
      </c>
      <c r="U87" s="149" t="s">
        <v>506</v>
      </c>
      <c r="V87" s="150">
        <f>25*60</f>
        <v>1500</v>
      </c>
      <c r="W87" s="150">
        <f t="shared" ref="W87:W94" si="4">V87-V87*8%</f>
        <v>1380</v>
      </c>
      <c r="X87" s="151" t="s">
        <v>508</v>
      </c>
      <c r="Z87" s="119" t="s">
        <v>501</v>
      </c>
      <c r="AA87" s="119" t="s">
        <v>502</v>
      </c>
      <c r="AB87" s="119" t="s">
        <v>503</v>
      </c>
      <c r="AC87" s="135" t="s">
        <v>504</v>
      </c>
      <c r="AD87" s="135" t="s">
        <v>525</v>
      </c>
    </row>
    <row r="88" spans="2:30" ht="43.2" customHeight="1" x14ac:dyDescent="0.3">
      <c r="B88" s="20" t="s">
        <v>422</v>
      </c>
      <c r="C88" s="20">
        <v>8.3000000000000007</v>
      </c>
      <c r="D88" s="20">
        <v>150</v>
      </c>
      <c r="E88" s="20">
        <f>(MAX($D$87:$D$90)*2-D88)/10</f>
        <v>25</v>
      </c>
      <c r="F88" s="99">
        <f>SUM(C88,E88)</f>
        <v>33.299999999999997</v>
      </c>
      <c r="G88" s="100">
        <f>F88/$F$91</f>
        <v>0.2591439688715953</v>
      </c>
      <c r="H88" s="3">
        <f>ROUND(G88*$B$81,0)</f>
        <v>907</v>
      </c>
      <c r="S88" s="6"/>
      <c r="T88" s="119" t="s">
        <v>204</v>
      </c>
      <c r="U88" s="149" t="s">
        <v>509</v>
      </c>
      <c r="V88" s="150">
        <f>45*110</f>
        <v>4950</v>
      </c>
      <c r="W88" s="150">
        <f t="shared" si="4"/>
        <v>4554</v>
      </c>
      <c r="X88" s="151" t="s">
        <v>527</v>
      </c>
      <c r="Z88" s="119" t="s">
        <v>204</v>
      </c>
      <c r="AA88" s="149" t="s">
        <v>506</v>
      </c>
      <c r="AB88" s="150">
        <f>25*60</f>
        <v>1500</v>
      </c>
      <c r="AC88" s="150">
        <f t="shared" ref="AC88:AC95" si="5">AB88-AB88*8%</f>
        <v>1380</v>
      </c>
      <c r="AD88" s="151" t="s">
        <v>508</v>
      </c>
    </row>
    <row r="89" spans="2:30" ht="43.2" customHeight="1" x14ac:dyDescent="0.3">
      <c r="B89" s="20" t="s">
        <v>423</v>
      </c>
      <c r="C89" s="20">
        <v>10.199999999999999</v>
      </c>
      <c r="D89" s="20">
        <v>190</v>
      </c>
      <c r="E89" s="20">
        <f>(MAX($D$87:$D$90)*2-D89)/10</f>
        <v>21</v>
      </c>
      <c r="F89" s="99">
        <f>SUM(C89,E89)</f>
        <v>31.2</v>
      </c>
      <c r="G89" s="100">
        <f>F89/$F$91</f>
        <v>0.24280155642023346</v>
      </c>
      <c r="H89" s="3">
        <f>ROUND(G89*$B$81,0)</f>
        <v>850</v>
      </c>
      <c r="S89" s="6"/>
      <c r="T89" s="119" t="s">
        <v>204</v>
      </c>
      <c r="U89" s="149" t="s">
        <v>511</v>
      </c>
      <c r="V89" s="150">
        <f>80*30</f>
        <v>2400</v>
      </c>
      <c r="W89" s="150">
        <f t="shared" si="4"/>
        <v>2208</v>
      </c>
      <c r="X89" s="151" t="s">
        <v>528</v>
      </c>
      <c r="Z89" s="119" t="s">
        <v>204</v>
      </c>
      <c r="AA89" s="149" t="s">
        <v>509</v>
      </c>
      <c r="AB89" s="150">
        <f>45*107</f>
        <v>4815</v>
      </c>
      <c r="AC89" s="150">
        <f t="shared" si="5"/>
        <v>4429.8</v>
      </c>
      <c r="AD89" s="151" t="s">
        <v>529</v>
      </c>
    </row>
    <row r="90" spans="2:30" ht="28.8" customHeight="1" x14ac:dyDescent="0.3">
      <c r="B90" s="20" t="s">
        <v>424</v>
      </c>
      <c r="C90" s="20">
        <v>9</v>
      </c>
      <c r="D90" s="20">
        <v>200</v>
      </c>
      <c r="E90" s="20">
        <f>(MAX($D$87:$D$90)*2-D90)/10</f>
        <v>20</v>
      </c>
      <c r="F90" s="99">
        <f>SUM(C90,E90)</f>
        <v>29</v>
      </c>
      <c r="G90" s="100">
        <f>F90/$F$91</f>
        <v>0.22568093385214008</v>
      </c>
      <c r="H90" s="3">
        <f>ROUND(G90*$B$81,0)</f>
        <v>790</v>
      </c>
      <c r="S90" s="6"/>
      <c r="T90" s="119" t="s">
        <v>215</v>
      </c>
      <c r="U90" s="149" t="s">
        <v>513</v>
      </c>
      <c r="V90" s="150">
        <f>4*200</f>
        <v>800</v>
      </c>
      <c r="W90" s="150">
        <f t="shared" si="4"/>
        <v>736</v>
      </c>
      <c r="X90" s="151" t="s">
        <v>514</v>
      </c>
      <c r="Z90" s="119" t="s">
        <v>204</v>
      </c>
      <c r="AA90" s="149" t="s">
        <v>511</v>
      </c>
      <c r="AB90" s="150">
        <f>80*0</f>
        <v>0</v>
      </c>
      <c r="AC90" s="150">
        <f t="shared" si="5"/>
        <v>0</v>
      </c>
      <c r="AD90" s="151" t="s">
        <v>530</v>
      </c>
    </row>
    <row r="91" spans="2:30" ht="28.8" customHeight="1" x14ac:dyDescent="0.3">
      <c r="B91" s="6"/>
      <c r="E91" s="23" t="s">
        <v>425</v>
      </c>
      <c r="F91" s="104">
        <f>SUM(F87:F90)</f>
        <v>128.5</v>
      </c>
      <c r="S91" s="6"/>
      <c r="T91" s="119" t="s">
        <v>215</v>
      </c>
      <c r="U91" s="151" t="s">
        <v>515</v>
      </c>
      <c r="V91" s="150">
        <f>9*190</f>
        <v>1710</v>
      </c>
      <c r="W91" s="150">
        <f t="shared" si="4"/>
        <v>1573.2</v>
      </c>
      <c r="X91" s="151" t="s">
        <v>516</v>
      </c>
      <c r="Z91" s="119" t="s">
        <v>215</v>
      </c>
      <c r="AA91" s="149" t="s">
        <v>513</v>
      </c>
      <c r="AB91" s="150">
        <f>4*200</f>
        <v>800</v>
      </c>
      <c r="AC91" s="150">
        <f t="shared" si="5"/>
        <v>736</v>
      </c>
      <c r="AD91" s="151" t="s">
        <v>514</v>
      </c>
    </row>
    <row r="92" spans="2:30" ht="28.8" customHeight="1" x14ac:dyDescent="0.3">
      <c r="B92" s="6"/>
      <c r="F92" s="105"/>
      <c r="S92" s="6"/>
      <c r="T92" s="119" t="s">
        <v>222</v>
      </c>
      <c r="U92" s="149" t="s">
        <v>517</v>
      </c>
      <c r="V92" s="150">
        <f>2*0</f>
        <v>0</v>
      </c>
      <c r="W92" s="150">
        <f t="shared" si="4"/>
        <v>0</v>
      </c>
      <c r="X92" s="151" t="s">
        <v>519</v>
      </c>
      <c r="Z92" s="119" t="s">
        <v>215</v>
      </c>
      <c r="AA92" s="151" t="s">
        <v>515</v>
      </c>
      <c r="AB92" s="150">
        <f>9*185</f>
        <v>1665</v>
      </c>
      <c r="AC92" s="150">
        <f t="shared" si="5"/>
        <v>1531.8</v>
      </c>
      <c r="AD92" s="151" t="s">
        <v>531</v>
      </c>
    </row>
    <row r="93" spans="2:30" ht="28.8" customHeight="1" x14ac:dyDescent="0.3">
      <c r="B93" s="6">
        <v>5000</v>
      </c>
      <c r="C93" s="23" t="s">
        <v>426</v>
      </c>
      <c r="F93" s="105"/>
      <c r="S93" s="6"/>
      <c r="T93" s="119" t="s">
        <v>222</v>
      </c>
      <c r="U93" s="149" t="s">
        <v>520</v>
      </c>
      <c r="V93" s="150">
        <f>4*1500</f>
        <v>6000</v>
      </c>
      <c r="W93" s="150">
        <f t="shared" si="4"/>
        <v>5520</v>
      </c>
      <c r="X93" s="151" t="s">
        <v>532</v>
      </c>
      <c r="Z93" s="119" t="s">
        <v>222</v>
      </c>
      <c r="AA93" s="149" t="s">
        <v>517</v>
      </c>
      <c r="AB93" s="150">
        <f>2*0</f>
        <v>0</v>
      </c>
      <c r="AC93" s="150">
        <f t="shared" si="5"/>
        <v>0</v>
      </c>
      <c r="AD93" s="151" t="s">
        <v>519</v>
      </c>
    </row>
    <row r="94" spans="2:30" ht="28.8" customHeight="1" x14ac:dyDescent="0.3">
      <c r="B94" s="106">
        <v>0.7</v>
      </c>
      <c r="F94" s="105"/>
      <c r="S94" s="6"/>
      <c r="T94" s="119" t="s">
        <v>222</v>
      </c>
      <c r="U94" s="149" t="s">
        <v>522</v>
      </c>
      <c r="V94" s="150">
        <f>7*1400</f>
        <v>9800</v>
      </c>
      <c r="W94" s="150">
        <f t="shared" si="4"/>
        <v>9016</v>
      </c>
      <c r="X94" s="151" t="s">
        <v>533</v>
      </c>
      <c r="Z94" s="119" t="s">
        <v>222</v>
      </c>
      <c r="AA94" s="149" t="s">
        <v>520</v>
      </c>
      <c r="AB94" s="150">
        <f>4*1500</f>
        <v>6000</v>
      </c>
      <c r="AC94" s="150">
        <f t="shared" si="5"/>
        <v>5520</v>
      </c>
      <c r="AD94" s="151" t="s">
        <v>532</v>
      </c>
    </row>
    <row r="95" spans="2:30" ht="28.8" customHeight="1" x14ac:dyDescent="0.3">
      <c r="B95" s="6">
        <f>B93*B94</f>
        <v>3500</v>
      </c>
      <c r="C95" s="23" t="s">
        <v>427</v>
      </c>
      <c r="F95" s="105"/>
      <c r="S95" s="6"/>
      <c r="T95" s="119" t="s">
        <v>425</v>
      </c>
      <c r="U95" s="119"/>
      <c r="V95" s="122">
        <f>SUM(V87:V94)</f>
        <v>27160</v>
      </c>
      <c r="W95" s="122">
        <f>SUM(W87:W94)</f>
        <v>24987.200000000001</v>
      </c>
      <c r="X95" s="119"/>
      <c r="Z95" s="119" t="s">
        <v>222</v>
      </c>
      <c r="AA95" s="149" t="s">
        <v>522</v>
      </c>
      <c r="AB95" s="150">
        <f>7*1400</f>
        <v>9800</v>
      </c>
      <c r="AC95" s="150">
        <f t="shared" si="5"/>
        <v>9016</v>
      </c>
      <c r="AD95" s="151" t="s">
        <v>533</v>
      </c>
    </row>
    <row r="96" spans="2:30" ht="14.4" customHeight="1" x14ac:dyDescent="0.3">
      <c r="B96" s="107"/>
      <c r="C96" s="109"/>
      <c r="D96" s="109"/>
      <c r="E96" s="109"/>
      <c r="F96" s="110"/>
      <c r="S96" s="6"/>
      <c r="Z96" s="119" t="s">
        <v>425</v>
      </c>
      <c r="AA96" s="119"/>
      <c r="AB96" s="122">
        <f>SUM(AB88:AB95)</f>
        <v>24580</v>
      </c>
      <c r="AC96" s="122">
        <f>SUM(AC88:AC95)</f>
        <v>22613.599999999999</v>
      </c>
      <c r="AD96" s="119"/>
    </row>
    <row r="97" spans="2:24" ht="14.4" customHeight="1" x14ac:dyDescent="0.3">
      <c r="S97" s="6"/>
    </row>
    <row r="98" spans="2:24" ht="14.4" customHeight="1" x14ac:dyDescent="0.3">
      <c r="S98" s="6"/>
      <c r="T98" s="23" t="s">
        <v>534</v>
      </c>
    </row>
    <row r="99" spans="2:24" ht="14.4" customHeight="1" x14ac:dyDescent="0.3">
      <c r="S99" s="6"/>
    </row>
    <row r="100" spans="2:24" ht="43.2" customHeight="1" x14ac:dyDescent="0.3">
      <c r="B100" s="28" t="s">
        <v>429</v>
      </c>
      <c r="C100" s="20" t="s">
        <v>415</v>
      </c>
      <c r="D100" s="20" t="s">
        <v>416</v>
      </c>
      <c r="E100" s="20" t="s">
        <v>417</v>
      </c>
      <c r="F100" s="20" t="s">
        <v>418</v>
      </c>
      <c r="G100" s="20" t="s">
        <v>419</v>
      </c>
      <c r="H100" s="20" t="s">
        <v>420</v>
      </c>
      <c r="S100" s="6"/>
      <c r="T100" s="119" t="s">
        <v>425</v>
      </c>
      <c r="U100" s="119"/>
      <c r="V100" s="122">
        <f>V95-AB96</f>
        <v>2580</v>
      </c>
      <c r="W100" s="122">
        <f>W95-AC96</f>
        <v>2373.6000000000022</v>
      </c>
      <c r="X100" s="119"/>
    </row>
    <row r="101" spans="2:24" ht="14.4" customHeight="1" x14ac:dyDescent="0.3">
      <c r="B101" s="20" t="s">
        <v>421</v>
      </c>
      <c r="C101" s="20">
        <v>7</v>
      </c>
      <c r="D101" s="20">
        <v>250</v>
      </c>
      <c r="E101" s="20">
        <f>(MAX($D$101:$D$104)*2-D101)/10</f>
        <v>55</v>
      </c>
      <c r="F101" s="99">
        <f>SUM(C101,E101)</f>
        <v>62</v>
      </c>
      <c r="G101" s="100">
        <f>F101/$F$105</f>
        <v>0.26105263157894737</v>
      </c>
      <c r="H101" s="3">
        <f>ROUND(G101*$B$109,0)</f>
        <v>209</v>
      </c>
      <c r="S101" s="6"/>
    </row>
    <row r="102" spans="2:24" ht="14.4" customHeight="1" x14ac:dyDescent="0.3">
      <c r="B102" s="20" t="s">
        <v>422</v>
      </c>
      <c r="C102" s="20">
        <v>8.3000000000000007</v>
      </c>
      <c r="D102" s="20">
        <v>300</v>
      </c>
      <c r="E102" s="20">
        <f>(MAX($D$101:$D$104)*2-D102)/10</f>
        <v>50</v>
      </c>
      <c r="F102" s="99">
        <f>SUM(C102,E102)</f>
        <v>58.3</v>
      </c>
      <c r="G102" s="100">
        <f>F102/$F$105</f>
        <v>0.24547368421052632</v>
      </c>
      <c r="H102" s="3">
        <f>ROUND(G102*$B$109,0)</f>
        <v>196</v>
      </c>
      <c r="S102" s="6"/>
    </row>
    <row r="103" spans="2:24" ht="14.4" customHeight="1" x14ac:dyDescent="0.3">
      <c r="B103" s="20" t="s">
        <v>423</v>
      </c>
      <c r="C103" s="20">
        <v>10.199999999999999</v>
      </c>
      <c r="D103" s="20">
        <v>220</v>
      </c>
      <c r="E103" s="20">
        <f>(MAX($D$101:$D$104)*2-D103)/10</f>
        <v>58</v>
      </c>
      <c r="F103" s="99">
        <f>SUM(C103,E103)</f>
        <v>68.2</v>
      </c>
      <c r="G103" s="100">
        <f>F103/$F$105</f>
        <v>0.28715789473684211</v>
      </c>
      <c r="H103" s="3">
        <f>ROUND(G103*$B$109,0)</f>
        <v>230</v>
      </c>
      <c r="S103" s="6"/>
    </row>
    <row r="104" spans="2:24" ht="14.4" customHeight="1" x14ac:dyDescent="0.3">
      <c r="B104" s="20" t="s">
        <v>424</v>
      </c>
      <c r="C104" s="20">
        <v>9</v>
      </c>
      <c r="D104" s="20">
        <v>400</v>
      </c>
      <c r="E104" s="20">
        <f>(MAX($D$101:$D$104)*2-D104)/10</f>
        <v>40</v>
      </c>
      <c r="F104" s="99">
        <f>SUM(C104,E104)</f>
        <v>49</v>
      </c>
      <c r="G104" s="100">
        <f>F104/$F$105</f>
        <v>0.2063157894736842</v>
      </c>
      <c r="H104" s="3">
        <f>ROUND(G104*$B$109,0)</f>
        <v>165</v>
      </c>
      <c r="S104" s="6"/>
    </row>
    <row r="105" spans="2:24" ht="14.4" customHeight="1" x14ac:dyDescent="0.3">
      <c r="B105" s="6"/>
      <c r="E105" s="23" t="s">
        <v>425</v>
      </c>
      <c r="F105" s="104">
        <f>SUM(F101:F104)</f>
        <v>237.5</v>
      </c>
      <c r="S105" s="6"/>
    </row>
    <row r="106" spans="2:24" ht="14.4" customHeight="1" x14ac:dyDescent="0.3">
      <c r="B106" s="6"/>
      <c r="F106" s="105"/>
      <c r="S106" s="6"/>
    </row>
    <row r="107" spans="2:24" ht="14.4" customHeight="1" x14ac:dyDescent="0.3">
      <c r="B107" s="6">
        <v>2000</v>
      </c>
      <c r="C107" s="23" t="s">
        <v>426</v>
      </c>
      <c r="F107" s="105"/>
      <c r="S107" s="6"/>
    </row>
    <row r="108" spans="2:24" ht="14.4" customHeight="1" x14ac:dyDescent="0.3">
      <c r="B108" s="106">
        <v>0.4</v>
      </c>
      <c r="F108" s="105"/>
      <c r="S108" s="6"/>
    </row>
    <row r="109" spans="2:24" ht="14.4" customHeight="1" x14ac:dyDescent="0.3">
      <c r="B109" s="6">
        <f>B107*B108</f>
        <v>800</v>
      </c>
      <c r="C109" s="23" t="s">
        <v>427</v>
      </c>
      <c r="F109" s="105"/>
      <c r="S109" s="6"/>
    </row>
    <row r="110" spans="2:24" ht="14.4" customHeight="1" x14ac:dyDescent="0.3">
      <c r="B110" s="107"/>
      <c r="C110" s="109"/>
      <c r="D110" s="109"/>
      <c r="E110" s="109"/>
      <c r="F110" s="110"/>
      <c r="S110" s="6"/>
    </row>
    <row r="111" spans="2:24" ht="14.4" customHeight="1" x14ac:dyDescent="0.3">
      <c r="S111" s="6"/>
    </row>
    <row r="112" spans="2:24" ht="14.4" customHeight="1" x14ac:dyDescent="0.3">
      <c r="S112" s="6"/>
    </row>
    <row r="113" spans="1:19" ht="21" customHeight="1" x14ac:dyDescent="0.4">
      <c r="A113" s="96" t="s">
        <v>408</v>
      </c>
      <c r="C113" s="97">
        <f>F48*10</f>
        <v>2.1195652173913042</v>
      </c>
      <c r="D113" s="97">
        <f>M10*10</f>
        <v>2.8571428571428568</v>
      </c>
      <c r="E113" s="97">
        <f>AVERAGE(H56,H58,H61)*10</f>
        <v>3.2109270040304523</v>
      </c>
      <c r="F113" s="32">
        <f>B63/10000*10</f>
        <v>3</v>
      </c>
      <c r="G113" s="148">
        <f>SUM(C113:F113)</f>
        <v>11.187635078564613</v>
      </c>
      <c r="H113" s="26" t="s">
        <v>409</v>
      </c>
      <c r="S113" s="6"/>
    </row>
    <row r="114" spans="1:19" ht="28.8" customHeight="1" x14ac:dyDescent="0.3">
      <c r="C114" s="50" t="s">
        <v>410</v>
      </c>
      <c r="D114" s="50" t="s">
        <v>411</v>
      </c>
      <c r="E114" s="50" t="s">
        <v>412</v>
      </c>
      <c r="F114" s="50" t="s">
        <v>413</v>
      </c>
      <c r="L114" s="127" t="s">
        <v>430</v>
      </c>
      <c r="M114" s="128">
        <v>0.7</v>
      </c>
      <c r="S114" s="6"/>
    </row>
    <row r="115" spans="1:19" ht="14.4" customHeight="1" x14ac:dyDescent="0.3">
      <c r="L115" s="127" t="s">
        <v>431</v>
      </c>
      <c r="M115" s="128">
        <v>0.2</v>
      </c>
      <c r="S115" s="6"/>
    </row>
    <row r="116" spans="1:19" ht="14.4" customHeight="1" x14ac:dyDescent="0.3">
      <c r="L116" s="127" t="s">
        <v>432</v>
      </c>
      <c r="M116" s="128">
        <v>0.1</v>
      </c>
      <c r="S116" s="6"/>
    </row>
    <row r="117" spans="1:19" ht="43.2" customHeight="1" x14ac:dyDescent="0.3">
      <c r="B117" s="129" t="s">
        <v>414</v>
      </c>
      <c r="C117" s="129" t="s">
        <v>416</v>
      </c>
      <c r="D117" s="129" t="s">
        <v>433</v>
      </c>
      <c r="E117" s="129" t="s">
        <v>434</v>
      </c>
      <c r="F117" s="129" t="s">
        <v>435</v>
      </c>
      <c r="G117" s="129" t="s">
        <v>436</v>
      </c>
      <c r="H117" s="129" t="s">
        <v>418</v>
      </c>
      <c r="I117" s="129" t="s">
        <v>419</v>
      </c>
      <c r="J117" s="129" t="s">
        <v>420</v>
      </c>
      <c r="K117" s="130"/>
      <c r="S117" s="6"/>
    </row>
    <row r="118" spans="1:19" ht="14.4" customHeight="1" x14ac:dyDescent="0.3">
      <c r="B118" s="131" t="s">
        <v>421</v>
      </c>
      <c r="C118" s="132">
        <v>40</v>
      </c>
      <c r="D118" s="133">
        <v>7</v>
      </c>
      <c r="E118" s="133">
        <f>ROUND((D118/$D$122)*100,0)</f>
        <v>20</v>
      </c>
      <c r="F118" s="137">
        <f>100*(MAX($C$118:$C$121)-C118)/(MAX($C$118:$C$121)-MIN($C$118:$C$121))</f>
        <v>100</v>
      </c>
      <c r="G118" s="137">
        <f>D118*10</f>
        <v>70</v>
      </c>
      <c r="H118" s="137">
        <f>$M$114*F118+$M$115*G118+$M$116*E118</f>
        <v>86</v>
      </c>
      <c r="I118" s="138">
        <f>H118/$H$122</f>
        <v>0.36909871244635195</v>
      </c>
      <c r="J118" s="137">
        <f>ROUND(I118*$B$126,0)</f>
        <v>1292</v>
      </c>
      <c r="K118" s="130"/>
      <c r="S118" s="6"/>
    </row>
    <row r="119" spans="1:19" ht="14.4" customHeight="1" x14ac:dyDescent="0.3">
      <c r="B119" s="131" t="s">
        <v>422</v>
      </c>
      <c r="C119" s="132">
        <v>45</v>
      </c>
      <c r="D119" s="133">
        <v>8.3000000000000007</v>
      </c>
      <c r="E119" s="133">
        <f>ROUND((D119/$D$122)*100,0)</f>
        <v>24</v>
      </c>
      <c r="F119" s="137">
        <f>100*(MAX($C$118:$C$121)-C119)/(MAX($C$118:$C$121)-MIN($C$118:$C$121))</f>
        <v>0</v>
      </c>
      <c r="G119" s="137">
        <f>D119*10</f>
        <v>83</v>
      </c>
      <c r="H119" s="137">
        <f>$M$114*F119+$M$115*G119+$M$116*E119</f>
        <v>19</v>
      </c>
      <c r="I119" s="138">
        <f>H119/$H$122</f>
        <v>8.15450643776824E-2</v>
      </c>
      <c r="J119" s="137">
        <f>ROUND(I119*$B$126,0)</f>
        <v>285</v>
      </c>
      <c r="K119" s="130"/>
      <c r="S119" s="6"/>
    </row>
    <row r="120" spans="1:19" ht="14.4" customHeight="1" x14ac:dyDescent="0.3">
      <c r="B120" s="131" t="s">
        <v>423</v>
      </c>
      <c r="C120" s="132">
        <v>43</v>
      </c>
      <c r="D120" s="133">
        <v>10.199999999999999</v>
      </c>
      <c r="E120" s="133">
        <f>ROUND((D120/$D$122)*100,0)</f>
        <v>30</v>
      </c>
      <c r="F120" s="137">
        <f>100*(MAX($C$118:$C$121)-C120)/(MAX($C$118:$C$121)-MIN($C$118:$C$121))</f>
        <v>40</v>
      </c>
      <c r="G120" s="137">
        <f>D120*10</f>
        <v>102</v>
      </c>
      <c r="H120" s="137">
        <f>$M$114*F120+$M$115*G120+$M$116*E120</f>
        <v>51.400000000000006</v>
      </c>
      <c r="I120" s="138">
        <f>H120/$H$122</f>
        <v>0.22060085836909873</v>
      </c>
      <c r="J120" s="137">
        <f>ROUND(I120*$B$126,0)</f>
        <v>772</v>
      </c>
      <c r="K120" s="130"/>
      <c r="S120" s="6"/>
    </row>
    <row r="121" spans="1:19" ht="14.4" customHeight="1" x14ac:dyDescent="0.3">
      <c r="B121" s="131" t="s">
        <v>424</v>
      </c>
      <c r="C121" s="132">
        <v>41</v>
      </c>
      <c r="D121" s="133">
        <v>9</v>
      </c>
      <c r="E121" s="133">
        <f>ROUND((D121/$D$122)*100,0)</f>
        <v>26</v>
      </c>
      <c r="F121" s="137">
        <f>100*(MAX($C$118:$C$121)-C121)/(MAX($C$118:$C$121)-MIN($C$118:$C$121))</f>
        <v>80</v>
      </c>
      <c r="G121" s="137">
        <f>D121*10</f>
        <v>90</v>
      </c>
      <c r="H121" s="137">
        <f>$M$114*F121+$M$115*G121+$M$116*E121</f>
        <v>76.599999999999994</v>
      </c>
      <c r="I121" s="138">
        <f>H121/$H$122</f>
        <v>0.3287553648068669</v>
      </c>
      <c r="J121" s="137">
        <f>ROUND(I121*$B$126,0)</f>
        <v>1151</v>
      </c>
      <c r="K121" s="130"/>
      <c r="S121" s="6"/>
    </row>
    <row r="122" spans="1:19" ht="14.4" customHeight="1" x14ac:dyDescent="0.3">
      <c r="B122" s="129"/>
      <c r="C122" s="129" t="s">
        <v>437</v>
      </c>
      <c r="D122" s="129">
        <f>SUM(D118:D121)</f>
        <v>34.5</v>
      </c>
      <c r="E122" s="129"/>
      <c r="F122" s="129"/>
      <c r="G122" s="139" t="s">
        <v>438</v>
      </c>
      <c r="H122" s="137">
        <f>SUM(H118:H121)</f>
        <v>233</v>
      </c>
      <c r="I122" s="129"/>
      <c r="J122" s="129">
        <f>SUM(J118:J121)</f>
        <v>3500</v>
      </c>
      <c r="K122" s="130"/>
      <c r="S122" s="6"/>
    </row>
    <row r="123" spans="1:19" ht="14.4" customHeight="1" x14ac:dyDescent="0.3">
      <c r="B123" s="130"/>
      <c r="C123" s="130"/>
      <c r="D123" s="130"/>
      <c r="E123" s="130"/>
      <c r="F123" s="130"/>
      <c r="G123" s="130"/>
      <c r="H123" s="130"/>
      <c r="I123" s="130"/>
      <c r="J123" s="130"/>
      <c r="K123" s="130"/>
      <c r="S123" s="6"/>
    </row>
    <row r="124" spans="1:19" ht="14.4" customHeight="1" x14ac:dyDescent="0.3">
      <c r="B124" s="129">
        <v>7000</v>
      </c>
      <c r="C124" s="129" t="s">
        <v>439</v>
      </c>
      <c r="D124" s="130"/>
      <c r="E124" s="130"/>
      <c r="F124" s="130"/>
      <c r="G124" s="130"/>
      <c r="H124" s="130"/>
      <c r="I124" s="130"/>
      <c r="J124" s="130"/>
      <c r="K124" s="130"/>
      <c r="S124" s="6"/>
    </row>
    <row r="125" spans="1:19" ht="14.4" customHeight="1" x14ac:dyDescent="0.3">
      <c r="B125" s="140">
        <v>0.5</v>
      </c>
      <c r="C125" s="129"/>
      <c r="D125" s="130"/>
      <c r="E125" s="130"/>
      <c r="F125" s="130"/>
      <c r="G125" s="130"/>
      <c r="H125" s="130"/>
      <c r="I125" s="130"/>
      <c r="J125" s="130"/>
      <c r="K125" s="130"/>
      <c r="S125" s="6"/>
    </row>
    <row r="126" spans="1:19" ht="14.4" customHeight="1" x14ac:dyDescent="0.3">
      <c r="B126" s="129">
        <v>3500</v>
      </c>
      <c r="C126" s="129" t="s">
        <v>440</v>
      </c>
      <c r="D126" s="130"/>
      <c r="E126" s="130"/>
      <c r="F126" s="130"/>
      <c r="G126" s="130"/>
      <c r="H126" s="130"/>
      <c r="I126" s="130"/>
      <c r="J126" s="130"/>
      <c r="K126" s="130"/>
      <c r="S126" s="6"/>
    </row>
    <row r="127" spans="1:19" ht="14.4" customHeight="1" x14ac:dyDescent="0.3">
      <c r="B127" s="130"/>
      <c r="C127" s="130"/>
      <c r="D127" s="130"/>
      <c r="E127" s="130"/>
      <c r="F127" s="130"/>
      <c r="G127" s="130"/>
      <c r="H127" s="130"/>
      <c r="I127" s="130"/>
      <c r="J127" s="130"/>
      <c r="K127" s="130"/>
      <c r="L127" s="127" t="s">
        <v>430</v>
      </c>
      <c r="M127" s="128">
        <v>0.4</v>
      </c>
      <c r="S127" s="6"/>
    </row>
    <row r="128" spans="1:19" ht="14.4" customHeight="1" x14ac:dyDescent="0.3">
      <c r="B128" s="130"/>
      <c r="C128" s="130"/>
      <c r="D128" s="130"/>
      <c r="E128" s="130"/>
      <c r="F128" s="130"/>
      <c r="G128" s="130"/>
      <c r="H128" s="130"/>
      <c r="I128" s="130"/>
      <c r="J128" s="130"/>
      <c r="K128" s="130"/>
      <c r="L128" s="127" t="s">
        <v>431</v>
      </c>
      <c r="M128" s="128">
        <v>0.35</v>
      </c>
      <c r="S128" s="6"/>
    </row>
    <row r="129" spans="2:19" ht="14.4" customHeight="1" x14ac:dyDescent="0.3">
      <c r="B129" s="130"/>
      <c r="C129" s="130"/>
      <c r="D129" s="130"/>
      <c r="E129" s="130"/>
      <c r="F129" s="130"/>
      <c r="G129" s="130"/>
      <c r="H129" s="130"/>
      <c r="I129" s="130"/>
      <c r="J129" s="130"/>
      <c r="K129" s="130"/>
      <c r="L129" s="127" t="s">
        <v>432</v>
      </c>
      <c r="M129" s="128">
        <v>0.25</v>
      </c>
      <c r="S129" s="6"/>
    </row>
    <row r="130" spans="2:19" ht="43.2" customHeight="1" x14ac:dyDescent="0.3">
      <c r="B130" s="129" t="s">
        <v>441</v>
      </c>
      <c r="C130" s="129" t="s">
        <v>416</v>
      </c>
      <c r="D130" s="129" t="s">
        <v>433</v>
      </c>
      <c r="E130" s="129" t="s">
        <v>434</v>
      </c>
      <c r="F130" s="129" t="s">
        <v>435</v>
      </c>
      <c r="G130" s="129" t="s">
        <v>436</v>
      </c>
      <c r="H130" s="129" t="s">
        <v>418</v>
      </c>
      <c r="I130" s="129" t="s">
        <v>419</v>
      </c>
      <c r="J130" s="129" t="s">
        <v>420</v>
      </c>
      <c r="K130" s="130"/>
      <c r="L130" s="127" t="s">
        <v>442</v>
      </c>
      <c r="M130" s="127">
        <v>100</v>
      </c>
      <c r="S130" s="6"/>
    </row>
    <row r="131" spans="2:19" ht="14.4" customHeight="1" x14ac:dyDescent="0.3">
      <c r="B131" s="131" t="s">
        <v>421</v>
      </c>
      <c r="C131" s="132">
        <v>120</v>
      </c>
      <c r="D131" s="133">
        <v>7</v>
      </c>
      <c r="E131" s="133">
        <f>ROUND((D131/$D$122)*100,0)</f>
        <v>20</v>
      </c>
      <c r="F131" s="137">
        <f>100-(ABS(C131-$M$130)/$M$130*100)</f>
        <v>80</v>
      </c>
      <c r="G131" s="137">
        <f>D131*10</f>
        <v>70</v>
      </c>
      <c r="H131" s="137">
        <f>$M$127*F131+$M$128*G131+$M$129*E131</f>
        <v>61.5</v>
      </c>
      <c r="I131" s="138">
        <f>H131/$H$135</f>
        <v>0.30483271375464682</v>
      </c>
      <c r="J131" s="137">
        <f>ROUND(I131*$B$139,0)</f>
        <v>1067</v>
      </c>
      <c r="K131" s="130"/>
      <c r="S131" s="6"/>
    </row>
    <row r="132" spans="2:19" ht="14.4" customHeight="1" x14ac:dyDescent="0.3">
      <c r="B132" s="131" t="s">
        <v>422</v>
      </c>
      <c r="C132" s="132">
        <v>150</v>
      </c>
      <c r="D132" s="133">
        <v>8.3000000000000007</v>
      </c>
      <c r="E132" s="133">
        <f>ROUND((D132/$D$122)*100,0)</f>
        <v>24</v>
      </c>
      <c r="F132" s="137">
        <f>100-(ABS(C132-$M$130)/$M$130*100)</f>
        <v>50</v>
      </c>
      <c r="G132" s="137">
        <f>D132*10</f>
        <v>83</v>
      </c>
      <c r="H132" s="137">
        <f>$M$127*F132+$M$128*G132+$M$129*E132</f>
        <v>55.05</v>
      </c>
      <c r="I132" s="138">
        <f>H132/$H$135</f>
        <v>0.27286245353159849</v>
      </c>
      <c r="J132" s="137">
        <f>ROUND(I132*$B$139,0)</f>
        <v>955</v>
      </c>
      <c r="K132" s="130"/>
      <c r="S132" s="6"/>
    </row>
    <row r="133" spans="2:19" ht="14.4" customHeight="1" x14ac:dyDescent="0.3">
      <c r="B133" s="131" t="s">
        <v>423</v>
      </c>
      <c r="C133" s="132">
        <v>190</v>
      </c>
      <c r="D133" s="133">
        <v>10.199999999999999</v>
      </c>
      <c r="E133" s="133">
        <f>ROUND((D133/$D$122)*100,0)</f>
        <v>30</v>
      </c>
      <c r="F133" s="137">
        <f>100-(ABS(C133-$M$130)/$M$130*100)</f>
        <v>10</v>
      </c>
      <c r="G133" s="137">
        <f>D133*10</f>
        <v>102</v>
      </c>
      <c r="H133" s="137">
        <f>$M$127*F133+$M$128*G133+$M$129*E133</f>
        <v>47.199999999999996</v>
      </c>
      <c r="I133" s="138">
        <f>H133/$H$135</f>
        <v>0.23395291201982649</v>
      </c>
      <c r="J133" s="137">
        <f>ROUND(I133*$B$139,0)</f>
        <v>819</v>
      </c>
      <c r="K133" s="130"/>
      <c r="S133" s="6"/>
    </row>
    <row r="134" spans="2:19" ht="14.4" customHeight="1" x14ac:dyDescent="0.3">
      <c r="B134" s="131" t="s">
        <v>424</v>
      </c>
      <c r="C134" s="132">
        <v>200</v>
      </c>
      <c r="D134" s="133">
        <v>9</v>
      </c>
      <c r="E134" s="133">
        <f>ROUND((D134/$D$122)*100,0)</f>
        <v>26</v>
      </c>
      <c r="F134" s="137">
        <f>100-(ABS(C134-$M$130)/$M$130*100)</f>
        <v>0</v>
      </c>
      <c r="G134" s="137">
        <f>D134*10</f>
        <v>90</v>
      </c>
      <c r="H134" s="137">
        <f>$M$127*F134+$M$128*G134+$M$129*E134</f>
        <v>38</v>
      </c>
      <c r="I134" s="138">
        <f>H134/$H$135</f>
        <v>0.18835192069392812</v>
      </c>
      <c r="J134" s="137">
        <f>ROUND(I134*$B$139,0)</f>
        <v>659</v>
      </c>
      <c r="K134" s="130"/>
      <c r="S134" s="6"/>
    </row>
    <row r="135" spans="2:19" ht="14.4" customHeight="1" x14ac:dyDescent="0.3">
      <c r="B135" s="129"/>
      <c r="C135" s="129" t="s">
        <v>437</v>
      </c>
      <c r="D135" s="129">
        <f>SUM(D131:D134)</f>
        <v>34.5</v>
      </c>
      <c r="E135" s="129"/>
      <c r="F135" s="129"/>
      <c r="G135" s="142" t="s">
        <v>438</v>
      </c>
      <c r="H135" s="143">
        <f>SUM(H131:H134)</f>
        <v>201.75</v>
      </c>
      <c r="I135" s="129"/>
      <c r="J135" s="129">
        <f>SUM(J131:J134)</f>
        <v>3500</v>
      </c>
      <c r="K135" s="130"/>
      <c r="S135" s="6"/>
    </row>
    <row r="136" spans="2:19" ht="14.4" customHeight="1" x14ac:dyDescent="0.3">
      <c r="B136" s="130"/>
      <c r="C136" s="130"/>
      <c r="D136" s="130"/>
      <c r="E136" s="130"/>
      <c r="F136" s="130"/>
      <c r="G136" s="130"/>
      <c r="H136" s="130"/>
      <c r="I136" s="130"/>
      <c r="J136" s="130"/>
      <c r="K136" s="130"/>
      <c r="S136" s="6"/>
    </row>
    <row r="137" spans="2:19" ht="14.4" customHeight="1" x14ac:dyDescent="0.3">
      <c r="B137" s="129">
        <v>5000</v>
      </c>
      <c r="C137" s="129" t="s">
        <v>439</v>
      </c>
      <c r="D137" s="130"/>
      <c r="E137" s="130"/>
      <c r="F137" s="130"/>
      <c r="G137" s="130"/>
      <c r="H137" s="130"/>
      <c r="I137" s="130"/>
      <c r="J137" s="130"/>
      <c r="K137" s="130"/>
      <c r="S137" s="6"/>
    </row>
    <row r="138" spans="2:19" ht="14.4" customHeight="1" x14ac:dyDescent="0.3">
      <c r="B138" s="140">
        <v>0.7</v>
      </c>
      <c r="C138" s="129"/>
      <c r="D138" s="130"/>
      <c r="E138" s="130"/>
      <c r="F138" s="130"/>
      <c r="G138" s="130"/>
      <c r="H138" s="130"/>
      <c r="I138" s="130"/>
      <c r="J138" s="130"/>
      <c r="S138" s="6"/>
    </row>
    <row r="139" spans="2:19" ht="14.4" customHeight="1" x14ac:dyDescent="0.3">
      <c r="B139" s="129">
        <v>3500</v>
      </c>
      <c r="C139" s="129" t="s">
        <v>440</v>
      </c>
      <c r="D139" s="130"/>
      <c r="E139" s="130"/>
      <c r="F139" s="130"/>
      <c r="G139" s="130"/>
      <c r="H139" s="130"/>
      <c r="I139" s="130"/>
      <c r="J139" s="130"/>
      <c r="S139" s="6"/>
    </row>
    <row r="140" spans="2:19" ht="14.4" customHeight="1" x14ac:dyDescent="0.3">
      <c r="L140" s="127" t="s">
        <v>430</v>
      </c>
      <c r="M140" s="128">
        <v>0.1</v>
      </c>
      <c r="S140" s="6"/>
    </row>
    <row r="141" spans="2:19" ht="14.4" customHeight="1" x14ac:dyDescent="0.3">
      <c r="L141" s="127" t="s">
        <v>431</v>
      </c>
      <c r="M141" s="128">
        <v>0.5</v>
      </c>
      <c r="S141" s="6"/>
    </row>
    <row r="142" spans="2:19" ht="14.4" customHeight="1" x14ac:dyDescent="0.3">
      <c r="L142" s="127" t="s">
        <v>432</v>
      </c>
      <c r="M142" s="128">
        <v>0.4</v>
      </c>
      <c r="S142" s="6"/>
    </row>
    <row r="143" spans="2:19" ht="43.2" customHeight="1" x14ac:dyDescent="0.3">
      <c r="B143" s="129" t="s">
        <v>443</v>
      </c>
      <c r="C143" s="129" t="s">
        <v>416</v>
      </c>
      <c r="D143" s="129" t="s">
        <v>433</v>
      </c>
      <c r="E143" s="129" t="s">
        <v>434</v>
      </c>
      <c r="F143" s="129" t="s">
        <v>435</v>
      </c>
      <c r="G143" s="129" t="s">
        <v>436</v>
      </c>
      <c r="H143" s="129" t="s">
        <v>418</v>
      </c>
      <c r="I143" s="129" t="s">
        <v>419</v>
      </c>
      <c r="J143" s="129" t="s">
        <v>420</v>
      </c>
      <c r="L143" s="127" t="s">
        <v>442</v>
      </c>
      <c r="M143" s="127">
        <v>250</v>
      </c>
      <c r="S143" s="6"/>
    </row>
    <row r="144" spans="2:19" ht="14.4" customHeight="1" x14ac:dyDescent="0.3">
      <c r="B144" s="131" t="s">
        <v>421</v>
      </c>
      <c r="C144" s="132">
        <v>250</v>
      </c>
      <c r="D144" s="133">
        <v>7</v>
      </c>
      <c r="E144" s="133">
        <f>ROUND((D144/$D$122)*100,0)</f>
        <v>20</v>
      </c>
      <c r="F144" s="137">
        <f>100-(ABS(C144-$M$143)/$M$143*100)</f>
        <v>100</v>
      </c>
      <c r="G144" s="137">
        <f>D144*10</f>
        <v>70</v>
      </c>
      <c r="H144" s="137">
        <f>$M$140*F144+$M$141*G144+$M$142*E144</f>
        <v>53</v>
      </c>
      <c r="I144" s="138">
        <f>H144/$H$148</f>
        <v>0.21783806000822031</v>
      </c>
      <c r="J144" s="137">
        <f>ROUND(I144*$B$152,0)</f>
        <v>174</v>
      </c>
      <c r="S144" s="6"/>
    </row>
    <row r="145" spans="2:19" ht="14.4" customHeight="1" x14ac:dyDescent="0.3">
      <c r="B145" s="131" t="s">
        <v>422</v>
      </c>
      <c r="C145" s="132">
        <v>300</v>
      </c>
      <c r="D145" s="133">
        <v>8.3000000000000007</v>
      </c>
      <c r="E145" s="133">
        <f>ROUND((D145/$D$122)*100,0)</f>
        <v>24</v>
      </c>
      <c r="F145" s="137">
        <f>100-(ABS(C145-$M$143)/$M$143*100)</f>
        <v>80</v>
      </c>
      <c r="G145" s="137">
        <f>D145*10</f>
        <v>83</v>
      </c>
      <c r="H145" s="137">
        <f>$M$140*F145+$M$141*G145+$M$142*E145</f>
        <v>59.1</v>
      </c>
      <c r="I145" s="138">
        <f>H145/$H$148</f>
        <v>0.2429099876695438</v>
      </c>
      <c r="J145" s="137">
        <f>ROUND(I145*$B$152,0)</f>
        <v>194</v>
      </c>
      <c r="S145" s="6"/>
    </row>
    <row r="146" spans="2:19" ht="14.4" customHeight="1" x14ac:dyDescent="0.3">
      <c r="B146" s="131" t="s">
        <v>423</v>
      </c>
      <c r="C146" s="132">
        <v>220</v>
      </c>
      <c r="D146" s="133">
        <v>10.199999999999999</v>
      </c>
      <c r="E146" s="133">
        <f>ROUND((D146/$D$122)*100,0)</f>
        <v>30</v>
      </c>
      <c r="F146" s="137">
        <f>100-(ABS(C146-$M$143)/$M$143*100)</f>
        <v>88</v>
      </c>
      <c r="G146" s="137">
        <f>D146*10</f>
        <v>102</v>
      </c>
      <c r="H146" s="137">
        <f>$M$140*F146+$M$141*G146+$M$142*E146</f>
        <v>71.8</v>
      </c>
      <c r="I146" s="138">
        <f>H146/$H$148</f>
        <v>0.29510891903000414</v>
      </c>
      <c r="J146" s="137">
        <f>ROUND(I146*$B$152,0)</f>
        <v>236</v>
      </c>
      <c r="S146" s="6"/>
    </row>
    <row r="147" spans="2:19" ht="14.4" customHeight="1" x14ac:dyDescent="0.3">
      <c r="B147" s="131" t="s">
        <v>424</v>
      </c>
      <c r="C147" s="132">
        <v>400</v>
      </c>
      <c r="D147" s="133">
        <v>9</v>
      </c>
      <c r="E147" s="133">
        <f>ROUND((D147/$D$122)*100,0)</f>
        <v>26</v>
      </c>
      <c r="F147" s="137">
        <f>100-(ABS(C147-$M$143)/$M$143*100)</f>
        <v>40</v>
      </c>
      <c r="G147" s="137">
        <f>D147*10</f>
        <v>90</v>
      </c>
      <c r="H147" s="137">
        <f>$M$140*F147+$M$141*G147+$M$142*E147</f>
        <v>59.4</v>
      </c>
      <c r="I147" s="138">
        <f>H147/$H$148</f>
        <v>0.24414303329223183</v>
      </c>
      <c r="J147" s="137">
        <f>ROUND(I147*$B$152,0)</f>
        <v>195</v>
      </c>
      <c r="S147" s="6"/>
    </row>
    <row r="148" spans="2:19" ht="14.4" customHeight="1" x14ac:dyDescent="0.3">
      <c r="B148" s="129"/>
      <c r="C148" s="129" t="s">
        <v>437</v>
      </c>
      <c r="D148" s="129">
        <f>SUM(D144:D147)</f>
        <v>34.5</v>
      </c>
      <c r="E148" s="129"/>
      <c r="F148" s="129"/>
      <c r="G148" s="142" t="s">
        <v>438</v>
      </c>
      <c r="H148" s="143">
        <f>SUM(H144:H147)</f>
        <v>243.29999999999998</v>
      </c>
      <c r="I148" s="129"/>
      <c r="J148" s="129">
        <f>SUM(J144:J147)</f>
        <v>799</v>
      </c>
      <c r="S148" s="6"/>
    </row>
    <row r="149" spans="2:19" ht="14.4" customHeight="1" x14ac:dyDescent="0.3">
      <c r="B149" s="130"/>
      <c r="C149" s="130"/>
      <c r="D149" s="130"/>
      <c r="E149" s="130"/>
      <c r="F149" s="130"/>
      <c r="G149" s="130"/>
      <c r="H149" s="130"/>
      <c r="I149" s="130"/>
      <c r="J149" s="130"/>
      <c r="S149" s="6"/>
    </row>
    <row r="150" spans="2:19" ht="14.4" customHeight="1" x14ac:dyDescent="0.3">
      <c r="B150" s="129">
        <v>2000</v>
      </c>
      <c r="C150" s="129" t="s">
        <v>439</v>
      </c>
      <c r="D150" s="130"/>
      <c r="E150" s="130"/>
      <c r="F150" s="130"/>
      <c r="G150" s="130"/>
      <c r="H150" s="130"/>
      <c r="I150" s="130"/>
      <c r="J150" s="130"/>
      <c r="S150" s="6"/>
    </row>
    <row r="151" spans="2:19" ht="14.4" customHeight="1" x14ac:dyDescent="0.3">
      <c r="B151" s="140">
        <v>0.4</v>
      </c>
      <c r="C151" s="129"/>
      <c r="D151" s="130"/>
      <c r="E151" s="130"/>
      <c r="F151" s="130"/>
      <c r="G151" s="130"/>
      <c r="H151" s="130"/>
      <c r="I151" s="130"/>
      <c r="J151" s="130"/>
      <c r="S151" s="6"/>
    </row>
    <row r="152" spans="2:19" ht="14.4" customHeight="1" x14ac:dyDescent="0.3">
      <c r="B152" s="129">
        <v>800</v>
      </c>
      <c r="C152" s="129" t="s">
        <v>440</v>
      </c>
      <c r="D152" s="130"/>
      <c r="E152" s="130"/>
      <c r="F152" s="130"/>
      <c r="G152" s="130"/>
      <c r="H152" s="130"/>
      <c r="I152" s="130"/>
      <c r="J152" s="130"/>
      <c r="S152" s="6"/>
    </row>
    <row r="153" spans="2:19" ht="14.4" customHeight="1" x14ac:dyDescent="0.3">
      <c r="S153" s="6"/>
    </row>
    <row r="154" spans="2:19" ht="14.4" customHeight="1" x14ac:dyDescent="0.3">
      <c r="S154" s="6"/>
    </row>
    <row r="155" spans="2:19" ht="14.4" customHeight="1" x14ac:dyDescent="0.3">
      <c r="S155" s="6"/>
    </row>
    <row r="156" spans="2:19" ht="14.4" customHeight="1" x14ac:dyDescent="0.3">
      <c r="S156" s="6"/>
    </row>
    <row r="157" spans="2:19" ht="14.4" customHeight="1" x14ac:dyDescent="0.3">
      <c r="S157" s="6"/>
    </row>
    <row r="158" spans="2:19" ht="14.4" customHeight="1" x14ac:dyDescent="0.3">
      <c r="S158" s="6"/>
    </row>
    <row r="159" spans="2:19" ht="14.4" customHeight="1" x14ac:dyDescent="0.3">
      <c r="S159" s="6"/>
    </row>
    <row r="160" spans="2:19" ht="14.4" customHeight="1" x14ac:dyDescent="0.3">
      <c r="S160" s="6"/>
    </row>
    <row r="161" spans="19:19" ht="14.4" customHeight="1" x14ac:dyDescent="0.3">
      <c r="S161" s="6"/>
    </row>
    <row r="162" spans="19:19" ht="14.4" customHeight="1" x14ac:dyDescent="0.3">
      <c r="S162" s="6"/>
    </row>
    <row r="163" spans="19:19" ht="14.4" customHeight="1" x14ac:dyDescent="0.3">
      <c r="S163" s="6"/>
    </row>
    <row r="164" spans="19:19" ht="14.4" customHeight="1" x14ac:dyDescent="0.3">
      <c r="S164" s="6"/>
    </row>
    <row r="165" spans="19:19" ht="14.4" customHeight="1" x14ac:dyDescent="0.3">
      <c r="S165" s="6"/>
    </row>
    <row r="166" spans="19:19" ht="14.4" customHeight="1" x14ac:dyDescent="0.3">
      <c r="S166" s="6"/>
    </row>
    <row r="167" spans="19:19" ht="14.4" customHeight="1" x14ac:dyDescent="0.3">
      <c r="S167" s="6"/>
    </row>
    <row r="168" spans="19:19" ht="14.4" customHeight="1" x14ac:dyDescent="0.3">
      <c r="S168" s="6"/>
    </row>
    <row r="169" spans="19:19" ht="14.4" customHeight="1" x14ac:dyDescent="0.3">
      <c r="S169" s="6"/>
    </row>
    <row r="170" spans="19:19" ht="14.4" customHeight="1" x14ac:dyDescent="0.3">
      <c r="S170" s="6"/>
    </row>
    <row r="171" spans="19:19" ht="14.4" customHeight="1" x14ac:dyDescent="0.3">
      <c r="S171" s="6"/>
    </row>
    <row r="172" spans="19:19" ht="14.4" customHeight="1" x14ac:dyDescent="0.3">
      <c r="S172" s="6"/>
    </row>
    <row r="173" spans="19:19" ht="14.4" customHeight="1" x14ac:dyDescent="0.3">
      <c r="S173" s="6"/>
    </row>
    <row r="174" spans="19:19" ht="14.4" customHeight="1" x14ac:dyDescent="0.3">
      <c r="S174" s="6"/>
    </row>
    <row r="175" spans="19:19" ht="14.4" customHeight="1" x14ac:dyDescent="0.3">
      <c r="S175" s="6"/>
    </row>
    <row r="176" spans="19:19" ht="14.4" customHeight="1" x14ac:dyDescent="0.3">
      <c r="S176" s="6"/>
    </row>
    <row r="177" spans="19:19" ht="14.4" customHeight="1" x14ac:dyDescent="0.3">
      <c r="S177" s="6"/>
    </row>
    <row r="178" spans="19:19" ht="14.4" customHeight="1" x14ac:dyDescent="0.3">
      <c r="S178" s="6"/>
    </row>
    <row r="179" spans="19:19" ht="14.4" customHeight="1" x14ac:dyDescent="0.3">
      <c r="S179" s="6"/>
    </row>
    <row r="180" spans="19:19" ht="14.4" customHeight="1" x14ac:dyDescent="0.3">
      <c r="S180" s="6"/>
    </row>
    <row r="181" spans="19:19" ht="14.4" customHeight="1" x14ac:dyDescent="0.3">
      <c r="S181" s="6"/>
    </row>
    <row r="182" spans="19:19" ht="14.4" customHeight="1" x14ac:dyDescent="0.3">
      <c r="S182" s="6"/>
    </row>
    <row r="183" spans="19:19" ht="14.4" customHeight="1" x14ac:dyDescent="0.3">
      <c r="S183" s="6"/>
    </row>
    <row r="184" spans="19:19" ht="14.4" customHeight="1" x14ac:dyDescent="0.3">
      <c r="S184" s="6"/>
    </row>
    <row r="185" spans="19:19" ht="14.4" customHeight="1" x14ac:dyDescent="0.3">
      <c r="S185" s="6"/>
    </row>
    <row r="186" spans="19:19" ht="14.4" customHeight="1" x14ac:dyDescent="0.3">
      <c r="S186" s="6"/>
    </row>
    <row r="187" spans="19:19" ht="14.4" customHeight="1" x14ac:dyDescent="0.3">
      <c r="S187" s="6"/>
    </row>
    <row r="188" spans="19:19" ht="14.4" customHeight="1" x14ac:dyDescent="0.3">
      <c r="S188" s="6"/>
    </row>
    <row r="189" spans="19:19" ht="14.4" customHeight="1" x14ac:dyDescent="0.3">
      <c r="S189" s="6"/>
    </row>
    <row r="190" spans="19:19" ht="14.4" customHeight="1" x14ac:dyDescent="0.3">
      <c r="S190" s="6"/>
    </row>
    <row r="191" spans="19:19" ht="14.4" customHeight="1" x14ac:dyDescent="0.3">
      <c r="S191" s="6"/>
    </row>
    <row r="192" spans="19:19" ht="14.4" customHeight="1" x14ac:dyDescent="0.3">
      <c r="S192" s="6"/>
    </row>
    <row r="193" spans="19:19" ht="14.4" customHeight="1" x14ac:dyDescent="0.3">
      <c r="S193" s="6"/>
    </row>
    <row r="194" spans="19:19" ht="14.4" customHeight="1" x14ac:dyDescent="0.3">
      <c r="S194" s="6"/>
    </row>
    <row r="195" spans="19:19" ht="14.4" customHeight="1" x14ac:dyDescent="0.3">
      <c r="S195" s="6"/>
    </row>
    <row r="196" spans="19:19" ht="14.4" customHeight="1" x14ac:dyDescent="0.3">
      <c r="S196" s="6"/>
    </row>
    <row r="197" spans="19:19" ht="14.4" customHeight="1" x14ac:dyDescent="0.3">
      <c r="S197" s="6"/>
    </row>
    <row r="198" spans="19:19" ht="14.4" customHeight="1" x14ac:dyDescent="0.3">
      <c r="S198" s="6"/>
    </row>
    <row r="199" spans="19:19" ht="14.4" customHeight="1" x14ac:dyDescent="0.3">
      <c r="S199" s="6"/>
    </row>
    <row r="200" spans="19:19" ht="14.4" customHeight="1" x14ac:dyDescent="0.3">
      <c r="S200" s="6"/>
    </row>
  </sheetData>
  <mergeCells count="1">
    <mergeCell ref="A3:B3"/>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000"/>
  <sheetViews>
    <sheetView showGridLines="0" workbookViewId="0">
      <pane ySplit="1" topLeftCell="A2" activePane="bottomLeft" state="frozen"/>
      <selection pane="bottomLeft" activeCell="B3" sqref="B3"/>
    </sheetView>
  </sheetViews>
  <sheetFormatPr baseColWidth="10" defaultColWidth="14.44140625" defaultRowHeight="15" customHeight="1" x14ac:dyDescent="0.3"/>
  <cols>
    <col min="1" max="1" width="10" customWidth="1"/>
    <col min="2" max="2" width="20" customWidth="1"/>
    <col min="3" max="3" width="18" customWidth="1"/>
    <col min="4" max="4" width="16" customWidth="1"/>
    <col min="5" max="5" width="18" customWidth="1"/>
    <col min="6" max="6" width="14" customWidth="1"/>
    <col min="7" max="7" width="16" customWidth="1"/>
    <col min="8" max="8" width="18" customWidth="1"/>
    <col min="9" max="10" width="16" customWidth="1"/>
    <col min="11" max="11" width="20" customWidth="1"/>
    <col min="12" max="12" width="46" customWidth="1"/>
    <col min="13" max="26" width="8.6640625" customWidth="1"/>
  </cols>
  <sheetData>
    <row r="1" spans="1:12" ht="55.2" customHeight="1" x14ac:dyDescent="0.3">
      <c r="A1" s="7" t="s">
        <v>535</v>
      </c>
      <c r="B1" s="7" t="s">
        <v>536</v>
      </c>
      <c r="C1" s="7" t="s">
        <v>537</v>
      </c>
      <c r="D1" s="7" t="s">
        <v>538</v>
      </c>
      <c r="E1" s="7" t="s">
        <v>539</v>
      </c>
      <c r="F1" s="7" t="s">
        <v>540</v>
      </c>
      <c r="G1" s="7" t="s">
        <v>541</v>
      </c>
      <c r="H1" s="7" t="s">
        <v>542</v>
      </c>
      <c r="I1" s="7" t="s">
        <v>543</v>
      </c>
      <c r="J1" s="7" t="s">
        <v>544</v>
      </c>
      <c r="K1" s="7" t="s">
        <v>545</v>
      </c>
      <c r="L1" s="7" t="s">
        <v>546</v>
      </c>
    </row>
    <row r="2" spans="1:12" ht="39.6" customHeight="1" x14ac:dyDescent="0.3">
      <c r="A2" s="8" t="s">
        <v>547</v>
      </c>
      <c r="B2" s="90" t="s">
        <v>112</v>
      </c>
      <c r="C2" s="90">
        <v>100</v>
      </c>
      <c r="D2" s="90" t="s">
        <v>211</v>
      </c>
      <c r="E2" s="90" t="s">
        <v>218</v>
      </c>
      <c r="F2" s="90" t="s">
        <v>228</v>
      </c>
      <c r="G2" s="90" t="s">
        <v>142</v>
      </c>
      <c r="H2" s="92">
        <f t="array" ref="H2">IFERROR(INDEX(Catalogo_Decisiones!$G$2:$G$57,MATCH($D2,Catalogo_Decisiones!$A$2:$A$57,0)),0)+IFERROR(INDEX(Catalogo_Decisiones!$G$2:$G$57,MATCH($E2,Catalogo_Decisiones!$A$2:$A$57,0)),0)+IFERROR(INDEX(Catalogo_Decisiones!$G$2:$G$57,MATCH($F2,Catalogo_Decisiones!$A$2:$A$57,0)),0)</f>
        <v>96</v>
      </c>
      <c r="I2" s="92">
        <f t="array" ref="I2">IFERROR(INDEX(Catalogo_Decisiones!$H$2:$H$57,MATCH($D2,Catalogo_Decisiones!$A$2:$A$57,0)),0)+IFERROR(INDEX(Catalogo_Decisiones!$H$2:$H$57,MATCH($E2,Catalogo_Decisiones!$A$2:$A$57,0)),0)+IFERROR(INDEX(Catalogo_Decisiones!$H$2:$H$57,MATCH($F2,Catalogo_Decisiones!$A$2:$A$57,0)),0)+IFERROR(INDEX(Catalogo_Decisiones!$H$2:$H$57,MATCH($G2,Catalogo_Decisiones!$A$2:$A$57,0)),0)</f>
        <v>12</v>
      </c>
      <c r="J2" s="92">
        <f>_xlfn.IFS($B2="SEG-01",0,$B2="SEG-02",4,$B2="SEG-03",7,TRUE(),0)</f>
        <v>7</v>
      </c>
      <c r="K2" s="95" t="str">
        <f>IF(B2="","",IF(I2&gt;=J2,"Coherente","No alcanza el segmento"))</f>
        <v>Coherente</v>
      </c>
      <c r="L2" s="95" t="str">
        <f>IF(B2="","Elige un segmento y los insumos del lote",IF(K2="Coherente","Este lote cumple con la calidad esperada para su segmento. Los clientes perciben el valor y el precio se sostiene.","Este lote no alcanza la calidad que su segmento promete. Los clientes se sienten enganados: baja el precio efectivo y la reputacion."))</f>
        <v>Este lote cumple con la calidad esperada para su segmento. Los clientes perciben el valor y el precio se sostiene.</v>
      </c>
    </row>
    <row r="3" spans="1:12" ht="39.6" customHeight="1" x14ac:dyDescent="0.3">
      <c r="A3" s="8" t="s">
        <v>548</v>
      </c>
      <c r="B3" s="90" t="s">
        <v>109</v>
      </c>
      <c r="C3" s="90">
        <v>300</v>
      </c>
      <c r="D3" s="90" t="s">
        <v>208</v>
      </c>
      <c r="E3" s="90" t="s">
        <v>214</v>
      </c>
      <c r="F3" s="90" t="s">
        <v>221</v>
      </c>
      <c r="G3" s="90" t="s">
        <v>135</v>
      </c>
      <c r="H3" s="92">
        <f t="array" ref="H3">IFERROR(INDEX(Catalogo_Decisiones!$G$2:$G$57,MATCH($D3,Catalogo_Decisiones!$A$2:$A$57,0)),0)+IFERROR(INDEX(Catalogo_Decisiones!$G$2:$G$57,MATCH($E3,Catalogo_Decisiones!$A$2:$A$57,0)),0)+IFERROR(INDEX(Catalogo_Decisiones!$G$2:$G$57,MATCH($F3,Catalogo_Decisiones!$A$2:$A$57,0)),0)</f>
        <v>51</v>
      </c>
      <c r="I3" s="92">
        <f t="array" ref="I3">IFERROR(INDEX(Catalogo_Decisiones!$H$2:$H$57,MATCH($D3,Catalogo_Decisiones!$A$2:$A$57,0)),0)+IFERROR(INDEX(Catalogo_Decisiones!$H$2:$H$57,MATCH($E3,Catalogo_Decisiones!$A$2:$A$57,0)),0)+IFERROR(INDEX(Catalogo_Decisiones!$H$2:$H$57,MATCH($F3,Catalogo_Decisiones!$A$2:$A$57,0)),0)+IFERROR(INDEX(Catalogo_Decisiones!$H$2:$H$57,MATCH($G3,Catalogo_Decisiones!$A$2:$A$57,0)),0)</f>
        <v>5</v>
      </c>
      <c r="J3" s="92">
        <f>_xlfn.IFS($B3="SEG-01",0,$B3="SEG-02",4,$B3="SEG-03",7,TRUE(),0)</f>
        <v>4</v>
      </c>
      <c r="K3" s="95" t="str">
        <f>IF(B3="","",IF(I3&gt;=J3,"Coherente","No alcanza el segmento"))</f>
        <v>Coherente</v>
      </c>
      <c r="L3" s="95" t="str">
        <f>IF(B3="","Elige un segmento y los insumos del lote",IF(K3="Coherente","Este lote cumple con la calidad esperada para su segmento. Los clientes perciben el valor y el precio se sostiene.","Este lote no alcanza la calidad que su segmento promete. Los clientes se sienten enganados: baja el precio efectivo y la reputacion."))</f>
        <v>Este lote cumple con la calidad esperada para su segmento. Los clientes perciben el valor y el precio se sostiene.</v>
      </c>
    </row>
    <row r="4" spans="1:12" ht="39.6" customHeight="1" x14ac:dyDescent="0.3">
      <c r="A4" s="8" t="s">
        <v>549</v>
      </c>
      <c r="B4" s="90" t="s">
        <v>112</v>
      </c>
      <c r="C4" s="90">
        <v>100</v>
      </c>
      <c r="D4" s="90" t="s">
        <v>202</v>
      </c>
      <c r="E4" s="90" t="s">
        <v>214</v>
      </c>
      <c r="F4" s="90" t="s">
        <v>221</v>
      </c>
      <c r="G4" s="90" t="s">
        <v>135</v>
      </c>
      <c r="H4" s="92">
        <f t="array" ref="H4">IFERROR(INDEX(Catalogo_Decisiones!$G$2:$G$57,MATCH($D4,Catalogo_Decisiones!$A$2:$A$57,0)),0)+IFERROR(INDEX(Catalogo_Decisiones!$G$2:$G$57,MATCH($E4,Catalogo_Decisiones!$A$2:$A$57,0)),0)+IFERROR(INDEX(Catalogo_Decisiones!$G$2:$G$57,MATCH($F4,Catalogo_Decisiones!$A$2:$A$57,0)),0)</f>
        <v>31</v>
      </c>
      <c r="I4" s="92">
        <f t="array" ref="I4">IFERROR(INDEX(Catalogo_Decisiones!$H$2:$H$57,MATCH($D4,Catalogo_Decisiones!$A$2:$A$57,0)),0)+IFERROR(INDEX(Catalogo_Decisiones!$H$2:$H$57,MATCH($E4,Catalogo_Decisiones!$A$2:$A$57,0)),0)+IFERROR(INDEX(Catalogo_Decisiones!$H$2:$H$57,MATCH($F4,Catalogo_Decisiones!$A$2:$A$57,0)),0)+IFERROR(INDEX(Catalogo_Decisiones!$H$2:$H$57,MATCH($G4,Catalogo_Decisiones!$A$2:$A$57,0)),0)</f>
        <v>4</v>
      </c>
      <c r="J4" s="92">
        <f>_xlfn.IFS($B4="SEG-01",0,$B4="SEG-02",4,$B4="SEG-03",7,TRUE(),0)</f>
        <v>7</v>
      </c>
      <c r="K4" s="95" t="str">
        <f>IF(B4="","",IF(I4&gt;=J4,"Coherente","No alcanza el segmento"))</f>
        <v>No alcanza el segmento</v>
      </c>
      <c r="L4" s="95" t="str">
        <f>IF(B4="","Elige un segmento y los insumos del lote",IF(K4="Coherente","Este lote cumple con la calidad esperada para su segmento. Los clientes perciben el valor y el precio se sostiene.","Este lote no alcanza la calidad que su segmento promete. Los clientes se sienten enganados: baja el precio efectivo y la reputacion."))</f>
        <v>Este lote no alcanza la calidad que su segmento promete. Los clientes se sienten enganados: baja el precio efectivo y la reputacion.</v>
      </c>
    </row>
    <row r="5" spans="1:12" ht="14.4" customHeight="1" x14ac:dyDescent="0.3">
      <c r="A5" s="8" t="s">
        <v>550</v>
      </c>
      <c r="B5" s="108"/>
      <c r="C5" s="111">
        <f>SUM(C2:C4)</f>
        <v>500</v>
      </c>
      <c r="D5" s="108"/>
      <c r="E5" s="108"/>
      <c r="F5" s="108"/>
      <c r="G5" s="108"/>
      <c r="H5" s="111">
        <f>SUMPRODUCT(C2:C4,H2:H4)</f>
        <v>28000</v>
      </c>
      <c r="I5" s="108"/>
      <c r="J5" s="108"/>
      <c r="K5" s="108"/>
      <c r="L5" s="108"/>
    </row>
    <row r="6" spans="1:12" ht="14.4" customHeight="1" x14ac:dyDescent="0.3"/>
    <row r="7" spans="1:12" ht="14.4" customHeight="1" x14ac:dyDescent="0.3">
      <c r="A7" s="112" t="s">
        <v>551</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dataValidations count="5">
    <dataValidation type="list" allowBlank="1" sqref="G2:G4" xr:uid="{00000000-0002-0000-0700-000000000000}">
      <formula1>"INF-08,INF-09,INF-10"</formula1>
    </dataValidation>
    <dataValidation type="list" allowBlank="1" sqref="F2:F4" xr:uid="{00000000-0002-0000-0700-000001000000}">
      <formula1>"INS-06,INS-07,INS-08"</formula1>
    </dataValidation>
    <dataValidation type="list" allowBlank="1" sqref="B2:B4" xr:uid="{00000000-0002-0000-0700-000002000000}">
      <formula1>"SEG-01,SEG-02,SEG-03"</formula1>
    </dataValidation>
    <dataValidation type="list" allowBlank="1" sqref="E2:E4" xr:uid="{00000000-0002-0000-0700-000003000000}">
      <formula1>"INS-04,INS-05"</formula1>
    </dataValidation>
    <dataValidation type="list" allowBlank="1" sqref="D2:D4" xr:uid="{00000000-0002-0000-0700-000004000000}">
      <formula1>"INS-01,INS-02,INS-03"</formula1>
    </dataValidation>
  </dataValidations>
  <pageMargins left="0.75" right="0.75" top="1" bottom="1"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000"/>
  <sheetViews>
    <sheetView showGridLines="0" workbookViewId="0"/>
  </sheetViews>
  <sheetFormatPr baseColWidth="10" defaultColWidth="14.44140625" defaultRowHeight="15" customHeight="1" x14ac:dyDescent="0.3"/>
  <cols>
    <col min="1" max="1" width="30" customWidth="1"/>
    <col min="2" max="2" width="22" customWidth="1"/>
    <col min="3" max="3" width="24" customWidth="1"/>
    <col min="4" max="4" width="18" customWidth="1"/>
    <col min="5" max="26" width="8.6640625" customWidth="1"/>
  </cols>
  <sheetData>
    <row r="1" spans="1:4" ht="27.6" customHeight="1" x14ac:dyDescent="0.3">
      <c r="A1" s="7" t="s">
        <v>552</v>
      </c>
      <c r="B1" s="7" t="s">
        <v>553</v>
      </c>
      <c r="C1" s="7" t="s">
        <v>554</v>
      </c>
      <c r="D1" s="7" t="s">
        <v>555</v>
      </c>
    </row>
    <row r="2" spans="1:4" ht="14.4" customHeight="1" x14ac:dyDescent="0.3">
      <c r="A2" s="141" t="s">
        <v>556</v>
      </c>
    </row>
    <row r="3" spans="1:4" ht="14.4" customHeight="1" x14ac:dyDescent="0.3">
      <c r="A3" s="9" t="s">
        <v>557</v>
      </c>
      <c r="B3" s="18">
        <f>Lotes_Produccion!I2</f>
        <v>12</v>
      </c>
      <c r="C3" s="9" t="str">
        <f>IF(Lotes_Produccion!B2="","","Segmento: "&amp;Lotes_Produccion!B2)</f>
        <v>Segmento: SEG-03</v>
      </c>
      <c r="D3" s="9" t="str">
        <f>Lotes_Produccion!K2</f>
        <v>Coherente</v>
      </c>
    </row>
    <row r="4" spans="1:4" ht="14.4" customHeight="1" x14ac:dyDescent="0.3">
      <c r="A4" s="9" t="s">
        <v>558</v>
      </c>
      <c r="B4" s="18">
        <f>Lotes_Produccion!I3</f>
        <v>5</v>
      </c>
      <c r="C4" s="9" t="str">
        <f>IF(Lotes_Produccion!B3="","","Segmento: "&amp;Lotes_Produccion!B3)</f>
        <v>Segmento: SEG-02</v>
      </c>
      <c r="D4" s="9" t="str">
        <f>Lotes_Produccion!K3</f>
        <v>Coherente</v>
      </c>
    </row>
    <row r="5" spans="1:4" ht="14.4" customHeight="1" x14ac:dyDescent="0.3">
      <c r="A5" s="9" t="s">
        <v>559</v>
      </c>
      <c r="B5" s="18">
        <f>Lotes_Produccion!I4</f>
        <v>4</v>
      </c>
      <c r="C5" s="9" t="str">
        <f>IF(Lotes_Produccion!B4="","","Segmento: "&amp;Lotes_Produccion!B4)</f>
        <v>Segmento: SEG-03</v>
      </c>
      <c r="D5" s="9" t="str">
        <f>Lotes_Produccion!K4</f>
        <v>No alcanza el segmento</v>
      </c>
    </row>
    <row r="6" spans="1:4" ht="14.4" customHeight="1" x14ac:dyDescent="0.3">
      <c r="A6" s="8" t="s">
        <v>560</v>
      </c>
      <c r="B6" s="111">
        <f>IFERROR(SUMPRODUCT(Lotes_Produccion!C2:C4,Lotes_Produccion!I2:I4)/SUM(Lotes_Produccion!C2:C4),0)</f>
        <v>6.2</v>
      </c>
      <c r="C6" s="8" t="s">
        <v>561</v>
      </c>
      <c r="D6" s="8" t="str">
        <f>IF(B6&gt;=7,"Alto",IF(B6&gt;=4,"Medio","Bajo"))</f>
        <v>Medio</v>
      </c>
    </row>
    <row r="7" spans="1:4" ht="14.4" customHeight="1" x14ac:dyDescent="0.3"/>
    <row r="8" spans="1:4" ht="14.4" customHeight="1" x14ac:dyDescent="0.3">
      <c r="A8" s="141" t="s">
        <v>562</v>
      </c>
    </row>
    <row r="9" spans="1:4" ht="14.4" customHeight="1" x14ac:dyDescent="0.3">
      <c r="A9" s="8" t="s">
        <v>563</v>
      </c>
      <c r="B9" s="18">
        <f>SUM(Seleccion_Ciclo0!G2:G15)</f>
        <v>17</v>
      </c>
      <c r="C9" s="9" t="s">
        <v>561</v>
      </c>
      <c r="D9" s="9" t="str">
        <f>IF(B9&gt;=7,"Alto",IF(B9&gt;=4,"Medio","Bajo"))</f>
        <v>Alto</v>
      </c>
    </row>
    <row r="10" spans="1:4" ht="14.4" customHeight="1" x14ac:dyDescent="0.3">
      <c r="A10" s="8" t="s">
        <v>564</v>
      </c>
      <c r="B10" s="18">
        <f>SUM(Seleccion_Ciclo0!H2:H15)</f>
        <v>8</v>
      </c>
      <c r="C10" s="9" t="s">
        <v>561</v>
      </c>
      <c r="D10" s="9" t="str">
        <f>IF(B10&gt;=7,"Alto",IF(B10&gt;=4,"Medio","Bajo"))</f>
        <v>Alto</v>
      </c>
    </row>
    <row r="11" spans="1:4" ht="14.4" customHeight="1" x14ac:dyDescent="0.3">
      <c r="A11" s="8" t="s">
        <v>565</v>
      </c>
      <c r="B11" s="18">
        <f>SUM(Seleccion_Ciclo0!I2:I15)</f>
        <v>-3</v>
      </c>
      <c r="C11" s="9" t="s">
        <v>561</v>
      </c>
      <c r="D11" s="9" t="str">
        <f>IF(B11&gt;=7,"Alto",IF(B11&gt;=4,"Medio","Bajo"))</f>
        <v>Bajo</v>
      </c>
    </row>
    <row r="12" spans="1:4" ht="14.4" customHeight="1" x14ac:dyDescent="0.3"/>
    <row r="13" spans="1:4" ht="14.4" customHeight="1" x14ac:dyDescent="0.3">
      <c r="A13" s="112" t="s">
        <v>566</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000"/>
  <sheetViews>
    <sheetView showGridLines="0" workbookViewId="0">
      <pane ySplit="1" topLeftCell="A2" activePane="bottomLeft" state="frozen"/>
      <selection pane="bottomLeft" activeCell="B3" sqref="B3"/>
    </sheetView>
  </sheetViews>
  <sheetFormatPr baseColWidth="10" defaultColWidth="14.44140625" defaultRowHeight="15" customHeight="1" x14ac:dyDescent="0.3"/>
  <cols>
    <col min="1" max="1" width="10" customWidth="1"/>
    <col min="2" max="2" width="20" customWidth="1"/>
    <col min="3" max="3" width="34" customWidth="1"/>
    <col min="4" max="4" width="38" customWidth="1"/>
    <col min="5" max="5" width="55" customWidth="1"/>
    <col min="6" max="26" width="8.6640625" customWidth="1"/>
  </cols>
  <sheetData>
    <row r="1" spans="1:5" ht="14.4" customHeight="1" x14ac:dyDescent="0.3">
      <c r="A1" s="7" t="s">
        <v>567</v>
      </c>
      <c r="B1" s="7" t="s">
        <v>568</v>
      </c>
      <c r="C1" s="7" t="s">
        <v>569</v>
      </c>
      <c r="D1" s="7" t="s">
        <v>570</v>
      </c>
      <c r="E1" s="7" t="s">
        <v>571</v>
      </c>
    </row>
    <row r="2" spans="1:5" ht="39.6" customHeight="1" x14ac:dyDescent="0.3">
      <c r="A2" s="146" t="s">
        <v>572</v>
      </c>
      <c r="B2" s="146" t="s">
        <v>573</v>
      </c>
      <c r="C2" s="146" t="s">
        <v>574</v>
      </c>
      <c r="D2" s="146" t="s">
        <v>575</v>
      </c>
      <c r="E2" s="146" t="s">
        <v>576</v>
      </c>
    </row>
    <row r="3" spans="1:5" ht="26.4" customHeight="1" x14ac:dyDescent="0.3">
      <c r="A3" s="146" t="s">
        <v>577</v>
      </c>
      <c r="B3" s="146" t="s">
        <v>573</v>
      </c>
      <c r="C3" s="146" t="s">
        <v>578</v>
      </c>
      <c r="D3" s="146" t="s">
        <v>579</v>
      </c>
      <c r="E3" s="146" t="s">
        <v>580</v>
      </c>
    </row>
    <row r="4" spans="1:5" ht="26.4" customHeight="1" x14ac:dyDescent="0.3">
      <c r="A4" s="146" t="s">
        <v>581</v>
      </c>
      <c r="B4" s="146" t="s">
        <v>363</v>
      </c>
      <c r="C4" s="146" t="s">
        <v>582</v>
      </c>
      <c r="D4" s="146" t="s">
        <v>583</v>
      </c>
      <c r="E4" s="146" t="s">
        <v>584</v>
      </c>
    </row>
    <row r="5" spans="1:5" ht="26.4" customHeight="1" x14ac:dyDescent="0.3">
      <c r="A5" s="146" t="s">
        <v>585</v>
      </c>
      <c r="B5" s="146" t="s">
        <v>415</v>
      </c>
      <c r="C5" s="146" t="s">
        <v>586</v>
      </c>
      <c r="D5" s="146" t="s">
        <v>587</v>
      </c>
      <c r="E5" s="146" t="s">
        <v>588</v>
      </c>
    </row>
    <row r="6" spans="1:5" ht="26.4" customHeight="1" x14ac:dyDescent="0.3">
      <c r="A6" s="146" t="s">
        <v>589</v>
      </c>
      <c r="B6" s="146" t="s">
        <v>590</v>
      </c>
      <c r="C6" s="146" t="s">
        <v>591</v>
      </c>
      <c r="D6" s="146" t="s">
        <v>592</v>
      </c>
      <c r="E6" s="146" t="s">
        <v>593</v>
      </c>
    </row>
    <row r="7" spans="1:5" ht="26.4" customHeight="1" x14ac:dyDescent="0.3">
      <c r="A7" s="146" t="s">
        <v>594</v>
      </c>
      <c r="B7" s="146" t="s">
        <v>595</v>
      </c>
      <c r="C7" s="146" t="s">
        <v>596</v>
      </c>
      <c r="D7" s="146" t="s">
        <v>597</v>
      </c>
      <c r="E7" s="146" t="s">
        <v>598</v>
      </c>
    </row>
    <row r="8" spans="1:5" ht="26.4" customHeight="1" x14ac:dyDescent="0.3">
      <c r="A8" s="146" t="s">
        <v>599</v>
      </c>
      <c r="B8" s="146" t="s">
        <v>600</v>
      </c>
      <c r="C8" s="146" t="s">
        <v>601</v>
      </c>
      <c r="D8" s="146" t="s">
        <v>602</v>
      </c>
      <c r="E8" s="146" t="s">
        <v>603</v>
      </c>
    </row>
    <row r="9" spans="1:5" ht="26.4" customHeight="1" x14ac:dyDescent="0.3">
      <c r="A9" s="146" t="s">
        <v>604</v>
      </c>
      <c r="B9" s="146" t="s">
        <v>363</v>
      </c>
      <c r="C9" s="146" t="s">
        <v>605</v>
      </c>
      <c r="D9" s="146" t="s">
        <v>606</v>
      </c>
      <c r="E9" s="146" t="s">
        <v>607</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9"/>
  <sheetViews>
    <sheetView workbookViewId="0">
      <pane xSplit="1" ySplit="1" topLeftCell="B2" activePane="bottomRight" state="frozen"/>
      <selection pane="topRight"/>
      <selection pane="bottomLeft"/>
      <selection pane="bottomRight"/>
    </sheetView>
  </sheetViews>
  <sheetFormatPr baseColWidth="10" defaultColWidth="8.88671875" defaultRowHeight="14.4" x14ac:dyDescent="0.3"/>
  <cols>
    <col min="1" max="6" width="22" customWidth="1"/>
  </cols>
  <sheetData>
    <row r="1" spans="1:6" x14ac:dyDescent="0.3">
      <c r="A1" s="152" t="s">
        <v>608</v>
      </c>
      <c r="B1" s="152" t="s">
        <v>609</v>
      </c>
      <c r="C1" s="152" t="s">
        <v>610</v>
      </c>
      <c r="D1" s="152" t="s">
        <v>611</v>
      </c>
      <c r="E1" s="152" t="s">
        <v>612</v>
      </c>
      <c r="F1" s="152" t="s">
        <v>613</v>
      </c>
    </row>
    <row r="2" spans="1:6" x14ac:dyDescent="0.3">
      <c r="A2" s="153" t="s">
        <v>614</v>
      </c>
      <c r="B2" s="153">
        <v>12</v>
      </c>
      <c r="C2" s="153" t="s">
        <v>572</v>
      </c>
      <c r="D2" s="153" t="b">
        <f>AND(B2&lt;4,B3="SEG-03")</f>
        <v>0</v>
      </c>
      <c r="E2" s="153">
        <f>IF(D2,0.65,1)</f>
        <v>1</v>
      </c>
      <c r="F2" s="153" t="str">
        <f>IF(D2,INDEX(Matriz_Consecuencias!$E$2:$E$9,MATCH(C2,Matriz_Consecuencias!$A$2:$A$9,0)),"")</f>
        <v/>
      </c>
    </row>
    <row r="3" spans="1:6" x14ac:dyDescent="0.3">
      <c r="A3" s="153" t="s">
        <v>615</v>
      </c>
      <c r="B3" s="153" t="s">
        <v>112</v>
      </c>
      <c r="C3" s="153" t="s">
        <v>577</v>
      </c>
      <c r="D3" s="153" t="b">
        <f>AND(B2&gt;=7,B3="SEG-03")</f>
        <v>1</v>
      </c>
      <c r="E3" s="153">
        <f>IF(D3,1.4,1)</f>
        <v>1.4</v>
      </c>
      <c r="F3" s="153" t="str">
        <f>IF(D3,INDEX(Matriz_Consecuencias!$E$2:$E$9,MATCH(C3,Matriz_Consecuencias!$A$2:$A$9,0)),"")</f>
        <v>Tu producto cumple con los estandares premium. Los clientes perciben el valor y pagan sin problema el precio elevado.</v>
      </c>
    </row>
    <row r="4" spans="1:6" x14ac:dyDescent="0.3">
      <c r="A4" s="153" t="s">
        <v>616</v>
      </c>
      <c r="B4" s="153">
        <v>17</v>
      </c>
      <c r="C4" s="153" t="s">
        <v>581</v>
      </c>
      <c r="D4" s="153" t="b">
        <f>B4&lt;4</f>
        <v>0</v>
      </c>
      <c r="E4" s="153">
        <f>IF(D4,0.7,1)</f>
        <v>1</v>
      </c>
      <c r="F4" s="153" t="str">
        <f>IF(D4,INDEX(Matriz_Consecuencias!$E$2:$E$9,MATCH(C4,Matriz_Consecuencias!$A$2:$A$9,0)),"")</f>
        <v/>
      </c>
    </row>
    <row r="5" spans="1:6" x14ac:dyDescent="0.3">
      <c r="A5" s="153" t="s">
        <v>617</v>
      </c>
      <c r="B5" s="153">
        <v>8</v>
      </c>
      <c r="C5" s="153" t="s">
        <v>585</v>
      </c>
      <c r="D5" s="153" t="b">
        <f>AND(B5+B15&lt;3,B6+1&gt;=2)</f>
        <v>0</v>
      </c>
      <c r="E5" s="153">
        <f>IF(D5,0.8,1)</f>
        <v>1</v>
      </c>
      <c r="F5" s="153" t="str">
        <f>IF(D5,INDEX(Matriz_Consecuencias!$E$2:$E$9,MATCH(C5,Matriz_Consecuencias!$A$2:$A$9,0)),"")</f>
        <v/>
      </c>
    </row>
    <row r="6" spans="1:6" x14ac:dyDescent="0.3">
      <c r="A6" s="153" t="s">
        <v>618</v>
      </c>
      <c r="B6" s="153">
        <v>0</v>
      </c>
      <c r="C6" s="153" t="s">
        <v>589</v>
      </c>
      <c r="D6" s="153" t="b">
        <f>B7&lt;3</f>
        <v>1</v>
      </c>
      <c r="E6" s="153">
        <f>IF(D6,3,0)</f>
        <v>3</v>
      </c>
      <c r="F6" s="153" t="str">
        <f>IF(D6,INDEX(Matriz_Consecuencias!$E$2:$E$9,MATCH(C6,Matriz_Consecuencias!$A$2:$A$9,0)),"")</f>
        <v>Tu situacion financiera es riesgosa. El banco te ofrece condiciones menos favorables la proxima vez.</v>
      </c>
    </row>
    <row r="7" spans="1:6" x14ac:dyDescent="0.3">
      <c r="A7" s="153" t="s">
        <v>619</v>
      </c>
      <c r="B7" s="153">
        <v>-3</v>
      </c>
      <c r="C7" s="153" t="s">
        <v>594</v>
      </c>
      <c r="D7" s="153" t="b">
        <f>B9&gt;B10</f>
        <v>1</v>
      </c>
      <c r="E7" s="153">
        <f>IF(D7,0.25*B13*MIN(1,IFERROR((B9-B10)/B10,0)),0)</f>
        <v>782.82828282828291</v>
      </c>
      <c r="F7" s="153" t="str">
        <f>IF(D7,INDEX(Matriz_Consecuencias!$E$2:$E$9,MATCH(C7,Matriz_Consecuencias!$A$2:$A$9,0)),"")</f>
        <v>Intentaste producir mas de lo que tu planta soporta. Hubo cuellos de botella y tuviste que pagar horas extra para cumplir.</v>
      </c>
    </row>
    <row r="8" spans="1:6" x14ac:dyDescent="0.3">
      <c r="A8" s="153" t="s">
        <v>620</v>
      </c>
      <c r="B8" s="153" t="b">
        <v>1</v>
      </c>
      <c r="C8" s="153" t="s">
        <v>599</v>
      </c>
      <c r="D8" s="153" t="b">
        <f>B11&gt;B12</f>
        <v>1</v>
      </c>
      <c r="E8" s="153">
        <f>IF(D8,(B11-B12)*2,0)</f>
        <v>30</v>
      </c>
      <c r="F8" s="153" t="str">
        <f>IF(D8,INDEX(Matriz_Consecuencias!$E$2:$E$9,MATCH(C8,Matriz_Consecuencias!$A$2:$A$9,0)),"")</f>
        <v>Produjiste mas de lo que el mercado te pidio. Te quedaste con inventario sin vender.</v>
      </c>
    </row>
    <row r="9" spans="1:6" x14ac:dyDescent="0.3">
      <c r="A9" s="153" t="s">
        <v>621</v>
      </c>
      <c r="B9" s="153">
        <v>520</v>
      </c>
      <c r="C9" s="153" t="s">
        <v>604</v>
      </c>
      <c r="D9" s="153" t="b">
        <f>AND(NOT(B8),B4&lt;5)</f>
        <v>0</v>
      </c>
      <c r="E9" s="153">
        <f>IF(D9,0.95,1)</f>
        <v>1</v>
      </c>
      <c r="F9" s="153" t="str">
        <f>IF(D9,INDEX(Matriz_Consecuencias!$E$2:$E$9,MATCH(C9,Matriz_Consecuencias!$A$2:$A$9,0)),"")</f>
        <v/>
      </c>
    </row>
    <row r="10" spans="1:6" x14ac:dyDescent="0.3">
      <c r="A10" s="153" t="s">
        <v>622</v>
      </c>
      <c r="B10" s="153">
        <v>396</v>
      </c>
      <c r="C10" s="153"/>
      <c r="D10" s="153"/>
      <c r="E10" s="153"/>
      <c r="F10" s="153"/>
    </row>
    <row r="11" spans="1:6" x14ac:dyDescent="0.3">
      <c r="A11" s="153" t="s">
        <v>623</v>
      </c>
      <c r="B11" s="153">
        <v>365</v>
      </c>
      <c r="C11" s="153"/>
      <c r="D11" s="153"/>
      <c r="E11" s="153"/>
      <c r="F11" s="153"/>
    </row>
    <row r="12" spans="1:6" x14ac:dyDescent="0.3">
      <c r="A12" s="153" t="s">
        <v>624</v>
      </c>
      <c r="B12" s="153">
        <v>350</v>
      </c>
      <c r="C12" s="153"/>
      <c r="D12" s="153"/>
      <c r="E12" s="153"/>
      <c r="F12" s="153"/>
    </row>
    <row r="13" spans="1:6" x14ac:dyDescent="0.3">
      <c r="A13" s="153" t="s">
        <v>625</v>
      </c>
      <c r="B13" s="153">
        <v>10000</v>
      </c>
      <c r="C13" s="153"/>
      <c r="D13" s="153"/>
      <c r="E13" s="153"/>
      <c r="F13" s="153"/>
    </row>
    <row r="14" spans="1:6" x14ac:dyDescent="0.3">
      <c r="A14" s="153" t="s">
        <v>626</v>
      </c>
      <c r="B14" s="153">
        <f>ROUNDDOWN(MIN(B9,B10)*E4*E9,0)</f>
        <v>396</v>
      </c>
      <c r="C14" s="153"/>
      <c r="D14" s="153"/>
      <c r="E14" s="153"/>
      <c r="F14" s="153"/>
    </row>
    <row r="15" spans="1:6" x14ac:dyDescent="0.3">
      <c r="A15" s="153" t="s">
        <v>627</v>
      </c>
      <c r="B15" s="153">
        <f>IF(D2,-2,0)+IF(D3,2,0)</f>
        <v>2</v>
      </c>
      <c r="C15" s="153"/>
      <c r="D15" s="153"/>
      <c r="E15" s="153"/>
      <c r="F15" s="153"/>
    </row>
    <row r="16" spans="1:6" x14ac:dyDescent="0.3">
      <c r="A16" s="153" t="s">
        <v>628</v>
      </c>
      <c r="B16" s="153">
        <f>E2*E3</f>
        <v>1.4</v>
      </c>
      <c r="C16" s="153"/>
      <c r="D16" s="153"/>
      <c r="E16" s="153"/>
      <c r="F16" s="153"/>
    </row>
    <row r="17" spans="1:6" x14ac:dyDescent="0.3">
      <c r="A17" s="153" t="s">
        <v>629</v>
      </c>
      <c r="B17" s="153">
        <f>IF(B5+B15&lt;3,B6+1,0)</f>
        <v>0</v>
      </c>
      <c r="C17" s="153"/>
      <c r="D17" s="153"/>
      <c r="E17" s="153"/>
      <c r="F17" s="153"/>
    </row>
    <row r="18" spans="1:6" x14ac:dyDescent="0.3">
      <c r="A18" s="153"/>
      <c r="B18" s="153"/>
      <c r="C18" s="153"/>
      <c r="D18" s="153"/>
      <c r="E18" s="153"/>
      <c r="F18" s="153"/>
    </row>
    <row r="19" spans="1:6" x14ac:dyDescent="0.3">
      <c r="A19" s="153" t="s">
        <v>630</v>
      </c>
      <c r="B19" s="153"/>
      <c r="C19" s="153"/>
      <c r="D19" s="153"/>
      <c r="E19" s="153"/>
      <c r="F19" s="153"/>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T6"/>
  <sheetViews>
    <sheetView workbookViewId="0">
      <pane xSplit="1" ySplit="1" topLeftCell="B2" activePane="bottomRight" state="frozen"/>
      <selection pane="topRight"/>
      <selection pane="bottomLeft"/>
      <selection pane="bottomRight"/>
    </sheetView>
  </sheetViews>
  <sheetFormatPr baseColWidth="10" defaultColWidth="8.88671875" defaultRowHeight="14.4" x14ac:dyDescent="0.3"/>
  <cols>
    <col min="1" max="20" width="22" customWidth="1"/>
  </cols>
  <sheetData>
    <row r="1" spans="1:20" x14ac:dyDescent="0.3">
      <c r="A1" s="152" t="s">
        <v>631</v>
      </c>
      <c r="B1" s="152" t="s">
        <v>615</v>
      </c>
      <c r="C1" s="152" t="s">
        <v>632</v>
      </c>
      <c r="D1" s="152" t="s">
        <v>617</v>
      </c>
      <c r="E1" s="152" t="s">
        <v>614</v>
      </c>
      <c r="F1" s="152" t="s">
        <v>633</v>
      </c>
      <c r="G1" s="152" t="s">
        <v>634</v>
      </c>
      <c r="H1" s="152" t="s">
        <v>635</v>
      </c>
      <c r="I1" s="152" t="s">
        <v>636</v>
      </c>
      <c r="J1" s="152" t="s">
        <v>637</v>
      </c>
      <c r="K1" s="152" t="s">
        <v>638</v>
      </c>
      <c r="L1" s="152" t="s">
        <v>639</v>
      </c>
      <c r="M1" s="152" t="s">
        <v>640</v>
      </c>
      <c r="N1" s="152" t="s">
        <v>641</v>
      </c>
      <c r="O1" s="152" t="s">
        <v>642</v>
      </c>
      <c r="P1" s="152" t="s">
        <v>643</v>
      </c>
      <c r="Q1" s="152" t="s">
        <v>644</v>
      </c>
      <c r="R1" s="152" t="s">
        <v>645</v>
      </c>
      <c r="S1" s="152" t="s">
        <v>646</v>
      </c>
      <c r="T1" s="152" t="s">
        <v>647</v>
      </c>
    </row>
    <row r="2" spans="1:20" x14ac:dyDescent="0.3">
      <c r="A2" s="153" t="s">
        <v>648</v>
      </c>
      <c r="B2" s="153" t="s">
        <v>104</v>
      </c>
      <c r="C2" s="153">
        <v>40</v>
      </c>
      <c r="D2" s="153">
        <v>7</v>
      </c>
      <c r="E2" s="153">
        <v>62</v>
      </c>
      <c r="F2" s="153">
        <v>1000</v>
      </c>
      <c r="G2" s="153">
        <v>1</v>
      </c>
      <c r="H2" s="153">
        <v>3500</v>
      </c>
      <c r="I2" s="153">
        <v>0</v>
      </c>
      <c r="J2" s="153">
        <v>0.7</v>
      </c>
      <c r="K2" s="153">
        <v>0.2</v>
      </c>
      <c r="L2" s="153">
        <v>0.1</v>
      </c>
      <c r="M2" s="153">
        <f>IF(B2="SEG-01",IFERROR(100*(_xlfn.MAXIFS($C$2:$C$6,$B$2:$B$6,B2)-C2)/(_xlfn.MAXIFS($C$2:$C$6,$B$2:$B$6,B2)-_xlfn.MINIFS($C$2:$C$6,$B$2:$B$6,B2)),100),100-ABS(C2-I2)/I2*100)</f>
        <v>100</v>
      </c>
      <c r="N2" s="153">
        <f>J2*M2+K2*D2*10+L2*E2</f>
        <v>90.2</v>
      </c>
      <c r="O2" s="153">
        <f>IFERROR(N2/SUMIF($B$2:$B$6,B2,$N$2:$N$6),0)</f>
        <v>0.7857142857142857</v>
      </c>
      <c r="P2" s="153">
        <f>ROUND(O2*H2,0)</f>
        <v>2750</v>
      </c>
      <c r="Q2" s="153">
        <f>MIN(P2*G2,F2)</f>
        <v>1000</v>
      </c>
      <c r="R2" s="153">
        <f>Q2*T2</f>
        <v>40000</v>
      </c>
      <c r="S2" s="153">
        <f>F2-Q2</f>
        <v>0</v>
      </c>
      <c r="T2" s="153">
        <f>C2</f>
        <v>40</v>
      </c>
    </row>
    <row r="3" spans="1:20" x14ac:dyDescent="0.3">
      <c r="A3" s="153" t="s">
        <v>649</v>
      </c>
      <c r="B3" s="153" t="s">
        <v>104</v>
      </c>
      <c r="C3" s="153">
        <v>45</v>
      </c>
      <c r="D3" s="153">
        <v>8.3000000000000007</v>
      </c>
      <c r="E3" s="153">
        <v>80</v>
      </c>
      <c r="F3" s="153">
        <v>1000</v>
      </c>
      <c r="G3" s="153">
        <v>1</v>
      </c>
      <c r="H3" s="153">
        <v>3500</v>
      </c>
      <c r="I3" s="153">
        <v>0</v>
      </c>
      <c r="J3" s="153">
        <v>0.7</v>
      </c>
      <c r="K3" s="153">
        <v>0.2</v>
      </c>
      <c r="L3" s="153">
        <v>0.1</v>
      </c>
      <c r="M3" s="153">
        <f>IF(B3="SEG-01",IFERROR(100*(_xlfn.MAXIFS($C$2:$C$6,$B$2:$B$6,B3)-C3)/(_xlfn.MAXIFS($C$2:$C$6,$B$2:$B$6,B3)-_xlfn.MINIFS($C$2:$C$6,$B$2:$B$6,B3)),100),100-ABS(C3-I3)/I3*100)</f>
        <v>0</v>
      </c>
      <c r="N3" s="153">
        <f>J3*M3+K3*D3*10+L3*E3</f>
        <v>24.6</v>
      </c>
      <c r="O3" s="153">
        <f>IFERROR(N3/SUMIF($B$2:$B$6,B3,$N$2:$N$6),0)</f>
        <v>0.21428571428571427</v>
      </c>
      <c r="P3" s="153">
        <f>ROUND(O3*H3,0)</f>
        <v>750</v>
      </c>
      <c r="Q3" s="153">
        <f>MIN(P3*G3,F3)</f>
        <v>750</v>
      </c>
      <c r="R3" s="153">
        <f>Q3*T3</f>
        <v>33750</v>
      </c>
      <c r="S3" s="153">
        <f>F3-Q3</f>
        <v>250</v>
      </c>
      <c r="T3" s="153">
        <f>C3</f>
        <v>45</v>
      </c>
    </row>
    <row r="4" spans="1:20" x14ac:dyDescent="0.3">
      <c r="A4" s="153" t="s">
        <v>650</v>
      </c>
      <c r="B4" s="153" t="s">
        <v>109</v>
      </c>
      <c r="C4" s="153">
        <v>120</v>
      </c>
      <c r="D4" s="153">
        <v>10.199999999999999</v>
      </c>
      <c r="E4" s="153">
        <v>90</v>
      </c>
      <c r="F4" s="153">
        <v>1000</v>
      </c>
      <c r="G4" s="153">
        <v>1</v>
      </c>
      <c r="H4" s="153">
        <v>3500</v>
      </c>
      <c r="I4" s="153">
        <v>100</v>
      </c>
      <c r="J4" s="153">
        <v>0.4</v>
      </c>
      <c r="K4" s="153">
        <v>0.35</v>
      </c>
      <c r="L4" s="153">
        <v>0.25</v>
      </c>
      <c r="M4" s="153">
        <f>IF(B4="SEG-01",IFERROR(100*(_xlfn.MAXIFS($C$2:$C$6,$B$2:$B$6,B4)-C4)/(_xlfn.MAXIFS($C$2:$C$6,$B$2:$B$6,B4)-_xlfn.MINIFS($C$2:$C$6,$B$2:$B$6,B4)),100),100-ABS(C4-I4)/I4*100)</f>
        <v>80</v>
      </c>
      <c r="N4" s="153">
        <f>J4*M4+K4*D4*10+L4*E4</f>
        <v>90.199999999999989</v>
      </c>
      <c r="O4" s="153">
        <f>IFERROR(N4/SUMIF($B$2:$B$6,B4,$N$2:$N$6),0)</f>
        <v>0.58495460440985725</v>
      </c>
      <c r="P4" s="153">
        <f>ROUND(O4*H4,0)</f>
        <v>2047</v>
      </c>
      <c r="Q4" s="153">
        <f>MIN(P4*G4,F4)</f>
        <v>1000</v>
      </c>
      <c r="R4" s="153">
        <f>Q4*T4</f>
        <v>120000</v>
      </c>
      <c r="S4" s="153">
        <f>F4-Q4</f>
        <v>0</v>
      </c>
      <c r="T4" s="153">
        <f>C4</f>
        <v>120</v>
      </c>
    </row>
    <row r="5" spans="1:20" x14ac:dyDescent="0.3">
      <c r="A5" s="153" t="s">
        <v>651</v>
      </c>
      <c r="B5" s="153" t="s">
        <v>109</v>
      </c>
      <c r="C5" s="153">
        <v>150</v>
      </c>
      <c r="D5" s="153">
        <v>9</v>
      </c>
      <c r="E5" s="153">
        <v>50</v>
      </c>
      <c r="F5" s="153">
        <v>1000</v>
      </c>
      <c r="G5" s="153">
        <v>1</v>
      </c>
      <c r="H5" s="153">
        <v>3500</v>
      </c>
      <c r="I5" s="153">
        <v>100</v>
      </c>
      <c r="J5" s="153">
        <v>0.4</v>
      </c>
      <c r="K5" s="153">
        <v>0.35</v>
      </c>
      <c r="L5" s="153">
        <v>0.25</v>
      </c>
      <c r="M5" s="153">
        <f>IF(B5="SEG-01",IFERROR(100*(_xlfn.MAXIFS($C$2:$C$6,$B$2:$B$6,B5)-C5)/(_xlfn.MAXIFS($C$2:$C$6,$B$2:$B$6,B5)-_xlfn.MINIFS($C$2:$C$6,$B$2:$B$6,B5)),100),100-ABS(C5-I5)/I5*100)</f>
        <v>50</v>
      </c>
      <c r="N5" s="153">
        <f>J5*M5+K5*D5*10+L5*E5</f>
        <v>64</v>
      </c>
      <c r="O5" s="153">
        <f>IFERROR(N5/SUMIF($B$2:$B$6,B5,$N$2:$N$6),0)</f>
        <v>0.4150453955901427</v>
      </c>
      <c r="P5" s="153">
        <f>ROUND(O5*H5,0)</f>
        <v>1453</v>
      </c>
      <c r="Q5" s="153">
        <f>MIN(P5*G5,F5)</f>
        <v>1000</v>
      </c>
      <c r="R5" s="153">
        <f>Q5*T5</f>
        <v>150000</v>
      </c>
      <c r="S5" s="153">
        <f>F5-Q5</f>
        <v>0</v>
      </c>
      <c r="T5" s="153">
        <f>C5</f>
        <v>150</v>
      </c>
    </row>
    <row r="6" spans="1:20" x14ac:dyDescent="0.3">
      <c r="A6" s="153" t="s">
        <v>652</v>
      </c>
      <c r="B6" s="153" t="s">
        <v>112</v>
      </c>
      <c r="C6" s="153">
        <v>250</v>
      </c>
      <c r="D6" s="153">
        <v>8</v>
      </c>
      <c r="E6" s="153">
        <v>100</v>
      </c>
      <c r="F6" s="153">
        <v>1000</v>
      </c>
      <c r="G6" s="153">
        <v>1</v>
      </c>
      <c r="H6" s="153">
        <v>800</v>
      </c>
      <c r="I6" s="153">
        <v>250</v>
      </c>
      <c r="J6" s="153">
        <v>0.1</v>
      </c>
      <c r="K6" s="153">
        <v>0.5</v>
      </c>
      <c r="L6" s="153">
        <v>0.4</v>
      </c>
      <c r="M6" s="153">
        <f>IF(B6="SEG-01",IFERROR(100*(_xlfn.MAXIFS($C$2:$C$6,$B$2:$B$6,B6)-C6)/(_xlfn.MAXIFS($C$2:$C$6,$B$2:$B$6,B6)-_xlfn.MINIFS($C$2:$C$6,$B$2:$B$6,B6)),100),100-ABS(C6-I6)/I6*100)</f>
        <v>100</v>
      </c>
      <c r="N6" s="153">
        <f>J6*M6+K6*D6*10+L6*E6</f>
        <v>90</v>
      </c>
      <c r="O6" s="153">
        <f>IFERROR(N6/SUMIF($B$2:$B$6,B6,$N$2:$N$6),0)</f>
        <v>1</v>
      </c>
      <c r="P6" s="153">
        <f>ROUND(O6*H6,0)</f>
        <v>800</v>
      </c>
      <c r="Q6" s="153">
        <f>MIN(P6*G6,F6)</f>
        <v>800</v>
      </c>
      <c r="R6" s="153">
        <f>Q6*T6</f>
        <v>200000</v>
      </c>
      <c r="S6" s="153">
        <f>F6-Q6</f>
        <v>200</v>
      </c>
      <c r="T6" s="153">
        <f>C6</f>
        <v>250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2"/>
  <sheetViews>
    <sheetView tabSelected="1" workbookViewId="0"/>
  </sheetViews>
  <sheetFormatPr baseColWidth="10" defaultColWidth="8.88671875" defaultRowHeight="14.4" x14ac:dyDescent="0.3"/>
  <cols>
    <col min="1" max="2" width="28" customWidth="1"/>
    <col min="3" max="5" width="20" customWidth="1"/>
    <col min="6" max="6" width="32" customWidth="1"/>
  </cols>
  <sheetData>
    <row r="1" spans="1:6" x14ac:dyDescent="0.3">
      <c r="A1" s="154" t="s">
        <v>0</v>
      </c>
      <c r="B1" s="154" t="s">
        <v>1</v>
      </c>
      <c r="C1" s="154" t="s">
        <v>2</v>
      </c>
      <c r="D1" s="154" t="s">
        <v>3</v>
      </c>
      <c r="E1" s="154" t="s">
        <v>4</v>
      </c>
      <c r="F1" s="154" t="s">
        <v>5</v>
      </c>
    </row>
    <row r="2" spans="1:6" x14ac:dyDescent="0.3">
      <c r="A2" s="153" t="s">
        <v>6</v>
      </c>
      <c r="B2" s="153">
        <v>351</v>
      </c>
      <c r="C2" s="153">
        <f>COUNTIF('Base - 351'!G2:G352,"OK")</f>
        <v>351</v>
      </c>
      <c r="D2" s="153">
        <f>COUNTIF('Base - 351'!G2:G352,"DIFERENCIA")</f>
        <v>0</v>
      </c>
      <c r="E2" s="153">
        <f>COUNTIF('Base - 351'!G2:G352,"PENDIENTE SIDE")</f>
        <v>0</v>
      </c>
      <c r="F2" s="153" t="s">
        <v>7</v>
      </c>
    </row>
    <row r="3" spans="1:6" x14ac:dyDescent="0.3">
      <c r="A3" s="153" t="s">
        <v>8</v>
      </c>
      <c r="B3" s="153">
        <v>468</v>
      </c>
      <c r="C3" s="153">
        <f>COUNTIF('SIM1 - Pipeline'!G2:G469,"OK")</f>
        <v>468</v>
      </c>
      <c r="D3" s="153">
        <f>COUNTIF('SIM1 - Pipeline'!G2:G469,"DIFERENCIA")</f>
        <v>0</v>
      </c>
      <c r="E3" s="153">
        <f>COUNTIF('SIM1 - Pipeline'!G2:G469,"PENDIENTE SIDE")</f>
        <v>0</v>
      </c>
      <c r="F3" s="153" t="s">
        <v>7</v>
      </c>
    </row>
    <row r="4" spans="1:6" x14ac:dyDescent="0.3">
      <c r="A4" s="153" t="s">
        <v>9</v>
      </c>
      <c r="B4" s="153">
        <v>504</v>
      </c>
      <c r="C4" s="153">
        <f>COUNTIF('SIM2 - Pipeline'!G2:G505,"OK")</f>
        <v>504</v>
      </c>
      <c r="D4" s="153">
        <f>COUNTIF('SIM2 - Pipeline'!G2:G505,"DIFERENCIA")</f>
        <v>0</v>
      </c>
      <c r="E4" s="153">
        <f>COUNTIF('SIM2 - Pipeline'!G2:G505,"PENDIENTE SIDE")</f>
        <v>0</v>
      </c>
      <c r="F4" s="153" t="s">
        <v>7</v>
      </c>
    </row>
    <row r="5" spans="1:6" x14ac:dyDescent="0.3">
      <c r="A5" s="153" t="s">
        <v>10</v>
      </c>
      <c r="B5" s="153">
        <v>1008</v>
      </c>
      <c r="C5" s="153">
        <f>COUNTIF('SIM3 - Pipeline'!G2:G1009,"OK")</f>
        <v>1008</v>
      </c>
      <c r="D5" s="153">
        <f>COUNTIF('SIM3 - Pipeline'!G2:G1009,"DIFERENCIA")</f>
        <v>0</v>
      </c>
      <c r="E5" s="153">
        <f>COUNTIF('SIM3 - Pipeline'!G2:G1009,"PENDIENTE SIDE")</f>
        <v>0</v>
      </c>
      <c r="F5" s="153" t="s">
        <v>7</v>
      </c>
    </row>
    <row r="6" spans="1:6" x14ac:dyDescent="0.3">
      <c r="A6" s="153" t="s">
        <v>11</v>
      </c>
      <c r="B6" s="153">
        <v>252</v>
      </c>
      <c r="C6" s="153">
        <f>COUNTIF('Banca recuperacion'!G2:G253,"OK")</f>
        <v>252</v>
      </c>
      <c r="D6" s="153">
        <f>COUNTIF('Banca recuperacion'!G2:G253,"DIFERENCIA")</f>
        <v>0</v>
      </c>
      <c r="E6" s="153">
        <f>COUNTIF('Banca recuperacion'!G2:G253,"PENDIENTE SIDE")</f>
        <v>0</v>
      </c>
      <c r="F6" s="153" t="s">
        <v>7</v>
      </c>
    </row>
    <row r="7" spans="1:6" x14ac:dyDescent="0.3">
      <c r="A7" s="153" t="s">
        <v>12</v>
      </c>
      <c r="B7" s="153">
        <v>252</v>
      </c>
      <c r="C7" s="153">
        <f>COUNTIF('Banca tasas conservadas'!G2:G253,"OK")</f>
        <v>252</v>
      </c>
      <c r="D7" s="153">
        <f>COUNTIF('Banca tasas conservadas'!G2:G253,"DIFERENCIA")</f>
        <v>0</v>
      </c>
      <c r="E7" s="153">
        <f>COUNTIF('Banca tasas conservadas'!G2:G253,"PENDIENTE SIDE")</f>
        <v>0</v>
      </c>
      <c r="F7" s="153" t="s">
        <v>7</v>
      </c>
    </row>
    <row r="8" spans="1:6" x14ac:dyDescent="0.3">
      <c r="A8" s="153" t="s">
        <v>13</v>
      </c>
      <c r="B8" s="153">
        <v>28</v>
      </c>
      <c r="C8" s="153">
        <f>COUNTIF('CONS baja'!G2:G29,"OK")</f>
        <v>28</v>
      </c>
      <c r="D8" s="153">
        <f>COUNTIF('CONS baja'!G2:G29,"DIFERENCIA")</f>
        <v>0</v>
      </c>
      <c r="E8" s="153">
        <f>COUNTIF('CONS baja'!G2:G29,"PENDIENTE SIDE")</f>
        <v>0</v>
      </c>
      <c r="F8" s="153" t="s">
        <v>7</v>
      </c>
    </row>
    <row r="9" spans="1:6" x14ac:dyDescent="0.3">
      <c r="A9" s="153" t="s">
        <v>14</v>
      </c>
      <c r="B9" s="153">
        <v>28</v>
      </c>
      <c r="C9" s="153">
        <f>COUNTIF('CONS premium'!G2:G29,"OK")</f>
        <v>28</v>
      </c>
      <c r="D9" s="153">
        <f>COUNTIF('CONS premium'!G2:G29,"DIFERENCIA")</f>
        <v>0</v>
      </c>
      <c r="E9" s="153">
        <f>COUNTIF('CONS premium'!G2:G29,"PENDIENTE SIDE")</f>
        <v>0</v>
      </c>
      <c r="F9" s="153" t="s">
        <v>7</v>
      </c>
    </row>
    <row r="10" spans="1:6" x14ac:dyDescent="0.3">
      <c r="A10" s="153" t="s">
        <v>15</v>
      </c>
      <c r="B10" s="153" t="s">
        <v>16</v>
      </c>
      <c r="C10" s="153"/>
      <c r="D10" s="153"/>
      <c r="E10" s="153"/>
      <c r="F10" s="153"/>
    </row>
    <row r="11" spans="1:6" x14ac:dyDescent="0.3">
      <c r="A11" s="153" t="s">
        <v>17</v>
      </c>
      <c r="B11" s="153" t="s">
        <v>18</v>
      </c>
      <c r="C11" s="153"/>
      <c r="D11" s="153"/>
      <c r="E11" s="153"/>
      <c r="F11" s="153"/>
    </row>
    <row r="12" spans="1:6" x14ac:dyDescent="0.3">
      <c r="A12" s="153" t="s">
        <v>19</v>
      </c>
      <c r="B12" s="153" t="s">
        <v>20</v>
      </c>
      <c r="C12" s="153"/>
      <c r="D12" s="153"/>
      <c r="E12" s="153"/>
      <c r="F12" s="153"/>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352"/>
  <sheetViews>
    <sheetView workbookViewId="0">
      <pane xSplit="3" ySplit="1" topLeftCell="D2" activePane="bottomRight" state="frozen"/>
      <selection pane="topRight"/>
      <selection pane="bottomLeft"/>
      <selection pane="bottomRight"/>
    </sheetView>
  </sheetViews>
  <sheetFormatPr baseColWidth="10" defaultColWidth="8.88671875" defaultRowHeight="14.4" x14ac:dyDescent="0.3"/>
  <cols>
    <col min="1" max="1" width="42" customWidth="1"/>
    <col min="2" max="2" width="28" customWidth="1"/>
    <col min="3" max="3" width="14" customWidth="1"/>
    <col min="4" max="5" width="24" customWidth="1"/>
    <col min="6" max="6" width="20" customWidth="1"/>
    <col min="7" max="7" width="22" customWidth="1"/>
  </cols>
  <sheetData>
    <row r="1" spans="1:8" x14ac:dyDescent="0.3">
      <c r="A1" s="154" t="s">
        <v>653</v>
      </c>
      <c r="B1" s="154" t="s">
        <v>654</v>
      </c>
      <c r="C1" s="154" t="s">
        <v>655</v>
      </c>
      <c r="D1" s="154" t="s">
        <v>656</v>
      </c>
      <c r="E1" s="154" t="s">
        <v>657</v>
      </c>
      <c r="F1" s="154" t="s">
        <v>658</v>
      </c>
      <c r="G1" s="154" t="s">
        <v>659</v>
      </c>
      <c r="H1" s="154" t="s">
        <v>660</v>
      </c>
    </row>
    <row r="2" spans="1:8" x14ac:dyDescent="0.3">
      <c r="A2" s="153" t="s">
        <v>661</v>
      </c>
      <c r="B2" s="153" t="s">
        <v>662</v>
      </c>
      <c r="C2" s="153" t="s">
        <v>663</v>
      </c>
      <c r="D2" s="153">
        <v>21</v>
      </c>
      <c r="E2" s="153">
        <v>21</v>
      </c>
      <c r="F2" s="153">
        <f t="shared" ref="F2:F65" si="0">IF(NOT(H2),"",IF(AND(ISNUMBER(D2),ISNUMBER(E2)),E2-D2,IF(D2=E2,0,1)))</f>
        <v>0</v>
      </c>
      <c r="G2" s="153" t="str">
        <f t="shared" ref="G2:G65" si="1">IF(NOT(H2),"PENDIENTE SIDE",IF(IF(AND(ISNUMBER(D2),ISNUMBER(E2)),IF(MOD(D2,1)=0,D2=E2,ABS(D2-E2)&lt;=0.000000001*MAX(1,ABS(D2),ABS(E2))),D2=E2),"OK","DIFERENCIA"))</f>
        <v>OK</v>
      </c>
      <c r="H2" s="153" t="b">
        <v>1</v>
      </c>
    </row>
    <row r="3" spans="1:8" x14ac:dyDescent="0.3">
      <c r="A3" s="153" t="s">
        <v>664</v>
      </c>
      <c r="B3" s="153" t="s">
        <v>662</v>
      </c>
      <c r="C3" s="153" t="s">
        <v>665</v>
      </c>
      <c r="D3" s="153">
        <v>31.4</v>
      </c>
      <c r="E3" s="153">
        <v>31.4</v>
      </c>
      <c r="F3" s="153">
        <f t="shared" si="0"/>
        <v>0</v>
      </c>
      <c r="G3" s="153" t="str">
        <f t="shared" si="1"/>
        <v>OK</v>
      </c>
      <c r="H3" s="153" t="b">
        <v>1</v>
      </c>
    </row>
    <row r="4" spans="1:8" x14ac:dyDescent="0.3">
      <c r="A4" s="153" t="s">
        <v>666</v>
      </c>
      <c r="B4" s="153" t="s">
        <v>662</v>
      </c>
      <c r="C4" s="153" t="s">
        <v>667</v>
      </c>
      <c r="D4" s="153">
        <v>17.2</v>
      </c>
      <c r="E4" s="153">
        <v>17.2</v>
      </c>
      <c r="F4" s="153">
        <f t="shared" si="0"/>
        <v>0</v>
      </c>
      <c r="G4" s="153" t="str">
        <f t="shared" si="1"/>
        <v>OK</v>
      </c>
      <c r="H4" s="153" t="b">
        <v>1</v>
      </c>
    </row>
    <row r="5" spans="1:8" x14ac:dyDescent="0.3">
      <c r="A5" s="153" t="s">
        <v>668</v>
      </c>
      <c r="B5" s="153" t="s">
        <v>662</v>
      </c>
      <c r="C5" s="153" t="s">
        <v>669</v>
      </c>
      <c r="D5" s="153">
        <v>17.2</v>
      </c>
      <c r="E5" s="153">
        <v>17.2</v>
      </c>
      <c r="F5" s="153">
        <f t="shared" si="0"/>
        <v>0</v>
      </c>
      <c r="G5" s="153" t="str">
        <f t="shared" si="1"/>
        <v>OK</v>
      </c>
      <c r="H5" s="153" t="b">
        <v>1</v>
      </c>
    </row>
    <row r="6" spans="1:8" x14ac:dyDescent="0.3">
      <c r="A6" s="153" t="s">
        <v>670</v>
      </c>
      <c r="B6" s="153" t="s">
        <v>662</v>
      </c>
      <c r="C6" s="153" t="s">
        <v>671</v>
      </c>
      <c r="D6" s="153">
        <v>412.8</v>
      </c>
      <c r="E6" s="153">
        <v>412.8</v>
      </c>
      <c r="F6" s="153">
        <f t="shared" si="0"/>
        <v>0</v>
      </c>
      <c r="G6" s="153" t="str">
        <f t="shared" si="1"/>
        <v>OK</v>
      </c>
      <c r="H6" s="153" t="b">
        <v>1</v>
      </c>
    </row>
    <row r="7" spans="1:8" x14ac:dyDescent="0.3">
      <c r="A7" s="153" t="s">
        <v>672</v>
      </c>
      <c r="B7" s="153" t="s">
        <v>662</v>
      </c>
      <c r="C7" s="153" t="s">
        <v>673</v>
      </c>
      <c r="D7" s="153">
        <v>0.96000000000000008</v>
      </c>
      <c r="E7" s="153">
        <v>0.96000000000000008</v>
      </c>
      <c r="F7" s="153">
        <f t="shared" si="0"/>
        <v>0</v>
      </c>
      <c r="G7" s="153" t="str">
        <f t="shared" si="1"/>
        <v>OK</v>
      </c>
      <c r="H7" s="153" t="b">
        <v>1</v>
      </c>
    </row>
    <row r="8" spans="1:8" x14ac:dyDescent="0.3">
      <c r="A8" s="153" t="s">
        <v>674</v>
      </c>
      <c r="B8" s="153" t="s">
        <v>662</v>
      </c>
      <c r="C8" s="153" t="s">
        <v>675</v>
      </c>
      <c r="D8" s="153">
        <v>396</v>
      </c>
      <c r="E8" s="153">
        <v>396</v>
      </c>
      <c r="F8" s="153">
        <f t="shared" si="0"/>
        <v>0</v>
      </c>
      <c r="G8" s="153" t="str">
        <f t="shared" si="1"/>
        <v>OK</v>
      </c>
      <c r="H8" s="153" t="b">
        <v>1</v>
      </c>
    </row>
    <row r="9" spans="1:8" x14ac:dyDescent="0.3">
      <c r="A9" s="153" t="s">
        <v>676</v>
      </c>
      <c r="B9" s="153" t="s">
        <v>662</v>
      </c>
      <c r="C9" s="153" t="s">
        <v>677</v>
      </c>
      <c r="D9" s="153">
        <v>8</v>
      </c>
      <c r="E9" s="153">
        <v>8</v>
      </c>
      <c r="F9" s="153">
        <f t="shared" si="0"/>
        <v>0</v>
      </c>
      <c r="G9" s="153" t="str">
        <f t="shared" si="1"/>
        <v>OK</v>
      </c>
      <c r="H9" s="153" t="b">
        <v>1</v>
      </c>
    </row>
    <row r="10" spans="1:8" x14ac:dyDescent="0.3">
      <c r="A10" s="153" t="s">
        <v>678</v>
      </c>
      <c r="B10" s="153" t="s">
        <v>662</v>
      </c>
      <c r="C10" s="153" t="s">
        <v>679</v>
      </c>
      <c r="D10" s="153">
        <v>3</v>
      </c>
      <c r="E10" s="153">
        <v>3</v>
      </c>
      <c r="F10" s="153">
        <f t="shared" si="0"/>
        <v>0</v>
      </c>
      <c r="G10" s="153" t="str">
        <f t="shared" si="1"/>
        <v>OK</v>
      </c>
      <c r="H10" s="153" t="b">
        <v>1</v>
      </c>
    </row>
    <row r="11" spans="1:8" x14ac:dyDescent="0.3">
      <c r="A11" s="153" t="s">
        <v>680</v>
      </c>
      <c r="B11" s="153" t="s">
        <v>662</v>
      </c>
      <c r="C11" s="153" t="s">
        <v>681</v>
      </c>
      <c r="D11" s="153">
        <v>0.375</v>
      </c>
      <c r="E11" s="153">
        <v>0.375</v>
      </c>
      <c r="F11" s="153">
        <f t="shared" si="0"/>
        <v>0</v>
      </c>
      <c r="G11" s="153" t="str">
        <f t="shared" si="1"/>
        <v>OK</v>
      </c>
      <c r="H11" s="153" t="b">
        <v>1</v>
      </c>
    </row>
    <row r="12" spans="1:8" x14ac:dyDescent="0.3">
      <c r="A12" s="153" t="s">
        <v>682</v>
      </c>
      <c r="B12" s="153" t="s">
        <v>662</v>
      </c>
      <c r="C12" s="153" t="s">
        <v>683</v>
      </c>
      <c r="D12" s="153">
        <v>250</v>
      </c>
      <c r="E12" s="153">
        <v>250</v>
      </c>
      <c r="F12" s="153">
        <f t="shared" si="0"/>
        <v>0</v>
      </c>
      <c r="G12" s="153" t="str">
        <f t="shared" si="1"/>
        <v>OK</v>
      </c>
      <c r="H12" s="153" t="b">
        <v>1</v>
      </c>
    </row>
    <row r="13" spans="1:8" x14ac:dyDescent="0.3">
      <c r="A13" s="153" t="s">
        <v>684</v>
      </c>
      <c r="B13" s="153" t="s">
        <v>662</v>
      </c>
      <c r="C13" s="153" t="s">
        <v>685</v>
      </c>
      <c r="D13" s="153">
        <v>190</v>
      </c>
      <c r="E13" s="153">
        <v>190</v>
      </c>
      <c r="F13" s="153">
        <f t="shared" si="0"/>
        <v>0</v>
      </c>
      <c r="G13" s="153" t="str">
        <f t="shared" si="1"/>
        <v>OK</v>
      </c>
      <c r="H13" s="153" t="b">
        <v>1</v>
      </c>
    </row>
    <row r="14" spans="1:8" x14ac:dyDescent="0.3">
      <c r="A14" s="153" t="s">
        <v>686</v>
      </c>
      <c r="B14" s="153" t="s">
        <v>662</v>
      </c>
      <c r="C14" s="153" t="s">
        <v>687</v>
      </c>
      <c r="D14" s="153">
        <v>180</v>
      </c>
      <c r="E14" s="153">
        <v>180</v>
      </c>
      <c r="F14" s="153">
        <f t="shared" si="0"/>
        <v>0</v>
      </c>
      <c r="G14" s="153" t="str">
        <f t="shared" si="1"/>
        <v>OK</v>
      </c>
      <c r="H14" s="153" t="b">
        <v>1</v>
      </c>
    </row>
    <row r="15" spans="1:8" x14ac:dyDescent="0.3">
      <c r="A15" s="153" t="s">
        <v>688</v>
      </c>
      <c r="B15" s="153" t="s">
        <v>662</v>
      </c>
      <c r="C15" s="153" t="s">
        <v>689</v>
      </c>
      <c r="D15" s="153">
        <v>137</v>
      </c>
      <c r="E15" s="153">
        <v>137</v>
      </c>
      <c r="F15" s="153">
        <f t="shared" si="0"/>
        <v>0</v>
      </c>
      <c r="G15" s="153" t="str">
        <f t="shared" si="1"/>
        <v>OK</v>
      </c>
      <c r="H15" s="153" t="b">
        <v>1</v>
      </c>
    </row>
    <row r="16" spans="1:8" x14ac:dyDescent="0.3">
      <c r="A16" s="153" t="s">
        <v>690</v>
      </c>
      <c r="B16" s="153" t="s">
        <v>662</v>
      </c>
      <c r="C16" s="153" t="s">
        <v>691</v>
      </c>
      <c r="D16" s="153">
        <v>90</v>
      </c>
      <c r="E16" s="153">
        <v>90</v>
      </c>
      <c r="F16" s="153">
        <f t="shared" si="0"/>
        <v>0</v>
      </c>
      <c r="G16" s="153" t="str">
        <f t="shared" si="1"/>
        <v>OK</v>
      </c>
      <c r="H16" s="153" t="b">
        <v>1</v>
      </c>
    </row>
    <row r="17" spans="1:8" x14ac:dyDescent="0.3">
      <c r="A17" s="153" t="s">
        <v>692</v>
      </c>
      <c r="B17" s="153" t="s">
        <v>662</v>
      </c>
      <c r="C17" s="153" t="s">
        <v>693</v>
      </c>
      <c r="D17" s="153">
        <v>68</v>
      </c>
      <c r="E17" s="153">
        <v>68</v>
      </c>
      <c r="F17" s="153">
        <f t="shared" si="0"/>
        <v>0</v>
      </c>
      <c r="G17" s="153" t="str">
        <f t="shared" si="1"/>
        <v>OK</v>
      </c>
      <c r="H17" s="153" t="b">
        <v>1</v>
      </c>
    </row>
    <row r="18" spans="1:8" x14ac:dyDescent="0.3">
      <c r="A18" s="153" t="s">
        <v>694</v>
      </c>
      <c r="B18" s="153" t="s">
        <v>662</v>
      </c>
      <c r="C18" s="153" t="s">
        <v>695</v>
      </c>
      <c r="D18" s="153">
        <v>190</v>
      </c>
      <c r="E18" s="153">
        <v>190</v>
      </c>
      <c r="F18" s="153">
        <f t="shared" si="0"/>
        <v>0</v>
      </c>
      <c r="G18" s="153" t="str">
        <f t="shared" si="1"/>
        <v>OK</v>
      </c>
      <c r="H18" s="153" t="b">
        <v>1</v>
      </c>
    </row>
    <row r="19" spans="1:8" x14ac:dyDescent="0.3">
      <c r="A19" s="153" t="s">
        <v>696</v>
      </c>
      <c r="B19" s="153" t="s">
        <v>662</v>
      </c>
      <c r="C19" s="153" t="s">
        <v>697</v>
      </c>
      <c r="D19" s="153">
        <v>190</v>
      </c>
      <c r="E19" s="153">
        <v>190</v>
      </c>
      <c r="F19" s="153">
        <f t="shared" si="0"/>
        <v>0</v>
      </c>
      <c r="G19" s="153" t="str">
        <f t="shared" si="1"/>
        <v>OK</v>
      </c>
      <c r="H19" s="153" t="b">
        <v>1</v>
      </c>
    </row>
    <row r="20" spans="1:8" x14ac:dyDescent="0.3">
      <c r="A20" s="153" t="s">
        <v>698</v>
      </c>
      <c r="B20" s="153" t="s">
        <v>662</v>
      </c>
      <c r="C20" s="153" t="s">
        <v>699</v>
      </c>
      <c r="D20" s="153">
        <v>57</v>
      </c>
      <c r="E20" s="153">
        <v>57</v>
      </c>
      <c r="F20" s="153">
        <f t="shared" si="0"/>
        <v>0</v>
      </c>
      <c r="G20" s="153" t="str">
        <f t="shared" si="1"/>
        <v>OK</v>
      </c>
      <c r="H20" s="153" t="b">
        <v>1</v>
      </c>
    </row>
    <row r="21" spans="1:8" x14ac:dyDescent="0.3">
      <c r="A21" s="153" t="s">
        <v>700</v>
      </c>
      <c r="B21" s="153" t="s">
        <v>662</v>
      </c>
      <c r="C21" s="153" t="s">
        <v>701</v>
      </c>
      <c r="D21" s="153">
        <v>190</v>
      </c>
      <c r="E21" s="153">
        <v>190</v>
      </c>
      <c r="F21" s="153">
        <f t="shared" si="0"/>
        <v>0</v>
      </c>
      <c r="G21" s="153" t="str">
        <f t="shared" si="1"/>
        <v>OK</v>
      </c>
      <c r="H21" s="153" t="b">
        <v>1</v>
      </c>
    </row>
    <row r="22" spans="1:8" x14ac:dyDescent="0.3">
      <c r="A22" s="153" t="s">
        <v>702</v>
      </c>
      <c r="B22" s="153" t="s">
        <v>662</v>
      </c>
      <c r="C22" s="153" t="s">
        <v>703</v>
      </c>
      <c r="D22" s="153">
        <v>1140</v>
      </c>
      <c r="E22" s="153">
        <v>1140</v>
      </c>
      <c r="F22" s="153">
        <f t="shared" si="0"/>
        <v>0</v>
      </c>
      <c r="G22" s="153" t="str">
        <f t="shared" si="1"/>
        <v>OK</v>
      </c>
      <c r="H22" s="153" t="b">
        <v>1</v>
      </c>
    </row>
    <row r="23" spans="1:8" x14ac:dyDescent="0.3">
      <c r="A23" s="153" t="s">
        <v>704</v>
      </c>
      <c r="B23" s="153" t="s">
        <v>662</v>
      </c>
      <c r="C23" s="153" t="s">
        <v>705</v>
      </c>
      <c r="D23" s="153">
        <v>125</v>
      </c>
      <c r="E23" s="153">
        <v>125</v>
      </c>
      <c r="F23" s="153">
        <f t="shared" si="0"/>
        <v>0</v>
      </c>
      <c r="G23" s="153" t="str">
        <f t="shared" si="1"/>
        <v>OK</v>
      </c>
      <c r="H23" s="153" t="b">
        <v>1</v>
      </c>
    </row>
    <row r="24" spans="1:8" x14ac:dyDescent="0.3">
      <c r="A24" s="153" t="s">
        <v>706</v>
      </c>
      <c r="B24" s="153" t="s">
        <v>662</v>
      </c>
      <c r="C24" s="153" t="s">
        <v>707</v>
      </c>
      <c r="D24" s="153">
        <v>125</v>
      </c>
      <c r="E24" s="153">
        <v>125</v>
      </c>
      <c r="F24" s="153">
        <f t="shared" si="0"/>
        <v>0</v>
      </c>
      <c r="G24" s="153" t="str">
        <f t="shared" si="1"/>
        <v>OK</v>
      </c>
      <c r="H24" s="153" t="b">
        <v>1</v>
      </c>
    </row>
    <row r="25" spans="1:8" x14ac:dyDescent="0.3">
      <c r="A25" s="153" t="s">
        <v>708</v>
      </c>
      <c r="B25" s="153" t="s">
        <v>662</v>
      </c>
      <c r="C25" s="153" t="s">
        <v>709</v>
      </c>
      <c r="D25" s="153">
        <v>50</v>
      </c>
      <c r="E25" s="153">
        <v>50</v>
      </c>
      <c r="F25" s="153">
        <f t="shared" si="0"/>
        <v>0</v>
      </c>
      <c r="G25" s="153" t="str">
        <f t="shared" si="1"/>
        <v>OK</v>
      </c>
      <c r="H25" s="153" t="b">
        <v>1</v>
      </c>
    </row>
    <row r="26" spans="1:8" x14ac:dyDescent="0.3">
      <c r="A26" s="153" t="s">
        <v>710</v>
      </c>
      <c r="B26" s="153" t="s">
        <v>662</v>
      </c>
      <c r="C26" s="153" t="s">
        <v>711</v>
      </c>
      <c r="D26" s="153">
        <v>125</v>
      </c>
      <c r="E26" s="153">
        <v>125</v>
      </c>
      <c r="F26" s="153">
        <f t="shared" si="0"/>
        <v>0</v>
      </c>
      <c r="G26" s="153" t="str">
        <f t="shared" si="1"/>
        <v>OK</v>
      </c>
      <c r="H26" s="153" t="b">
        <v>1</v>
      </c>
    </row>
    <row r="27" spans="1:8" x14ac:dyDescent="0.3">
      <c r="A27" s="153" t="s">
        <v>712</v>
      </c>
      <c r="B27" s="153" t="s">
        <v>662</v>
      </c>
      <c r="C27" s="153" t="s">
        <v>713</v>
      </c>
      <c r="D27" s="153">
        <v>875</v>
      </c>
      <c r="E27" s="153">
        <v>875</v>
      </c>
      <c r="F27" s="153">
        <f t="shared" si="0"/>
        <v>0</v>
      </c>
      <c r="G27" s="153" t="str">
        <f t="shared" si="1"/>
        <v>OK</v>
      </c>
      <c r="H27" s="153" t="b">
        <v>1</v>
      </c>
    </row>
    <row r="28" spans="1:8" x14ac:dyDescent="0.3">
      <c r="A28" s="153" t="s">
        <v>714</v>
      </c>
      <c r="B28" s="153" t="s">
        <v>662</v>
      </c>
      <c r="C28" s="153" t="s">
        <v>715</v>
      </c>
      <c r="D28" s="153">
        <v>50</v>
      </c>
      <c r="E28" s="153">
        <v>50</v>
      </c>
      <c r="F28" s="153">
        <f t="shared" si="0"/>
        <v>0</v>
      </c>
      <c r="G28" s="153" t="str">
        <f t="shared" si="1"/>
        <v>OK</v>
      </c>
      <c r="H28" s="153" t="b">
        <v>1</v>
      </c>
    </row>
    <row r="29" spans="1:8" x14ac:dyDescent="0.3">
      <c r="A29" s="153" t="s">
        <v>716</v>
      </c>
      <c r="B29" s="153" t="s">
        <v>662</v>
      </c>
      <c r="C29" s="153" t="s">
        <v>717</v>
      </c>
      <c r="D29" s="153">
        <v>50</v>
      </c>
      <c r="E29" s="153">
        <v>50</v>
      </c>
      <c r="F29" s="153">
        <f t="shared" si="0"/>
        <v>0</v>
      </c>
      <c r="G29" s="153" t="str">
        <f t="shared" si="1"/>
        <v>OK</v>
      </c>
      <c r="H29" s="153" t="b">
        <v>1</v>
      </c>
    </row>
    <row r="30" spans="1:8" x14ac:dyDescent="0.3">
      <c r="A30" s="153" t="s">
        <v>718</v>
      </c>
      <c r="B30" s="153" t="s">
        <v>662</v>
      </c>
      <c r="C30" s="153" t="s">
        <v>719</v>
      </c>
      <c r="D30" s="153">
        <v>35</v>
      </c>
      <c r="E30" s="153">
        <v>35</v>
      </c>
      <c r="F30" s="153">
        <f t="shared" si="0"/>
        <v>0</v>
      </c>
      <c r="G30" s="153" t="str">
        <f t="shared" si="1"/>
        <v>OK</v>
      </c>
      <c r="H30" s="153" t="b">
        <v>1</v>
      </c>
    </row>
    <row r="31" spans="1:8" x14ac:dyDescent="0.3">
      <c r="A31" s="153" t="s">
        <v>720</v>
      </c>
      <c r="B31" s="153" t="s">
        <v>662</v>
      </c>
      <c r="C31" s="153" t="s">
        <v>721</v>
      </c>
      <c r="D31" s="153">
        <v>50</v>
      </c>
      <c r="E31" s="153">
        <v>50</v>
      </c>
      <c r="F31" s="153">
        <f t="shared" si="0"/>
        <v>0</v>
      </c>
      <c r="G31" s="153" t="str">
        <f t="shared" si="1"/>
        <v>OK</v>
      </c>
      <c r="H31" s="153" t="b">
        <v>1</v>
      </c>
    </row>
    <row r="32" spans="1:8" x14ac:dyDescent="0.3">
      <c r="A32" s="153" t="s">
        <v>722</v>
      </c>
      <c r="B32" s="153" t="s">
        <v>662</v>
      </c>
      <c r="C32" s="153" t="s">
        <v>723</v>
      </c>
      <c r="D32" s="153">
        <v>650</v>
      </c>
      <c r="E32" s="153">
        <v>650</v>
      </c>
      <c r="F32" s="153">
        <f t="shared" si="0"/>
        <v>0</v>
      </c>
      <c r="G32" s="153" t="str">
        <f t="shared" si="1"/>
        <v>OK</v>
      </c>
      <c r="H32" s="153" t="b">
        <v>1</v>
      </c>
    </row>
    <row r="33" spans="1:8" x14ac:dyDescent="0.3">
      <c r="A33" s="153" t="s">
        <v>724</v>
      </c>
      <c r="B33" s="153" t="s">
        <v>662</v>
      </c>
      <c r="C33" s="153" t="s">
        <v>725</v>
      </c>
      <c r="D33" s="153">
        <v>15</v>
      </c>
      <c r="E33" s="153">
        <v>15</v>
      </c>
      <c r="F33" s="153">
        <f t="shared" si="0"/>
        <v>0</v>
      </c>
      <c r="G33" s="153" t="str">
        <f t="shared" si="1"/>
        <v>OK</v>
      </c>
      <c r="H33" s="153" t="b">
        <v>1</v>
      </c>
    </row>
    <row r="34" spans="1:8" x14ac:dyDescent="0.3">
      <c r="A34" s="153" t="s">
        <v>726</v>
      </c>
      <c r="B34" s="153" t="s">
        <v>662</v>
      </c>
      <c r="C34" s="153" t="s">
        <v>727</v>
      </c>
      <c r="D34" s="153">
        <v>60</v>
      </c>
      <c r="E34" s="153">
        <v>60</v>
      </c>
      <c r="F34" s="153">
        <f t="shared" si="0"/>
        <v>0</v>
      </c>
      <c r="G34" s="153" t="str">
        <f t="shared" si="1"/>
        <v>OK</v>
      </c>
      <c r="H34" s="153" t="b">
        <v>1</v>
      </c>
    </row>
    <row r="35" spans="1:8" x14ac:dyDescent="0.3">
      <c r="A35" s="153" t="s">
        <v>728</v>
      </c>
      <c r="B35" s="153" t="s">
        <v>662</v>
      </c>
      <c r="C35" s="153" t="s">
        <v>729</v>
      </c>
      <c r="D35" s="153">
        <v>75</v>
      </c>
      <c r="E35" s="153">
        <v>75</v>
      </c>
      <c r="F35" s="153">
        <f t="shared" si="0"/>
        <v>0</v>
      </c>
      <c r="G35" s="153" t="str">
        <f t="shared" si="1"/>
        <v>OK</v>
      </c>
      <c r="H35" s="153" t="b">
        <v>1</v>
      </c>
    </row>
    <row r="36" spans="1:8" x14ac:dyDescent="0.3">
      <c r="A36" s="153" t="s">
        <v>730</v>
      </c>
      <c r="B36" s="153" t="s">
        <v>662</v>
      </c>
      <c r="C36" s="153" t="s">
        <v>731</v>
      </c>
      <c r="D36" s="153">
        <v>0</v>
      </c>
      <c r="E36" s="153">
        <v>0</v>
      </c>
      <c r="F36" s="153">
        <f t="shared" si="0"/>
        <v>0</v>
      </c>
      <c r="G36" s="153" t="str">
        <f t="shared" si="1"/>
        <v>OK</v>
      </c>
      <c r="H36" s="153" t="b">
        <v>1</v>
      </c>
    </row>
    <row r="37" spans="1:8" x14ac:dyDescent="0.3">
      <c r="A37" s="153" t="s">
        <v>732</v>
      </c>
      <c r="B37" s="153" t="s">
        <v>662</v>
      </c>
      <c r="C37" s="153" t="s">
        <v>733</v>
      </c>
      <c r="D37" s="153">
        <v>17</v>
      </c>
      <c r="E37" s="153">
        <v>17</v>
      </c>
      <c r="F37" s="153">
        <f t="shared" si="0"/>
        <v>0</v>
      </c>
      <c r="G37" s="153" t="str">
        <f t="shared" si="1"/>
        <v>OK</v>
      </c>
      <c r="H37" s="153" t="b">
        <v>1</v>
      </c>
    </row>
    <row r="38" spans="1:8" x14ac:dyDescent="0.3">
      <c r="A38" s="153" t="s">
        <v>734</v>
      </c>
      <c r="B38" s="153" t="s">
        <v>662</v>
      </c>
      <c r="C38" s="153" t="s">
        <v>735</v>
      </c>
      <c r="D38" s="153">
        <v>55</v>
      </c>
      <c r="E38" s="153">
        <v>55</v>
      </c>
      <c r="F38" s="153">
        <f t="shared" si="0"/>
        <v>0</v>
      </c>
      <c r="G38" s="153" t="str">
        <f t="shared" si="1"/>
        <v>OK</v>
      </c>
      <c r="H38" s="153" t="b">
        <v>1</v>
      </c>
    </row>
    <row r="39" spans="1:8" x14ac:dyDescent="0.3">
      <c r="A39" s="153" t="s">
        <v>736</v>
      </c>
      <c r="B39" s="153" t="s">
        <v>662</v>
      </c>
      <c r="C39" s="153" t="s">
        <v>737</v>
      </c>
      <c r="D39" s="153">
        <v>72</v>
      </c>
      <c r="E39" s="153">
        <v>72</v>
      </c>
      <c r="F39" s="153">
        <f t="shared" si="0"/>
        <v>0</v>
      </c>
      <c r="G39" s="153" t="str">
        <f t="shared" si="1"/>
        <v>OK</v>
      </c>
      <c r="H39" s="153" t="b">
        <v>1</v>
      </c>
    </row>
    <row r="40" spans="1:8" x14ac:dyDescent="0.3">
      <c r="A40" s="153" t="s">
        <v>738</v>
      </c>
      <c r="B40" s="153" t="s">
        <v>662</v>
      </c>
      <c r="C40" s="153" t="s">
        <v>739</v>
      </c>
      <c r="D40" s="153">
        <v>0</v>
      </c>
      <c r="E40" s="153">
        <v>0</v>
      </c>
      <c r="F40" s="153">
        <f t="shared" si="0"/>
        <v>0</v>
      </c>
      <c r="G40" s="153" t="str">
        <f t="shared" si="1"/>
        <v>OK</v>
      </c>
      <c r="H40" s="153" t="b">
        <v>1</v>
      </c>
    </row>
    <row r="41" spans="1:8" x14ac:dyDescent="0.3">
      <c r="A41" s="153" t="s">
        <v>740</v>
      </c>
      <c r="B41" s="153" t="s">
        <v>662</v>
      </c>
      <c r="C41" s="153" t="s">
        <v>741</v>
      </c>
      <c r="D41" s="153">
        <v>48</v>
      </c>
      <c r="E41" s="153">
        <v>48</v>
      </c>
      <c r="F41" s="153">
        <f t="shared" si="0"/>
        <v>0</v>
      </c>
      <c r="G41" s="153" t="str">
        <f t="shared" si="1"/>
        <v>OK</v>
      </c>
      <c r="H41" s="153" t="b">
        <v>1</v>
      </c>
    </row>
    <row r="42" spans="1:8" x14ac:dyDescent="0.3">
      <c r="A42" s="153" t="s">
        <v>742</v>
      </c>
      <c r="B42" s="153" t="s">
        <v>662</v>
      </c>
      <c r="C42" s="153" t="s">
        <v>743</v>
      </c>
      <c r="D42" s="153">
        <v>15</v>
      </c>
      <c r="E42" s="153">
        <v>15</v>
      </c>
      <c r="F42" s="153">
        <f t="shared" si="0"/>
        <v>0</v>
      </c>
      <c r="G42" s="153" t="str">
        <f t="shared" si="1"/>
        <v>OK</v>
      </c>
      <c r="H42" s="153" t="b">
        <v>1</v>
      </c>
    </row>
    <row r="43" spans="1:8" x14ac:dyDescent="0.3">
      <c r="A43" s="153" t="s">
        <v>744</v>
      </c>
      <c r="B43" s="153" t="s">
        <v>662</v>
      </c>
      <c r="C43" s="153" t="s">
        <v>745</v>
      </c>
      <c r="D43" s="153">
        <v>63</v>
      </c>
      <c r="E43" s="153">
        <v>63</v>
      </c>
      <c r="F43" s="153">
        <f t="shared" si="0"/>
        <v>0</v>
      </c>
      <c r="G43" s="153" t="str">
        <f t="shared" si="1"/>
        <v>OK</v>
      </c>
      <c r="H43" s="153" t="b">
        <v>1</v>
      </c>
    </row>
    <row r="44" spans="1:8" x14ac:dyDescent="0.3">
      <c r="A44" s="153" t="s">
        <v>746</v>
      </c>
      <c r="B44" s="153" t="s">
        <v>662</v>
      </c>
      <c r="C44" s="153" t="s">
        <v>747</v>
      </c>
      <c r="D44" s="153">
        <v>0</v>
      </c>
      <c r="E44" s="153">
        <v>0</v>
      </c>
      <c r="F44" s="153">
        <f t="shared" si="0"/>
        <v>0</v>
      </c>
      <c r="G44" s="153" t="str">
        <f t="shared" si="1"/>
        <v>OK</v>
      </c>
      <c r="H44" s="153" t="b">
        <v>1</v>
      </c>
    </row>
    <row r="45" spans="1:8" x14ac:dyDescent="0.3">
      <c r="A45" s="153" t="s">
        <v>748</v>
      </c>
      <c r="B45" s="153" t="s">
        <v>662</v>
      </c>
      <c r="C45" s="153" t="s">
        <v>749</v>
      </c>
      <c r="D45" s="153">
        <v>50</v>
      </c>
      <c r="E45" s="153">
        <v>50</v>
      </c>
      <c r="F45" s="153">
        <f t="shared" si="0"/>
        <v>0</v>
      </c>
      <c r="G45" s="153" t="str">
        <f t="shared" si="1"/>
        <v>OK</v>
      </c>
      <c r="H45" s="153" t="b">
        <v>1</v>
      </c>
    </row>
    <row r="46" spans="1:8" x14ac:dyDescent="0.3">
      <c r="A46" s="153" t="s">
        <v>750</v>
      </c>
      <c r="B46" s="153" t="s">
        <v>662</v>
      </c>
      <c r="C46" s="153" t="s">
        <v>751</v>
      </c>
      <c r="D46" s="153">
        <v>200</v>
      </c>
      <c r="E46" s="153">
        <v>200</v>
      </c>
      <c r="F46" s="153">
        <f t="shared" si="0"/>
        <v>0</v>
      </c>
      <c r="G46" s="153" t="str">
        <f t="shared" si="1"/>
        <v>OK</v>
      </c>
      <c r="H46" s="153" t="b">
        <v>1</v>
      </c>
    </row>
    <row r="47" spans="1:8" x14ac:dyDescent="0.3">
      <c r="A47" s="153" t="s">
        <v>752</v>
      </c>
      <c r="B47" s="153" t="s">
        <v>662</v>
      </c>
      <c r="C47" s="153" t="s">
        <v>753</v>
      </c>
      <c r="D47" s="153">
        <v>250</v>
      </c>
      <c r="E47" s="153">
        <v>250</v>
      </c>
      <c r="F47" s="153">
        <f t="shared" si="0"/>
        <v>0</v>
      </c>
      <c r="G47" s="153" t="str">
        <f t="shared" si="1"/>
        <v>OK</v>
      </c>
      <c r="H47" s="153" t="b">
        <v>1</v>
      </c>
    </row>
    <row r="48" spans="1:8" x14ac:dyDescent="0.3">
      <c r="A48" s="153" t="s">
        <v>754</v>
      </c>
      <c r="B48" s="153" t="s">
        <v>662</v>
      </c>
      <c r="C48" s="153" t="s">
        <v>755</v>
      </c>
      <c r="D48" s="153">
        <v>0</v>
      </c>
      <c r="E48" s="153">
        <v>0</v>
      </c>
      <c r="F48" s="153">
        <f t="shared" si="0"/>
        <v>0</v>
      </c>
      <c r="G48" s="153" t="str">
        <f t="shared" si="1"/>
        <v>OK</v>
      </c>
      <c r="H48" s="153" t="b">
        <v>1</v>
      </c>
    </row>
    <row r="49" spans="1:8" x14ac:dyDescent="0.3">
      <c r="A49" s="153" t="s">
        <v>756</v>
      </c>
      <c r="B49" s="153" t="s">
        <v>662</v>
      </c>
      <c r="C49" s="153" t="s">
        <v>757</v>
      </c>
      <c r="D49" s="153">
        <v>0</v>
      </c>
      <c r="E49" s="153">
        <v>0</v>
      </c>
      <c r="F49" s="153">
        <f t="shared" si="0"/>
        <v>0</v>
      </c>
      <c r="G49" s="153" t="str">
        <f t="shared" si="1"/>
        <v>OK</v>
      </c>
      <c r="H49" s="153" t="b">
        <v>1</v>
      </c>
    </row>
    <row r="50" spans="1:8" x14ac:dyDescent="0.3">
      <c r="A50" s="153" t="s">
        <v>758</v>
      </c>
      <c r="B50" s="153" t="s">
        <v>662</v>
      </c>
      <c r="C50" s="153" t="s">
        <v>759</v>
      </c>
      <c r="D50" s="153">
        <v>190</v>
      </c>
      <c r="E50" s="153">
        <v>190</v>
      </c>
      <c r="F50" s="153">
        <f t="shared" si="0"/>
        <v>0</v>
      </c>
      <c r="G50" s="153" t="str">
        <f t="shared" si="1"/>
        <v>OK</v>
      </c>
      <c r="H50" s="153" t="b">
        <v>1</v>
      </c>
    </row>
    <row r="51" spans="1:8" x14ac:dyDescent="0.3">
      <c r="A51" s="153" t="s">
        <v>760</v>
      </c>
      <c r="B51" s="153" t="s">
        <v>662</v>
      </c>
      <c r="C51" s="153" t="s">
        <v>761</v>
      </c>
      <c r="D51" s="153">
        <v>180</v>
      </c>
      <c r="E51" s="153">
        <v>180</v>
      </c>
      <c r="F51" s="153">
        <f t="shared" si="0"/>
        <v>0</v>
      </c>
      <c r="G51" s="153" t="str">
        <f t="shared" si="1"/>
        <v>OK</v>
      </c>
      <c r="H51" s="153" t="b">
        <v>1</v>
      </c>
    </row>
    <row r="52" spans="1:8" x14ac:dyDescent="0.3">
      <c r="A52" s="153" t="s">
        <v>762</v>
      </c>
      <c r="B52" s="153" t="s">
        <v>662</v>
      </c>
      <c r="C52" s="153" t="s">
        <v>763</v>
      </c>
      <c r="D52" s="153">
        <v>10</v>
      </c>
      <c r="E52" s="153">
        <v>10</v>
      </c>
      <c r="F52" s="153">
        <f t="shared" si="0"/>
        <v>0</v>
      </c>
      <c r="G52" s="153" t="str">
        <f t="shared" si="1"/>
        <v>OK</v>
      </c>
      <c r="H52" s="153" t="b">
        <v>1</v>
      </c>
    </row>
    <row r="53" spans="1:8" x14ac:dyDescent="0.3">
      <c r="A53" s="153" t="s">
        <v>764</v>
      </c>
      <c r="B53" s="153" t="s">
        <v>662</v>
      </c>
      <c r="C53" s="153" t="s">
        <v>765</v>
      </c>
      <c r="D53" s="153">
        <v>90</v>
      </c>
      <c r="E53" s="153">
        <v>90</v>
      </c>
      <c r="F53" s="153">
        <f t="shared" si="0"/>
        <v>0</v>
      </c>
      <c r="G53" s="153" t="str">
        <f t="shared" si="1"/>
        <v>OK</v>
      </c>
      <c r="H53" s="153" t="b">
        <v>1</v>
      </c>
    </row>
    <row r="54" spans="1:8" x14ac:dyDescent="0.3">
      <c r="A54" s="153" t="s">
        <v>766</v>
      </c>
      <c r="B54" s="153" t="s">
        <v>662</v>
      </c>
      <c r="C54" s="153" t="s">
        <v>767</v>
      </c>
      <c r="D54" s="153">
        <v>0</v>
      </c>
      <c r="E54" s="153">
        <v>0</v>
      </c>
      <c r="F54" s="153">
        <f t="shared" si="0"/>
        <v>0</v>
      </c>
      <c r="G54" s="153" t="str">
        <f t="shared" si="1"/>
        <v>OK</v>
      </c>
      <c r="H54" s="153" t="b">
        <v>1</v>
      </c>
    </row>
    <row r="55" spans="1:8" x14ac:dyDescent="0.3">
      <c r="A55" s="153" t="s">
        <v>768</v>
      </c>
      <c r="B55" s="153" t="s">
        <v>662</v>
      </c>
      <c r="C55" s="153" t="s">
        <v>769</v>
      </c>
      <c r="D55" s="153">
        <v>90</v>
      </c>
      <c r="E55" s="153">
        <v>90</v>
      </c>
      <c r="F55" s="153">
        <f t="shared" si="0"/>
        <v>0</v>
      </c>
      <c r="G55" s="153" t="str">
        <f t="shared" si="1"/>
        <v>OK</v>
      </c>
      <c r="H55" s="153" t="b">
        <v>1</v>
      </c>
    </row>
    <row r="56" spans="1:8" x14ac:dyDescent="0.3">
      <c r="A56" s="153" t="s">
        <v>770</v>
      </c>
      <c r="B56" s="153" t="s">
        <v>662</v>
      </c>
      <c r="C56" s="153" t="s">
        <v>771</v>
      </c>
      <c r="D56" s="153">
        <v>0</v>
      </c>
      <c r="E56" s="153">
        <v>0</v>
      </c>
      <c r="F56" s="153">
        <f t="shared" si="0"/>
        <v>0</v>
      </c>
      <c r="G56" s="153" t="str">
        <f t="shared" si="1"/>
        <v>OK</v>
      </c>
      <c r="H56" s="153" t="b">
        <v>1</v>
      </c>
    </row>
    <row r="57" spans="1:8" x14ac:dyDescent="0.3">
      <c r="A57" s="153" t="s">
        <v>772</v>
      </c>
      <c r="B57" s="153" t="s">
        <v>662</v>
      </c>
      <c r="C57" s="153" t="s">
        <v>773</v>
      </c>
      <c r="D57" s="153">
        <v>1494</v>
      </c>
      <c r="E57" s="153">
        <v>1494</v>
      </c>
      <c r="F57" s="153">
        <f t="shared" si="0"/>
        <v>0</v>
      </c>
      <c r="G57" s="153" t="str">
        <f t="shared" si="1"/>
        <v>OK</v>
      </c>
      <c r="H57" s="153" t="b">
        <v>1</v>
      </c>
    </row>
    <row r="58" spans="1:8" x14ac:dyDescent="0.3">
      <c r="A58" s="153" t="s">
        <v>774</v>
      </c>
      <c r="B58" s="153" t="s">
        <v>662</v>
      </c>
      <c r="C58" s="153" t="s">
        <v>775</v>
      </c>
      <c r="D58" s="153">
        <v>6</v>
      </c>
      <c r="E58" s="153">
        <v>6</v>
      </c>
      <c r="F58" s="153">
        <f t="shared" si="0"/>
        <v>0</v>
      </c>
      <c r="G58" s="153" t="str">
        <f t="shared" si="1"/>
        <v>OK</v>
      </c>
      <c r="H58" s="153" t="b">
        <v>1</v>
      </c>
    </row>
    <row r="59" spans="1:8" x14ac:dyDescent="0.3">
      <c r="A59" s="153" t="s">
        <v>776</v>
      </c>
      <c r="B59" s="153" t="s">
        <v>662</v>
      </c>
      <c r="C59" s="153" t="s">
        <v>777</v>
      </c>
      <c r="D59" s="153">
        <v>1500</v>
      </c>
      <c r="E59" s="153">
        <v>1500</v>
      </c>
      <c r="F59" s="153">
        <f t="shared" si="0"/>
        <v>0</v>
      </c>
      <c r="G59" s="153" t="str">
        <f t="shared" si="1"/>
        <v>OK</v>
      </c>
      <c r="H59" s="153" t="b">
        <v>1</v>
      </c>
    </row>
    <row r="60" spans="1:8" x14ac:dyDescent="0.3">
      <c r="A60" s="153" t="s">
        <v>778</v>
      </c>
      <c r="B60" s="153" t="s">
        <v>662</v>
      </c>
      <c r="C60" s="153" t="s">
        <v>779</v>
      </c>
      <c r="D60" s="153">
        <v>0</v>
      </c>
      <c r="E60" s="153">
        <v>0</v>
      </c>
      <c r="F60" s="153">
        <f t="shared" si="0"/>
        <v>0</v>
      </c>
      <c r="G60" s="153" t="str">
        <f t="shared" si="1"/>
        <v>OK</v>
      </c>
      <c r="H60" s="153" t="b">
        <v>1</v>
      </c>
    </row>
    <row r="61" spans="1:8" x14ac:dyDescent="0.3">
      <c r="A61" s="153" t="s">
        <v>780</v>
      </c>
      <c r="B61" s="153" t="s">
        <v>662</v>
      </c>
      <c r="C61" s="153" t="s">
        <v>781</v>
      </c>
      <c r="D61" s="153">
        <v>1253</v>
      </c>
      <c r="E61" s="153">
        <v>1253</v>
      </c>
      <c r="F61" s="153">
        <f t="shared" si="0"/>
        <v>0</v>
      </c>
      <c r="G61" s="153" t="str">
        <f t="shared" si="1"/>
        <v>OK</v>
      </c>
      <c r="H61" s="153" t="b">
        <v>1</v>
      </c>
    </row>
    <row r="62" spans="1:8" x14ac:dyDescent="0.3">
      <c r="A62" s="153" t="s">
        <v>782</v>
      </c>
      <c r="B62" s="153" t="s">
        <v>662</v>
      </c>
      <c r="C62" s="153" t="s">
        <v>783</v>
      </c>
      <c r="D62" s="153">
        <v>7</v>
      </c>
      <c r="E62" s="153">
        <v>7</v>
      </c>
      <c r="F62" s="153">
        <f t="shared" si="0"/>
        <v>0</v>
      </c>
      <c r="G62" s="153" t="str">
        <f t="shared" si="1"/>
        <v>OK</v>
      </c>
      <c r="H62" s="153" t="b">
        <v>1</v>
      </c>
    </row>
    <row r="63" spans="1:8" x14ac:dyDescent="0.3">
      <c r="A63" s="153" t="s">
        <v>784</v>
      </c>
      <c r="B63" s="153" t="s">
        <v>662</v>
      </c>
      <c r="C63" s="153" t="s">
        <v>785</v>
      </c>
      <c r="D63" s="153">
        <v>1260</v>
      </c>
      <c r="E63" s="153">
        <v>1260</v>
      </c>
      <c r="F63" s="153">
        <f t="shared" si="0"/>
        <v>0</v>
      </c>
      <c r="G63" s="153" t="str">
        <f t="shared" si="1"/>
        <v>OK</v>
      </c>
      <c r="H63" s="153" t="b">
        <v>1</v>
      </c>
    </row>
    <row r="64" spans="1:8" x14ac:dyDescent="0.3">
      <c r="A64" s="153" t="s">
        <v>786</v>
      </c>
      <c r="B64" s="153" t="s">
        <v>662</v>
      </c>
      <c r="C64" s="153" t="s">
        <v>787</v>
      </c>
      <c r="D64" s="153">
        <v>0</v>
      </c>
      <c r="E64" s="153">
        <v>0</v>
      </c>
      <c r="F64" s="153">
        <f t="shared" si="0"/>
        <v>0</v>
      </c>
      <c r="G64" s="153" t="str">
        <f t="shared" si="1"/>
        <v>OK</v>
      </c>
      <c r="H64" s="153" t="b">
        <v>1</v>
      </c>
    </row>
    <row r="65" spans="1:8" x14ac:dyDescent="0.3">
      <c r="A65" s="153" t="s">
        <v>788</v>
      </c>
      <c r="B65" s="153" t="s">
        <v>662</v>
      </c>
      <c r="C65" s="153" t="s">
        <v>789</v>
      </c>
      <c r="D65" s="153">
        <v>1170</v>
      </c>
      <c r="E65" s="153">
        <v>1170</v>
      </c>
      <c r="F65" s="153">
        <f t="shared" si="0"/>
        <v>0</v>
      </c>
      <c r="G65" s="153" t="str">
        <f t="shared" si="1"/>
        <v>OK</v>
      </c>
      <c r="H65" s="153" t="b">
        <v>1</v>
      </c>
    </row>
    <row r="66" spans="1:8" x14ac:dyDescent="0.3">
      <c r="A66" s="153" t="s">
        <v>790</v>
      </c>
      <c r="B66" s="153" t="s">
        <v>662</v>
      </c>
      <c r="C66" s="153" t="s">
        <v>791</v>
      </c>
      <c r="D66" s="153">
        <v>0</v>
      </c>
      <c r="E66" s="153">
        <v>0</v>
      </c>
      <c r="F66" s="153">
        <f t="shared" ref="F66:F129" si="2">IF(NOT(H66),"",IF(AND(ISNUMBER(D66),ISNUMBER(E66)),E66-D66,IF(D66=E66,0,1)))</f>
        <v>0</v>
      </c>
      <c r="G66" s="153" t="str">
        <f t="shared" ref="G66:G129" si="3">IF(NOT(H66),"PENDIENTE SIDE",IF(IF(AND(ISNUMBER(D66),ISNUMBER(E66)),IF(MOD(D66,1)=0,D66=E66,ABS(D66-E66)&lt;=0.000000001*MAX(1,ABS(D66),ABS(E66))),D66=E66),"OK","DIFERENCIA"))</f>
        <v>OK</v>
      </c>
      <c r="H66" s="153" t="b">
        <v>1</v>
      </c>
    </row>
    <row r="67" spans="1:8" x14ac:dyDescent="0.3">
      <c r="A67" s="153" t="s">
        <v>792</v>
      </c>
      <c r="B67" s="153" t="s">
        <v>662</v>
      </c>
      <c r="C67" s="153" t="s">
        <v>793</v>
      </c>
      <c r="D67" s="153">
        <v>1170</v>
      </c>
      <c r="E67" s="153">
        <v>1170</v>
      </c>
      <c r="F67" s="153">
        <f t="shared" si="2"/>
        <v>0</v>
      </c>
      <c r="G67" s="153" t="str">
        <f t="shared" si="3"/>
        <v>OK</v>
      </c>
      <c r="H67" s="153" t="b">
        <v>1</v>
      </c>
    </row>
    <row r="68" spans="1:8" x14ac:dyDescent="0.3">
      <c r="A68" s="153" t="s">
        <v>794</v>
      </c>
      <c r="B68" s="153" t="s">
        <v>662</v>
      </c>
      <c r="C68" s="153" t="s">
        <v>795</v>
      </c>
      <c r="D68" s="153">
        <v>0</v>
      </c>
      <c r="E68" s="153">
        <v>0</v>
      </c>
      <c r="F68" s="153">
        <f t="shared" si="2"/>
        <v>0</v>
      </c>
      <c r="G68" s="153" t="str">
        <f t="shared" si="3"/>
        <v>OK</v>
      </c>
      <c r="H68" s="153" t="b">
        <v>1</v>
      </c>
    </row>
    <row r="69" spans="1:8" x14ac:dyDescent="0.3">
      <c r="A69" s="153" t="s">
        <v>796</v>
      </c>
      <c r="B69" s="153" t="s">
        <v>797</v>
      </c>
      <c r="C69" s="153" t="s">
        <v>663</v>
      </c>
      <c r="D69" s="153">
        <v>14</v>
      </c>
      <c r="E69" s="153">
        <v>14</v>
      </c>
      <c r="F69" s="153">
        <f t="shared" si="2"/>
        <v>0</v>
      </c>
      <c r="G69" s="153" t="str">
        <f t="shared" si="3"/>
        <v>OK</v>
      </c>
      <c r="H69" s="153" t="b">
        <v>1</v>
      </c>
    </row>
    <row r="70" spans="1:8" x14ac:dyDescent="0.3">
      <c r="A70" s="153" t="s">
        <v>798</v>
      </c>
      <c r="B70" s="153" t="s">
        <v>797</v>
      </c>
      <c r="C70" s="153" t="s">
        <v>665</v>
      </c>
      <c r="D70" s="153">
        <v>31.4</v>
      </c>
      <c r="E70" s="153">
        <v>31.4</v>
      </c>
      <c r="F70" s="153">
        <f t="shared" si="2"/>
        <v>0</v>
      </c>
      <c r="G70" s="153" t="str">
        <f t="shared" si="3"/>
        <v>OK</v>
      </c>
      <c r="H70" s="153" t="b">
        <v>1</v>
      </c>
    </row>
    <row r="71" spans="1:8" x14ac:dyDescent="0.3">
      <c r="A71" s="153" t="s">
        <v>799</v>
      </c>
      <c r="B71" s="153" t="s">
        <v>797</v>
      </c>
      <c r="C71" s="153" t="s">
        <v>667</v>
      </c>
      <c r="D71" s="153">
        <v>24</v>
      </c>
      <c r="E71" s="153">
        <v>24</v>
      </c>
      <c r="F71" s="153">
        <f t="shared" si="2"/>
        <v>0</v>
      </c>
      <c r="G71" s="153" t="str">
        <f t="shared" si="3"/>
        <v>OK</v>
      </c>
      <c r="H71" s="153" t="b">
        <v>1</v>
      </c>
    </row>
    <row r="72" spans="1:8" x14ac:dyDescent="0.3">
      <c r="A72" s="153" t="s">
        <v>800</v>
      </c>
      <c r="B72" s="153" t="s">
        <v>797</v>
      </c>
      <c r="C72" s="153" t="s">
        <v>669</v>
      </c>
      <c r="D72" s="153">
        <v>14</v>
      </c>
      <c r="E72" s="153">
        <v>14</v>
      </c>
      <c r="F72" s="153">
        <f t="shared" si="2"/>
        <v>0</v>
      </c>
      <c r="G72" s="153" t="str">
        <f t="shared" si="3"/>
        <v>OK</v>
      </c>
      <c r="H72" s="153" t="b">
        <v>1</v>
      </c>
    </row>
    <row r="73" spans="1:8" x14ac:dyDescent="0.3">
      <c r="A73" s="153" t="s">
        <v>801</v>
      </c>
      <c r="B73" s="153" t="s">
        <v>797</v>
      </c>
      <c r="C73" s="153" t="s">
        <v>671</v>
      </c>
      <c r="D73" s="153">
        <v>420</v>
      </c>
      <c r="E73" s="153">
        <v>420</v>
      </c>
      <c r="F73" s="153">
        <f t="shared" si="2"/>
        <v>0</v>
      </c>
      <c r="G73" s="153" t="str">
        <f t="shared" si="3"/>
        <v>OK</v>
      </c>
      <c r="H73" s="153" t="b">
        <v>1</v>
      </c>
    </row>
    <row r="74" spans="1:8" x14ac:dyDescent="0.3">
      <c r="A74" s="153" t="s">
        <v>802</v>
      </c>
      <c r="B74" s="153" t="s">
        <v>797</v>
      </c>
      <c r="C74" s="153" t="s">
        <v>673</v>
      </c>
      <c r="D74" s="153">
        <v>0.91</v>
      </c>
      <c r="E74" s="153">
        <v>0.91</v>
      </c>
      <c r="F74" s="153">
        <f t="shared" si="2"/>
        <v>0</v>
      </c>
      <c r="G74" s="153" t="str">
        <f t="shared" si="3"/>
        <v>OK</v>
      </c>
      <c r="H74" s="153" t="b">
        <v>1</v>
      </c>
    </row>
    <row r="75" spans="1:8" x14ac:dyDescent="0.3">
      <c r="A75" s="153" t="s">
        <v>803</v>
      </c>
      <c r="B75" s="153" t="s">
        <v>797</v>
      </c>
      <c r="C75" s="153" t="s">
        <v>675</v>
      </c>
      <c r="D75" s="153">
        <v>382</v>
      </c>
      <c r="E75" s="153">
        <v>382</v>
      </c>
      <c r="F75" s="153">
        <f t="shared" si="2"/>
        <v>0</v>
      </c>
      <c r="G75" s="153" t="str">
        <f t="shared" si="3"/>
        <v>OK</v>
      </c>
      <c r="H75" s="153" t="b">
        <v>1</v>
      </c>
    </row>
    <row r="76" spans="1:8" x14ac:dyDescent="0.3">
      <c r="A76" s="153" t="s">
        <v>804</v>
      </c>
      <c r="B76" s="153" t="s">
        <v>797</v>
      </c>
      <c r="C76" s="153" t="s">
        <v>677</v>
      </c>
      <c r="D76" s="153">
        <v>7</v>
      </c>
      <c r="E76" s="153">
        <v>7</v>
      </c>
      <c r="F76" s="153">
        <f t="shared" si="2"/>
        <v>0</v>
      </c>
      <c r="G76" s="153" t="str">
        <f t="shared" si="3"/>
        <v>OK</v>
      </c>
      <c r="H76" s="153" t="b">
        <v>1</v>
      </c>
    </row>
    <row r="77" spans="1:8" x14ac:dyDescent="0.3">
      <c r="A77" s="153" t="s">
        <v>805</v>
      </c>
      <c r="B77" s="153" t="s">
        <v>797</v>
      </c>
      <c r="C77" s="153" t="s">
        <v>679</v>
      </c>
      <c r="D77" s="153">
        <v>2</v>
      </c>
      <c r="E77" s="153">
        <v>2</v>
      </c>
      <c r="F77" s="153">
        <f t="shared" si="2"/>
        <v>0</v>
      </c>
      <c r="G77" s="153" t="str">
        <f t="shared" si="3"/>
        <v>OK</v>
      </c>
      <c r="H77" s="153" t="b">
        <v>1</v>
      </c>
    </row>
    <row r="78" spans="1:8" x14ac:dyDescent="0.3">
      <c r="A78" s="153" t="s">
        <v>806</v>
      </c>
      <c r="B78" s="153" t="s">
        <v>797</v>
      </c>
      <c r="C78" s="153" t="s">
        <v>681</v>
      </c>
      <c r="D78" s="153">
        <v>0.2857142857142857</v>
      </c>
      <c r="E78" s="153">
        <v>0.2857142857142857</v>
      </c>
      <c r="F78" s="153">
        <f t="shared" si="2"/>
        <v>0</v>
      </c>
      <c r="G78" s="153" t="str">
        <f t="shared" si="3"/>
        <v>OK</v>
      </c>
      <c r="H78" s="153" t="b">
        <v>1</v>
      </c>
    </row>
    <row r="79" spans="1:8" x14ac:dyDescent="0.3">
      <c r="A79" s="153" t="s">
        <v>807</v>
      </c>
      <c r="B79" s="153" t="s">
        <v>797</v>
      </c>
      <c r="C79" s="153" t="s">
        <v>747</v>
      </c>
      <c r="D79" s="153">
        <v>11.187635078564609</v>
      </c>
      <c r="E79" s="153">
        <v>11.187635078564609</v>
      </c>
      <c r="F79" s="153">
        <f t="shared" si="2"/>
        <v>0</v>
      </c>
      <c r="G79" s="153" t="str">
        <f t="shared" si="3"/>
        <v>OK</v>
      </c>
      <c r="H79" s="153" t="b">
        <v>1</v>
      </c>
    </row>
    <row r="80" spans="1:8" x14ac:dyDescent="0.3">
      <c r="A80" s="153" t="s">
        <v>808</v>
      </c>
      <c r="B80" s="153" t="s">
        <v>797</v>
      </c>
      <c r="C80" s="153" t="s">
        <v>809</v>
      </c>
      <c r="D80" s="153">
        <v>27160</v>
      </c>
      <c r="E80" s="153">
        <v>27160</v>
      </c>
      <c r="F80" s="153">
        <f t="shared" si="2"/>
        <v>0</v>
      </c>
      <c r="G80" s="153" t="str">
        <f t="shared" si="3"/>
        <v>OK</v>
      </c>
      <c r="H80" s="153" t="b">
        <v>1</v>
      </c>
    </row>
    <row r="81" spans="1:8" x14ac:dyDescent="0.3">
      <c r="A81" s="153" t="s">
        <v>810</v>
      </c>
      <c r="B81" s="153" t="s">
        <v>797</v>
      </c>
      <c r="C81" s="153" t="s">
        <v>811</v>
      </c>
      <c r="D81" s="153">
        <v>24987.200000000001</v>
      </c>
      <c r="E81" s="153">
        <v>24987.200000000001</v>
      </c>
      <c r="F81" s="153">
        <f t="shared" si="2"/>
        <v>0</v>
      </c>
      <c r="G81" s="153" t="str">
        <f t="shared" si="3"/>
        <v>OK</v>
      </c>
      <c r="H81" s="153" t="b">
        <v>1</v>
      </c>
    </row>
    <row r="82" spans="1:8" x14ac:dyDescent="0.3">
      <c r="A82" s="153" t="s">
        <v>812</v>
      </c>
      <c r="B82" s="153" t="s">
        <v>797</v>
      </c>
      <c r="C82" s="153" t="s">
        <v>813</v>
      </c>
      <c r="D82" s="153">
        <v>24580</v>
      </c>
      <c r="E82" s="153">
        <v>24580</v>
      </c>
      <c r="F82" s="153">
        <f t="shared" si="2"/>
        <v>0</v>
      </c>
      <c r="G82" s="153" t="str">
        <f t="shared" si="3"/>
        <v>OK</v>
      </c>
      <c r="H82" s="153" t="b">
        <v>1</v>
      </c>
    </row>
    <row r="83" spans="1:8" x14ac:dyDescent="0.3">
      <c r="A83" s="153" t="s">
        <v>814</v>
      </c>
      <c r="B83" s="153" t="s">
        <v>797</v>
      </c>
      <c r="C83" s="153" t="s">
        <v>815</v>
      </c>
      <c r="D83" s="153">
        <v>22613.599999999999</v>
      </c>
      <c r="E83" s="153">
        <v>22613.599999999999</v>
      </c>
      <c r="F83" s="153">
        <f t="shared" si="2"/>
        <v>0</v>
      </c>
      <c r="G83" s="153" t="str">
        <f t="shared" si="3"/>
        <v>OK</v>
      </c>
      <c r="H83" s="153" t="b">
        <v>1</v>
      </c>
    </row>
    <row r="84" spans="1:8" x14ac:dyDescent="0.3">
      <c r="A84" s="153" t="s">
        <v>816</v>
      </c>
      <c r="B84" s="153" t="s">
        <v>797</v>
      </c>
      <c r="C84" s="153" t="s">
        <v>817</v>
      </c>
      <c r="D84" s="153">
        <v>2580</v>
      </c>
      <c r="E84" s="153">
        <v>2580</v>
      </c>
      <c r="F84" s="153">
        <f t="shared" si="2"/>
        <v>0</v>
      </c>
      <c r="G84" s="153" t="str">
        <f t="shared" si="3"/>
        <v>OK</v>
      </c>
      <c r="H84" s="153" t="b">
        <v>1</v>
      </c>
    </row>
    <row r="85" spans="1:8" x14ac:dyDescent="0.3">
      <c r="A85" s="153" t="s">
        <v>818</v>
      </c>
      <c r="B85" s="153" t="s">
        <v>797</v>
      </c>
      <c r="C85" s="153" t="s">
        <v>819</v>
      </c>
      <c r="D85" s="153">
        <v>2373.6000000000022</v>
      </c>
      <c r="E85" s="153">
        <v>2373.6</v>
      </c>
      <c r="F85" s="153">
        <f t="shared" si="2"/>
        <v>-2.2737367544323206E-12</v>
      </c>
      <c r="G85" s="153" t="str">
        <f t="shared" si="3"/>
        <v>OK</v>
      </c>
      <c r="H85" s="153" t="b">
        <v>1</v>
      </c>
    </row>
    <row r="86" spans="1:8" x14ac:dyDescent="0.3">
      <c r="A86" s="153" t="s">
        <v>820</v>
      </c>
      <c r="B86" s="153" t="s">
        <v>797</v>
      </c>
      <c r="C86" s="153" t="s">
        <v>821</v>
      </c>
      <c r="D86" s="153">
        <v>2.1195652173913042</v>
      </c>
      <c r="E86" s="153">
        <v>2.1195652173913042</v>
      </c>
      <c r="F86" s="153">
        <f t="shared" si="2"/>
        <v>0</v>
      </c>
      <c r="G86" s="153" t="str">
        <f t="shared" si="3"/>
        <v>OK</v>
      </c>
      <c r="H86" s="153" t="b">
        <v>1</v>
      </c>
    </row>
    <row r="87" spans="1:8" x14ac:dyDescent="0.3">
      <c r="A87" s="153" t="s">
        <v>822</v>
      </c>
      <c r="B87" s="153" t="s">
        <v>797</v>
      </c>
      <c r="C87" s="153" t="s">
        <v>741</v>
      </c>
      <c r="D87" s="153">
        <v>2.8571428571428572</v>
      </c>
      <c r="E87" s="153">
        <v>2.8571428571428572</v>
      </c>
      <c r="F87" s="153">
        <f t="shared" si="2"/>
        <v>0</v>
      </c>
      <c r="G87" s="153" t="str">
        <f t="shared" si="3"/>
        <v>OK</v>
      </c>
      <c r="H87" s="153" t="b">
        <v>1</v>
      </c>
    </row>
    <row r="88" spans="1:8" x14ac:dyDescent="0.3">
      <c r="A88" s="153" t="s">
        <v>823</v>
      </c>
      <c r="B88" s="153" t="s">
        <v>797</v>
      </c>
      <c r="C88" s="153" t="s">
        <v>743</v>
      </c>
      <c r="D88" s="153">
        <v>3.2109270040304518</v>
      </c>
      <c r="E88" s="153">
        <v>3.2109270040304518</v>
      </c>
      <c r="F88" s="153">
        <f t="shared" si="2"/>
        <v>0</v>
      </c>
      <c r="G88" s="153" t="str">
        <f t="shared" si="3"/>
        <v>OK</v>
      </c>
      <c r="H88" s="153" t="b">
        <v>1</v>
      </c>
    </row>
    <row r="89" spans="1:8" x14ac:dyDescent="0.3">
      <c r="A89" s="153" t="s">
        <v>824</v>
      </c>
      <c r="B89" s="153" t="s">
        <v>797</v>
      </c>
      <c r="C89" s="153" t="s">
        <v>745</v>
      </c>
      <c r="D89" s="153">
        <v>3</v>
      </c>
      <c r="E89" s="153">
        <v>3</v>
      </c>
      <c r="F89" s="153">
        <f t="shared" si="2"/>
        <v>0</v>
      </c>
      <c r="G89" s="153" t="str">
        <f t="shared" si="3"/>
        <v>OK</v>
      </c>
      <c r="H89" s="153" t="b">
        <v>1</v>
      </c>
    </row>
    <row r="90" spans="1:8" x14ac:dyDescent="0.3">
      <c r="A90" s="153" t="s">
        <v>825</v>
      </c>
      <c r="B90" s="153" t="s">
        <v>797</v>
      </c>
      <c r="C90" s="153" t="s">
        <v>826</v>
      </c>
      <c r="D90" s="153">
        <v>150</v>
      </c>
      <c r="E90" s="153">
        <v>150</v>
      </c>
      <c r="F90" s="153">
        <f t="shared" si="2"/>
        <v>0</v>
      </c>
      <c r="G90" s="153" t="str">
        <f t="shared" si="3"/>
        <v>OK</v>
      </c>
      <c r="H90" s="153" t="b">
        <v>1</v>
      </c>
    </row>
    <row r="91" spans="1:8" x14ac:dyDescent="0.3">
      <c r="A91" s="153" t="s">
        <v>827</v>
      </c>
      <c r="B91" s="153" t="s">
        <v>797</v>
      </c>
      <c r="C91" s="153" t="s">
        <v>828</v>
      </c>
      <c r="D91" s="153">
        <v>150</v>
      </c>
      <c r="E91" s="153">
        <v>150</v>
      </c>
      <c r="F91" s="153">
        <f t="shared" si="2"/>
        <v>0</v>
      </c>
      <c r="G91" s="153" t="str">
        <f t="shared" si="3"/>
        <v>OK</v>
      </c>
      <c r="H91" s="153" t="b">
        <v>1</v>
      </c>
    </row>
    <row r="92" spans="1:8" x14ac:dyDescent="0.3">
      <c r="A92" s="153" t="s">
        <v>829</v>
      </c>
      <c r="B92" s="153" t="s">
        <v>797</v>
      </c>
      <c r="C92" s="153" t="s">
        <v>830</v>
      </c>
      <c r="D92" s="153">
        <v>0.40760869565217389</v>
      </c>
      <c r="E92" s="153">
        <v>0.40760869565217389</v>
      </c>
      <c r="F92" s="153">
        <f t="shared" si="2"/>
        <v>0</v>
      </c>
      <c r="G92" s="153" t="str">
        <f t="shared" si="3"/>
        <v>OK</v>
      </c>
      <c r="H92" s="153" t="b">
        <v>1</v>
      </c>
    </row>
    <row r="93" spans="1:8" x14ac:dyDescent="0.3">
      <c r="A93" s="153" t="s">
        <v>831</v>
      </c>
      <c r="B93" s="153" t="s">
        <v>797</v>
      </c>
      <c r="C93" s="153" t="s">
        <v>832</v>
      </c>
      <c r="D93" s="153">
        <v>45</v>
      </c>
      <c r="E93" s="153">
        <v>45</v>
      </c>
      <c r="F93" s="153">
        <f t="shared" si="2"/>
        <v>0</v>
      </c>
      <c r="G93" s="153" t="str">
        <f t="shared" si="3"/>
        <v>OK</v>
      </c>
      <c r="H93" s="153" t="b">
        <v>1</v>
      </c>
    </row>
    <row r="94" spans="1:8" x14ac:dyDescent="0.3">
      <c r="A94" s="153" t="s">
        <v>833</v>
      </c>
      <c r="B94" s="153" t="s">
        <v>797</v>
      </c>
      <c r="C94" s="153" t="s">
        <v>834</v>
      </c>
      <c r="D94" s="153">
        <v>150</v>
      </c>
      <c r="E94" s="153">
        <v>150</v>
      </c>
      <c r="F94" s="153">
        <f t="shared" si="2"/>
        <v>0</v>
      </c>
      <c r="G94" s="153" t="str">
        <f t="shared" si="3"/>
        <v>OK</v>
      </c>
      <c r="H94" s="153" t="b">
        <v>1</v>
      </c>
    </row>
    <row r="95" spans="1:8" x14ac:dyDescent="0.3">
      <c r="A95" s="153" t="s">
        <v>835</v>
      </c>
      <c r="B95" s="153" t="s">
        <v>797</v>
      </c>
      <c r="C95" s="153" t="s">
        <v>836</v>
      </c>
      <c r="D95" s="153">
        <v>900</v>
      </c>
      <c r="E95" s="153">
        <v>900</v>
      </c>
      <c r="F95" s="153">
        <f t="shared" si="2"/>
        <v>0</v>
      </c>
      <c r="G95" s="153" t="str">
        <f t="shared" si="3"/>
        <v>OK</v>
      </c>
      <c r="H95" s="153" t="b">
        <v>1</v>
      </c>
    </row>
    <row r="96" spans="1:8" x14ac:dyDescent="0.3">
      <c r="A96" s="153" t="s">
        <v>837</v>
      </c>
      <c r="B96" s="153" t="s">
        <v>797</v>
      </c>
      <c r="C96" s="153" t="s">
        <v>838</v>
      </c>
      <c r="D96" s="153">
        <v>45</v>
      </c>
      <c r="E96" s="153">
        <v>45</v>
      </c>
      <c r="F96" s="153">
        <f t="shared" si="2"/>
        <v>0</v>
      </c>
      <c r="G96" s="153" t="str">
        <f t="shared" si="3"/>
        <v>OK</v>
      </c>
      <c r="H96" s="153" t="b">
        <v>1</v>
      </c>
    </row>
    <row r="97" spans="1:8" x14ac:dyDescent="0.3">
      <c r="A97" s="153" t="s">
        <v>839</v>
      </c>
      <c r="B97" s="153" t="s">
        <v>797</v>
      </c>
      <c r="C97" s="153" t="s">
        <v>840</v>
      </c>
      <c r="D97" s="153">
        <v>150</v>
      </c>
      <c r="E97" s="153">
        <v>150</v>
      </c>
      <c r="F97" s="153">
        <f t="shared" si="2"/>
        <v>0</v>
      </c>
      <c r="G97" s="153" t="str">
        <f t="shared" si="3"/>
        <v>OK</v>
      </c>
      <c r="H97" s="153" t="b">
        <v>1</v>
      </c>
    </row>
    <row r="98" spans="1:8" x14ac:dyDescent="0.3">
      <c r="A98" s="153" t="s">
        <v>841</v>
      </c>
      <c r="B98" s="153" t="s">
        <v>797</v>
      </c>
      <c r="C98" s="153" t="s">
        <v>842</v>
      </c>
      <c r="D98" s="153">
        <v>900</v>
      </c>
      <c r="E98" s="153">
        <v>900</v>
      </c>
      <c r="F98" s="153">
        <f t="shared" si="2"/>
        <v>0</v>
      </c>
      <c r="G98" s="153" t="str">
        <f t="shared" si="3"/>
        <v>OK</v>
      </c>
      <c r="H98" s="153" t="b">
        <v>1</v>
      </c>
    </row>
    <row r="99" spans="1:8" x14ac:dyDescent="0.3">
      <c r="A99" s="153" t="s">
        <v>843</v>
      </c>
      <c r="B99" s="153" t="s">
        <v>797</v>
      </c>
      <c r="C99" s="153" t="s">
        <v>844</v>
      </c>
      <c r="D99" s="153">
        <v>140</v>
      </c>
      <c r="E99" s="153">
        <v>140</v>
      </c>
      <c r="F99" s="153">
        <f t="shared" si="2"/>
        <v>0</v>
      </c>
      <c r="G99" s="153" t="str">
        <f t="shared" si="3"/>
        <v>OK</v>
      </c>
      <c r="H99" s="153" t="b">
        <v>1</v>
      </c>
    </row>
    <row r="100" spans="1:8" x14ac:dyDescent="0.3">
      <c r="A100" s="153" t="s">
        <v>845</v>
      </c>
      <c r="B100" s="153" t="s">
        <v>797</v>
      </c>
      <c r="C100" s="153" t="s">
        <v>846</v>
      </c>
      <c r="D100" s="153">
        <v>140</v>
      </c>
      <c r="E100" s="153">
        <v>140</v>
      </c>
      <c r="F100" s="153">
        <f t="shared" si="2"/>
        <v>0</v>
      </c>
      <c r="G100" s="153" t="str">
        <f t="shared" si="3"/>
        <v>OK</v>
      </c>
      <c r="H100" s="153" t="b">
        <v>1</v>
      </c>
    </row>
    <row r="101" spans="1:8" x14ac:dyDescent="0.3">
      <c r="A101" s="153" t="s">
        <v>847</v>
      </c>
      <c r="B101" s="153" t="s">
        <v>797</v>
      </c>
      <c r="C101" s="153" t="s">
        <v>848</v>
      </c>
      <c r="D101" s="153">
        <v>0.38043478260869568</v>
      </c>
      <c r="E101" s="153">
        <v>0.38043478260869568</v>
      </c>
      <c r="F101" s="153">
        <f t="shared" si="2"/>
        <v>0</v>
      </c>
      <c r="G101" s="153" t="str">
        <f t="shared" si="3"/>
        <v>OK</v>
      </c>
      <c r="H101" s="153" t="b">
        <v>1</v>
      </c>
    </row>
    <row r="102" spans="1:8" x14ac:dyDescent="0.3">
      <c r="A102" s="153" t="s">
        <v>849</v>
      </c>
      <c r="B102" s="153" t="s">
        <v>797</v>
      </c>
      <c r="C102" s="153" t="s">
        <v>850</v>
      </c>
      <c r="D102" s="153">
        <v>56</v>
      </c>
      <c r="E102" s="153">
        <v>56</v>
      </c>
      <c r="F102" s="153">
        <f t="shared" si="2"/>
        <v>0</v>
      </c>
      <c r="G102" s="153" t="str">
        <f t="shared" si="3"/>
        <v>OK</v>
      </c>
      <c r="H102" s="153" t="b">
        <v>1</v>
      </c>
    </row>
    <row r="103" spans="1:8" x14ac:dyDescent="0.3">
      <c r="A103" s="153" t="s">
        <v>851</v>
      </c>
      <c r="B103" s="153" t="s">
        <v>797</v>
      </c>
      <c r="C103" s="153" t="s">
        <v>852</v>
      </c>
      <c r="D103" s="153">
        <v>140</v>
      </c>
      <c r="E103" s="153">
        <v>140</v>
      </c>
      <c r="F103" s="153">
        <f t="shared" si="2"/>
        <v>0</v>
      </c>
      <c r="G103" s="153" t="str">
        <f t="shared" si="3"/>
        <v>OK</v>
      </c>
      <c r="H103" s="153" t="b">
        <v>1</v>
      </c>
    </row>
    <row r="104" spans="1:8" x14ac:dyDescent="0.3">
      <c r="A104" s="153" t="s">
        <v>853</v>
      </c>
      <c r="B104" s="153" t="s">
        <v>797</v>
      </c>
      <c r="C104" s="153" t="s">
        <v>854</v>
      </c>
      <c r="D104" s="153">
        <v>980</v>
      </c>
      <c r="E104" s="153">
        <v>980</v>
      </c>
      <c r="F104" s="153">
        <f t="shared" si="2"/>
        <v>0</v>
      </c>
      <c r="G104" s="153" t="str">
        <f t="shared" si="3"/>
        <v>OK</v>
      </c>
      <c r="H104" s="153" t="b">
        <v>1</v>
      </c>
    </row>
    <row r="105" spans="1:8" x14ac:dyDescent="0.3">
      <c r="A105" s="153" t="s">
        <v>855</v>
      </c>
      <c r="B105" s="153" t="s">
        <v>797</v>
      </c>
      <c r="C105" s="153" t="s">
        <v>856</v>
      </c>
      <c r="D105" s="153">
        <v>56</v>
      </c>
      <c r="E105" s="153">
        <v>56</v>
      </c>
      <c r="F105" s="153">
        <f t="shared" si="2"/>
        <v>0</v>
      </c>
      <c r="G105" s="153" t="str">
        <f t="shared" si="3"/>
        <v>OK</v>
      </c>
      <c r="H105" s="153" t="b">
        <v>1</v>
      </c>
    </row>
    <row r="106" spans="1:8" x14ac:dyDescent="0.3">
      <c r="A106" s="153" t="s">
        <v>857</v>
      </c>
      <c r="B106" s="153" t="s">
        <v>797</v>
      </c>
      <c r="C106" s="153" t="s">
        <v>858</v>
      </c>
      <c r="D106" s="153">
        <v>140</v>
      </c>
      <c r="E106" s="153">
        <v>140</v>
      </c>
      <c r="F106" s="153">
        <f t="shared" si="2"/>
        <v>0</v>
      </c>
      <c r="G106" s="153" t="str">
        <f t="shared" si="3"/>
        <v>OK</v>
      </c>
      <c r="H106" s="153" t="b">
        <v>1</v>
      </c>
    </row>
    <row r="107" spans="1:8" x14ac:dyDescent="0.3">
      <c r="A107" s="153" t="s">
        <v>859</v>
      </c>
      <c r="B107" s="153" t="s">
        <v>797</v>
      </c>
      <c r="C107" s="153" t="s">
        <v>860</v>
      </c>
      <c r="D107" s="153">
        <v>980</v>
      </c>
      <c r="E107" s="153">
        <v>980</v>
      </c>
      <c r="F107" s="153">
        <f t="shared" si="2"/>
        <v>0</v>
      </c>
      <c r="G107" s="153" t="str">
        <f t="shared" si="3"/>
        <v>OK</v>
      </c>
      <c r="H107" s="153" t="b">
        <v>1</v>
      </c>
    </row>
    <row r="108" spans="1:8" x14ac:dyDescent="0.3">
      <c r="A108" s="153" t="s">
        <v>861</v>
      </c>
      <c r="B108" s="153" t="s">
        <v>797</v>
      </c>
      <c r="C108" s="153" t="s">
        <v>862</v>
      </c>
      <c r="D108" s="153">
        <v>95</v>
      </c>
      <c r="E108" s="153">
        <v>95</v>
      </c>
      <c r="F108" s="153">
        <f t="shared" si="2"/>
        <v>0</v>
      </c>
      <c r="G108" s="153" t="str">
        <f t="shared" si="3"/>
        <v>OK</v>
      </c>
      <c r="H108" s="153" t="b">
        <v>1</v>
      </c>
    </row>
    <row r="109" spans="1:8" x14ac:dyDescent="0.3">
      <c r="A109" s="153" t="s">
        <v>863</v>
      </c>
      <c r="B109" s="153" t="s">
        <v>797</v>
      </c>
      <c r="C109" s="153" t="s">
        <v>864</v>
      </c>
      <c r="D109" s="153">
        <v>78</v>
      </c>
      <c r="E109" s="153">
        <v>78</v>
      </c>
      <c r="F109" s="153">
        <f t="shared" si="2"/>
        <v>0</v>
      </c>
      <c r="G109" s="153" t="str">
        <f t="shared" si="3"/>
        <v>OK</v>
      </c>
      <c r="H109" s="153" t="b">
        <v>1</v>
      </c>
    </row>
    <row r="110" spans="1:8" x14ac:dyDescent="0.3">
      <c r="A110" s="153" t="s">
        <v>865</v>
      </c>
      <c r="B110" s="153" t="s">
        <v>797</v>
      </c>
      <c r="C110" s="153" t="s">
        <v>866</v>
      </c>
      <c r="D110" s="153">
        <v>0.2119565217391304</v>
      </c>
      <c r="E110" s="153">
        <v>0.2119565217391304</v>
      </c>
      <c r="F110" s="153">
        <f t="shared" si="2"/>
        <v>0</v>
      </c>
      <c r="G110" s="153" t="str">
        <f t="shared" si="3"/>
        <v>OK</v>
      </c>
      <c r="H110" s="153" t="b">
        <v>1</v>
      </c>
    </row>
    <row r="111" spans="1:8" x14ac:dyDescent="0.3">
      <c r="A111" s="153" t="s">
        <v>867</v>
      </c>
      <c r="B111" s="153" t="s">
        <v>797</v>
      </c>
      <c r="C111" s="153" t="s">
        <v>868</v>
      </c>
      <c r="D111" s="153">
        <v>66.5</v>
      </c>
      <c r="E111" s="153">
        <v>66.5</v>
      </c>
      <c r="F111" s="153">
        <f t="shared" si="2"/>
        <v>0</v>
      </c>
      <c r="G111" s="153" t="str">
        <f t="shared" si="3"/>
        <v>OK</v>
      </c>
      <c r="H111" s="153" t="b">
        <v>1</v>
      </c>
    </row>
    <row r="112" spans="1:8" x14ac:dyDescent="0.3">
      <c r="A112" s="153" t="s">
        <v>869</v>
      </c>
      <c r="B112" s="153" t="s">
        <v>797</v>
      </c>
      <c r="C112" s="153" t="s">
        <v>870</v>
      </c>
      <c r="D112" s="153">
        <v>95</v>
      </c>
      <c r="E112" s="153">
        <v>95</v>
      </c>
      <c r="F112" s="153">
        <f t="shared" si="2"/>
        <v>0</v>
      </c>
      <c r="G112" s="153" t="str">
        <f t="shared" si="3"/>
        <v>OK</v>
      </c>
      <c r="H112" s="153" t="b">
        <v>1</v>
      </c>
    </row>
    <row r="113" spans="1:8" x14ac:dyDescent="0.3">
      <c r="A113" s="153" t="s">
        <v>871</v>
      </c>
      <c r="B113" s="153" t="s">
        <v>797</v>
      </c>
      <c r="C113" s="153" t="s">
        <v>872</v>
      </c>
      <c r="D113" s="153">
        <v>1235</v>
      </c>
      <c r="E113" s="153">
        <v>1235</v>
      </c>
      <c r="F113" s="153">
        <f t="shared" si="2"/>
        <v>0</v>
      </c>
      <c r="G113" s="153" t="str">
        <f t="shared" si="3"/>
        <v>OK</v>
      </c>
      <c r="H113" s="153" t="b">
        <v>1</v>
      </c>
    </row>
    <row r="114" spans="1:8" x14ac:dyDescent="0.3">
      <c r="A114" s="153" t="s">
        <v>873</v>
      </c>
      <c r="B114" s="153" t="s">
        <v>797</v>
      </c>
      <c r="C114" s="153" t="s">
        <v>874</v>
      </c>
      <c r="D114" s="153">
        <v>54.599999999999987</v>
      </c>
      <c r="E114" s="153">
        <v>54.599999999999987</v>
      </c>
      <c r="F114" s="153">
        <f t="shared" si="2"/>
        <v>0</v>
      </c>
      <c r="G114" s="153" t="str">
        <f t="shared" si="3"/>
        <v>OK</v>
      </c>
      <c r="H114" s="153" t="b">
        <v>1</v>
      </c>
    </row>
    <row r="115" spans="1:8" x14ac:dyDescent="0.3">
      <c r="A115" s="153" t="s">
        <v>875</v>
      </c>
      <c r="B115" s="153" t="s">
        <v>797</v>
      </c>
      <c r="C115" s="153" t="s">
        <v>876</v>
      </c>
      <c r="D115" s="153">
        <v>78</v>
      </c>
      <c r="E115" s="153">
        <v>78</v>
      </c>
      <c r="F115" s="153">
        <f t="shared" si="2"/>
        <v>0</v>
      </c>
      <c r="G115" s="153" t="str">
        <f t="shared" si="3"/>
        <v>OK</v>
      </c>
      <c r="H115" s="153" t="b">
        <v>1</v>
      </c>
    </row>
    <row r="116" spans="1:8" x14ac:dyDescent="0.3">
      <c r="A116" s="153" t="s">
        <v>877</v>
      </c>
      <c r="B116" s="153" t="s">
        <v>797</v>
      </c>
      <c r="C116" s="153" t="s">
        <v>878</v>
      </c>
      <c r="D116" s="153">
        <v>1014</v>
      </c>
      <c r="E116" s="153">
        <v>1014</v>
      </c>
      <c r="F116" s="153">
        <f t="shared" si="2"/>
        <v>0</v>
      </c>
      <c r="G116" s="153" t="str">
        <f t="shared" si="3"/>
        <v>OK</v>
      </c>
      <c r="H116" s="153" t="b">
        <v>1</v>
      </c>
    </row>
    <row r="117" spans="1:8" x14ac:dyDescent="0.3">
      <c r="A117" s="153" t="s">
        <v>879</v>
      </c>
      <c r="B117" s="153" t="s">
        <v>797</v>
      </c>
      <c r="C117" s="153" t="s">
        <v>880</v>
      </c>
      <c r="D117" s="153">
        <v>385</v>
      </c>
      <c r="E117" s="153">
        <v>385</v>
      </c>
      <c r="F117" s="153">
        <f t="shared" si="2"/>
        <v>0</v>
      </c>
      <c r="G117" s="153" t="str">
        <f t="shared" si="3"/>
        <v>OK</v>
      </c>
      <c r="H117" s="153" t="b">
        <v>1</v>
      </c>
    </row>
    <row r="118" spans="1:8" x14ac:dyDescent="0.3">
      <c r="A118" s="153" t="s">
        <v>881</v>
      </c>
      <c r="B118" s="153" t="s">
        <v>797</v>
      </c>
      <c r="C118" s="153" t="s">
        <v>882</v>
      </c>
      <c r="D118" s="153">
        <v>368</v>
      </c>
      <c r="E118" s="153">
        <v>368</v>
      </c>
      <c r="F118" s="153">
        <f t="shared" si="2"/>
        <v>0</v>
      </c>
      <c r="G118" s="153" t="str">
        <f t="shared" si="3"/>
        <v>OK</v>
      </c>
      <c r="H118" s="153" t="b">
        <v>1</v>
      </c>
    </row>
    <row r="119" spans="1:8" x14ac:dyDescent="0.3">
      <c r="A119" s="153" t="s">
        <v>883</v>
      </c>
      <c r="B119" s="153" t="s">
        <v>797</v>
      </c>
      <c r="C119" s="153" t="s">
        <v>884</v>
      </c>
      <c r="D119" s="153">
        <v>1</v>
      </c>
      <c r="E119" s="153">
        <v>1</v>
      </c>
      <c r="F119" s="153">
        <f t="shared" si="2"/>
        <v>0</v>
      </c>
      <c r="G119" s="153" t="str">
        <f t="shared" si="3"/>
        <v>OK</v>
      </c>
      <c r="H119" s="153" t="b">
        <v>1</v>
      </c>
    </row>
    <row r="120" spans="1:8" x14ac:dyDescent="0.3">
      <c r="A120" s="153" t="s">
        <v>885</v>
      </c>
      <c r="B120" s="153" t="s">
        <v>797</v>
      </c>
      <c r="C120" s="153" t="s">
        <v>886</v>
      </c>
      <c r="D120" s="153">
        <v>167.5</v>
      </c>
      <c r="E120" s="153">
        <v>167.5</v>
      </c>
      <c r="F120" s="153">
        <f t="shared" si="2"/>
        <v>0</v>
      </c>
      <c r="G120" s="153" t="str">
        <f t="shared" si="3"/>
        <v>OK</v>
      </c>
      <c r="H120" s="153" t="b">
        <v>1</v>
      </c>
    </row>
    <row r="121" spans="1:8" x14ac:dyDescent="0.3">
      <c r="A121" s="153" t="s">
        <v>887</v>
      </c>
      <c r="B121" s="153" t="s">
        <v>797</v>
      </c>
      <c r="C121" s="153" t="s">
        <v>888</v>
      </c>
      <c r="D121" s="153">
        <v>385</v>
      </c>
      <c r="E121" s="153">
        <v>385</v>
      </c>
      <c r="F121" s="153">
        <f t="shared" si="2"/>
        <v>0</v>
      </c>
      <c r="G121" s="153" t="str">
        <f t="shared" si="3"/>
        <v>OK</v>
      </c>
      <c r="H121" s="153" t="b">
        <v>1</v>
      </c>
    </row>
    <row r="122" spans="1:8" x14ac:dyDescent="0.3">
      <c r="A122" s="153" t="s">
        <v>889</v>
      </c>
      <c r="B122" s="153" t="s">
        <v>797</v>
      </c>
      <c r="C122" s="153" t="s">
        <v>890</v>
      </c>
      <c r="D122" s="153">
        <v>3115</v>
      </c>
      <c r="E122" s="153">
        <v>3115</v>
      </c>
      <c r="F122" s="153">
        <f t="shared" si="2"/>
        <v>0</v>
      </c>
      <c r="G122" s="153" t="str">
        <f t="shared" si="3"/>
        <v>OK</v>
      </c>
      <c r="H122" s="153" t="b">
        <v>1</v>
      </c>
    </row>
    <row r="123" spans="1:8" x14ac:dyDescent="0.3">
      <c r="A123" s="153" t="s">
        <v>891</v>
      </c>
      <c r="B123" s="153" t="s">
        <v>797</v>
      </c>
      <c r="C123" s="153" t="s">
        <v>892</v>
      </c>
      <c r="D123" s="153">
        <v>155.6</v>
      </c>
      <c r="E123" s="153">
        <v>155.6</v>
      </c>
      <c r="F123" s="153">
        <f t="shared" si="2"/>
        <v>0</v>
      </c>
      <c r="G123" s="153" t="str">
        <f t="shared" si="3"/>
        <v>OK</v>
      </c>
      <c r="H123" s="153" t="b">
        <v>1</v>
      </c>
    </row>
    <row r="124" spans="1:8" x14ac:dyDescent="0.3">
      <c r="A124" s="153" t="s">
        <v>893</v>
      </c>
      <c r="B124" s="153" t="s">
        <v>797</v>
      </c>
      <c r="C124" s="153" t="s">
        <v>894</v>
      </c>
      <c r="D124" s="153">
        <v>368</v>
      </c>
      <c r="E124" s="153">
        <v>368</v>
      </c>
      <c r="F124" s="153">
        <f t="shared" si="2"/>
        <v>0</v>
      </c>
      <c r="G124" s="153" t="str">
        <f t="shared" si="3"/>
        <v>OK</v>
      </c>
      <c r="H124" s="153" t="b">
        <v>1</v>
      </c>
    </row>
    <row r="125" spans="1:8" x14ac:dyDescent="0.3">
      <c r="A125" s="153" t="s">
        <v>895</v>
      </c>
      <c r="B125" s="153" t="s">
        <v>797</v>
      </c>
      <c r="C125" s="153" t="s">
        <v>896</v>
      </c>
      <c r="D125" s="153">
        <v>2894</v>
      </c>
      <c r="E125" s="153">
        <v>2894</v>
      </c>
      <c r="F125" s="153">
        <f t="shared" si="2"/>
        <v>0</v>
      </c>
      <c r="G125" s="153" t="str">
        <f t="shared" si="3"/>
        <v>OK</v>
      </c>
      <c r="H125" s="153" t="b">
        <v>1</v>
      </c>
    </row>
    <row r="126" spans="1:8" x14ac:dyDescent="0.3">
      <c r="A126" s="153" t="s">
        <v>897</v>
      </c>
      <c r="B126" s="153" t="s">
        <v>797</v>
      </c>
      <c r="C126" s="153" t="s">
        <v>898</v>
      </c>
      <c r="D126" s="153">
        <v>0</v>
      </c>
      <c r="E126" s="153">
        <v>0</v>
      </c>
      <c r="F126" s="153">
        <f t="shared" si="2"/>
        <v>0</v>
      </c>
      <c r="G126" s="153" t="str">
        <f t="shared" si="3"/>
        <v>OK</v>
      </c>
      <c r="H126" s="153" t="b">
        <v>1</v>
      </c>
    </row>
    <row r="127" spans="1:8" x14ac:dyDescent="0.3">
      <c r="A127" s="153" t="s">
        <v>899</v>
      </c>
      <c r="B127" s="153" t="s">
        <v>797</v>
      </c>
      <c r="C127" s="153" t="s">
        <v>900</v>
      </c>
      <c r="D127" s="153">
        <v>60</v>
      </c>
      <c r="E127" s="153">
        <v>60</v>
      </c>
      <c r="F127" s="153">
        <f t="shared" si="2"/>
        <v>0</v>
      </c>
      <c r="G127" s="153" t="str">
        <f t="shared" si="3"/>
        <v>OK</v>
      </c>
      <c r="H127" s="153" t="b">
        <v>1</v>
      </c>
    </row>
    <row r="128" spans="1:8" x14ac:dyDescent="0.3">
      <c r="A128" s="153" t="s">
        <v>901</v>
      </c>
      <c r="B128" s="153" t="s">
        <v>797</v>
      </c>
      <c r="C128" s="153" t="s">
        <v>902</v>
      </c>
      <c r="D128" s="153">
        <v>60</v>
      </c>
      <c r="E128" s="153">
        <v>60</v>
      </c>
      <c r="F128" s="153">
        <f t="shared" si="2"/>
        <v>0</v>
      </c>
      <c r="G128" s="153" t="str">
        <f t="shared" si="3"/>
        <v>OK</v>
      </c>
      <c r="H128" s="153" t="b">
        <v>1</v>
      </c>
    </row>
    <row r="129" spans="1:8" x14ac:dyDescent="0.3">
      <c r="A129" s="153" t="s">
        <v>903</v>
      </c>
      <c r="B129" s="153" t="s">
        <v>797</v>
      </c>
      <c r="C129" s="153" t="s">
        <v>904</v>
      </c>
      <c r="D129" s="153">
        <v>0</v>
      </c>
      <c r="E129" s="153">
        <v>0</v>
      </c>
      <c r="F129" s="153">
        <f t="shared" si="2"/>
        <v>0</v>
      </c>
      <c r="G129" s="153" t="str">
        <f t="shared" si="3"/>
        <v>OK</v>
      </c>
      <c r="H129" s="153" t="b">
        <v>1</v>
      </c>
    </row>
    <row r="130" spans="1:8" x14ac:dyDescent="0.3">
      <c r="A130" s="153" t="s">
        <v>905</v>
      </c>
      <c r="B130" s="153" t="s">
        <v>797</v>
      </c>
      <c r="C130" s="153" t="s">
        <v>906</v>
      </c>
      <c r="D130" s="153">
        <v>0</v>
      </c>
      <c r="E130" s="153">
        <v>0</v>
      </c>
      <c r="F130" s="153">
        <f t="shared" ref="F130:F193" si="4">IF(NOT(H130),"",IF(AND(ISNUMBER(D130),ISNUMBER(E130)),E130-D130,IF(D130=E130,0,1)))</f>
        <v>0</v>
      </c>
      <c r="G130" s="153" t="str">
        <f t="shared" ref="G130:G193" si="5">IF(NOT(H130),"PENDIENTE SIDE",IF(IF(AND(ISNUMBER(D130),ISNUMBER(E130)),IF(MOD(D130,1)=0,D130=E130,ABS(D130-E130)&lt;=0.000000001*MAX(1,ABS(D130),ABS(E130))),D130=E130),"OK","DIFERENCIA"))</f>
        <v>OK</v>
      </c>
      <c r="H130" s="153" t="b">
        <v>1</v>
      </c>
    </row>
    <row r="131" spans="1:8" x14ac:dyDescent="0.3">
      <c r="A131" s="153" t="s">
        <v>907</v>
      </c>
      <c r="B131" s="153" t="s">
        <v>797</v>
      </c>
      <c r="C131" s="153" t="s">
        <v>908</v>
      </c>
      <c r="D131" s="153">
        <v>110</v>
      </c>
      <c r="E131" s="153">
        <v>110</v>
      </c>
      <c r="F131" s="153">
        <f t="shared" si="4"/>
        <v>0</v>
      </c>
      <c r="G131" s="153" t="str">
        <f t="shared" si="5"/>
        <v>OK</v>
      </c>
      <c r="H131" s="153" t="b">
        <v>1</v>
      </c>
    </row>
    <row r="132" spans="1:8" x14ac:dyDescent="0.3">
      <c r="A132" s="153" t="s">
        <v>909</v>
      </c>
      <c r="B132" s="153" t="s">
        <v>797</v>
      </c>
      <c r="C132" s="153" t="s">
        <v>910</v>
      </c>
      <c r="D132" s="153">
        <v>107.5</v>
      </c>
      <c r="E132" s="153">
        <v>107.5</v>
      </c>
      <c r="F132" s="153">
        <f t="shared" si="4"/>
        <v>0</v>
      </c>
      <c r="G132" s="153" t="str">
        <f t="shared" si="5"/>
        <v>OK</v>
      </c>
      <c r="H132" s="153" t="b">
        <v>1</v>
      </c>
    </row>
    <row r="133" spans="1:8" x14ac:dyDescent="0.3">
      <c r="A133" s="153" t="s">
        <v>911</v>
      </c>
      <c r="B133" s="153" t="s">
        <v>797</v>
      </c>
      <c r="C133" s="153" t="s">
        <v>912</v>
      </c>
      <c r="D133" s="153">
        <v>2.5</v>
      </c>
      <c r="E133" s="153">
        <v>2.5</v>
      </c>
      <c r="F133" s="153">
        <f t="shared" si="4"/>
        <v>0</v>
      </c>
      <c r="G133" s="153" t="str">
        <f t="shared" si="5"/>
        <v>OK</v>
      </c>
      <c r="H133" s="153" t="b">
        <v>1</v>
      </c>
    </row>
    <row r="134" spans="1:8" x14ac:dyDescent="0.3">
      <c r="A134" s="153" t="s">
        <v>913</v>
      </c>
      <c r="B134" s="153" t="s">
        <v>797</v>
      </c>
      <c r="C134" s="153" t="s">
        <v>695</v>
      </c>
      <c r="D134" s="153">
        <v>0</v>
      </c>
      <c r="E134" s="153">
        <v>0</v>
      </c>
      <c r="F134" s="153">
        <f t="shared" si="4"/>
        <v>0</v>
      </c>
      <c r="G134" s="153" t="str">
        <f t="shared" si="5"/>
        <v>OK</v>
      </c>
      <c r="H134" s="153" t="b">
        <v>1</v>
      </c>
    </row>
    <row r="135" spans="1:8" x14ac:dyDescent="0.3">
      <c r="A135" s="153" t="s">
        <v>914</v>
      </c>
      <c r="B135" s="153" t="s">
        <v>797</v>
      </c>
      <c r="C135" s="153" t="s">
        <v>697</v>
      </c>
      <c r="D135" s="153">
        <v>30</v>
      </c>
      <c r="E135" s="153">
        <v>30</v>
      </c>
      <c r="F135" s="153">
        <f t="shared" si="4"/>
        <v>0</v>
      </c>
      <c r="G135" s="153" t="str">
        <f t="shared" si="5"/>
        <v>OK</v>
      </c>
      <c r="H135" s="153" t="b">
        <v>1</v>
      </c>
    </row>
    <row r="136" spans="1:8" x14ac:dyDescent="0.3">
      <c r="A136" s="153" t="s">
        <v>915</v>
      </c>
      <c r="B136" s="153" t="s">
        <v>797</v>
      </c>
      <c r="C136" s="153" t="s">
        <v>916</v>
      </c>
      <c r="D136" s="153">
        <v>0</v>
      </c>
      <c r="E136" s="153">
        <v>0</v>
      </c>
      <c r="F136" s="153">
        <f t="shared" si="4"/>
        <v>0</v>
      </c>
      <c r="G136" s="153" t="str">
        <f t="shared" si="5"/>
        <v>OK</v>
      </c>
      <c r="H136" s="153" t="b">
        <v>1</v>
      </c>
    </row>
    <row r="137" spans="1:8" x14ac:dyDescent="0.3">
      <c r="A137" s="153" t="s">
        <v>917</v>
      </c>
      <c r="B137" s="153" t="s">
        <v>797</v>
      </c>
      <c r="C137" s="153" t="s">
        <v>699</v>
      </c>
      <c r="D137" s="153">
        <v>30</v>
      </c>
      <c r="E137" s="153">
        <v>30</v>
      </c>
      <c r="F137" s="153">
        <f t="shared" si="4"/>
        <v>0</v>
      </c>
      <c r="G137" s="153" t="str">
        <f t="shared" si="5"/>
        <v>OK</v>
      </c>
      <c r="H137" s="153" t="b">
        <v>1</v>
      </c>
    </row>
    <row r="138" spans="1:8" x14ac:dyDescent="0.3">
      <c r="A138" s="153" t="s">
        <v>918</v>
      </c>
      <c r="B138" s="153" t="s">
        <v>797</v>
      </c>
      <c r="C138" s="153" t="s">
        <v>705</v>
      </c>
      <c r="D138" s="153">
        <v>0</v>
      </c>
      <c r="E138" s="153">
        <v>0</v>
      </c>
      <c r="F138" s="153">
        <f t="shared" si="4"/>
        <v>0</v>
      </c>
      <c r="G138" s="153" t="str">
        <f t="shared" si="5"/>
        <v>OK</v>
      </c>
      <c r="H138" s="153" t="b">
        <v>1</v>
      </c>
    </row>
    <row r="139" spans="1:8" x14ac:dyDescent="0.3">
      <c r="A139" s="153" t="s">
        <v>919</v>
      </c>
      <c r="B139" s="153" t="s">
        <v>797</v>
      </c>
      <c r="C139" s="153" t="s">
        <v>707</v>
      </c>
      <c r="D139" s="153">
        <v>200</v>
      </c>
      <c r="E139" s="153">
        <v>200</v>
      </c>
      <c r="F139" s="153">
        <f t="shared" si="4"/>
        <v>0</v>
      </c>
      <c r="G139" s="153" t="str">
        <f t="shared" si="5"/>
        <v>OK</v>
      </c>
      <c r="H139" s="153" t="b">
        <v>1</v>
      </c>
    </row>
    <row r="140" spans="1:8" x14ac:dyDescent="0.3">
      <c r="A140" s="153" t="s">
        <v>920</v>
      </c>
      <c r="B140" s="153" t="s">
        <v>797</v>
      </c>
      <c r="C140" s="153" t="s">
        <v>921</v>
      </c>
      <c r="D140" s="153">
        <v>200</v>
      </c>
      <c r="E140" s="153">
        <v>200</v>
      </c>
      <c r="F140" s="153">
        <f t="shared" si="4"/>
        <v>0</v>
      </c>
      <c r="G140" s="153" t="str">
        <f t="shared" si="5"/>
        <v>OK</v>
      </c>
      <c r="H140" s="153" t="b">
        <v>1</v>
      </c>
    </row>
    <row r="141" spans="1:8" x14ac:dyDescent="0.3">
      <c r="A141" s="153" t="s">
        <v>922</v>
      </c>
      <c r="B141" s="153" t="s">
        <v>797</v>
      </c>
      <c r="C141" s="153" t="s">
        <v>709</v>
      </c>
      <c r="D141" s="153">
        <v>0</v>
      </c>
      <c r="E141" s="153">
        <v>0</v>
      </c>
      <c r="F141" s="153">
        <f t="shared" si="4"/>
        <v>0</v>
      </c>
      <c r="G141" s="153" t="str">
        <f t="shared" si="5"/>
        <v>OK</v>
      </c>
      <c r="H141" s="153" t="b">
        <v>1</v>
      </c>
    </row>
    <row r="142" spans="1:8" x14ac:dyDescent="0.3">
      <c r="A142" s="153" t="s">
        <v>923</v>
      </c>
      <c r="B142" s="153" t="s">
        <v>797</v>
      </c>
      <c r="C142" s="153" t="s">
        <v>715</v>
      </c>
      <c r="D142" s="153">
        <v>0</v>
      </c>
      <c r="E142" s="153">
        <v>0</v>
      </c>
      <c r="F142" s="153">
        <f t="shared" si="4"/>
        <v>0</v>
      </c>
      <c r="G142" s="153" t="str">
        <f t="shared" si="5"/>
        <v>OK</v>
      </c>
      <c r="H142" s="153" t="b">
        <v>1</v>
      </c>
    </row>
    <row r="143" spans="1:8" x14ac:dyDescent="0.3">
      <c r="A143" s="153" t="s">
        <v>924</v>
      </c>
      <c r="B143" s="153" t="s">
        <v>797</v>
      </c>
      <c r="C143" s="153" t="s">
        <v>717</v>
      </c>
      <c r="D143" s="153">
        <v>190</v>
      </c>
      <c r="E143" s="153">
        <v>190</v>
      </c>
      <c r="F143" s="153">
        <f t="shared" si="4"/>
        <v>0</v>
      </c>
      <c r="G143" s="153" t="str">
        <f t="shared" si="5"/>
        <v>OK</v>
      </c>
      <c r="H143" s="153" t="b">
        <v>1</v>
      </c>
    </row>
    <row r="144" spans="1:8" x14ac:dyDescent="0.3">
      <c r="A144" s="153" t="s">
        <v>925</v>
      </c>
      <c r="B144" s="153" t="s">
        <v>797</v>
      </c>
      <c r="C144" s="153" t="s">
        <v>926</v>
      </c>
      <c r="D144" s="153">
        <v>185</v>
      </c>
      <c r="E144" s="153">
        <v>185</v>
      </c>
      <c r="F144" s="153">
        <f t="shared" si="4"/>
        <v>0</v>
      </c>
      <c r="G144" s="153" t="str">
        <f t="shared" si="5"/>
        <v>OK</v>
      </c>
      <c r="H144" s="153" t="b">
        <v>1</v>
      </c>
    </row>
    <row r="145" spans="1:8" x14ac:dyDescent="0.3">
      <c r="A145" s="153" t="s">
        <v>927</v>
      </c>
      <c r="B145" s="153" t="s">
        <v>797</v>
      </c>
      <c r="C145" s="153" t="s">
        <v>719</v>
      </c>
      <c r="D145" s="153">
        <v>5</v>
      </c>
      <c r="E145" s="153">
        <v>5</v>
      </c>
      <c r="F145" s="153">
        <f t="shared" si="4"/>
        <v>0</v>
      </c>
      <c r="G145" s="153" t="str">
        <f t="shared" si="5"/>
        <v>OK</v>
      </c>
      <c r="H145" s="153" t="b">
        <v>1</v>
      </c>
    </row>
    <row r="146" spans="1:8" x14ac:dyDescent="0.3">
      <c r="A146" s="153" t="s">
        <v>928</v>
      </c>
      <c r="B146" s="153" t="s">
        <v>797</v>
      </c>
      <c r="C146" s="153" t="s">
        <v>929</v>
      </c>
      <c r="D146" s="153">
        <v>0</v>
      </c>
      <c r="E146" s="153">
        <v>0</v>
      </c>
      <c r="F146" s="153">
        <f t="shared" si="4"/>
        <v>0</v>
      </c>
      <c r="G146" s="153" t="str">
        <f t="shared" si="5"/>
        <v>OK</v>
      </c>
      <c r="H146" s="153" t="b">
        <v>1</v>
      </c>
    </row>
    <row r="147" spans="1:8" x14ac:dyDescent="0.3">
      <c r="A147" s="153" t="s">
        <v>930</v>
      </c>
      <c r="B147" s="153" t="s">
        <v>797</v>
      </c>
      <c r="C147" s="153" t="s">
        <v>931</v>
      </c>
      <c r="D147" s="153">
        <v>0</v>
      </c>
      <c r="E147" s="153">
        <v>0</v>
      </c>
      <c r="F147" s="153">
        <f t="shared" si="4"/>
        <v>0</v>
      </c>
      <c r="G147" s="153" t="str">
        <f t="shared" si="5"/>
        <v>OK</v>
      </c>
      <c r="H147" s="153" t="b">
        <v>1</v>
      </c>
    </row>
    <row r="148" spans="1:8" x14ac:dyDescent="0.3">
      <c r="A148" s="153" t="s">
        <v>932</v>
      </c>
      <c r="B148" s="153" t="s">
        <v>797</v>
      </c>
      <c r="C148" s="153" t="s">
        <v>933</v>
      </c>
      <c r="D148" s="153">
        <v>0</v>
      </c>
      <c r="E148" s="153">
        <v>0</v>
      </c>
      <c r="F148" s="153">
        <f t="shared" si="4"/>
        <v>0</v>
      </c>
      <c r="G148" s="153" t="str">
        <f t="shared" si="5"/>
        <v>OK</v>
      </c>
      <c r="H148" s="153" t="b">
        <v>1</v>
      </c>
    </row>
    <row r="149" spans="1:8" x14ac:dyDescent="0.3">
      <c r="A149" s="153" t="s">
        <v>934</v>
      </c>
      <c r="B149" s="153" t="s">
        <v>797</v>
      </c>
      <c r="C149" s="153" t="s">
        <v>935</v>
      </c>
      <c r="D149" s="153">
        <v>0</v>
      </c>
      <c r="E149" s="153">
        <v>0</v>
      </c>
      <c r="F149" s="153">
        <f t="shared" si="4"/>
        <v>0</v>
      </c>
      <c r="G149" s="153" t="str">
        <f t="shared" si="5"/>
        <v>OK</v>
      </c>
      <c r="H149" s="153" t="b">
        <v>1</v>
      </c>
    </row>
    <row r="150" spans="1:8" x14ac:dyDescent="0.3">
      <c r="A150" s="153" t="s">
        <v>936</v>
      </c>
      <c r="B150" s="153" t="s">
        <v>797</v>
      </c>
      <c r="C150" s="153" t="s">
        <v>937</v>
      </c>
      <c r="D150" s="153">
        <v>0</v>
      </c>
      <c r="E150" s="153">
        <v>0</v>
      </c>
      <c r="F150" s="153">
        <f t="shared" si="4"/>
        <v>0</v>
      </c>
      <c r="G150" s="153" t="str">
        <f t="shared" si="5"/>
        <v>OK</v>
      </c>
      <c r="H150" s="153" t="b">
        <v>1</v>
      </c>
    </row>
    <row r="151" spans="1:8" x14ac:dyDescent="0.3">
      <c r="A151" s="153" t="s">
        <v>938</v>
      </c>
      <c r="B151" s="153" t="s">
        <v>797</v>
      </c>
      <c r="C151" s="153" t="s">
        <v>939</v>
      </c>
      <c r="D151" s="153">
        <v>1500</v>
      </c>
      <c r="E151" s="153">
        <v>1500</v>
      </c>
      <c r="F151" s="153">
        <f t="shared" si="4"/>
        <v>0</v>
      </c>
      <c r="G151" s="153" t="str">
        <f t="shared" si="5"/>
        <v>OK</v>
      </c>
      <c r="H151" s="153" t="b">
        <v>1</v>
      </c>
    </row>
    <row r="152" spans="1:8" x14ac:dyDescent="0.3">
      <c r="A152" s="153" t="s">
        <v>940</v>
      </c>
      <c r="B152" s="153" t="s">
        <v>797</v>
      </c>
      <c r="C152" s="153" t="s">
        <v>941</v>
      </c>
      <c r="D152" s="153">
        <v>1500</v>
      </c>
      <c r="E152" s="153">
        <v>1500</v>
      </c>
      <c r="F152" s="153">
        <f t="shared" si="4"/>
        <v>0</v>
      </c>
      <c r="G152" s="153" t="str">
        <f t="shared" si="5"/>
        <v>OK</v>
      </c>
      <c r="H152" s="153" t="b">
        <v>1</v>
      </c>
    </row>
    <row r="153" spans="1:8" x14ac:dyDescent="0.3">
      <c r="A153" s="153" t="s">
        <v>942</v>
      </c>
      <c r="B153" s="153" t="s">
        <v>797</v>
      </c>
      <c r="C153" s="153" t="s">
        <v>943</v>
      </c>
      <c r="D153" s="153">
        <v>0</v>
      </c>
      <c r="E153" s="153">
        <v>0</v>
      </c>
      <c r="F153" s="153">
        <f t="shared" si="4"/>
        <v>0</v>
      </c>
      <c r="G153" s="153" t="str">
        <f t="shared" si="5"/>
        <v>OK</v>
      </c>
      <c r="H153" s="153" t="b">
        <v>1</v>
      </c>
    </row>
    <row r="154" spans="1:8" x14ac:dyDescent="0.3">
      <c r="A154" s="153" t="s">
        <v>944</v>
      </c>
      <c r="B154" s="153" t="s">
        <v>797</v>
      </c>
      <c r="C154" s="153" t="s">
        <v>945</v>
      </c>
      <c r="D154" s="153">
        <v>0</v>
      </c>
      <c r="E154" s="153">
        <v>0</v>
      </c>
      <c r="F154" s="153">
        <f t="shared" si="4"/>
        <v>0</v>
      </c>
      <c r="G154" s="153" t="str">
        <f t="shared" si="5"/>
        <v>OK</v>
      </c>
      <c r="H154" s="153" t="b">
        <v>1</v>
      </c>
    </row>
    <row r="155" spans="1:8" x14ac:dyDescent="0.3">
      <c r="A155" s="153" t="s">
        <v>946</v>
      </c>
      <c r="B155" s="153" t="s">
        <v>797</v>
      </c>
      <c r="C155" s="153" t="s">
        <v>947</v>
      </c>
      <c r="D155" s="153">
        <v>1400</v>
      </c>
      <c r="E155" s="153">
        <v>1400</v>
      </c>
      <c r="F155" s="153">
        <f t="shared" si="4"/>
        <v>0</v>
      </c>
      <c r="G155" s="153" t="str">
        <f t="shared" si="5"/>
        <v>OK</v>
      </c>
      <c r="H155" s="153" t="b">
        <v>1</v>
      </c>
    </row>
    <row r="156" spans="1:8" x14ac:dyDescent="0.3">
      <c r="A156" s="153" t="s">
        <v>948</v>
      </c>
      <c r="B156" s="153" t="s">
        <v>797</v>
      </c>
      <c r="C156" s="153" t="s">
        <v>949</v>
      </c>
      <c r="D156" s="153">
        <v>1400</v>
      </c>
      <c r="E156" s="153">
        <v>1400</v>
      </c>
      <c r="F156" s="153">
        <f t="shared" si="4"/>
        <v>0</v>
      </c>
      <c r="G156" s="153" t="str">
        <f t="shared" si="5"/>
        <v>OK</v>
      </c>
      <c r="H156" s="153" t="b">
        <v>1</v>
      </c>
    </row>
    <row r="157" spans="1:8" x14ac:dyDescent="0.3">
      <c r="A157" s="153" t="s">
        <v>950</v>
      </c>
      <c r="B157" s="153" t="s">
        <v>797</v>
      </c>
      <c r="C157" s="153" t="s">
        <v>951</v>
      </c>
      <c r="D157" s="153">
        <v>0</v>
      </c>
      <c r="E157" s="153">
        <v>0</v>
      </c>
      <c r="F157" s="153">
        <f t="shared" si="4"/>
        <v>0</v>
      </c>
      <c r="G157" s="153" t="str">
        <f t="shared" si="5"/>
        <v>OK</v>
      </c>
      <c r="H157" s="153" t="b">
        <v>1</v>
      </c>
    </row>
    <row r="158" spans="1:8" x14ac:dyDescent="0.3">
      <c r="A158" s="153" t="s">
        <v>952</v>
      </c>
      <c r="B158" s="153" t="s">
        <v>797</v>
      </c>
      <c r="C158" s="153" t="s">
        <v>953</v>
      </c>
      <c r="D158" s="153">
        <v>1690.8</v>
      </c>
      <c r="E158" s="153">
        <v>1690.8</v>
      </c>
      <c r="F158" s="153">
        <f t="shared" si="4"/>
        <v>0</v>
      </c>
      <c r="G158" s="153" t="str">
        <f t="shared" si="5"/>
        <v>OK</v>
      </c>
      <c r="H158" s="153" t="b">
        <v>1</v>
      </c>
    </row>
    <row r="159" spans="1:8" x14ac:dyDescent="0.3">
      <c r="A159" s="153" t="s">
        <v>954</v>
      </c>
      <c r="B159" s="153" t="s">
        <v>797</v>
      </c>
      <c r="C159" s="153" t="s">
        <v>955</v>
      </c>
      <c r="D159" s="153">
        <v>1856.538461538461</v>
      </c>
      <c r="E159" s="153">
        <v>1856.538461538461</v>
      </c>
      <c r="F159" s="153">
        <f t="shared" si="4"/>
        <v>0</v>
      </c>
      <c r="G159" s="153" t="str">
        <f t="shared" si="5"/>
        <v>OK</v>
      </c>
      <c r="H159" s="153" t="b">
        <v>1</v>
      </c>
    </row>
    <row r="160" spans="1:8" x14ac:dyDescent="0.3">
      <c r="A160" s="153" t="s">
        <v>956</v>
      </c>
      <c r="B160" s="153" t="s">
        <v>797</v>
      </c>
      <c r="C160" s="153" t="s">
        <v>957</v>
      </c>
      <c r="D160" s="153">
        <v>1690.8</v>
      </c>
      <c r="E160" s="153">
        <v>1690.8</v>
      </c>
      <c r="F160" s="153">
        <f t="shared" si="4"/>
        <v>0</v>
      </c>
      <c r="G160" s="153" t="str">
        <f t="shared" si="5"/>
        <v>OK</v>
      </c>
      <c r="H160" s="153" t="b">
        <v>1</v>
      </c>
    </row>
    <row r="161" spans="1:8" x14ac:dyDescent="0.3">
      <c r="A161" s="153" t="s">
        <v>958</v>
      </c>
      <c r="B161" s="153" t="s">
        <v>797</v>
      </c>
      <c r="C161" s="153" t="s">
        <v>959</v>
      </c>
      <c r="D161" s="153">
        <v>1856.538461538461</v>
      </c>
      <c r="E161" s="153">
        <v>1856.538461538461</v>
      </c>
      <c r="F161" s="153">
        <f t="shared" si="4"/>
        <v>0</v>
      </c>
      <c r="G161" s="153" t="str">
        <f t="shared" si="5"/>
        <v>OK</v>
      </c>
      <c r="H161" s="153" t="b">
        <v>1</v>
      </c>
    </row>
    <row r="162" spans="1:8" x14ac:dyDescent="0.3">
      <c r="A162" s="153" t="s">
        <v>960</v>
      </c>
      <c r="B162" s="153" t="s">
        <v>797</v>
      </c>
      <c r="C162" s="153" t="s">
        <v>961</v>
      </c>
      <c r="D162" s="153">
        <v>1690.8</v>
      </c>
      <c r="E162" s="153">
        <v>1690.8</v>
      </c>
      <c r="F162" s="153">
        <f t="shared" si="4"/>
        <v>0</v>
      </c>
      <c r="G162" s="153" t="str">
        <f t="shared" si="5"/>
        <v>OK</v>
      </c>
      <c r="H162" s="153" t="b">
        <v>1</v>
      </c>
    </row>
    <row r="163" spans="1:8" x14ac:dyDescent="0.3">
      <c r="A163" s="153" t="s">
        <v>962</v>
      </c>
      <c r="B163" s="153" t="s">
        <v>797</v>
      </c>
      <c r="C163" s="153" t="s">
        <v>963</v>
      </c>
      <c r="D163" s="153">
        <v>1856.538461538461</v>
      </c>
      <c r="E163" s="153">
        <v>1856.538461538461</v>
      </c>
      <c r="F163" s="153">
        <f t="shared" si="4"/>
        <v>0</v>
      </c>
      <c r="G163" s="153" t="str">
        <f t="shared" si="5"/>
        <v>OK</v>
      </c>
      <c r="H163" s="153" t="b">
        <v>1</v>
      </c>
    </row>
    <row r="164" spans="1:8" x14ac:dyDescent="0.3">
      <c r="A164" s="153" t="s">
        <v>964</v>
      </c>
      <c r="B164" s="153" t="s">
        <v>797</v>
      </c>
      <c r="C164" s="153" t="s">
        <v>965</v>
      </c>
      <c r="D164" s="153">
        <v>2254.4</v>
      </c>
      <c r="E164" s="153">
        <v>2254.4</v>
      </c>
      <c r="F164" s="153">
        <f t="shared" si="4"/>
        <v>0</v>
      </c>
      <c r="G164" s="153" t="str">
        <f t="shared" si="5"/>
        <v>OK</v>
      </c>
      <c r="H164" s="153" t="b">
        <v>1</v>
      </c>
    </row>
    <row r="165" spans="1:8" x14ac:dyDescent="0.3">
      <c r="A165" s="153" t="s">
        <v>966</v>
      </c>
      <c r="B165" s="153" t="s">
        <v>797</v>
      </c>
      <c r="C165" s="153" t="s">
        <v>967</v>
      </c>
      <c r="D165" s="153">
        <v>2475.3846153846148</v>
      </c>
      <c r="E165" s="153">
        <v>2475.3846153846148</v>
      </c>
      <c r="F165" s="153">
        <f t="shared" si="4"/>
        <v>0</v>
      </c>
      <c r="G165" s="153" t="str">
        <f t="shared" si="5"/>
        <v>OK</v>
      </c>
      <c r="H165" s="153" t="b">
        <v>1</v>
      </c>
    </row>
    <row r="166" spans="1:8" x14ac:dyDescent="0.3">
      <c r="A166" s="153" t="s">
        <v>968</v>
      </c>
      <c r="B166" s="153" t="s">
        <v>797</v>
      </c>
      <c r="C166" s="153" t="s">
        <v>969</v>
      </c>
      <c r="D166" s="153">
        <v>3104.16</v>
      </c>
      <c r="E166" s="153">
        <v>3104.16</v>
      </c>
      <c r="F166" s="153">
        <f t="shared" si="4"/>
        <v>0</v>
      </c>
      <c r="G166" s="153" t="str">
        <f t="shared" si="5"/>
        <v>OK</v>
      </c>
      <c r="H166" s="153" t="b">
        <v>1</v>
      </c>
    </row>
    <row r="167" spans="1:8" x14ac:dyDescent="0.3">
      <c r="A167" s="153" t="s">
        <v>970</v>
      </c>
      <c r="B167" s="153" t="s">
        <v>797</v>
      </c>
      <c r="C167" s="153" t="s">
        <v>971</v>
      </c>
      <c r="D167" s="153">
        <v>3365.538461538461</v>
      </c>
      <c r="E167" s="153">
        <v>3365.538461538461</v>
      </c>
      <c r="F167" s="153">
        <f t="shared" si="4"/>
        <v>0</v>
      </c>
      <c r="G167" s="153" t="str">
        <f t="shared" si="5"/>
        <v>OK</v>
      </c>
      <c r="H167" s="153" t="b">
        <v>1</v>
      </c>
    </row>
    <row r="168" spans="1:8" x14ac:dyDescent="0.3">
      <c r="A168" s="153" t="s">
        <v>972</v>
      </c>
      <c r="B168" s="153" t="s">
        <v>797</v>
      </c>
      <c r="C168" s="153" t="s">
        <v>973</v>
      </c>
      <c r="D168" s="153">
        <v>3104.16</v>
      </c>
      <c r="E168" s="153">
        <v>3104.16</v>
      </c>
      <c r="F168" s="153">
        <f t="shared" si="4"/>
        <v>0</v>
      </c>
      <c r="G168" s="153" t="str">
        <f t="shared" si="5"/>
        <v>OK</v>
      </c>
      <c r="H168" s="153" t="b">
        <v>1</v>
      </c>
    </row>
    <row r="169" spans="1:8" x14ac:dyDescent="0.3">
      <c r="A169" s="153" t="s">
        <v>974</v>
      </c>
      <c r="B169" s="153" t="s">
        <v>797</v>
      </c>
      <c r="C169" s="153" t="s">
        <v>975</v>
      </c>
      <c r="D169" s="153">
        <v>3365.538461538461</v>
      </c>
      <c r="E169" s="153">
        <v>3365.538461538461</v>
      </c>
      <c r="F169" s="153">
        <f t="shared" si="4"/>
        <v>0</v>
      </c>
      <c r="G169" s="153" t="str">
        <f t="shared" si="5"/>
        <v>OK</v>
      </c>
      <c r="H169" s="153" t="b">
        <v>1</v>
      </c>
    </row>
    <row r="170" spans="1:8" x14ac:dyDescent="0.3">
      <c r="A170" s="153" t="s">
        <v>976</v>
      </c>
      <c r="B170" s="153" t="s">
        <v>797</v>
      </c>
      <c r="C170" s="153" t="s">
        <v>977</v>
      </c>
      <c r="D170" s="153">
        <v>4191.3599999999997</v>
      </c>
      <c r="E170" s="153">
        <v>4191.3599999999997</v>
      </c>
      <c r="F170" s="153">
        <f t="shared" si="4"/>
        <v>0</v>
      </c>
      <c r="G170" s="153" t="str">
        <f t="shared" si="5"/>
        <v>OK</v>
      </c>
      <c r="H170" s="153" t="b">
        <v>1</v>
      </c>
    </row>
    <row r="171" spans="1:8" x14ac:dyDescent="0.3">
      <c r="A171" s="153" t="s">
        <v>978</v>
      </c>
      <c r="B171" s="153" t="s">
        <v>797</v>
      </c>
      <c r="C171" s="153" t="s">
        <v>979</v>
      </c>
      <c r="D171" s="153">
        <v>4526.3076923076924</v>
      </c>
      <c r="E171" s="153">
        <v>4526.3076923076924</v>
      </c>
      <c r="F171" s="153">
        <f t="shared" si="4"/>
        <v>0</v>
      </c>
      <c r="G171" s="153" t="str">
        <f t="shared" si="5"/>
        <v>OK</v>
      </c>
      <c r="H171" s="153" t="b">
        <v>1</v>
      </c>
    </row>
    <row r="172" spans="1:8" x14ac:dyDescent="0.3">
      <c r="A172" s="153" t="s">
        <v>980</v>
      </c>
      <c r="B172" s="153" t="s">
        <v>797</v>
      </c>
      <c r="C172" s="153" t="s">
        <v>981</v>
      </c>
      <c r="D172" s="153">
        <v>4952.3999999999996</v>
      </c>
      <c r="E172" s="153">
        <v>4952.3999999999996</v>
      </c>
      <c r="F172" s="153">
        <f t="shared" si="4"/>
        <v>0</v>
      </c>
      <c r="G172" s="153" t="str">
        <f t="shared" si="5"/>
        <v>OK</v>
      </c>
      <c r="H172" s="153" t="b">
        <v>1</v>
      </c>
    </row>
    <row r="173" spans="1:8" x14ac:dyDescent="0.3">
      <c r="A173" s="153" t="s">
        <v>982</v>
      </c>
      <c r="B173" s="153" t="s">
        <v>797</v>
      </c>
      <c r="C173" s="153" t="s">
        <v>983</v>
      </c>
      <c r="D173" s="153">
        <v>5338.8461538461543</v>
      </c>
      <c r="E173" s="153">
        <v>5338.8461538461543</v>
      </c>
      <c r="F173" s="153">
        <f t="shared" si="4"/>
        <v>0</v>
      </c>
      <c r="G173" s="153" t="str">
        <f t="shared" si="5"/>
        <v>OK</v>
      </c>
      <c r="H173" s="153" t="b">
        <v>1</v>
      </c>
    </row>
    <row r="174" spans="1:8" x14ac:dyDescent="0.3">
      <c r="A174" s="153" t="s">
        <v>984</v>
      </c>
      <c r="B174" s="153" t="s">
        <v>797</v>
      </c>
      <c r="C174" s="153" t="s">
        <v>985</v>
      </c>
      <c r="D174" s="153">
        <v>4952.3999999999996</v>
      </c>
      <c r="E174" s="153">
        <v>4952.3999999999996</v>
      </c>
      <c r="F174" s="153">
        <f t="shared" si="4"/>
        <v>0</v>
      </c>
      <c r="G174" s="153" t="str">
        <f t="shared" si="5"/>
        <v>OK</v>
      </c>
      <c r="H174" s="153" t="b">
        <v>1</v>
      </c>
    </row>
    <row r="175" spans="1:8" x14ac:dyDescent="0.3">
      <c r="A175" s="153" t="s">
        <v>986</v>
      </c>
      <c r="B175" s="153" t="s">
        <v>797</v>
      </c>
      <c r="C175" s="153" t="s">
        <v>987</v>
      </c>
      <c r="D175" s="153">
        <v>5338.8461538461543</v>
      </c>
      <c r="E175" s="153">
        <v>5338.8461538461543</v>
      </c>
      <c r="F175" s="153">
        <f t="shared" si="4"/>
        <v>0</v>
      </c>
      <c r="G175" s="153" t="str">
        <f t="shared" si="5"/>
        <v>OK</v>
      </c>
      <c r="H175" s="153" t="b">
        <v>1</v>
      </c>
    </row>
    <row r="176" spans="1:8" x14ac:dyDescent="0.3">
      <c r="A176" s="153" t="s">
        <v>988</v>
      </c>
      <c r="B176" s="153" t="s">
        <v>797</v>
      </c>
      <c r="C176" s="153" t="s">
        <v>989</v>
      </c>
      <c r="D176" s="153">
        <v>41520</v>
      </c>
      <c r="E176" s="153">
        <v>41520</v>
      </c>
      <c r="F176" s="153">
        <f t="shared" si="4"/>
        <v>0</v>
      </c>
      <c r="G176" s="153" t="str">
        <f t="shared" si="5"/>
        <v>OK</v>
      </c>
      <c r="H176" s="153" t="b">
        <v>1</v>
      </c>
    </row>
    <row r="177" spans="1:8" x14ac:dyDescent="0.3">
      <c r="A177" s="153" t="s">
        <v>990</v>
      </c>
      <c r="B177" s="153" t="s">
        <v>797</v>
      </c>
      <c r="C177" s="153" t="s">
        <v>991</v>
      </c>
      <c r="D177" s="153">
        <v>46770</v>
      </c>
      <c r="E177" s="153">
        <v>46770</v>
      </c>
      <c r="F177" s="153">
        <f t="shared" si="4"/>
        <v>0</v>
      </c>
      <c r="G177" s="153" t="str">
        <f t="shared" si="5"/>
        <v>OK</v>
      </c>
      <c r="H177" s="153" t="b">
        <v>1</v>
      </c>
    </row>
    <row r="178" spans="1:8" x14ac:dyDescent="0.3">
      <c r="A178" s="153" t="s">
        <v>992</v>
      </c>
      <c r="B178" s="153" t="s">
        <v>797</v>
      </c>
      <c r="C178" s="153" t="s">
        <v>993</v>
      </c>
      <c r="D178" s="153">
        <v>8904</v>
      </c>
      <c r="E178" s="153">
        <v>8904</v>
      </c>
      <c r="F178" s="153">
        <f t="shared" si="4"/>
        <v>0</v>
      </c>
      <c r="G178" s="153" t="str">
        <f t="shared" si="5"/>
        <v>OK</v>
      </c>
      <c r="H178" s="153" t="b">
        <v>1</v>
      </c>
    </row>
    <row r="179" spans="1:8" x14ac:dyDescent="0.3">
      <c r="A179" s="153" t="s">
        <v>994</v>
      </c>
      <c r="B179" s="153" t="s">
        <v>797</v>
      </c>
      <c r="C179" s="153" t="s">
        <v>995</v>
      </c>
      <c r="D179" s="153">
        <v>10554</v>
      </c>
      <c r="E179" s="153">
        <v>10554</v>
      </c>
      <c r="F179" s="153">
        <f t="shared" si="4"/>
        <v>0</v>
      </c>
      <c r="G179" s="153" t="str">
        <f t="shared" si="5"/>
        <v>OK</v>
      </c>
      <c r="H179" s="153" t="b">
        <v>1</v>
      </c>
    </row>
    <row r="180" spans="1:8" x14ac:dyDescent="0.3">
      <c r="A180" s="153" t="s">
        <v>996</v>
      </c>
      <c r="B180" s="153" t="s">
        <v>797</v>
      </c>
      <c r="C180" s="153" t="s">
        <v>997</v>
      </c>
      <c r="D180" s="153">
        <v>2512.5</v>
      </c>
      <c r="E180" s="153">
        <v>2512.5</v>
      </c>
      <c r="F180" s="153">
        <f t="shared" si="4"/>
        <v>0</v>
      </c>
      <c r="G180" s="153" t="str">
        <f t="shared" si="5"/>
        <v>OK</v>
      </c>
      <c r="H180" s="153" t="b">
        <v>1</v>
      </c>
    </row>
    <row r="181" spans="1:8" x14ac:dyDescent="0.3">
      <c r="A181" s="153" t="s">
        <v>998</v>
      </c>
      <c r="B181" s="153" t="s">
        <v>797</v>
      </c>
      <c r="C181" s="153" t="s">
        <v>999</v>
      </c>
      <c r="D181" s="153">
        <v>2675</v>
      </c>
      <c r="E181" s="153">
        <v>2675</v>
      </c>
      <c r="F181" s="153">
        <f t="shared" si="4"/>
        <v>0</v>
      </c>
      <c r="G181" s="153" t="str">
        <f t="shared" si="5"/>
        <v>OK</v>
      </c>
      <c r="H181" s="153" t="b">
        <v>1</v>
      </c>
    </row>
    <row r="182" spans="1:8" x14ac:dyDescent="0.3">
      <c r="A182" s="153" t="s">
        <v>1000</v>
      </c>
      <c r="B182" s="153" t="s">
        <v>797</v>
      </c>
      <c r="C182" s="153" t="s">
        <v>1001</v>
      </c>
      <c r="D182" s="153">
        <v>3517.5</v>
      </c>
      <c r="E182" s="153">
        <v>3517.5</v>
      </c>
      <c r="F182" s="153">
        <f t="shared" si="4"/>
        <v>0</v>
      </c>
      <c r="G182" s="153" t="str">
        <f t="shared" si="5"/>
        <v>OK</v>
      </c>
      <c r="H182" s="153" t="b">
        <v>1</v>
      </c>
    </row>
    <row r="183" spans="1:8" x14ac:dyDescent="0.3">
      <c r="A183" s="153" t="s">
        <v>1002</v>
      </c>
      <c r="B183" s="153" t="s">
        <v>797</v>
      </c>
      <c r="C183" s="153" t="s">
        <v>1003</v>
      </c>
      <c r="D183" s="153">
        <v>3745</v>
      </c>
      <c r="E183" s="153">
        <v>3745</v>
      </c>
      <c r="F183" s="153">
        <f t="shared" si="4"/>
        <v>0</v>
      </c>
      <c r="G183" s="153" t="str">
        <f t="shared" si="5"/>
        <v>OK</v>
      </c>
      <c r="H183" s="153" t="b">
        <v>1</v>
      </c>
    </row>
    <row r="184" spans="1:8" x14ac:dyDescent="0.3">
      <c r="A184" s="153" t="s">
        <v>1004</v>
      </c>
      <c r="B184" s="153" t="s">
        <v>797</v>
      </c>
      <c r="C184" s="153" t="s">
        <v>1005</v>
      </c>
      <c r="D184" s="153">
        <v>1177.5</v>
      </c>
      <c r="E184" s="153">
        <v>1177.5</v>
      </c>
      <c r="F184" s="153">
        <f t="shared" si="4"/>
        <v>0</v>
      </c>
      <c r="G184" s="153" t="str">
        <f t="shared" si="5"/>
        <v>OK</v>
      </c>
      <c r="H184" s="153" t="b">
        <v>1</v>
      </c>
    </row>
    <row r="185" spans="1:8" x14ac:dyDescent="0.3">
      <c r="A185" s="153" t="s">
        <v>1006</v>
      </c>
      <c r="B185" s="153" t="s">
        <v>797</v>
      </c>
      <c r="C185" s="153" t="s">
        <v>1007</v>
      </c>
      <c r="D185" s="153">
        <v>1257</v>
      </c>
      <c r="E185" s="153">
        <v>1257</v>
      </c>
      <c r="F185" s="153">
        <f t="shared" si="4"/>
        <v>0</v>
      </c>
      <c r="G185" s="153" t="str">
        <f t="shared" si="5"/>
        <v>OK</v>
      </c>
      <c r="H185" s="153" t="b">
        <v>1</v>
      </c>
    </row>
    <row r="186" spans="1:8" x14ac:dyDescent="0.3">
      <c r="A186" s="153" t="s">
        <v>1008</v>
      </c>
      <c r="B186" s="153" t="s">
        <v>797</v>
      </c>
      <c r="C186" s="153" t="s">
        <v>1009</v>
      </c>
      <c r="D186" s="153">
        <v>261</v>
      </c>
      <c r="E186" s="153">
        <v>261</v>
      </c>
      <c r="F186" s="153">
        <f t="shared" si="4"/>
        <v>0</v>
      </c>
      <c r="G186" s="153" t="str">
        <f t="shared" si="5"/>
        <v>OK</v>
      </c>
      <c r="H186" s="153" t="b">
        <v>1</v>
      </c>
    </row>
    <row r="187" spans="1:8" x14ac:dyDescent="0.3">
      <c r="A187" s="153" t="s">
        <v>1010</v>
      </c>
      <c r="B187" s="153" t="s">
        <v>797</v>
      </c>
      <c r="C187" s="153" t="s">
        <v>1011</v>
      </c>
      <c r="D187" s="153">
        <v>276</v>
      </c>
      <c r="E187" s="153">
        <v>276</v>
      </c>
      <c r="F187" s="153">
        <f t="shared" si="4"/>
        <v>0</v>
      </c>
      <c r="G187" s="153" t="str">
        <f t="shared" si="5"/>
        <v>OK</v>
      </c>
      <c r="H187" s="153" t="b">
        <v>1</v>
      </c>
    </row>
    <row r="188" spans="1:8" x14ac:dyDescent="0.3">
      <c r="A188" s="153" t="s">
        <v>1012</v>
      </c>
      <c r="B188" s="153" t="s">
        <v>797</v>
      </c>
      <c r="C188" s="153" t="s">
        <v>1013</v>
      </c>
      <c r="D188" s="153">
        <v>-712.5</v>
      </c>
      <c r="E188" s="153">
        <v>-712.5</v>
      </c>
      <c r="F188" s="153">
        <f t="shared" si="4"/>
        <v>0</v>
      </c>
      <c r="G188" s="153" t="str">
        <f t="shared" si="5"/>
        <v>OK</v>
      </c>
      <c r="H188" s="153" t="b">
        <v>1</v>
      </c>
    </row>
    <row r="189" spans="1:8" x14ac:dyDescent="0.3">
      <c r="A189" s="153" t="s">
        <v>1014</v>
      </c>
      <c r="B189" s="153" t="s">
        <v>797</v>
      </c>
      <c r="C189" s="153" t="s">
        <v>1015</v>
      </c>
      <c r="D189" s="153">
        <v>-675</v>
      </c>
      <c r="E189" s="153">
        <v>-675</v>
      </c>
      <c r="F189" s="153">
        <f t="shared" si="4"/>
        <v>0</v>
      </c>
      <c r="G189" s="153" t="str">
        <f t="shared" si="5"/>
        <v>OK</v>
      </c>
      <c r="H189" s="153" t="b">
        <v>1</v>
      </c>
    </row>
    <row r="190" spans="1:8" x14ac:dyDescent="0.3">
      <c r="A190" s="153" t="s">
        <v>1016</v>
      </c>
      <c r="B190" s="153" t="s">
        <v>797</v>
      </c>
      <c r="C190" s="153" t="s">
        <v>1017</v>
      </c>
      <c r="D190" s="153">
        <v>-534.375</v>
      </c>
      <c r="E190" s="153">
        <v>-534.375</v>
      </c>
      <c r="F190" s="153">
        <f t="shared" si="4"/>
        <v>0</v>
      </c>
      <c r="G190" s="153" t="str">
        <f t="shared" si="5"/>
        <v>OK</v>
      </c>
      <c r="H190" s="153" t="b">
        <v>1</v>
      </c>
    </row>
    <row r="191" spans="1:8" x14ac:dyDescent="0.3">
      <c r="A191" s="153" t="s">
        <v>1018</v>
      </c>
      <c r="B191" s="153" t="s">
        <v>797</v>
      </c>
      <c r="C191" s="153" t="s">
        <v>1019</v>
      </c>
      <c r="D191" s="153">
        <v>-506.25</v>
      </c>
      <c r="E191" s="153">
        <v>-506.25</v>
      </c>
      <c r="F191" s="153">
        <f t="shared" si="4"/>
        <v>0</v>
      </c>
      <c r="G191" s="153" t="str">
        <f t="shared" si="5"/>
        <v>OK</v>
      </c>
      <c r="H191" s="153" t="b">
        <v>1</v>
      </c>
    </row>
    <row r="192" spans="1:8" x14ac:dyDescent="0.3">
      <c r="A192" s="153" t="s">
        <v>1020</v>
      </c>
      <c r="B192" s="153" t="s">
        <v>797</v>
      </c>
      <c r="C192" s="153" t="s">
        <v>1021</v>
      </c>
      <c r="D192" s="153">
        <v>7537.5</v>
      </c>
      <c r="E192" s="153">
        <v>7537.5</v>
      </c>
      <c r="F192" s="153">
        <f t="shared" si="4"/>
        <v>0</v>
      </c>
      <c r="G192" s="153" t="str">
        <f t="shared" si="5"/>
        <v>OK</v>
      </c>
      <c r="H192" s="153" t="b">
        <v>1</v>
      </c>
    </row>
    <row r="193" spans="1:8" x14ac:dyDescent="0.3">
      <c r="A193" s="153" t="s">
        <v>1022</v>
      </c>
      <c r="B193" s="153" t="s">
        <v>797</v>
      </c>
      <c r="C193" s="153" t="s">
        <v>1023</v>
      </c>
      <c r="D193" s="153">
        <v>8025</v>
      </c>
      <c r="E193" s="153">
        <v>8025</v>
      </c>
      <c r="F193" s="153">
        <f t="shared" si="4"/>
        <v>0</v>
      </c>
      <c r="G193" s="153" t="str">
        <f t="shared" si="5"/>
        <v>OK</v>
      </c>
      <c r="H193" s="153" t="b">
        <v>1</v>
      </c>
    </row>
    <row r="194" spans="1:8" x14ac:dyDescent="0.3">
      <c r="A194" s="153" t="s">
        <v>1024</v>
      </c>
      <c r="B194" s="153" t="s">
        <v>797</v>
      </c>
      <c r="C194" s="153" t="s">
        <v>1025</v>
      </c>
      <c r="D194" s="153">
        <v>4415.625</v>
      </c>
      <c r="E194" s="153">
        <v>4415.625</v>
      </c>
      <c r="F194" s="153">
        <f t="shared" ref="F194:F257" si="6">IF(NOT(H194),"",IF(AND(ISNUMBER(D194),ISNUMBER(E194)),E194-D194,IF(D194=E194,0,1)))</f>
        <v>0</v>
      </c>
      <c r="G194" s="153" t="str">
        <f t="shared" ref="G194:G257" si="7">IF(NOT(H194),"PENDIENTE SIDE",IF(IF(AND(ISNUMBER(D194),ISNUMBER(E194)),IF(MOD(D194,1)=0,D194=E194,ABS(D194-E194)&lt;=0.000000001*MAX(1,ABS(D194),ABS(E194))),D194=E194),"OK","DIFERENCIA"))</f>
        <v>OK</v>
      </c>
      <c r="H194" s="153" t="b">
        <v>1</v>
      </c>
    </row>
    <row r="195" spans="1:8" x14ac:dyDescent="0.3">
      <c r="A195" s="153" t="s">
        <v>1026</v>
      </c>
      <c r="B195" s="153" t="s">
        <v>797</v>
      </c>
      <c r="C195" s="153" t="s">
        <v>1027</v>
      </c>
      <c r="D195" s="153">
        <v>4713.75</v>
      </c>
      <c r="E195" s="153">
        <v>4713.75</v>
      </c>
      <c r="F195" s="153">
        <f t="shared" si="6"/>
        <v>0</v>
      </c>
      <c r="G195" s="153" t="str">
        <f t="shared" si="7"/>
        <v>OK</v>
      </c>
      <c r="H195" s="153" t="b">
        <v>1</v>
      </c>
    </row>
    <row r="196" spans="1:8" x14ac:dyDescent="0.3">
      <c r="A196" s="153" t="s">
        <v>1028</v>
      </c>
      <c r="B196" s="153" t="s">
        <v>797</v>
      </c>
      <c r="C196" s="153" t="s">
        <v>1029</v>
      </c>
      <c r="D196" s="153">
        <v>1044</v>
      </c>
      <c r="E196" s="153">
        <v>1044</v>
      </c>
      <c r="F196" s="153">
        <f t="shared" si="6"/>
        <v>0</v>
      </c>
      <c r="G196" s="153" t="str">
        <f t="shared" si="7"/>
        <v>OK</v>
      </c>
      <c r="H196" s="153" t="b">
        <v>1</v>
      </c>
    </row>
    <row r="197" spans="1:8" x14ac:dyDescent="0.3">
      <c r="A197" s="153" t="s">
        <v>1030</v>
      </c>
      <c r="B197" s="153" t="s">
        <v>797</v>
      </c>
      <c r="C197" s="153" t="s">
        <v>1031</v>
      </c>
      <c r="D197" s="153">
        <v>1104</v>
      </c>
      <c r="E197" s="153">
        <v>1104</v>
      </c>
      <c r="F197" s="153">
        <f t="shared" si="6"/>
        <v>0</v>
      </c>
      <c r="G197" s="153" t="str">
        <f t="shared" si="7"/>
        <v>OK</v>
      </c>
      <c r="H197" s="153" t="b">
        <v>1</v>
      </c>
    </row>
    <row r="198" spans="1:8" x14ac:dyDescent="0.3">
      <c r="A198" s="153" t="s">
        <v>1032</v>
      </c>
      <c r="B198" s="153" t="s">
        <v>797</v>
      </c>
      <c r="C198" s="153" t="s">
        <v>1033</v>
      </c>
      <c r="D198" s="153">
        <v>750</v>
      </c>
      <c r="E198" s="153">
        <v>750</v>
      </c>
      <c r="F198" s="153">
        <f t="shared" si="6"/>
        <v>0</v>
      </c>
      <c r="G198" s="153" t="str">
        <f t="shared" si="7"/>
        <v>OK</v>
      </c>
      <c r="H198" s="153" t="b">
        <v>1</v>
      </c>
    </row>
    <row r="199" spans="1:8" x14ac:dyDescent="0.3">
      <c r="A199" s="153" t="s">
        <v>1034</v>
      </c>
      <c r="B199" s="153" t="s">
        <v>797</v>
      </c>
      <c r="C199" s="153" t="s">
        <v>1035</v>
      </c>
      <c r="D199" s="153">
        <v>1200</v>
      </c>
      <c r="E199" s="153">
        <v>1200</v>
      </c>
      <c r="F199" s="153">
        <f t="shared" si="6"/>
        <v>0</v>
      </c>
      <c r="G199" s="153" t="str">
        <f t="shared" si="7"/>
        <v>OK</v>
      </c>
      <c r="H199" s="153" t="b">
        <v>1</v>
      </c>
    </row>
    <row r="200" spans="1:8" x14ac:dyDescent="0.3">
      <c r="A200" s="153" t="s">
        <v>1036</v>
      </c>
      <c r="B200" s="153" t="s">
        <v>797</v>
      </c>
      <c r="C200" s="153" t="s">
        <v>1037</v>
      </c>
      <c r="D200" s="153">
        <v>475</v>
      </c>
      <c r="E200" s="153">
        <v>475</v>
      </c>
      <c r="F200" s="153">
        <f t="shared" si="6"/>
        <v>0</v>
      </c>
      <c r="G200" s="153" t="str">
        <f t="shared" si="7"/>
        <v>OK</v>
      </c>
      <c r="H200" s="153" t="b">
        <v>1</v>
      </c>
    </row>
    <row r="201" spans="1:8" x14ac:dyDescent="0.3">
      <c r="A201" s="153" t="s">
        <v>1038</v>
      </c>
      <c r="B201" s="153" t="s">
        <v>797</v>
      </c>
      <c r="C201" s="153" t="s">
        <v>1039</v>
      </c>
      <c r="D201" s="153">
        <v>760</v>
      </c>
      <c r="E201" s="153">
        <v>760</v>
      </c>
      <c r="F201" s="153">
        <f t="shared" si="6"/>
        <v>0</v>
      </c>
      <c r="G201" s="153" t="str">
        <f t="shared" si="7"/>
        <v>OK</v>
      </c>
      <c r="H201" s="153" t="b">
        <v>1</v>
      </c>
    </row>
    <row r="202" spans="1:8" x14ac:dyDescent="0.3">
      <c r="A202" s="153" t="s">
        <v>1040</v>
      </c>
      <c r="B202" s="153" t="s">
        <v>797</v>
      </c>
      <c r="C202" s="153" t="s">
        <v>1041</v>
      </c>
      <c r="D202" s="153">
        <v>15075</v>
      </c>
      <c r="E202" s="153">
        <v>15075</v>
      </c>
      <c r="F202" s="153">
        <f t="shared" si="6"/>
        <v>0</v>
      </c>
      <c r="G202" s="153" t="str">
        <f t="shared" si="7"/>
        <v>OK</v>
      </c>
      <c r="H202" s="153" t="b">
        <v>1</v>
      </c>
    </row>
    <row r="203" spans="1:8" x14ac:dyDescent="0.3">
      <c r="A203" s="153" t="s">
        <v>1042</v>
      </c>
      <c r="B203" s="153" t="s">
        <v>797</v>
      </c>
      <c r="C203" s="153" t="s">
        <v>1043</v>
      </c>
      <c r="D203" s="153">
        <v>16050</v>
      </c>
      <c r="E203" s="153">
        <v>16050</v>
      </c>
      <c r="F203" s="153">
        <f t="shared" si="6"/>
        <v>0</v>
      </c>
      <c r="G203" s="153" t="str">
        <f t="shared" si="7"/>
        <v>OK</v>
      </c>
      <c r="H203" s="153" t="b">
        <v>1</v>
      </c>
    </row>
    <row r="204" spans="1:8" x14ac:dyDescent="0.3">
      <c r="A204" s="153" t="s">
        <v>1044</v>
      </c>
      <c r="B204" s="153" t="s">
        <v>797</v>
      </c>
      <c r="C204" s="153" t="s">
        <v>1045</v>
      </c>
      <c r="D204" s="153">
        <v>9321.875</v>
      </c>
      <c r="E204" s="153">
        <v>9321.875</v>
      </c>
      <c r="F204" s="153">
        <f t="shared" si="6"/>
        <v>0</v>
      </c>
      <c r="G204" s="153" t="str">
        <f t="shared" si="7"/>
        <v>OK</v>
      </c>
      <c r="H204" s="153" t="b">
        <v>1</v>
      </c>
    </row>
    <row r="205" spans="1:8" x14ac:dyDescent="0.3">
      <c r="A205" s="153" t="s">
        <v>1046</v>
      </c>
      <c r="B205" s="153" t="s">
        <v>797</v>
      </c>
      <c r="C205" s="153" t="s">
        <v>1047</v>
      </c>
      <c r="D205" s="153">
        <v>9951.25</v>
      </c>
      <c r="E205" s="153">
        <v>9951.25</v>
      </c>
      <c r="F205" s="153">
        <f t="shared" si="6"/>
        <v>0</v>
      </c>
      <c r="G205" s="153" t="str">
        <f t="shared" si="7"/>
        <v>OK</v>
      </c>
      <c r="H205" s="153" t="b">
        <v>1</v>
      </c>
    </row>
    <row r="206" spans="1:8" x14ac:dyDescent="0.3">
      <c r="A206" s="153" t="s">
        <v>1048</v>
      </c>
      <c r="B206" s="153" t="s">
        <v>797</v>
      </c>
      <c r="C206" s="153" t="s">
        <v>1049</v>
      </c>
      <c r="D206" s="153">
        <v>3045</v>
      </c>
      <c r="E206" s="153">
        <v>3045</v>
      </c>
      <c r="F206" s="153">
        <f t="shared" si="6"/>
        <v>0</v>
      </c>
      <c r="G206" s="153" t="str">
        <f t="shared" si="7"/>
        <v>OK</v>
      </c>
      <c r="H206" s="153" t="b">
        <v>1</v>
      </c>
    </row>
    <row r="207" spans="1:8" x14ac:dyDescent="0.3">
      <c r="A207" s="153" t="s">
        <v>1050</v>
      </c>
      <c r="B207" s="153" t="s">
        <v>797</v>
      </c>
      <c r="C207" s="153" t="s">
        <v>1051</v>
      </c>
      <c r="D207" s="153">
        <v>3220</v>
      </c>
      <c r="E207" s="153">
        <v>3220</v>
      </c>
      <c r="F207" s="153">
        <f t="shared" si="6"/>
        <v>0</v>
      </c>
      <c r="G207" s="153" t="str">
        <f t="shared" si="7"/>
        <v>OK</v>
      </c>
      <c r="H207" s="153" t="b">
        <v>1</v>
      </c>
    </row>
    <row r="208" spans="1:8" x14ac:dyDescent="0.3">
      <c r="A208" s="153" t="s">
        <v>1052</v>
      </c>
      <c r="B208" s="153" t="s">
        <v>1053</v>
      </c>
      <c r="C208" s="153" t="s">
        <v>1054</v>
      </c>
      <c r="D208" s="153">
        <v>96</v>
      </c>
      <c r="E208" s="153">
        <v>96</v>
      </c>
      <c r="F208" s="153">
        <f t="shared" si="6"/>
        <v>0</v>
      </c>
      <c r="G208" s="153" t="str">
        <f t="shared" si="7"/>
        <v>OK</v>
      </c>
      <c r="H208" s="153" t="b">
        <v>1</v>
      </c>
    </row>
    <row r="209" spans="1:8" x14ac:dyDescent="0.3">
      <c r="A209" s="153" t="s">
        <v>1055</v>
      </c>
      <c r="B209" s="153" t="s">
        <v>1053</v>
      </c>
      <c r="C209" s="153" t="s">
        <v>1056</v>
      </c>
      <c r="D209" s="153">
        <v>12</v>
      </c>
      <c r="E209" s="153">
        <v>12</v>
      </c>
      <c r="F209" s="153">
        <f t="shared" si="6"/>
        <v>0</v>
      </c>
      <c r="G209" s="153" t="str">
        <f t="shared" si="7"/>
        <v>OK</v>
      </c>
      <c r="H209" s="153" t="b">
        <v>1</v>
      </c>
    </row>
    <row r="210" spans="1:8" x14ac:dyDescent="0.3">
      <c r="A210" s="153" t="s">
        <v>1057</v>
      </c>
      <c r="B210" s="153" t="s">
        <v>1053</v>
      </c>
      <c r="C210" s="153" t="s">
        <v>1058</v>
      </c>
      <c r="D210" s="153">
        <v>7</v>
      </c>
      <c r="E210" s="153">
        <v>7</v>
      </c>
      <c r="F210" s="153">
        <f t="shared" si="6"/>
        <v>0</v>
      </c>
      <c r="G210" s="153" t="str">
        <f t="shared" si="7"/>
        <v>OK</v>
      </c>
      <c r="H210" s="153" t="b">
        <v>1</v>
      </c>
    </row>
    <row r="211" spans="1:8" x14ac:dyDescent="0.3">
      <c r="A211" s="153" t="s">
        <v>1059</v>
      </c>
      <c r="B211" s="153" t="s">
        <v>1053</v>
      </c>
      <c r="C211" s="153" t="s">
        <v>1060</v>
      </c>
      <c r="D211" s="153" t="s">
        <v>1061</v>
      </c>
      <c r="E211" s="153" t="s">
        <v>1061</v>
      </c>
      <c r="F211" s="153">
        <f t="shared" si="6"/>
        <v>0</v>
      </c>
      <c r="G211" s="153" t="str">
        <f t="shared" si="7"/>
        <v>OK</v>
      </c>
      <c r="H211" s="153" t="b">
        <v>1</v>
      </c>
    </row>
    <row r="212" spans="1:8" x14ac:dyDescent="0.3">
      <c r="A212" s="153" t="s">
        <v>1062</v>
      </c>
      <c r="B212" s="153" t="s">
        <v>1053</v>
      </c>
      <c r="C212" s="153" t="s">
        <v>1063</v>
      </c>
      <c r="D212" s="153" t="s">
        <v>1064</v>
      </c>
      <c r="E212" s="153" t="s">
        <v>1064</v>
      </c>
      <c r="F212" s="153">
        <f t="shared" si="6"/>
        <v>0</v>
      </c>
      <c r="G212" s="153" t="str">
        <f t="shared" si="7"/>
        <v>OK</v>
      </c>
      <c r="H212" s="153" t="b">
        <v>1</v>
      </c>
    </row>
    <row r="213" spans="1:8" x14ac:dyDescent="0.3">
      <c r="A213" s="153" t="s">
        <v>1065</v>
      </c>
      <c r="B213" s="153" t="s">
        <v>1053</v>
      </c>
      <c r="C213" s="153" t="s">
        <v>1066</v>
      </c>
      <c r="D213" s="153">
        <v>51</v>
      </c>
      <c r="E213" s="153">
        <v>51</v>
      </c>
      <c r="F213" s="153">
        <f t="shared" si="6"/>
        <v>0</v>
      </c>
      <c r="G213" s="153" t="str">
        <f t="shared" si="7"/>
        <v>OK</v>
      </c>
      <c r="H213" s="153" t="b">
        <v>1</v>
      </c>
    </row>
    <row r="214" spans="1:8" x14ac:dyDescent="0.3">
      <c r="A214" s="153" t="s">
        <v>1067</v>
      </c>
      <c r="B214" s="153" t="s">
        <v>1053</v>
      </c>
      <c r="C214" s="153" t="s">
        <v>1068</v>
      </c>
      <c r="D214" s="153">
        <v>5</v>
      </c>
      <c r="E214" s="153">
        <v>5</v>
      </c>
      <c r="F214" s="153">
        <f t="shared" si="6"/>
        <v>0</v>
      </c>
      <c r="G214" s="153" t="str">
        <f t="shared" si="7"/>
        <v>OK</v>
      </c>
      <c r="H214" s="153" t="b">
        <v>1</v>
      </c>
    </row>
    <row r="215" spans="1:8" x14ac:dyDescent="0.3">
      <c r="A215" s="153" t="s">
        <v>1069</v>
      </c>
      <c r="B215" s="153" t="s">
        <v>1053</v>
      </c>
      <c r="C215" s="153" t="s">
        <v>1070</v>
      </c>
      <c r="D215" s="153">
        <v>4</v>
      </c>
      <c r="E215" s="153">
        <v>4</v>
      </c>
      <c r="F215" s="153">
        <f t="shared" si="6"/>
        <v>0</v>
      </c>
      <c r="G215" s="153" t="str">
        <f t="shared" si="7"/>
        <v>OK</v>
      </c>
      <c r="H215" s="153" t="b">
        <v>1</v>
      </c>
    </row>
    <row r="216" spans="1:8" x14ac:dyDescent="0.3">
      <c r="A216" s="153" t="s">
        <v>1071</v>
      </c>
      <c r="B216" s="153" t="s">
        <v>1053</v>
      </c>
      <c r="C216" s="153" t="s">
        <v>1072</v>
      </c>
      <c r="D216" s="153" t="s">
        <v>1061</v>
      </c>
      <c r="E216" s="153" t="s">
        <v>1061</v>
      </c>
      <c r="F216" s="153">
        <f t="shared" si="6"/>
        <v>0</v>
      </c>
      <c r="G216" s="153" t="str">
        <f t="shared" si="7"/>
        <v>OK</v>
      </c>
      <c r="H216" s="153" t="b">
        <v>1</v>
      </c>
    </row>
    <row r="217" spans="1:8" x14ac:dyDescent="0.3">
      <c r="A217" s="153" t="s">
        <v>1073</v>
      </c>
      <c r="B217" s="153" t="s">
        <v>1053</v>
      </c>
      <c r="C217" s="153" t="s">
        <v>1074</v>
      </c>
      <c r="D217" s="153" t="s">
        <v>1064</v>
      </c>
      <c r="E217" s="153" t="s">
        <v>1064</v>
      </c>
      <c r="F217" s="153">
        <f t="shared" si="6"/>
        <v>0</v>
      </c>
      <c r="G217" s="153" t="str">
        <f t="shared" si="7"/>
        <v>OK</v>
      </c>
      <c r="H217" s="153" t="b">
        <v>1</v>
      </c>
    </row>
    <row r="218" spans="1:8" x14ac:dyDescent="0.3">
      <c r="A218" s="153" t="s">
        <v>1075</v>
      </c>
      <c r="B218" s="153" t="s">
        <v>1053</v>
      </c>
      <c r="C218" s="153" t="s">
        <v>1076</v>
      </c>
      <c r="D218" s="153">
        <v>31</v>
      </c>
      <c r="E218" s="153">
        <v>31</v>
      </c>
      <c r="F218" s="153">
        <f t="shared" si="6"/>
        <v>0</v>
      </c>
      <c r="G218" s="153" t="str">
        <f t="shared" si="7"/>
        <v>OK</v>
      </c>
      <c r="H218" s="153" t="b">
        <v>1</v>
      </c>
    </row>
    <row r="219" spans="1:8" x14ac:dyDescent="0.3">
      <c r="A219" s="153" t="s">
        <v>1077</v>
      </c>
      <c r="B219" s="153" t="s">
        <v>1053</v>
      </c>
      <c r="C219" s="153" t="s">
        <v>1078</v>
      </c>
      <c r="D219" s="153">
        <v>4</v>
      </c>
      <c r="E219" s="153">
        <v>4</v>
      </c>
      <c r="F219" s="153">
        <f t="shared" si="6"/>
        <v>0</v>
      </c>
      <c r="G219" s="153" t="str">
        <f t="shared" si="7"/>
        <v>OK</v>
      </c>
      <c r="H219" s="153" t="b">
        <v>1</v>
      </c>
    </row>
    <row r="220" spans="1:8" x14ac:dyDescent="0.3">
      <c r="A220" s="153" t="s">
        <v>1079</v>
      </c>
      <c r="B220" s="153" t="s">
        <v>1053</v>
      </c>
      <c r="C220" s="153" t="s">
        <v>1080</v>
      </c>
      <c r="D220" s="153">
        <v>7</v>
      </c>
      <c r="E220" s="153">
        <v>7</v>
      </c>
      <c r="F220" s="153">
        <f t="shared" si="6"/>
        <v>0</v>
      </c>
      <c r="G220" s="153" t="str">
        <f t="shared" si="7"/>
        <v>OK</v>
      </c>
      <c r="H220" s="153" t="b">
        <v>1</v>
      </c>
    </row>
    <row r="221" spans="1:8" x14ac:dyDescent="0.3">
      <c r="A221" s="153" t="s">
        <v>1081</v>
      </c>
      <c r="B221" s="153" t="s">
        <v>1053</v>
      </c>
      <c r="C221" s="153" t="s">
        <v>1082</v>
      </c>
      <c r="D221" s="153" t="s">
        <v>1083</v>
      </c>
      <c r="E221" s="153" t="s">
        <v>1083</v>
      </c>
      <c r="F221" s="153">
        <f t="shared" si="6"/>
        <v>0</v>
      </c>
      <c r="G221" s="153" t="str">
        <f t="shared" si="7"/>
        <v>OK</v>
      </c>
      <c r="H221" s="153" t="b">
        <v>1</v>
      </c>
    </row>
    <row r="222" spans="1:8" x14ac:dyDescent="0.3">
      <c r="A222" s="153" t="s">
        <v>1084</v>
      </c>
      <c r="B222" s="153" t="s">
        <v>1053</v>
      </c>
      <c r="C222" s="153" t="s">
        <v>1085</v>
      </c>
      <c r="D222" s="153" t="s">
        <v>1086</v>
      </c>
      <c r="E222" s="153" t="s">
        <v>1086</v>
      </c>
      <c r="F222" s="153">
        <f t="shared" si="6"/>
        <v>0</v>
      </c>
      <c r="G222" s="153" t="str">
        <f t="shared" si="7"/>
        <v>OK</v>
      </c>
      <c r="H222" s="153" t="b">
        <v>1</v>
      </c>
    </row>
    <row r="223" spans="1:8" x14ac:dyDescent="0.3">
      <c r="A223" s="153" t="s">
        <v>1087</v>
      </c>
      <c r="B223" s="153" t="s">
        <v>1053</v>
      </c>
      <c r="C223" s="153" t="s">
        <v>1088</v>
      </c>
      <c r="D223" s="153">
        <v>500</v>
      </c>
      <c r="E223" s="153">
        <v>500</v>
      </c>
      <c r="F223" s="153">
        <f t="shared" si="6"/>
        <v>0</v>
      </c>
      <c r="G223" s="153" t="str">
        <f t="shared" si="7"/>
        <v>OK</v>
      </c>
      <c r="H223" s="153" t="b">
        <v>1</v>
      </c>
    </row>
    <row r="224" spans="1:8" x14ac:dyDescent="0.3">
      <c r="A224" s="153" t="s">
        <v>1089</v>
      </c>
      <c r="B224" s="153" t="s">
        <v>1053</v>
      </c>
      <c r="C224" s="153" t="s">
        <v>1090</v>
      </c>
      <c r="D224" s="153">
        <v>28000</v>
      </c>
      <c r="E224" s="153">
        <v>28000</v>
      </c>
      <c r="F224" s="153">
        <f t="shared" si="6"/>
        <v>0</v>
      </c>
      <c r="G224" s="153" t="str">
        <f t="shared" si="7"/>
        <v>OK</v>
      </c>
      <c r="H224" s="153" t="b">
        <v>1</v>
      </c>
    </row>
    <row r="225" spans="1:8" x14ac:dyDescent="0.3">
      <c r="A225" s="153" t="s">
        <v>1091</v>
      </c>
      <c r="B225" s="153" t="s">
        <v>1092</v>
      </c>
      <c r="C225" s="153" t="s">
        <v>1093</v>
      </c>
      <c r="D225" s="153">
        <v>6.2</v>
      </c>
      <c r="E225" s="153">
        <v>6.2</v>
      </c>
      <c r="F225" s="153">
        <f t="shared" si="6"/>
        <v>0</v>
      </c>
      <c r="G225" s="153" t="str">
        <f t="shared" si="7"/>
        <v>OK</v>
      </c>
      <c r="H225" s="153" t="b">
        <v>1</v>
      </c>
    </row>
    <row r="226" spans="1:8" x14ac:dyDescent="0.3">
      <c r="A226" s="153" t="s">
        <v>1094</v>
      </c>
      <c r="B226" s="153" t="s">
        <v>1092</v>
      </c>
      <c r="C226" s="153" t="s">
        <v>1095</v>
      </c>
      <c r="D226" s="153" t="s">
        <v>1096</v>
      </c>
      <c r="E226" s="153" t="s">
        <v>1096</v>
      </c>
      <c r="F226" s="153">
        <f t="shared" si="6"/>
        <v>0</v>
      </c>
      <c r="G226" s="153" t="str">
        <f t="shared" si="7"/>
        <v>OK</v>
      </c>
      <c r="H226" s="153" t="b">
        <v>1</v>
      </c>
    </row>
    <row r="227" spans="1:8" x14ac:dyDescent="0.3">
      <c r="A227" s="153" t="s">
        <v>1097</v>
      </c>
      <c r="B227" s="153" t="s">
        <v>1092</v>
      </c>
      <c r="C227" s="153" t="s">
        <v>1098</v>
      </c>
      <c r="D227" s="153">
        <v>17</v>
      </c>
      <c r="E227" s="153">
        <v>17</v>
      </c>
      <c r="F227" s="153">
        <f t="shared" si="6"/>
        <v>0</v>
      </c>
      <c r="G227" s="153" t="str">
        <f t="shared" si="7"/>
        <v>OK</v>
      </c>
      <c r="H227" s="153" t="b">
        <v>1</v>
      </c>
    </row>
    <row r="228" spans="1:8" x14ac:dyDescent="0.3">
      <c r="A228" s="153" t="s">
        <v>1099</v>
      </c>
      <c r="B228" s="153" t="s">
        <v>1092</v>
      </c>
      <c r="C228" s="153" t="s">
        <v>1100</v>
      </c>
      <c r="D228" s="153" t="s">
        <v>1101</v>
      </c>
      <c r="E228" s="153" t="s">
        <v>1101</v>
      </c>
      <c r="F228" s="153">
        <f t="shared" si="6"/>
        <v>0</v>
      </c>
      <c r="G228" s="153" t="str">
        <f t="shared" si="7"/>
        <v>OK</v>
      </c>
      <c r="H228" s="153" t="b">
        <v>1</v>
      </c>
    </row>
    <row r="229" spans="1:8" x14ac:dyDescent="0.3">
      <c r="A229" s="153" t="s">
        <v>1102</v>
      </c>
      <c r="B229" s="153" t="s">
        <v>1092</v>
      </c>
      <c r="C229" s="153" t="s">
        <v>1103</v>
      </c>
      <c r="D229" s="153">
        <v>8</v>
      </c>
      <c r="E229" s="153">
        <v>8</v>
      </c>
      <c r="F229" s="153">
        <f t="shared" si="6"/>
        <v>0</v>
      </c>
      <c r="G229" s="153" t="str">
        <f t="shared" si="7"/>
        <v>OK</v>
      </c>
      <c r="H229" s="153" t="b">
        <v>1</v>
      </c>
    </row>
    <row r="230" spans="1:8" x14ac:dyDescent="0.3">
      <c r="A230" s="153" t="s">
        <v>1104</v>
      </c>
      <c r="B230" s="153" t="s">
        <v>1092</v>
      </c>
      <c r="C230" s="153" t="s">
        <v>1105</v>
      </c>
      <c r="D230" s="153" t="s">
        <v>1101</v>
      </c>
      <c r="E230" s="153" t="s">
        <v>1101</v>
      </c>
      <c r="F230" s="153">
        <f t="shared" si="6"/>
        <v>0</v>
      </c>
      <c r="G230" s="153" t="str">
        <f t="shared" si="7"/>
        <v>OK</v>
      </c>
      <c r="H230" s="153" t="b">
        <v>1</v>
      </c>
    </row>
    <row r="231" spans="1:8" x14ac:dyDescent="0.3">
      <c r="A231" s="153" t="s">
        <v>1106</v>
      </c>
      <c r="B231" s="153" t="s">
        <v>1092</v>
      </c>
      <c r="C231" s="153" t="s">
        <v>1107</v>
      </c>
      <c r="D231" s="153">
        <v>-3</v>
      </c>
      <c r="E231" s="153">
        <v>-3</v>
      </c>
      <c r="F231" s="153">
        <f t="shared" si="6"/>
        <v>0</v>
      </c>
      <c r="G231" s="153" t="str">
        <f t="shared" si="7"/>
        <v>OK</v>
      </c>
      <c r="H231" s="153" t="b">
        <v>1</v>
      </c>
    </row>
    <row r="232" spans="1:8" x14ac:dyDescent="0.3">
      <c r="A232" s="153" t="s">
        <v>1108</v>
      </c>
      <c r="B232" s="153" t="s">
        <v>1092</v>
      </c>
      <c r="C232" s="153" t="s">
        <v>1109</v>
      </c>
      <c r="D232" s="153" t="s">
        <v>1110</v>
      </c>
      <c r="E232" s="153" t="s">
        <v>1110</v>
      </c>
      <c r="F232" s="153">
        <f t="shared" si="6"/>
        <v>0</v>
      </c>
      <c r="G232" s="153" t="str">
        <f t="shared" si="7"/>
        <v>OK</v>
      </c>
      <c r="H232" s="153" t="b">
        <v>1</v>
      </c>
    </row>
    <row r="233" spans="1:8" x14ac:dyDescent="0.3">
      <c r="A233" s="153" t="s">
        <v>1111</v>
      </c>
      <c r="B233" s="153" t="s">
        <v>797</v>
      </c>
      <c r="C233" s="153" t="s">
        <v>1112</v>
      </c>
      <c r="D233" s="153">
        <v>20</v>
      </c>
      <c r="E233" s="153">
        <v>20</v>
      </c>
      <c r="F233" s="153">
        <f t="shared" si="6"/>
        <v>0</v>
      </c>
      <c r="G233" s="153" t="str">
        <f t="shared" si="7"/>
        <v>OK</v>
      </c>
      <c r="H233" s="153" t="b">
        <v>1</v>
      </c>
    </row>
    <row r="234" spans="1:8" x14ac:dyDescent="0.3">
      <c r="A234" s="153" t="s">
        <v>1113</v>
      </c>
      <c r="B234" s="153" t="s">
        <v>797</v>
      </c>
      <c r="C234" s="153" t="s">
        <v>1114</v>
      </c>
      <c r="D234" s="153">
        <v>100</v>
      </c>
      <c r="E234" s="153">
        <v>100</v>
      </c>
      <c r="F234" s="153">
        <f t="shared" si="6"/>
        <v>0</v>
      </c>
      <c r="G234" s="153" t="str">
        <f t="shared" si="7"/>
        <v>OK</v>
      </c>
      <c r="H234" s="153" t="b">
        <v>1</v>
      </c>
    </row>
    <row r="235" spans="1:8" x14ac:dyDescent="0.3">
      <c r="A235" s="153" t="s">
        <v>1115</v>
      </c>
      <c r="B235" s="153" t="s">
        <v>797</v>
      </c>
      <c r="C235" s="153" t="s">
        <v>1116</v>
      </c>
      <c r="D235" s="153">
        <v>70</v>
      </c>
      <c r="E235" s="153">
        <v>70</v>
      </c>
      <c r="F235" s="153">
        <f t="shared" si="6"/>
        <v>0</v>
      </c>
      <c r="G235" s="153" t="str">
        <f t="shared" si="7"/>
        <v>OK</v>
      </c>
      <c r="H235" s="153" t="b">
        <v>1</v>
      </c>
    </row>
    <row r="236" spans="1:8" x14ac:dyDescent="0.3">
      <c r="A236" s="153" t="s">
        <v>1117</v>
      </c>
      <c r="B236" s="153" t="s">
        <v>797</v>
      </c>
      <c r="C236" s="153" t="s">
        <v>1118</v>
      </c>
      <c r="D236" s="153">
        <v>86</v>
      </c>
      <c r="E236" s="153">
        <v>86</v>
      </c>
      <c r="F236" s="153">
        <f t="shared" si="6"/>
        <v>0</v>
      </c>
      <c r="G236" s="153" t="str">
        <f t="shared" si="7"/>
        <v>OK</v>
      </c>
      <c r="H236" s="153" t="b">
        <v>1</v>
      </c>
    </row>
    <row r="237" spans="1:8" x14ac:dyDescent="0.3">
      <c r="A237" s="153" t="s">
        <v>1119</v>
      </c>
      <c r="B237" s="153" t="s">
        <v>797</v>
      </c>
      <c r="C237" s="153" t="s">
        <v>1120</v>
      </c>
      <c r="D237" s="153">
        <v>0.36909871244635201</v>
      </c>
      <c r="E237" s="153">
        <v>0.36909871244635201</v>
      </c>
      <c r="F237" s="153">
        <f t="shared" si="6"/>
        <v>0</v>
      </c>
      <c r="G237" s="153" t="str">
        <f t="shared" si="7"/>
        <v>OK</v>
      </c>
      <c r="H237" s="153" t="b">
        <v>1</v>
      </c>
    </row>
    <row r="238" spans="1:8" x14ac:dyDescent="0.3">
      <c r="A238" s="153" t="s">
        <v>1121</v>
      </c>
      <c r="B238" s="153" t="s">
        <v>797</v>
      </c>
      <c r="C238" s="153" t="s">
        <v>1122</v>
      </c>
      <c r="D238" s="153">
        <v>1292</v>
      </c>
      <c r="E238" s="153">
        <v>1292</v>
      </c>
      <c r="F238" s="153">
        <f t="shared" si="6"/>
        <v>0</v>
      </c>
      <c r="G238" s="153" t="str">
        <f t="shared" si="7"/>
        <v>OK</v>
      </c>
      <c r="H238" s="153" t="b">
        <v>1</v>
      </c>
    </row>
    <row r="239" spans="1:8" x14ac:dyDescent="0.3">
      <c r="A239" s="153" t="s">
        <v>1123</v>
      </c>
      <c r="B239" s="153" t="s">
        <v>797</v>
      </c>
      <c r="C239" s="153" t="s">
        <v>1124</v>
      </c>
      <c r="D239" s="153">
        <v>24</v>
      </c>
      <c r="E239" s="153">
        <v>24</v>
      </c>
      <c r="F239" s="153">
        <f t="shared" si="6"/>
        <v>0</v>
      </c>
      <c r="G239" s="153" t="str">
        <f t="shared" si="7"/>
        <v>OK</v>
      </c>
      <c r="H239" s="153" t="b">
        <v>1</v>
      </c>
    </row>
    <row r="240" spans="1:8" x14ac:dyDescent="0.3">
      <c r="A240" s="153" t="s">
        <v>1125</v>
      </c>
      <c r="B240" s="153" t="s">
        <v>797</v>
      </c>
      <c r="C240" s="153" t="s">
        <v>1126</v>
      </c>
      <c r="D240" s="153">
        <v>0</v>
      </c>
      <c r="E240" s="153">
        <v>0</v>
      </c>
      <c r="F240" s="153">
        <f t="shared" si="6"/>
        <v>0</v>
      </c>
      <c r="G240" s="153" t="str">
        <f t="shared" si="7"/>
        <v>OK</v>
      </c>
      <c r="H240" s="153" t="b">
        <v>1</v>
      </c>
    </row>
    <row r="241" spans="1:8" x14ac:dyDescent="0.3">
      <c r="A241" s="153" t="s">
        <v>1127</v>
      </c>
      <c r="B241" s="153" t="s">
        <v>797</v>
      </c>
      <c r="C241" s="153" t="s">
        <v>1128</v>
      </c>
      <c r="D241" s="153">
        <v>83</v>
      </c>
      <c r="E241" s="153">
        <v>83</v>
      </c>
      <c r="F241" s="153">
        <f t="shared" si="6"/>
        <v>0</v>
      </c>
      <c r="G241" s="153" t="str">
        <f t="shared" si="7"/>
        <v>OK</v>
      </c>
      <c r="H241" s="153" t="b">
        <v>1</v>
      </c>
    </row>
    <row r="242" spans="1:8" x14ac:dyDescent="0.3">
      <c r="A242" s="153" t="s">
        <v>1129</v>
      </c>
      <c r="B242" s="153" t="s">
        <v>797</v>
      </c>
      <c r="C242" s="153" t="s">
        <v>1130</v>
      </c>
      <c r="D242" s="153">
        <v>19</v>
      </c>
      <c r="E242" s="153">
        <v>19</v>
      </c>
      <c r="F242" s="153">
        <f t="shared" si="6"/>
        <v>0</v>
      </c>
      <c r="G242" s="153" t="str">
        <f t="shared" si="7"/>
        <v>OK</v>
      </c>
      <c r="H242" s="153" t="b">
        <v>1</v>
      </c>
    </row>
    <row r="243" spans="1:8" x14ac:dyDescent="0.3">
      <c r="A243" s="153" t="s">
        <v>1131</v>
      </c>
      <c r="B243" s="153" t="s">
        <v>797</v>
      </c>
      <c r="C243" s="153" t="s">
        <v>1132</v>
      </c>
      <c r="D243" s="153">
        <v>8.15450643776824E-2</v>
      </c>
      <c r="E243" s="153">
        <v>8.15450643776824E-2</v>
      </c>
      <c r="F243" s="153">
        <f t="shared" si="6"/>
        <v>0</v>
      </c>
      <c r="G243" s="153" t="str">
        <f t="shared" si="7"/>
        <v>OK</v>
      </c>
      <c r="H243" s="153" t="b">
        <v>1</v>
      </c>
    </row>
    <row r="244" spans="1:8" x14ac:dyDescent="0.3">
      <c r="A244" s="153" t="s">
        <v>1133</v>
      </c>
      <c r="B244" s="153" t="s">
        <v>797</v>
      </c>
      <c r="C244" s="153" t="s">
        <v>1134</v>
      </c>
      <c r="D244" s="153">
        <v>285</v>
      </c>
      <c r="E244" s="153">
        <v>285</v>
      </c>
      <c r="F244" s="153">
        <f t="shared" si="6"/>
        <v>0</v>
      </c>
      <c r="G244" s="153" t="str">
        <f t="shared" si="7"/>
        <v>OK</v>
      </c>
      <c r="H244" s="153" t="b">
        <v>1</v>
      </c>
    </row>
    <row r="245" spans="1:8" x14ac:dyDescent="0.3">
      <c r="A245" s="153" t="s">
        <v>1135</v>
      </c>
      <c r="B245" s="153" t="s">
        <v>797</v>
      </c>
      <c r="C245" s="153" t="s">
        <v>1136</v>
      </c>
      <c r="D245" s="153">
        <v>30</v>
      </c>
      <c r="E245" s="153">
        <v>30</v>
      </c>
      <c r="F245" s="153">
        <f t="shared" si="6"/>
        <v>0</v>
      </c>
      <c r="G245" s="153" t="str">
        <f t="shared" si="7"/>
        <v>OK</v>
      </c>
      <c r="H245" s="153" t="b">
        <v>1</v>
      </c>
    </row>
    <row r="246" spans="1:8" x14ac:dyDescent="0.3">
      <c r="A246" s="153" t="s">
        <v>1137</v>
      </c>
      <c r="B246" s="153" t="s">
        <v>797</v>
      </c>
      <c r="C246" s="153" t="s">
        <v>1138</v>
      </c>
      <c r="D246" s="153">
        <v>40</v>
      </c>
      <c r="E246" s="153">
        <v>40</v>
      </c>
      <c r="F246" s="153">
        <f t="shared" si="6"/>
        <v>0</v>
      </c>
      <c r="G246" s="153" t="str">
        <f t="shared" si="7"/>
        <v>OK</v>
      </c>
      <c r="H246" s="153" t="b">
        <v>1</v>
      </c>
    </row>
    <row r="247" spans="1:8" x14ac:dyDescent="0.3">
      <c r="A247" s="153" t="s">
        <v>1139</v>
      </c>
      <c r="B247" s="153" t="s">
        <v>797</v>
      </c>
      <c r="C247" s="153" t="s">
        <v>1140</v>
      </c>
      <c r="D247" s="153">
        <v>102</v>
      </c>
      <c r="E247" s="153">
        <v>102</v>
      </c>
      <c r="F247" s="153">
        <f t="shared" si="6"/>
        <v>0</v>
      </c>
      <c r="G247" s="153" t="str">
        <f t="shared" si="7"/>
        <v>OK</v>
      </c>
      <c r="H247" s="153" t="b">
        <v>1</v>
      </c>
    </row>
    <row r="248" spans="1:8" x14ac:dyDescent="0.3">
      <c r="A248" s="153" t="s">
        <v>1141</v>
      </c>
      <c r="B248" s="153" t="s">
        <v>797</v>
      </c>
      <c r="C248" s="153" t="s">
        <v>1142</v>
      </c>
      <c r="D248" s="153">
        <v>51.400000000000013</v>
      </c>
      <c r="E248" s="153">
        <v>51.400000000000013</v>
      </c>
      <c r="F248" s="153">
        <f t="shared" si="6"/>
        <v>0</v>
      </c>
      <c r="G248" s="153" t="str">
        <f t="shared" si="7"/>
        <v>OK</v>
      </c>
      <c r="H248" s="153" t="b">
        <v>1</v>
      </c>
    </row>
    <row r="249" spans="1:8" x14ac:dyDescent="0.3">
      <c r="A249" s="153" t="s">
        <v>1143</v>
      </c>
      <c r="B249" s="153" t="s">
        <v>797</v>
      </c>
      <c r="C249" s="153" t="s">
        <v>1144</v>
      </c>
      <c r="D249" s="153">
        <v>0.22060085836909871</v>
      </c>
      <c r="E249" s="153">
        <v>0.22060085836909871</v>
      </c>
      <c r="F249" s="153">
        <f t="shared" si="6"/>
        <v>0</v>
      </c>
      <c r="G249" s="153" t="str">
        <f t="shared" si="7"/>
        <v>OK</v>
      </c>
      <c r="H249" s="153" t="b">
        <v>1</v>
      </c>
    </row>
    <row r="250" spans="1:8" x14ac:dyDescent="0.3">
      <c r="A250" s="153" t="s">
        <v>1145</v>
      </c>
      <c r="B250" s="153" t="s">
        <v>797</v>
      </c>
      <c r="C250" s="153" t="s">
        <v>1146</v>
      </c>
      <c r="D250" s="153">
        <v>772</v>
      </c>
      <c r="E250" s="153">
        <v>772</v>
      </c>
      <c r="F250" s="153">
        <f t="shared" si="6"/>
        <v>0</v>
      </c>
      <c r="G250" s="153" t="str">
        <f t="shared" si="7"/>
        <v>OK</v>
      </c>
      <c r="H250" s="153" t="b">
        <v>1</v>
      </c>
    </row>
    <row r="251" spans="1:8" x14ac:dyDescent="0.3">
      <c r="A251" s="153" t="s">
        <v>1147</v>
      </c>
      <c r="B251" s="153" t="s">
        <v>797</v>
      </c>
      <c r="C251" s="153" t="s">
        <v>1148</v>
      </c>
      <c r="D251" s="153">
        <v>26</v>
      </c>
      <c r="E251" s="153">
        <v>26</v>
      </c>
      <c r="F251" s="153">
        <f t="shared" si="6"/>
        <v>0</v>
      </c>
      <c r="G251" s="153" t="str">
        <f t="shared" si="7"/>
        <v>OK</v>
      </c>
      <c r="H251" s="153" t="b">
        <v>1</v>
      </c>
    </row>
    <row r="252" spans="1:8" x14ac:dyDescent="0.3">
      <c r="A252" s="153" t="s">
        <v>1149</v>
      </c>
      <c r="B252" s="153" t="s">
        <v>797</v>
      </c>
      <c r="C252" s="153" t="s">
        <v>1150</v>
      </c>
      <c r="D252" s="153">
        <v>80</v>
      </c>
      <c r="E252" s="153">
        <v>80</v>
      </c>
      <c r="F252" s="153">
        <f t="shared" si="6"/>
        <v>0</v>
      </c>
      <c r="G252" s="153" t="str">
        <f t="shared" si="7"/>
        <v>OK</v>
      </c>
      <c r="H252" s="153" t="b">
        <v>1</v>
      </c>
    </row>
    <row r="253" spans="1:8" x14ac:dyDescent="0.3">
      <c r="A253" s="153" t="s">
        <v>1151</v>
      </c>
      <c r="B253" s="153" t="s">
        <v>797</v>
      </c>
      <c r="C253" s="153" t="s">
        <v>1152</v>
      </c>
      <c r="D253" s="153">
        <v>90</v>
      </c>
      <c r="E253" s="153">
        <v>90</v>
      </c>
      <c r="F253" s="153">
        <f t="shared" si="6"/>
        <v>0</v>
      </c>
      <c r="G253" s="153" t="str">
        <f t="shared" si="7"/>
        <v>OK</v>
      </c>
      <c r="H253" s="153" t="b">
        <v>1</v>
      </c>
    </row>
    <row r="254" spans="1:8" x14ac:dyDescent="0.3">
      <c r="A254" s="153" t="s">
        <v>1153</v>
      </c>
      <c r="B254" s="153" t="s">
        <v>797</v>
      </c>
      <c r="C254" s="153" t="s">
        <v>1154</v>
      </c>
      <c r="D254" s="153">
        <v>76.599999999999994</v>
      </c>
      <c r="E254" s="153">
        <v>76.599999999999994</v>
      </c>
      <c r="F254" s="153">
        <f t="shared" si="6"/>
        <v>0</v>
      </c>
      <c r="G254" s="153" t="str">
        <f t="shared" si="7"/>
        <v>OK</v>
      </c>
      <c r="H254" s="153" t="b">
        <v>1</v>
      </c>
    </row>
    <row r="255" spans="1:8" x14ac:dyDescent="0.3">
      <c r="A255" s="153" t="s">
        <v>1155</v>
      </c>
      <c r="B255" s="153" t="s">
        <v>797</v>
      </c>
      <c r="C255" s="153" t="s">
        <v>1156</v>
      </c>
      <c r="D255" s="153">
        <v>0.3287553648068669</v>
      </c>
      <c r="E255" s="153">
        <v>0.3287553648068669</v>
      </c>
      <c r="F255" s="153">
        <f t="shared" si="6"/>
        <v>0</v>
      </c>
      <c r="G255" s="153" t="str">
        <f t="shared" si="7"/>
        <v>OK</v>
      </c>
      <c r="H255" s="153" t="b">
        <v>1</v>
      </c>
    </row>
    <row r="256" spans="1:8" x14ac:dyDescent="0.3">
      <c r="A256" s="153" t="s">
        <v>1157</v>
      </c>
      <c r="B256" s="153" t="s">
        <v>797</v>
      </c>
      <c r="C256" s="153" t="s">
        <v>1158</v>
      </c>
      <c r="D256" s="153">
        <v>1151</v>
      </c>
      <c r="E256" s="153">
        <v>1151</v>
      </c>
      <c r="F256" s="153">
        <f t="shared" si="6"/>
        <v>0</v>
      </c>
      <c r="G256" s="153" t="str">
        <f t="shared" si="7"/>
        <v>OK</v>
      </c>
      <c r="H256" s="153" t="b">
        <v>1</v>
      </c>
    </row>
    <row r="257" spans="1:8" x14ac:dyDescent="0.3">
      <c r="A257" s="153" t="s">
        <v>1159</v>
      </c>
      <c r="B257" s="153" t="s">
        <v>797</v>
      </c>
      <c r="C257" s="153" t="s">
        <v>1160</v>
      </c>
      <c r="D257" s="153">
        <v>20</v>
      </c>
      <c r="E257" s="153">
        <v>20</v>
      </c>
      <c r="F257" s="153">
        <f t="shared" si="6"/>
        <v>0</v>
      </c>
      <c r="G257" s="153" t="str">
        <f t="shared" si="7"/>
        <v>OK</v>
      </c>
      <c r="H257" s="153" t="b">
        <v>1</v>
      </c>
    </row>
    <row r="258" spans="1:8" x14ac:dyDescent="0.3">
      <c r="A258" s="153" t="s">
        <v>1161</v>
      </c>
      <c r="B258" s="153" t="s">
        <v>797</v>
      </c>
      <c r="C258" s="153" t="s">
        <v>1162</v>
      </c>
      <c r="D258" s="153">
        <v>80</v>
      </c>
      <c r="E258" s="153">
        <v>80</v>
      </c>
      <c r="F258" s="153">
        <f t="shared" ref="F258:F321" si="8">IF(NOT(H258),"",IF(AND(ISNUMBER(D258),ISNUMBER(E258)),E258-D258,IF(D258=E258,0,1)))</f>
        <v>0</v>
      </c>
      <c r="G258" s="153" t="str">
        <f t="shared" ref="G258:G321" si="9">IF(NOT(H258),"PENDIENTE SIDE",IF(IF(AND(ISNUMBER(D258),ISNUMBER(E258)),IF(MOD(D258,1)=0,D258=E258,ABS(D258-E258)&lt;=0.000000001*MAX(1,ABS(D258),ABS(E258))),D258=E258),"OK","DIFERENCIA"))</f>
        <v>OK</v>
      </c>
      <c r="H258" s="153" t="b">
        <v>1</v>
      </c>
    </row>
    <row r="259" spans="1:8" x14ac:dyDescent="0.3">
      <c r="A259" s="153" t="s">
        <v>1163</v>
      </c>
      <c r="B259" s="153" t="s">
        <v>797</v>
      </c>
      <c r="C259" s="153" t="s">
        <v>1164</v>
      </c>
      <c r="D259" s="153">
        <v>70</v>
      </c>
      <c r="E259" s="153">
        <v>70</v>
      </c>
      <c r="F259" s="153">
        <f t="shared" si="8"/>
        <v>0</v>
      </c>
      <c r="G259" s="153" t="str">
        <f t="shared" si="9"/>
        <v>OK</v>
      </c>
      <c r="H259" s="153" t="b">
        <v>1</v>
      </c>
    </row>
    <row r="260" spans="1:8" x14ac:dyDescent="0.3">
      <c r="A260" s="153" t="s">
        <v>1165</v>
      </c>
      <c r="B260" s="153" t="s">
        <v>797</v>
      </c>
      <c r="C260" s="153" t="s">
        <v>1166</v>
      </c>
      <c r="D260" s="153">
        <v>61.5</v>
      </c>
      <c r="E260" s="153">
        <v>61.5</v>
      </c>
      <c r="F260" s="153">
        <f t="shared" si="8"/>
        <v>0</v>
      </c>
      <c r="G260" s="153" t="str">
        <f t="shared" si="9"/>
        <v>OK</v>
      </c>
      <c r="H260" s="153" t="b">
        <v>1</v>
      </c>
    </row>
    <row r="261" spans="1:8" x14ac:dyDescent="0.3">
      <c r="A261" s="153" t="s">
        <v>1167</v>
      </c>
      <c r="B261" s="153" t="s">
        <v>797</v>
      </c>
      <c r="C261" s="153" t="s">
        <v>1168</v>
      </c>
      <c r="D261" s="153">
        <v>0.30483271375464682</v>
      </c>
      <c r="E261" s="153">
        <v>0.30483271375464682</v>
      </c>
      <c r="F261" s="153">
        <f t="shared" si="8"/>
        <v>0</v>
      </c>
      <c r="G261" s="153" t="str">
        <f t="shared" si="9"/>
        <v>OK</v>
      </c>
      <c r="H261" s="153" t="b">
        <v>1</v>
      </c>
    </row>
    <row r="262" spans="1:8" x14ac:dyDescent="0.3">
      <c r="A262" s="153" t="s">
        <v>1169</v>
      </c>
      <c r="B262" s="153" t="s">
        <v>797</v>
      </c>
      <c r="C262" s="153" t="s">
        <v>1170</v>
      </c>
      <c r="D262" s="153">
        <v>1067</v>
      </c>
      <c r="E262" s="153">
        <v>1067</v>
      </c>
      <c r="F262" s="153">
        <f t="shared" si="8"/>
        <v>0</v>
      </c>
      <c r="G262" s="153" t="str">
        <f t="shared" si="9"/>
        <v>OK</v>
      </c>
      <c r="H262" s="153" t="b">
        <v>1</v>
      </c>
    </row>
    <row r="263" spans="1:8" x14ac:dyDescent="0.3">
      <c r="A263" s="153" t="s">
        <v>1171</v>
      </c>
      <c r="B263" s="153" t="s">
        <v>797</v>
      </c>
      <c r="C263" s="153" t="s">
        <v>1172</v>
      </c>
      <c r="D263" s="153">
        <v>24</v>
      </c>
      <c r="E263" s="153">
        <v>24</v>
      </c>
      <c r="F263" s="153">
        <f t="shared" si="8"/>
        <v>0</v>
      </c>
      <c r="G263" s="153" t="str">
        <f t="shared" si="9"/>
        <v>OK</v>
      </c>
      <c r="H263" s="153" t="b">
        <v>1</v>
      </c>
    </row>
    <row r="264" spans="1:8" x14ac:dyDescent="0.3">
      <c r="A264" s="153" t="s">
        <v>1173</v>
      </c>
      <c r="B264" s="153" t="s">
        <v>797</v>
      </c>
      <c r="C264" s="153" t="s">
        <v>1174</v>
      </c>
      <c r="D264" s="153">
        <v>50</v>
      </c>
      <c r="E264" s="153">
        <v>50</v>
      </c>
      <c r="F264" s="153">
        <f t="shared" si="8"/>
        <v>0</v>
      </c>
      <c r="G264" s="153" t="str">
        <f t="shared" si="9"/>
        <v>OK</v>
      </c>
      <c r="H264" s="153" t="b">
        <v>1</v>
      </c>
    </row>
    <row r="265" spans="1:8" x14ac:dyDescent="0.3">
      <c r="A265" s="153" t="s">
        <v>1175</v>
      </c>
      <c r="B265" s="153" t="s">
        <v>797</v>
      </c>
      <c r="C265" s="153" t="s">
        <v>1176</v>
      </c>
      <c r="D265" s="153">
        <v>83</v>
      </c>
      <c r="E265" s="153">
        <v>83</v>
      </c>
      <c r="F265" s="153">
        <f t="shared" si="8"/>
        <v>0</v>
      </c>
      <c r="G265" s="153" t="str">
        <f t="shared" si="9"/>
        <v>OK</v>
      </c>
      <c r="H265" s="153" t="b">
        <v>1</v>
      </c>
    </row>
    <row r="266" spans="1:8" x14ac:dyDescent="0.3">
      <c r="A266" s="153" t="s">
        <v>1177</v>
      </c>
      <c r="B266" s="153" t="s">
        <v>797</v>
      </c>
      <c r="C266" s="153" t="s">
        <v>1178</v>
      </c>
      <c r="D266" s="153">
        <v>55.05</v>
      </c>
      <c r="E266" s="153">
        <v>55.05</v>
      </c>
      <c r="F266" s="153">
        <f t="shared" si="8"/>
        <v>0</v>
      </c>
      <c r="G266" s="153" t="str">
        <f t="shared" si="9"/>
        <v>OK</v>
      </c>
      <c r="H266" s="153" t="b">
        <v>1</v>
      </c>
    </row>
    <row r="267" spans="1:8" x14ac:dyDescent="0.3">
      <c r="A267" s="153" t="s">
        <v>1179</v>
      </c>
      <c r="B267" s="153" t="s">
        <v>797</v>
      </c>
      <c r="C267" s="153" t="s">
        <v>1180</v>
      </c>
      <c r="D267" s="153">
        <v>0.27286245353159849</v>
      </c>
      <c r="E267" s="153">
        <v>0.27286245353159849</v>
      </c>
      <c r="F267" s="153">
        <f t="shared" si="8"/>
        <v>0</v>
      </c>
      <c r="G267" s="153" t="str">
        <f t="shared" si="9"/>
        <v>OK</v>
      </c>
      <c r="H267" s="153" t="b">
        <v>1</v>
      </c>
    </row>
    <row r="268" spans="1:8" x14ac:dyDescent="0.3">
      <c r="A268" s="153" t="s">
        <v>1181</v>
      </c>
      <c r="B268" s="153" t="s">
        <v>797</v>
      </c>
      <c r="C268" s="153" t="s">
        <v>1182</v>
      </c>
      <c r="D268" s="153">
        <v>955</v>
      </c>
      <c r="E268" s="153">
        <v>955</v>
      </c>
      <c r="F268" s="153">
        <f t="shared" si="8"/>
        <v>0</v>
      </c>
      <c r="G268" s="153" t="str">
        <f t="shared" si="9"/>
        <v>OK</v>
      </c>
      <c r="H268" s="153" t="b">
        <v>1</v>
      </c>
    </row>
    <row r="269" spans="1:8" x14ac:dyDescent="0.3">
      <c r="A269" s="153" t="s">
        <v>1183</v>
      </c>
      <c r="B269" s="153" t="s">
        <v>797</v>
      </c>
      <c r="C269" s="153" t="s">
        <v>1184</v>
      </c>
      <c r="D269" s="153">
        <v>30</v>
      </c>
      <c r="E269" s="153">
        <v>30</v>
      </c>
      <c r="F269" s="153">
        <f t="shared" si="8"/>
        <v>0</v>
      </c>
      <c r="G269" s="153" t="str">
        <f t="shared" si="9"/>
        <v>OK</v>
      </c>
      <c r="H269" s="153" t="b">
        <v>1</v>
      </c>
    </row>
    <row r="270" spans="1:8" x14ac:dyDescent="0.3">
      <c r="A270" s="153" t="s">
        <v>1185</v>
      </c>
      <c r="B270" s="153" t="s">
        <v>797</v>
      </c>
      <c r="C270" s="153" t="s">
        <v>1186</v>
      </c>
      <c r="D270" s="153">
        <v>10</v>
      </c>
      <c r="E270" s="153">
        <v>10</v>
      </c>
      <c r="F270" s="153">
        <f t="shared" si="8"/>
        <v>0</v>
      </c>
      <c r="G270" s="153" t="str">
        <f t="shared" si="9"/>
        <v>OK</v>
      </c>
      <c r="H270" s="153" t="b">
        <v>1</v>
      </c>
    </row>
    <row r="271" spans="1:8" x14ac:dyDescent="0.3">
      <c r="A271" s="153" t="s">
        <v>1187</v>
      </c>
      <c r="B271" s="153" t="s">
        <v>797</v>
      </c>
      <c r="C271" s="153" t="s">
        <v>1188</v>
      </c>
      <c r="D271" s="153">
        <v>102</v>
      </c>
      <c r="E271" s="153">
        <v>102</v>
      </c>
      <c r="F271" s="153">
        <f t="shared" si="8"/>
        <v>0</v>
      </c>
      <c r="G271" s="153" t="str">
        <f t="shared" si="9"/>
        <v>OK</v>
      </c>
      <c r="H271" s="153" t="b">
        <v>1</v>
      </c>
    </row>
    <row r="272" spans="1:8" x14ac:dyDescent="0.3">
      <c r="A272" s="153" t="s">
        <v>1189</v>
      </c>
      <c r="B272" s="153" t="s">
        <v>797</v>
      </c>
      <c r="C272" s="153" t="s">
        <v>1190</v>
      </c>
      <c r="D272" s="153">
        <v>47.2</v>
      </c>
      <c r="E272" s="153">
        <v>47.2</v>
      </c>
      <c r="F272" s="153">
        <f t="shared" si="8"/>
        <v>0</v>
      </c>
      <c r="G272" s="153" t="str">
        <f t="shared" si="9"/>
        <v>OK</v>
      </c>
      <c r="H272" s="153" t="b">
        <v>1</v>
      </c>
    </row>
    <row r="273" spans="1:8" x14ac:dyDescent="0.3">
      <c r="A273" s="153" t="s">
        <v>1191</v>
      </c>
      <c r="B273" s="153" t="s">
        <v>797</v>
      </c>
      <c r="C273" s="153" t="s">
        <v>1192</v>
      </c>
      <c r="D273" s="153">
        <v>0.23395291201982649</v>
      </c>
      <c r="E273" s="153">
        <v>0.23395291201982649</v>
      </c>
      <c r="F273" s="153">
        <f t="shared" si="8"/>
        <v>0</v>
      </c>
      <c r="G273" s="153" t="str">
        <f t="shared" si="9"/>
        <v>OK</v>
      </c>
      <c r="H273" s="153" t="b">
        <v>1</v>
      </c>
    </row>
    <row r="274" spans="1:8" x14ac:dyDescent="0.3">
      <c r="A274" s="153" t="s">
        <v>1193</v>
      </c>
      <c r="B274" s="153" t="s">
        <v>797</v>
      </c>
      <c r="C274" s="153" t="s">
        <v>1194</v>
      </c>
      <c r="D274" s="153">
        <v>819</v>
      </c>
      <c r="E274" s="153">
        <v>819</v>
      </c>
      <c r="F274" s="153">
        <f t="shared" si="8"/>
        <v>0</v>
      </c>
      <c r="G274" s="153" t="str">
        <f t="shared" si="9"/>
        <v>OK</v>
      </c>
      <c r="H274" s="153" t="b">
        <v>1</v>
      </c>
    </row>
    <row r="275" spans="1:8" x14ac:dyDescent="0.3">
      <c r="A275" s="153" t="s">
        <v>1195</v>
      </c>
      <c r="B275" s="153" t="s">
        <v>797</v>
      </c>
      <c r="C275" s="153" t="s">
        <v>1196</v>
      </c>
      <c r="D275" s="153">
        <v>26</v>
      </c>
      <c r="E275" s="153">
        <v>26</v>
      </c>
      <c r="F275" s="153">
        <f t="shared" si="8"/>
        <v>0</v>
      </c>
      <c r="G275" s="153" t="str">
        <f t="shared" si="9"/>
        <v>OK</v>
      </c>
      <c r="H275" s="153" t="b">
        <v>1</v>
      </c>
    </row>
    <row r="276" spans="1:8" x14ac:dyDescent="0.3">
      <c r="A276" s="153" t="s">
        <v>1197</v>
      </c>
      <c r="B276" s="153" t="s">
        <v>797</v>
      </c>
      <c r="C276" s="153" t="s">
        <v>1198</v>
      </c>
      <c r="D276" s="153">
        <v>0</v>
      </c>
      <c r="E276" s="153">
        <v>0</v>
      </c>
      <c r="F276" s="153">
        <f t="shared" si="8"/>
        <v>0</v>
      </c>
      <c r="G276" s="153" t="str">
        <f t="shared" si="9"/>
        <v>OK</v>
      </c>
      <c r="H276" s="153" t="b">
        <v>1</v>
      </c>
    </row>
    <row r="277" spans="1:8" x14ac:dyDescent="0.3">
      <c r="A277" s="153" t="s">
        <v>1199</v>
      </c>
      <c r="B277" s="153" t="s">
        <v>797</v>
      </c>
      <c r="C277" s="153" t="s">
        <v>1200</v>
      </c>
      <c r="D277" s="153">
        <v>90</v>
      </c>
      <c r="E277" s="153">
        <v>90</v>
      </c>
      <c r="F277" s="153">
        <f t="shared" si="8"/>
        <v>0</v>
      </c>
      <c r="G277" s="153" t="str">
        <f t="shared" si="9"/>
        <v>OK</v>
      </c>
      <c r="H277" s="153" t="b">
        <v>1</v>
      </c>
    </row>
    <row r="278" spans="1:8" x14ac:dyDescent="0.3">
      <c r="A278" s="153" t="s">
        <v>1201</v>
      </c>
      <c r="B278" s="153" t="s">
        <v>797</v>
      </c>
      <c r="C278" s="153" t="s">
        <v>1202</v>
      </c>
      <c r="D278" s="153">
        <v>38</v>
      </c>
      <c r="E278" s="153">
        <v>38</v>
      </c>
      <c r="F278" s="153">
        <f t="shared" si="8"/>
        <v>0</v>
      </c>
      <c r="G278" s="153" t="str">
        <f t="shared" si="9"/>
        <v>OK</v>
      </c>
      <c r="H278" s="153" t="b">
        <v>1</v>
      </c>
    </row>
    <row r="279" spans="1:8" x14ac:dyDescent="0.3">
      <c r="A279" s="153" t="s">
        <v>1203</v>
      </c>
      <c r="B279" s="153" t="s">
        <v>797</v>
      </c>
      <c r="C279" s="153" t="s">
        <v>1204</v>
      </c>
      <c r="D279" s="153">
        <v>0.18835192069392809</v>
      </c>
      <c r="E279" s="153">
        <v>0.18835192069392809</v>
      </c>
      <c r="F279" s="153">
        <f t="shared" si="8"/>
        <v>0</v>
      </c>
      <c r="G279" s="153" t="str">
        <f t="shared" si="9"/>
        <v>OK</v>
      </c>
      <c r="H279" s="153" t="b">
        <v>1</v>
      </c>
    </row>
    <row r="280" spans="1:8" x14ac:dyDescent="0.3">
      <c r="A280" s="153" t="s">
        <v>1205</v>
      </c>
      <c r="B280" s="153" t="s">
        <v>797</v>
      </c>
      <c r="C280" s="153" t="s">
        <v>1206</v>
      </c>
      <c r="D280" s="153">
        <v>659</v>
      </c>
      <c r="E280" s="153">
        <v>659</v>
      </c>
      <c r="F280" s="153">
        <f t="shared" si="8"/>
        <v>0</v>
      </c>
      <c r="G280" s="153" t="str">
        <f t="shared" si="9"/>
        <v>OK</v>
      </c>
      <c r="H280" s="153" t="b">
        <v>1</v>
      </c>
    </row>
    <row r="281" spans="1:8" x14ac:dyDescent="0.3">
      <c r="A281" s="153" t="s">
        <v>1207</v>
      </c>
      <c r="B281" s="153" t="s">
        <v>797</v>
      </c>
      <c r="C281" s="153" t="s">
        <v>1208</v>
      </c>
      <c r="D281" s="153">
        <v>20</v>
      </c>
      <c r="E281" s="153">
        <v>20</v>
      </c>
      <c r="F281" s="153">
        <f t="shared" si="8"/>
        <v>0</v>
      </c>
      <c r="G281" s="153" t="str">
        <f t="shared" si="9"/>
        <v>OK</v>
      </c>
      <c r="H281" s="153" t="b">
        <v>1</v>
      </c>
    </row>
    <row r="282" spans="1:8" x14ac:dyDescent="0.3">
      <c r="A282" s="153" t="s">
        <v>1209</v>
      </c>
      <c r="B282" s="153" t="s">
        <v>797</v>
      </c>
      <c r="C282" s="153" t="s">
        <v>1210</v>
      </c>
      <c r="D282" s="153">
        <v>100</v>
      </c>
      <c r="E282" s="153">
        <v>100</v>
      </c>
      <c r="F282" s="153">
        <f t="shared" si="8"/>
        <v>0</v>
      </c>
      <c r="G282" s="153" t="str">
        <f t="shared" si="9"/>
        <v>OK</v>
      </c>
      <c r="H282" s="153" t="b">
        <v>1</v>
      </c>
    </row>
    <row r="283" spans="1:8" x14ac:dyDescent="0.3">
      <c r="A283" s="153" t="s">
        <v>1211</v>
      </c>
      <c r="B283" s="153" t="s">
        <v>797</v>
      </c>
      <c r="C283" s="153" t="s">
        <v>1212</v>
      </c>
      <c r="D283" s="153">
        <v>70</v>
      </c>
      <c r="E283" s="153">
        <v>70</v>
      </c>
      <c r="F283" s="153">
        <f t="shared" si="8"/>
        <v>0</v>
      </c>
      <c r="G283" s="153" t="str">
        <f t="shared" si="9"/>
        <v>OK</v>
      </c>
      <c r="H283" s="153" t="b">
        <v>1</v>
      </c>
    </row>
    <row r="284" spans="1:8" x14ac:dyDescent="0.3">
      <c r="A284" s="153" t="s">
        <v>1213</v>
      </c>
      <c r="B284" s="153" t="s">
        <v>797</v>
      </c>
      <c r="C284" s="153" t="s">
        <v>1214</v>
      </c>
      <c r="D284" s="153">
        <v>53</v>
      </c>
      <c r="E284" s="153">
        <v>53</v>
      </c>
      <c r="F284" s="153">
        <f t="shared" si="8"/>
        <v>0</v>
      </c>
      <c r="G284" s="153" t="str">
        <f t="shared" si="9"/>
        <v>OK</v>
      </c>
      <c r="H284" s="153" t="b">
        <v>1</v>
      </c>
    </row>
    <row r="285" spans="1:8" x14ac:dyDescent="0.3">
      <c r="A285" s="153" t="s">
        <v>1215</v>
      </c>
      <c r="B285" s="153" t="s">
        <v>797</v>
      </c>
      <c r="C285" s="153" t="s">
        <v>1216</v>
      </c>
      <c r="D285" s="153">
        <v>0.21783806000822031</v>
      </c>
      <c r="E285" s="153">
        <v>0.21783806000822031</v>
      </c>
      <c r="F285" s="153">
        <f t="shared" si="8"/>
        <v>0</v>
      </c>
      <c r="G285" s="153" t="str">
        <f t="shared" si="9"/>
        <v>OK</v>
      </c>
      <c r="H285" s="153" t="b">
        <v>1</v>
      </c>
    </row>
    <row r="286" spans="1:8" x14ac:dyDescent="0.3">
      <c r="A286" s="153" t="s">
        <v>1217</v>
      </c>
      <c r="B286" s="153" t="s">
        <v>797</v>
      </c>
      <c r="C286" s="153" t="s">
        <v>1218</v>
      </c>
      <c r="D286" s="153">
        <v>174</v>
      </c>
      <c r="E286" s="153">
        <v>174</v>
      </c>
      <c r="F286" s="153">
        <f t="shared" si="8"/>
        <v>0</v>
      </c>
      <c r="G286" s="153" t="str">
        <f t="shared" si="9"/>
        <v>OK</v>
      </c>
      <c r="H286" s="153" t="b">
        <v>1</v>
      </c>
    </row>
    <row r="287" spans="1:8" x14ac:dyDescent="0.3">
      <c r="A287" s="153" t="s">
        <v>1219</v>
      </c>
      <c r="B287" s="153" t="s">
        <v>797</v>
      </c>
      <c r="C287" s="153" t="s">
        <v>1220</v>
      </c>
      <c r="D287" s="153">
        <v>24</v>
      </c>
      <c r="E287" s="153">
        <v>24</v>
      </c>
      <c r="F287" s="153">
        <f t="shared" si="8"/>
        <v>0</v>
      </c>
      <c r="G287" s="153" t="str">
        <f t="shared" si="9"/>
        <v>OK</v>
      </c>
      <c r="H287" s="153" t="b">
        <v>1</v>
      </c>
    </row>
    <row r="288" spans="1:8" x14ac:dyDescent="0.3">
      <c r="A288" s="153" t="s">
        <v>1221</v>
      </c>
      <c r="B288" s="153" t="s">
        <v>797</v>
      </c>
      <c r="C288" s="153" t="s">
        <v>1222</v>
      </c>
      <c r="D288" s="153">
        <v>80</v>
      </c>
      <c r="E288" s="153">
        <v>80</v>
      </c>
      <c r="F288" s="153">
        <f t="shared" si="8"/>
        <v>0</v>
      </c>
      <c r="G288" s="153" t="str">
        <f t="shared" si="9"/>
        <v>OK</v>
      </c>
      <c r="H288" s="153" t="b">
        <v>1</v>
      </c>
    </row>
    <row r="289" spans="1:8" x14ac:dyDescent="0.3">
      <c r="A289" s="153" t="s">
        <v>1223</v>
      </c>
      <c r="B289" s="153" t="s">
        <v>797</v>
      </c>
      <c r="C289" s="153" t="s">
        <v>1224</v>
      </c>
      <c r="D289" s="153">
        <v>83</v>
      </c>
      <c r="E289" s="153">
        <v>83</v>
      </c>
      <c r="F289" s="153">
        <f t="shared" si="8"/>
        <v>0</v>
      </c>
      <c r="G289" s="153" t="str">
        <f t="shared" si="9"/>
        <v>OK</v>
      </c>
      <c r="H289" s="153" t="b">
        <v>1</v>
      </c>
    </row>
    <row r="290" spans="1:8" x14ac:dyDescent="0.3">
      <c r="A290" s="153" t="s">
        <v>1225</v>
      </c>
      <c r="B290" s="153" t="s">
        <v>797</v>
      </c>
      <c r="C290" s="153" t="s">
        <v>1226</v>
      </c>
      <c r="D290" s="153">
        <v>59.1</v>
      </c>
      <c r="E290" s="153">
        <v>59.1</v>
      </c>
      <c r="F290" s="153">
        <f t="shared" si="8"/>
        <v>0</v>
      </c>
      <c r="G290" s="153" t="str">
        <f t="shared" si="9"/>
        <v>OK</v>
      </c>
      <c r="H290" s="153" t="b">
        <v>1</v>
      </c>
    </row>
    <row r="291" spans="1:8" x14ac:dyDescent="0.3">
      <c r="A291" s="153" t="s">
        <v>1227</v>
      </c>
      <c r="B291" s="153" t="s">
        <v>797</v>
      </c>
      <c r="C291" s="153" t="s">
        <v>1228</v>
      </c>
      <c r="D291" s="153">
        <v>0.2429099876695438</v>
      </c>
      <c r="E291" s="153">
        <v>0.2429099876695438</v>
      </c>
      <c r="F291" s="153">
        <f t="shared" si="8"/>
        <v>0</v>
      </c>
      <c r="G291" s="153" t="str">
        <f t="shared" si="9"/>
        <v>OK</v>
      </c>
      <c r="H291" s="153" t="b">
        <v>1</v>
      </c>
    </row>
    <row r="292" spans="1:8" x14ac:dyDescent="0.3">
      <c r="A292" s="153" t="s">
        <v>1229</v>
      </c>
      <c r="B292" s="153" t="s">
        <v>797</v>
      </c>
      <c r="C292" s="153" t="s">
        <v>1230</v>
      </c>
      <c r="D292" s="153">
        <v>194</v>
      </c>
      <c r="E292" s="153">
        <v>194</v>
      </c>
      <c r="F292" s="153">
        <f t="shared" si="8"/>
        <v>0</v>
      </c>
      <c r="G292" s="153" t="str">
        <f t="shared" si="9"/>
        <v>OK</v>
      </c>
      <c r="H292" s="153" t="b">
        <v>1</v>
      </c>
    </row>
    <row r="293" spans="1:8" x14ac:dyDescent="0.3">
      <c r="A293" s="153" t="s">
        <v>1231</v>
      </c>
      <c r="B293" s="153" t="s">
        <v>797</v>
      </c>
      <c r="C293" s="153" t="s">
        <v>1232</v>
      </c>
      <c r="D293" s="153">
        <v>30</v>
      </c>
      <c r="E293" s="153">
        <v>30</v>
      </c>
      <c r="F293" s="153">
        <f t="shared" si="8"/>
        <v>0</v>
      </c>
      <c r="G293" s="153" t="str">
        <f t="shared" si="9"/>
        <v>OK</v>
      </c>
      <c r="H293" s="153" t="b">
        <v>1</v>
      </c>
    </row>
    <row r="294" spans="1:8" x14ac:dyDescent="0.3">
      <c r="A294" s="153" t="s">
        <v>1233</v>
      </c>
      <c r="B294" s="153" t="s">
        <v>797</v>
      </c>
      <c r="C294" s="153" t="s">
        <v>1234</v>
      </c>
      <c r="D294" s="153">
        <v>88</v>
      </c>
      <c r="E294" s="153">
        <v>88</v>
      </c>
      <c r="F294" s="153">
        <f t="shared" si="8"/>
        <v>0</v>
      </c>
      <c r="G294" s="153" t="str">
        <f t="shared" si="9"/>
        <v>OK</v>
      </c>
      <c r="H294" s="153" t="b">
        <v>1</v>
      </c>
    </row>
    <row r="295" spans="1:8" x14ac:dyDescent="0.3">
      <c r="A295" s="153" t="s">
        <v>1235</v>
      </c>
      <c r="B295" s="153" t="s">
        <v>797</v>
      </c>
      <c r="C295" s="153" t="s">
        <v>1236</v>
      </c>
      <c r="D295" s="153">
        <v>102</v>
      </c>
      <c r="E295" s="153">
        <v>102</v>
      </c>
      <c r="F295" s="153">
        <f t="shared" si="8"/>
        <v>0</v>
      </c>
      <c r="G295" s="153" t="str">
        <f t="shared" si="9"/>
        <v>OK</v>
      </c>
      <c r="H295" s="153" t="b">
        <v>1</v>
      </c>
    </row>
    <row r="296" spans="1:8" x14ac:dyDescent="0.3">
      <c r="A296" s="153" t="s">
        <v>1237</v>
      </c>
      <c r="B296" s="153" t="s">
        <v>797</v>
      </c>
      <c r="C296" s="153" t="s">
        <v>1238</v>
      </c>
      <c r="D296" s="153">
        <v>71.8</v>
      </c>
      <c r="E296" s="153">
        <v>71.8</v>
      </c>
      <c r="F296" s="153">
        <f t="shared" si="8"/>
        <v>0</v>
      </c>
      <c r="G296" s="153" t="str">
        <f t="shared" si="9"/>
        <v>OK</v>
      </c>
      <c r="H296" s="153" t="b">
        <v>1</v>
      </c>
    </row>
    <row r="297" spans="1:8" x14ac:dyDescent="0.3">
      <c r="A297" s="153" t="s">
        <v>1239</v>
      </c>
      <c r="B297" s="153" t="s">
        <v>797</v>
      </c>
      <c r="C297" s="153" t="s">
        <v>1240</v>
      </c>
      <c r="D297" s="153">
        <v>0.29510891903000408</v>
      </c>
      <c r="E297" s="153">
        <v>0.29510891903000408</v>
      </c>
      <c r="F297" s="153">
        <f t="shared" si="8"/>
        <v>0</v>
      </c>
      <c r="G297" s="153" t="str">
        <f t="shared" si="9"/>
        <v>OK</v>
      </c>
      <c r="H297" s="153" t="b">
        <v>1</v>
      </c>
    </row>
    <row r="298" spans="1:8" x14ac:dyDescent="0.3">
      <c r="A298" s="153" t="s">
        <v>1241</v>
      </c>
      <c r="B298" s="153" t="s">
        <v>797</v>
      </c>
      <c r="C298" s="153" t="s">
        <v>1242</v>
      </c>
      <c r="D298" s="153">
        <v>236</v>
      </c>
      <c r="E298" s="153">
        <v>236</v>
      </c>
      <c r="F298" s="153">
        <f t="shared" si="8"/>
        <v>0</v>
      </c>
      <c r="G298" s="153" t="str">
        <f t="shared" si="9"/>
        <v>OK</v>
      </c>
      <c r="H298" s="153" t="b">
        <v>1</v>
      </c>
    </row>
    <row r="299" spans="1:8" x14ac:dyDescent="0.3">
      <c r="A299" s="153" t="s">
        <v>1243</v>
      </c>
      <c r="B299" s="153" t="s">
        <v>797</v>
      </c>
      <c r="C299" s="153" t="s">
        <v>1244</v>
      </c>
      <c r="D299" s="153">
        <v>26</v>
      </c>
      <c r="E299" s="153">
        <v>26</v>
      </c>
      <c r="F299" s="153">
        <f t="shared" si="8"/>
        <v>0</v>
      </c>
      <c r="G299" s="153" t="str">
        <f t="shared" si="9"/>
        <v>OK</v>
      </c>
      <c r="H299" s="153" t="b">
        <v>1</v>
      </c>
    </row>
    <row r="300" spans="1:8" x14ac:dyDescent="0.3">
      <c r="A300" s="153" t="s">
        <v>1245</v>
      </c>
      <c r="B300" s="153" t="s">
        <v>797</v>
      </c>
      <c r="C300" s="153" t="s">
        <v>1246</v>
      </c>
      <c r="D300" s="153">
        <v>40</v>
      </c>
      <c r="E300" s="153">
        <v>40</v>
      </c>
      <c r="F300" s="153">
        <f t="shared" si="8"/>
        <v>0</v>
      </c>
      <c r="G300" s="153" t="str">
        <f t="shared" si="9"/>
        <v>OK</v>
      </c>
      <c r="H300" s="153" t="b">
        <v>1</v>
      </c>
    </row>
    <row r="301" spans="1:8" x14ac:dyDescent="0.3">
      <c r="A301" s="153" t="s">
        <v>1247</v>
      </c>
      <c r="B301" s="153" t="s">
        <v>797</v>
      </c>
      <c r="C301" s="153" t="s">
        <v>1248</v>
      </c>
      <c r="D301" s="153">
        <v>90</v>
      </c>
      <c r="E301" s="153">
        <v>90</v>
      </c>
      <c r="F301" s="153">
        <f t="shared" si="8"/>
        <v>0</v>
      </c>
      <c r="G301" s="153" t="str">
        <f t="shared" si="9"/>
        <v>OK</v>
      </c>
      <c r="H301" s="153" t="b">
        <v>1</v>
      </c>
    </row>
    <row r="302" spans="1:8" x14ac:dyDescent="0.3">
      <c r="A302" s="153" t="s">
        <v>1249</v>
      </c>
      <c r="B302" s="153" t="s">
        <v>797</v>
      </c>
      <c r="C302" s="153" t="s">
        <v>1250</v>
      </c>
      <c r="D302" s="153">
        <v>59.4</v>
      </c>
      <c r="E302" s="153">
        <v>59.4</v>
      </c>
      <c r="F302" s="153">
        <f t="shared" si="8"/>
        <v>0</v>
      </c>
      <c r="G302" s="153" t="str">
        <f t="shared" si="9"/>
        <v>OK</v>
      </c>
      <c r="H302" s="153" t="b">
        <v>1</v>
      </c>
    </row>
    <row r="303" spans="1:8" x14ac:dyDescent="0.3">
      <c r="A303" s="153" t="s">
        <v>1251</v>
      </c>
      <c r="B303" s="153" t="s">
        <v>797</v>
      </c>
      <c r="C303" s="153" t="s">
        <v>1252</v>
      </c>
      <c r="D303" s="153">
        <v>0.2441430332922318</v>
      </c>
      <c r="E303" s="153">
        <v>0.2441430332922318</v>
      </c>
      <c r="F303" s="153">
        <f t="shared" si="8"/>
        <v>0</v>
      </c>
      <c r="G303" s="153" t="str">
        <f t="shared" si="9"/>
        <v>OK</v>
      </c>
      <c r="H303" s="153" t="b">
        <v>1</v>
      </c>
    </row>
    <row r="304" spans="1:8" x14ac:dyDescent="0.3">
      <c r="A304" s="153" t="s">
        <v>1253</v>
      </c>
      <c r="B304" s="153" t="s">
        <v>797</v>
      </c>
      <c r="C304" s="153" t="s">
        <v>1254</v>
      </c>
      <c r="D304" s="153">
        <v>195</v>
      </c>
      <c r="E304" s="153">
        <v>195</v>
      </c>
      <c r="F304" s="153">
        <f t="shared" si="8"/>
        <v>0</v>
      </c>
      <c r="G304" s="153" t="str">
        <f t="shared" si="9"/>
        <v>OK</v>
      </c>
      <c r="H304" s="153" t="b">
        <v>1</v>
      </c>
    </row>
    <row r="305" spans="1:8" x14ac:dyDescent="0.3">
      <c r="A305" s="153" t="s">
        <v>1255</v>
      </c>
      <c r="B305" s="153" t="s">
        <v>797</v>
      </c>
      <c r="C305" s="153" t="s">
        <v>1256</v>
      </c>
      <c r="D305" s="153">
        <v>5</v>
      </c>
      <c r="E305" s="153">
        <v>5</v>
      </c>
      <c r="F305" s="153">
        <f t="shared" si="8"/>
        <v>0</v>
      </c>
      <c r="G305" s="153" t="str">
        <f t="shared" si="9"/>
        <v>OK</v>
      </c>
      <c r="H305" s="153" t="b">
        <v>1</v>
      </c>
    </row>
    <row r="306" spans="1:8" x14ac:dyDescent="0.3">
      <c r="A306" s="153" t="s">
        <v>1257</v>
      </c>
      <c r="B306" s="153" t="s">
        <v>797</v>
      </c>
      <c r="C306" s="153" t="s">
        <v>1258</v>
      </c>
      <c r="D306" s="153">
        <v>12</v>
      </c>
      <c r="E306" s="153">
        <v>12</v>
      </c>
      <c r="F306" s="153">
        <f t="shared" si="8"/>
        <v>0</v>
      </c>
      <c r="G306" s="153" t="str">
        <f t="shared" si="9"/>
        <v>OK</v>
      </c>
      <c r="H306" s="153" t="b">
        <v>1</v>
      </c>
    </row>
    <row r="307" spans="1:8" x14ac:dyDescent="0.3">
      <c r="A307" s="153" t="s">
        <v>1259</v>
      </c>
      <c r="B307" s="153" t="s">
        <v>797</v>
      </c>
      <c r="C307" s="153" t="s">
        <v>1260</v>
      </c>
      <c r="D307" s="153">
        <v>0.22388059701492541</v>
      </c>
      <c r="E307" s="153">
        <v>0.22388059701492541</v>
      </c>
      <c r="F307" s="153">
        <f t="shared" si="8"/>
        <v>0</v>
      </c>
      <c r="G307" s="153" t="str">
        <f t="shared" si="9"/>
        <v>OK</v>
      </c>
      <c r="H307" s="153" t="b">
        <v>1</v>
      </c>
    </row>
    <row r="308" spans="1:8" x14ac:dyDescent="0.3">
      <c r="A308" s="153" t="s">
        <v>1261</v>
      </c>
      <c r="B308" s="153" t="s">
        <v>797</v>
      </c>
      <c r="C308" s="153" t="s">
        <v>1262</v>
      </c>
      <c r="D308" s="153">
        <v>784</v>
      </c>
      <c r="E308" s="153">
        <v>784</v>
      </c>
      <c r="F308" s="153">
        <f t="shared" si="8"/>
        <v>0</v>
      </c>
      <c r="G308" s="153" t="str">
        <f t="shared" si="9"/>
        <v>OK</v>
      </c>
      <c r="H308" s="153" t="b">
        <v>1</v>
      </c>
    </row>
    <row r="309" spans="1:8" x14ac:dyDescent="0.3">
      <c r="A309" s="153" t="s">
        <v>1263</v>
      </c>
      <c r="B309" s="153" t="s">
        <v>797</v>
      </c>
      <c r="C309" s="153" t="s">
        <v>1264</v>
      </c>
      <c r="D309" s="153">
        <v>4.5</v>
      </c>
      <c r="E309" s="153">
        <v>4.5</v>
      </c>
      <c r="F309" s="153">
        <f t="shared" si="8"/>
        <v>0</v>
      </c>
      <c r="G309" s="153" t="str">
        <f t="shared" si="9"/>
        <v>OK</v>
      </c>
      <c r="H309" s="153" t="b">
        <v>1</v>
      </c>
    </row>
    <row r="310" spans="1:8" x14ac:dyDescent="0.3">
      <c r="A310" s="153" t="s">
        <v>1265</v>
      </c>
      <c r="B310" s="153" t="s">
        <v>797</v>
      </c>
      <c r="C310" s="153" t="s">
        <v>1266</v>
      </c>
      <c r="D310" s="153">
        <v>12.8</v>
      </c>
      <c r="E310" s="153">
        <v>12.8</v>
      </c>
      <c r="F310" s="153">
        <f t="shared" si="8"/>
        <v>0</v>
      </c>
      <c r="G310" s="153" t="str">
        <f t="shared" si="9"/>
        <v>OK</v>
      </c>
      <c r="H310" s="153" t="b">
        <v>1</v>
      </c>
    </row>
    <row r="311" spans="1:8" x14ac:dyDescent="0.3">
      <c r="A311" s="153" t="s">
        <v>1267</v>
      </c>
      <c r="B311" s="153" t="s">
        <v>797</v>
      </c>
      <c r="C311" s="153" t="s">
        <v>1268</v>
      </c>
      <c r="D311" s="153">
        <v>0.2388059701492537</v>
      </c>
      <c r="E311" s="153">
        <v>0.2388059701492537</v>
      </c>
      <c r="F311" s="153">
        <f t="shared" si="8"/>
        <v>0</v>
      </c>
      <c r="G311" s="153" t="str">
        <f t="shared" si="9"/>
        <v>OK</v>
      </c>
      <c r="H311" s="153" t="b">
        <v>1</v>
      </c>
    </row>
    <row r="312" spans="1:8" x14ac:dyDescent="0.3">
      <c r="A312" s="153" t="s">
        <v>1269</v>
      </c>
      <c r="B312" s="153" t="s">
        <v>797</v>
      </c>
      <c r="C312" s="153" t="s">
        <v>1270</v>
      </c>
      <c r="D312" s="153">
        <v>836</v>
      </c>
      <c r="E312" s="153">
        <v>836</v>
      </c>
      <c r="F312" s="153">
        <f t="shared" si="8"/>
        <v>0</v>
      </c>
      <c r="G312" s="153" t="str">
        <f t="shared" si="9"/>
        <v>OK</v>
      </c>
      <c r="H312" s="153" t="b">
        <v>1</v>
      </c>
    </row>
    <row r="313" spans="1:8" x14ac:dyDescent="0.3">
      <c r="A313" s="153" t="s">
        <v>1271</v>
      </c>
      <c r="B313" s="153" t="s">
        <v>797</v>
      </c>
      <c r="C313" s="153" t="s">
        <v>1272</v>
      </c>
      <c r="D313" s="153">
        <v>4.7</v>
      </c>
      <c r="E313" s="153">
        <v>4.7</v>
      </c>
      <c r="F313" s="153">
        <f t="shared" si="8"/>
        <v>0</v>
      </c>
      <c r="G313" s="153" t="str">
        <f t="shared" si="9"/>
        <v>OK</v>
      </c>
      <c r="H313" s="153" t="b">
        <v>1</v>
      </c>
    </row>
    <row r="314" spans="1:8" x14ac:dyDescent="0.3">
      <c r="A314" s="153" t="s">
        <v>1273</v>
      </c>
      <c r="B314" s="153" t="s">
        <v>797</v>
      </c>
      <c r="C314" s="153" t="s">
        <v>1274</v>
      </c>
      <c r="D314" s="153">
        <v>14.9</v>
      </c>
      <c r="E314" s="153">
        <v>14.9</v>
      </c>
      <c r="F314" s="153">
        <f t="shared" si="8"/>
        <v>0</v>
      </c>
      <c r="G314" s="153" t="str">
        <f t="shared" si="9"/>
        <v>OK</v>
      </c>
      <c r="H314" s="153" t="b">
        <v>1</v>
      </c>
    </row>
    <row r="315" spans="1:8" x14ac:dyDescent="0.3">
      <c r="A315" s="153" t="s">
        <v>1275</v>
      </c>
      <c r="B315" s="153" t="s">
        <v>797</v>
      </c>
      <c r="C315" s="153" t="s">
        <v>1276</v>
      </c>
      <c r="D315" s="153">
        <v>0.27798507462686561</v>
      </c>
      <c r="E315" s="153">
        <v>0.27798507462686561</v>
      </c>
      <c r="F315" s="153">
        <f t="shared" si="8"/>
        <v>0</v>
      </c>
      <c r="G315" s="153" t="str">
        <f t="shared" si="9"/>
        <v>OK</v>
      </c>
      <c r="H315" s="153" t="b">
        <v>1</v>
      </c>
    </row>
    <row r="316" spans="1:8" x14ac:dyDescent="0.3">
      <c r="A316" s="153" t="s">
        <v>1277</v>
      </c>
      <c r="B316" s="153" t="s">
        <v>797</v>
      </c>
      <c r="C316" s="153" t="s">
        <v>1278</v>
      </c>
      <c r="D316" s="153">
        <v>973</v>
      </c>
      <c r="E316" s="153">
        <v>973</v>
      </c>
      <c r="F316" s="153">
        <f t="shared" si="8"/>
        <v>0</v>
      </c>
      <c r="G316" s="153" t="str">
        <f t="shared" si="9"/>
        <v>OK</v>
      </c>
      <c r="H316" s="153" t="b">
        <v>1</v>
      </c>
    </row>
    <row r="317" spans="1:8" x14ac:dyDescent="0.3">
      <c r="A317" s="153" t="s">
        <v>1279</v>
      </c>
      <c r="B317" s="153" t="s">
        <v>797</v>
      </c>
      <c r="C317" s="153" t="s">
        <v>1280</v>
      </c>
      <c r="D317" s="153">
        <v>4.9000000000000004</v>
      </c>
      <c r="E317" s="153">
        <v>4.9000000000000004</v>
      </c>
      <c r="F317" s="153">
        <f t="shared" si="8"/>
        <v>0</v>
      </c>
      <c r="G317" s="153" t="str">
        <f t="shared" si="9"/>
        <v>OK</v>
      </c>
      <c r="H317" s="153" t="b">
        <v>1</v>
      </c>
    </row>
    <row r="318" spans="1:8" x14ac:dyDescent="0.3">
      <c r="A318" s="153" t="s">
        <v>1281</v>
      </c>
      <c r="B318" s="153" t="s">
        <v>797</v>
      </c>
      <c r="C318" s="153" t="s">
        <v>1282</v>
      </c>
      <c r="D318" s="153">
        <v>13.9</v>
      </c>
      <c r="E318" s="153">
        <v>13.9</v>
      </c>
      <c r="F318" s="153">
        <f t="shared" si="8"/>
        <v>0</v>
      </c>
      <c r="G318" s="153" t="str">
        <f t="shared" si="9"/>
        <v>OK</v>
      </c>
      <c r="H318" s="153" t="b">
        <v>1</v>
      </c>
    </row>
    <row r="319" spans="1:8" x14ac:dyDescent="0.3">
      <c r="A319" s="153" t="s">
        <v>1283</v>
      </c>
      <c r="B319" s="153" t="s">
        <v>797</v>
      </c>
      <c r="C319" s="153" t="s">
        <v>1284</v>
      </c>
      <c r="D319" s="153">
        <v>0.25932835820895522</v>
      </c>
      <c r="E319" s="153">
        <v>0.25932835820895522</v>
      </c>
      <c r="F319" s="153">
        <f t="shared" si="8"/>
        <v>0</v>
      </c>
      <c r="G319" s="153" t="str">
        <f t="shared" si="9"/>
        <v>OK</v>
      </c>
      <c r="H319" s="153" t="b">
        <v>1</v>
      </c>
    </row>
    <row r="320" spans="1:8" x14ac:dyDescent="0.3">
      <c r="A320" s="153" t="s">
        <v>1285</v>
      </c>
      <c r="B320" s="153" t="s">
        <v>797</v>
      </c>
      <c r="C320" s="153" t="s">
        <v>1286</v>
      </c>
      <c r="D320" s="153">
        <v>908</v>
      </c>
      <c r="E320" s="153">
        <v>908</v>
      </c>
      <c r="F320" s="153">
        <f t="shared" si="8"/>
        <v>0</v>
      </c>
      <c r="G320" s="153" t="str">
        <f t="shared" si="9"/>
        <v>OK</v>
      </c>
      <c r="H320" s="153" t="b">
        <v>1</v>
      </c>
    </row>
    <row r="321" spans="1:8" x14ac:dyDescent="0.3">
      <c r="A321" s="153" t="s">
        <v>1287</v>
      </c>
      <c r="B321" s="153" t="s">
        <v>797</v>
      </c>
      <c r="C321" s="153" t="s">
        <v>1288</v>
      </c>
      <c r="D321" s="153">
        <v>28</v>
      </c>
      <c r="E321" s="153">
        <v>28</v>
      </c>
      <c r="F321" s="153">
        <f t="shared" si="8"/>
        <v>0</v>
      </c>
      <c r="G321" s="153" t="str">
        <f t="shared" si="9"/>
        <v>OK</v>
      </c>
      <c r="H321" s="153" t="b">
        <v>1</v>
      </c>
    </row>
    <row r="322" spans="1:8" x14ac:dyDescent="0.3">
      <c r="A322" s="153" t="s">
        <v>1289</v>
      </c>
      <c r="B322" s="153" t="s">
        <v>797</v>
      </c>
      <c r="C322" s="153" t="s">
        <v>1290</v>
      </c>
      <c r="D322" s="153">
        <v>35</v>
      </c>
      <c r="E322" s="153">
        <v>35</v>
      </c>
      <c r="F322" s="153">
        <f t="shared" ref="F322:F385" si="10">IF(NOT(H322),"",IF(AND(ISNUMBER(D322),ISNUMBER(E322)),E322-D322,IF(D322=E322,0,1)))</f>
        <v>0</v>
      </c>
      <c r="G322" s="153" t="str">
        <f t="shared" ref="G322:G385" si="11">IF(NOT(H322),"PENDIENTE SIDE",IF(IF(AND(ISNUMBER(D322),ISNUMBER(E322)),IF(MOD(D322,1)=0,D322=E322,ABS(D322-E322)&lt;=0.000000001*MAX(1,ABS(D322),ABS(E322))),D322=E322),"OK","DIFERENCIA"))</f>
        <v>OK</v>
      </c>
      <c r="H322" s="153" t="b">
        <v>1</v>
      </c>
    </row>
    <row r="323" spans="1:8" x14ac:dyDescent="0.3">
      <c r="A323" s="153" t="s">
        <v>1291</v>
      </c>
      <c r="B323" s="153" t="s">
        <v>797</v>
      </c>
      <c r="C323" s="153" t="s">
        <v>1292</v>
      </c>
      <c r="D323" s="153">
        <v>0.2723735408560311</v>
      </c>
      <c r="E323" s="153">
        <v>0.2723735408560311</v>
      </c>
      <c r="F323" s="153">
        <f t="shared" si="10"/>
        <v>0</v>
      </c>
      <c r="G323" s="153" t="str">
        <f t="shared" si="11"/>
        <v>OK</v>
      </c>
      <c r="H323" s="153" t="b">
        <v>1</v>
      </c>
    </row>
    <row r="324" spans="1:8" x14ac:dyDescent="0.3">
      <c r="A324" s="153" t="s">
        <v>1293</v>
      </c>
      <c r="B324" s="153" t="s">
        <v>797</v>
      </c>
      <c r="C324" s="153" t="s">
        <v>1294</v>
      </c>
      <c r="D324" s="153">
        <v>953</v>
      </c>
      <c r="E324" s="153">
        <v>953</v>
      </c>
      <c r="F324" s="153">
        <f t="shared" si="10"/>
        <v>0</v>
      </c>
      <c r="G324" s="153" t="str">
        <f t="shared" si="11"/>
        <v>OK</v>
      </c>
      <c r="H324" s="153" t="b">
        <v>1</v>
      </c>
    </row>
    <row r="325" spans="1:8" x14ac:dyDescent="0.3">
      <c r="A325" s="153" t="s">
        <v>1295</v>
      </c>
      <c r="B325" s="153" t="s">
        <v>797</v>
      </c>
      <c r="C325" s="153" t="s">
        <v>1296</v>
      </c>
      <c r="D325" s="153">
        <v>25</v>
      </c>
      <c r="E325" s="153">
        <v>25</v>
      </c>
      <c r="F325" s="153">
        <f t="shared" si="10"/>
        <v>0</v>
      </c>
      <c r="G325" s="153" t="str">
        <f t="shared" si="11"/>
        <v>OK</v>
      </c>
      <c r="H325" s="153" t="b">
        <v>1</v>
      </c>
    </row>
    <row r="326" spans="1:8" x14ac:dyDescent="0.3">
      <c r="A326" s="153" t="s">
        <v>1297</v>
      </c>
      <c r="B326" s="153" t="s">
        <v>797</v>
      </c>
      <c r="C326" s="153" t="s">
        <v>1298</v>
      </c>
      <c r="D326" s="153">
        <v>33.299999999999997</v>
      </c>
      <c r="E326" s="153">
        <v>33.299999999999997</v>
      </c>
      <c r="F326" s="153">
        <f t="shared" si="10"/>
        <v>0</v>
      </c>
      <c r="G326" s="153" t="str">
        <f t="shared" si="11"/>
        <v>OK</v>
      </c>
      <c r="H326" s="153" t="b">
        <v>1</v>
      </c>
    </row>
    <row r="327" spans="1:8" x14ac:dyDescent="0.3">
      <c r="A327" s="153" t="s">
        <v>1299</v>
      </c>
      <c r="B327" s="153" t="s">
        <v>797</v>
      </c>
      <c r="C327" s="153" t="s">
        <v>1300</v>
      </c>
      <c r="D327" s="153">
        <v>0.2591439688715953</v>
      </c>
      <c r="E327" s="153">
        <v>0.2591439688715953</v>
      </c>
      <c r="F327" s="153">
        <f t="shared" si="10"/>
        <v>0</v>
      </c>
      <c r="G327" s="153" t="str">
        <f t="shared" si="11"/>
        <v>OK</v>
      </c>
      <c r="H327" s="153" t="b">
        <v>1</v>
      </c>
    </row>
    <row r="328" spans="1:8" x14ac:dyDescent="0.3">
      <c r="A328" s="153" t="s">
        <v>1301</v>
      </c>
      <c r="B328" s="153" t="s">
        <v>797</v>
      </c>
      <c r="C328" s="153" t="s">
        <v>1302</v>
      </c>
      <c r="D328" s="153">
        <v>907</v>
      </c>
      <c r="E328" s="153">
        <v>907</v>
      </c>
      <c r="F328" s="153">
        <f t="shared" si="10"/>
        <v>0</v>
      </c>
      <c r="G328" s="153" t="str">
        <f t="shared" si="11"/>
        <v>OK</v>
      </c>
      <c r="H328" s="153" t="b">
        <v>1</v>
      </c>
    </row>
    <row r="329" spans="1:8" x14ac:dyDescent="0.3">
      <c r="A329" s="153" t="s">
        <v>1303</v>
      </c>
      <c r="B329" s="153" t="s">
        <v>797</v>
      </c>
      <c r="C329" s="153" t="s">
        <v>1304</v>
      </c>
      <c r="D329" s="153">
        <v>21</v>
      </c>
      <c r="E329" s="153">
        <v>21</v>
      </c>
      <c r="F329" s="153">
        <f t="shared" si="10"/>
        <v>0</v>
      </c>
      <c r="G329" s="153" t="str">
        <f t="shared" si="11"/>
        <v>OK</v>
      </c>
      <c r="H329" s="153" t="b">
        <v>1</v>
      </c>
    </row>
    <row r="330" spans="1:8" x14ac:dyDescent="0.3">
      <c r="A330" s="153" t="s">
        <v>1305</v>
      </c>
      <c r="B330" s="153" t="s">
        <v>797</v>
      </c>
      <c r="C330" s="153" t="s">
        <v>1306</v>
      </c>
      <c r="D330" s="153">
        <v>31.2</v>
      </c>
      <c r="E330" s="153">
        <v>31.2</v>
      </c>
      <c r="F330" s="153">
        <f t="shared" si="10"/>
        <v>0</v>
      </c>
      <c r="G330" s="153" t="str">
        <f t="shared" si="11"/>
        <v>OK</v>
      </c>
      <c r="H330" s="153" t="b">
        <v>1</v>
      </c>
    </row>
    <row r="331" spans="1:8" x14ac:dyDescent="0.3">
      <c r="A331" s="153" t="s">
        <v>1307</v>
      </c>
      <c r="B331" s="153" t="s">
        <v>797</v>
      </c>
      <c r="C331" s="153" t="s">
        <v>1308</v>
      </c>
      <c r="D331" s="153">
        <v>0.24280155642023349</v>
      </c>
      <c r="E331" s="153">
        <v>0.24280155642023349</v>
      </c>
      <c r="F331" s="153">
        <f t="shared" si="10"/>
        <v>0</v>
      </c>
      <c r="G331" s="153" t="str">
        <f t="shared" si="11"/>
        <v>OK</v>
      </c>
      <c r="H331" s="153" t="b">
        <v>1</v>
      </c>
    </row>
    <row r="332" spans="1:8" x14ac:dyDescent="0.3">
      <c r="A332" s="153" t="s">
        <v>1309</v>
      </c>
      <c r="B332" s="153" t="s">
        <v>797</v>
      </c>
      <c r="C332" s="153" t="s">
        <v>1310</v>
      </c>
      <c r="D332" s="153">
        <v>850</v>
      </c>
      <c r="E332" s="153">
        <v>850</v>
      </c>
      <c r="F332" s="153">
        <f t="shared" si="10"/>
        <v>0</v>
      </c>
      <c r="G332" s="153" t="str">
        <f t="shared" si="11"/>
        <v>OK</v>
      </c>
      <c r="H332" s="153" t="b">
        <v>1</v>
      </c>
    </row>
    <row r="333" spans="1:8" x14ac:dyDescent="0.3">
      <c r="A333" s="153" t="s">
        <v>1311</v>
      </c>
      <c r="B333" s="153" t="s">
        <v>797</v>
      </c>
      <c r="C333" s="153" t="s">
        <v>1312</v>
      </c>
      <c r="D333" s="153">
        <v>20</v>
      </c>
      <c r="E333" s="153">
        <v>20</v>
      </c>
      <c r="F333" s="153">
        <f t="shared" si="10"/>
        <v>0</v>
      </c>
      <c r="G333" s="153" t="str">
        <f t="shared" si="11"/>
        <v>OK</v>
      </c>
      <c r="H333" s="153" t="b">
        <v>1</v>
      </c>
    </row>
    <row r="334" spans="1:8" x14ac:dyDescent="0.3">
      <c r="A334" s="153" t="s">
        <v>1313</v>
      </c>
      <c r="B334" s="153" t="s">
        <v>797</v>
      </c>
      <c r="C334" s="153" t="s">
        <v>1314</v>
      </c>
      <c r="D334" s="153">
        <v>29</v>
      </c>
      <c r="E334" s="153">
        <v>29</v>
      </c>
      <c r="F334" s="153">
        <f t="shared" si="10"/>
        <v>0</v>
      </c>
      <c r="G334" s="153" t="str">
        <f t="shared" si="11"/>
        <v>OK</v>
      </c>
      <c r="H334" s="153" t="b">
        <v>1</v>
      </c>
    </row>
    <row r="335" spans="1:8" x14ac:dyDescent="0.3">
      <c r="A335" s="153" t="s">
        <v>1315</v>
      </c>
      <c r="B335" s="153" t="s">
        <v>797</v>
      </c>
      <c r="C335" s="153" t="s">
        <v>1316</v>
      </c>
      <c r="D335" s="153">
        <v>0.22568093385214011</v>
      </c>
      <c r="E335" s="153">
        <v>0.22568093385214011</v>
      </c>
      <c r="F335" s="153">
        <f t="shared" si="10"/>
        <v>0</v>
      </c>
      <c r="G335" s="153" t="str">
        <f t="shared" si="11"/>
        <v>OK</v>
      </c>
      <c r="H335" s="153" t="b">
        <v>1</v>
      </c>
    </row>
    <row r="336" spans="1:8" x14ac:dyDescent="0.3">
      <c r="A336" s="153" t="s">
        <v>1317</v>
      </c>
      <c r="B336" s="153" t="s">
        <v>797</v>
      </c>
      <c r="C336" s="153" t="s">
        <v>1318</v>
      </c>
      <c r="D336" s="153">
        <v>790</v>
      </c>
      <c r="E336" s="153">
        <v>790</v>
      </c>
      <c r="F336" s="153">
        <f t="shared" si="10"/>
        <v>0</v>
      </c>
      <c r="G336" s="153" t="str">
        <f t="shared" si="11"/>
        <v>OK</v>
      </c>
      <c r="H336" s="153" t="b">
        <v>1</v>
      </c>
    </row>
    <row r="337" spans="1:8" x14ac:dyDescent="0.3">
      <c r="A337" s="153" t="s">
        <v>1319</v>
      </c>
      <c r="B337" s="153" t="s">
        <v>797</v>
      </c>
      <c r="C337" s="153" t="s">
        <v>1320</v>
      </c>
      <c r="D337" s="153">
        <v>55</v>
      </c>
      <c r="E337" s="153">
        <v>55</v>
      </c>
      <c r="F337" s="153">
        <f t="shared" si="10"/>
        <v>0</v>
      </c>
      <c r="G337" s="153" t="str">
        <f t="shared" si="11"/>
        <v>OK</v>
      </c>
      <c r="H337" s="153" t="b">
        <v>1</v>
      </c>
    </row>
    <row r="338" spans="1:8" x14ac:dyDescent="0.3">
      <c r="A338" s="153" t="s">
        <v>1321</v>
      </c>
      <c r="B338" s="153" t="s">
        <v>797</v>
      </c>
      <c r="C338" s="153" t="s">
        <v>1322</v>
      </c>
      <c r="D338" s="153">
        <v>62</v>
      </c>
      <c r="E338" s="153">
        <v>62</v>
      </c>
      <c r="F338" s="153">
        <f t="shared" si="10"/>
        <v>0</v>
      </c>
      <c r="G338" s="153" t="str">
        <f t="shared" si="11"/>
        <v>OK</v>
      </c>
      <c r="H338" s="153" t="b">
        <v>1</v>
      </c>
    </row>
    <row r="339" spans="1:8" x14ac:dyDescent="0.3">
      <c r="A339" s="153" t="s">
        <v>1323</v>
      </c>
      <c r="B339" s="153" t="s">
        <v>797</v>
      </c>
      <c r="C339" s="153" t="s">
        <v>1324</v>
      </c>
      <c r="D339" s="153">
        <v>0.26105263157894742</v>
      </c>
      <c r="E339" s="153">
        <v>0.26105263157894742</v>
      </c>
      <c r="F339" s="153">
        <f t="shared" si="10"/>
        <v>0</v>
      </c>
      <c r="G339" s="153" t="str">
        <f t="shared" si="11"/>
        <v>OK</v>
      </c>
      <c r="H339" s="153" t="b">
        <v>1</v>
      </c>
    </row>
    <row r="340" spans="1:8" x14ac:dyDescent="0.3">
      <c r="A340" s="153" t="s">
        <v>1325</v>
      </c>
      <c r="B340" s="153" t="s">
        <v>797</v>
      </c>
      <c r="C340" s="153" t="s">
        <v>1326</v>
      </c>
      <c r="D340" s="153">
        <v>209</v>
      </c>
      <c r="E340" s="153">
        <v>209</v>
      </c>
      <c r="F340" s="153">
        <f t="shared" si="10"/>
        <v>0</v>
      </c>
      <c r="G340" s="153" t="str">
        <f t="shared" si="11"/>
        <v>OK</v>
      </c>
      <c r="H340" s="153" t="b">
        <v>1</v>
      </c>
    </row>
    <row r="341" spans="1:8" x14ac:dyDescent="0.3">
      <c r="A341" s="153" t="s">
        <v>1327</v>
      </c>
      <c r="B341" s="153" t="s">
        <v>797</v>
      </c>
      <c r="C341" s="153" t="s">
        <v>1328</v>
      </c>
      <c r="D341" s="153">
        <v>50</v>
      </c>
      <c r="E341" s="153">
        <v>50</v>
      </c>
      <c r="F341" s="153">
        <f t="shared" si="10"/>
        <v>0</v>
      </c>
      <c r="G341" s="153" t="str">
        <f t="shared" si="11"/>
        <v>OK</v>
      </c>
      <c r="H341" s="153" t="b">
        <v>1</v>
      </c>
    </row>
    <row r="342" spans="1:8" x14ac:dyDescent="0.3">
      <c r="A342" s="153" t="s">
        <v>1329</v>
      </c>
      <c r="B342" s="153" t="s">
        <v>797</v>
      </c>
      <c r="C342" s="153" t="s">
        <v>1330</v>
      </c>
      <c r="D342" s="153">
        <v>58.3</v>
      </c>
      <c r="E342" s="153">
        <v>58.3</v>
      </c>
      <c r="F342" s="153">
        <f t="shared" si="10"/>
        <v>0</v>
      </c>
      <c r="G342" s="153" t="str">
        <f t="shared" si="11"/>
        <v>OK</v>
      </c>
      <c r="H342" s="153" t="b">
        <v>1</v>
      </c>
    </row>
    <row r="343" spans="1:8" x14ac:dyDescent="0.3">
      <c r="A343" s="153" t="s">
        <v>1331</v>
      </c>
      <c r="B343" s="153" t="s">
        <v>797</v>
      </c>
      <c r="C343" s="153" t="s">
        <v>1332</v>
      </c>
      <c r="D343" s="153">
        <v>0.24547368421052629</v>
      </c>
      <c r="E343" s="153">
        <v>0.24547368421052629</v>
      </c>
      <c r="F343" s="153">
        <f t="shared" si="10"/>
        <v>0</v>
      </c>
      <c r="G343" s="153" t="str">
        <f t="shared" si="11"/>
        <v>OK</v>
      </c>
      <c r="H343" s="153" t="b">
        <v>1</v>
      </c>
    </row>
    <row r="344" spans="1:8" x14ac:dyDescent="0.3">
      <c r="A344" s="153" t="s">
        <v>1333</v>
      </c>
      <c r="B344" s="153" t="s">
        <v>797</v>
      </c>
      <c r="C344" s="153" t="s">
        <v>1334</v>
      </c>
      <c r="D344" s="153">
        <v>196</v>
      </c>
      <c r="E344" s="153">
        <v>196</v>
      </c>
      <c r="F344" s="153">
        <f t="shared" si="10"/>
        <v>0</v>
      </c>
      <c r="G344" s="153" t="str">
        <f t="shared" si="11"/>
        <v>OK</v>
      </c>
      <c r="H344" s="153" t="b">
        <v>1</v>
      </c>
    </row>
    <row r="345" spans="1:8" x14ac:dyDescent="0.3">
      <c r="A345" s="153" t="s">
        <v>1335</v>
      </c>
      <c r="B345" s="153" t="s">
        <v>797</v>
      </c>
      <c r="C345" s="153" t="s">
        <v>1336</v>
      </c>
      <c r="D345" s="153">
        <v>58</v>
      </c>
      <c r="E345" s="153">
        <v>58</v>
      </c>
      <c r="F345" s="153">
        <f t="shared" si="10"/>
        <v>0</v>
      </c>
      <c r="G345" s="153" t="str">
        <f t="shared" si="11"/>
        <v>OK</v>
      </c>
      <c r="H345" s="153" t="b">
        <v>1</v>
      </c>
    </row>
    <row r="346" spans="1:8" x14ac:dyDescent="0.3">
      <c r="A346" s="153" t="s">
        <v>1337</v>
      </c>
      <c r="B346" s="153" t="s">
        <v>797</v>
      </c>
      <c r="C346" s="153" t="s">
        <v>1338</v>
      </c>
      <c r="D346" s="153">
        <v>68.2</v>
      </c>
      <c r="E346" s="153">
        <v>68.2</v>
      </c>
      <c r="F346" s="153">
        <f t="shared" si="10"/>
        <v>0</v>
      </c>
      <c r="G346" s="153" t="str">
        <f t="shared" si="11"/>
        <v>OK</v>
      </c>
      <c r="H346" s="153" t="b">
        <v>1</v>
      </c>
    </row>
    <row r="347" spans="1:8" x14ac:dyDescent="0.3">
      <c r="A347" s="153" t="s">
        <v>1339</v>
      </c>
      <c r="B347" s="153" t="s">
        <v>797</v>
      </c>
      <c r="C347" s="153" t="s">
        <v>1340</v>
      </c>
      <c r="D347" s="153">
        <v>0.28715789473684211</v>
      </c>
      <c r="E347" s="153">
        <v>0.28715789473684211</v>
      </c>
      <c r="F347" s="153">
        <f t="shared" si="10"/>
        <v>0</v>
      </c>
      <c r="G347" s="153" t="str">
        <f t="shared" si="11"/>
        <v>OK</v>
      </c>
      <c r="H347" s="153" t="b">
        <v>1</v>
      </c>
    </row>
    <row r="348" spans="1:8" x14ac:dyDescent="0.3">
      <c r="A348" s="153" t="s">
        <v>1341</v>
      </c>
      <c r="B348" s="153" t="s">
        <v>797</v>
      </c>
      <c r="C348" s="153" t="s">
        <v>1342</v>
      </c>
      <c r="D348" s="153">
        <v>230</v>
      </c>
      <c r="E348" s="153">
        <v>230</v>
      </c>
      <c r="F348" s="153">
        <f t="shared" si="10"/>
        <v>0</v>
      </c>
      <c r="G348" s="153" t="str">
        <f t="shared" si="11"/>
        <v>OK</v>
      </c>
      <c r="H348" s="153" t="b">
        <v>1</v>
      </c>
    </row>
    <row r="349" spans="1:8" x14ac:dyDescent="0.3">
      <c r="A349" s="153" t="s">
        <v>1343</v>
      </c>
      <c r="B349" s="153" t="s">
        <v>797</v>
      </c>
      <c r="C349" s="153" t="s">
        <v>1344</v>
      </c>
      <c r="D349" s="153">
        <v>40</v>
      </c>
      <c r="E349" s="153">
        <v>40</v>
      </c>
      <c r="F349" s="153">
        <f t="shared" si="10"/>
        <v>0</v>
      </c>
      <c r="G349" s="153" t="str">
        <f t="shared" si="11"/>
        <v>OK</v>
      </c>
      <c r="H349" s="153" t="b">
        <v>1</v>
      </c>
    </row>
    <row r="350" spans="1:8" x14ac:dyDescent="0.3">
      <c r="A350" s="153" t="s">
        <v>1345</v>
      </c>
      <c r="B350" s="153" t="s">
        <v>797</v>
      </c>
      <c r="C350" s="153" t="s">
        <v>1346</v>
      </c>
      <c r="D350" s="153">
        <v>49</v>
      </c>
      <c r="E350" s="153">
        <v>49</v>
      </c>
      <c r="F350" s="153">
        <f t="shared" si="10"/>
        <v>0</v>
      </c>
      <c r="G350" s="153" t="str">
        <f t="shared" si="11"/>
        <v>OK</v>
      </c>
      <c r="H350" s="153" t="b">
        <v>1</v>
      </c>
    </row>
    <row r="351" spans="1:8" x14ac:dyDescent="0.3">
      <c r="A351" s="153" t="s">
        <v>1347</v>
      </c>
      <c r="B351" s="153" t="s">
        <v>797</v>
      </c>
      <c r="C351" s="153" t="s">
        <v>1348</v>
      </c>
      <c r="D351" s="153">
        <v>0.2063157894736842</v>
      </c>
      <c r="E351" s="153">
        <v>0.2063157894736842</v>
      </c>
      <c r="F351" s="153">
        <f t="shared" si="10"/>
        <v>0</v>
      </c>
      <c r="G351" s="153" t="str">
        <f t="shared" si="11"/>
        <v>OK</v>
      </c>
      <c r="H351" s="153" t="b">
        <v>1</v>
      </c>
    </row>
    <row r="352" spans="1:8" x14ac:dyDescent="0.3">
      <c r="A352" s="153" t="s">
        <v>1349</v>
      </c>
      <c r="B352" s="153" t="s">
        <v>797</v>
      </c>
      <c r="C352" s="153" t="s">
        <v>1350</v>
      </c>
      <c r="D352" s="153">
        <v>165</v>
      </c>
      <c r="E352" s="153">
        <v>165</v>
      </c>
      <c r="F352" s="153">
        <f t="shared" si="10"/>
        <v>0</v>
      </c>
      <c r="G352" s="153" t="str">
        <f t="shared" si="11"/>
        <v>OK</v>
      </c>
      <c r="H352" s="153" t="b">
        <v>1</v>
      </c>
    </row>
  </sheetData>
  <autoFilter ref="A1:H352" xr:uid="{00000000-0009-0000-0000-00000D000000}"/>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469"/>
  <sheetViews>
    <sheetView workbookViewId="0">
      <pane xSplit="3" ySplit="1" topLeftCell="D2" activePane="bottomRight" state="frozen"/>
      <selection pane="topRight"/>
      <selection pane="bottomLeft"/>
      <selection pane="bottomRight"/>
    </sheetView>
  </sheetViews>
  <sheetFormatPr baseColWidth="10" defaultColWidth="8.88671875" defaultRowHeight="14.4" x14ac:dyDescent="0.3"/>
  <cols>
    <col min="1" max="1" width="42" customWidth="1"/>
    <col min="2" max="2" width="28" customWidth="1"/>
    <col min="3" max="3" width="14" customWidth="1"/>
    <col min="4" max="5" width="24" customWidth="1"/>
    <col min="6" max="6" width="20" customWidth="1"/>
    <col min="7" max="7" width="22" customWidth="1"/>
  </cols>
  <sheetData>
    <row r="1" spans="1:8" x14ac:dyDescent="0.3">
      <c r="A1" s="154" t="s">
        <v>653</v>
      </c>
      <c r="B1" s="154" t="s">
        <v>654</v>
      </c>
      <c r="C1" s="154" t="s">
        <v>655</v>
      </c>
      <c r="D1" s="154" t="s">
        <v>656</v>
      </c>
      <c r="E1" s="154" t="s">
        <v>657</v>
      </c>
      <c r="F1" s="154" t="s">
        <v>658</v>
      </c>
      <c r="G1" s="154" t="s">
        <v>659</v>
      </c>
      <c r="H1" s="154" t="s">
        <v>660</v>
      </c>
    </row>
    <row r="2" spans="1:8" x14ac:dyDescent="0.3">
      <c r="A2" s="153" t="s">
        <v>1351</v>
      </c>
      <c r="B2" s="153" t="s">
        <v>1352</v>
      </c>
      <c r="C2" s="153" t="s">
        <v>1353</v>
      </c>
      <c r="D2" s="153">
        <v>6.4230769230769234</v>
      </c>
      <c r="E2" s="153">
        <v>6.4230769230769234</v>
      </c>
      <c r="F2" s="153">
        <f t="shared" ref="F2:F65" si="0">IF(NOT(H2),"",IF(AND(ISNUMBER(D2),ISNUMBER(E2)),E2-D2,IF(D2=E2,0,1)))</f>
        <v>0</v>
      </c>
      <c r="G2" s="153" t="str">
        <f t="shared" ref="G2:G65" si="1">IF(NOT(H2),"PENDIENTE SIDE",IF(IF(AND(ISNUMBER(D2),ISNUMBER(E2)),IF(MOD(D2,1)=0,D2=E2,ABS(D2-E2)&lt;=0.000000001*MAX(1,ABS(D2),ABS(E2))),D2=E2),"OK","DIFERENCIA"))</f>
        <v>OK</v>
      </c>
      <c r="H2" s="153" t="b">
        <v>1</v>
      </c>
    </row>
    <row r="3" spans="1:8" x14ac:dyDescent="0.3">
      <c r="A3" s="153" t="s">
        <v>1354</v>
      </c>
      <c r="B3" s="153" t="s">
        <v>1352</v>
      </c>
      <c r="C3" s="153" t="s">
        <v>1355</v>
      </c>
      <c r="D3" s="153">
        <v>17</v>
      </c>
      <c r="E3" s="153">
        <v>17</v>
      </c>
      <c r="F3" s="153">
        <f t="shared" si="0"/>
        <v>0</v>
      </c>
      <c r="G3" s="153" t="str">
        <f t="shared" si="1"/>
        <v>OK</v>
      </c>
      <c r="H3" s="153" t="b">
        <v>1</v>
      </c>
    </row>
    <row r="4" spans="1:8" x14ac:dyDescent="0.3">
      <c r="A4" s="153" t="s">
        <v>1356</v>
      </c>
      <c r="B4" s="153" t="s">
        <v>1352</v>
      </c>
      <c r="C4" s="153" t="s">
        <v>1357</v>
      </c>
      <c r="D4" s="153">
        <v>10</v>
      </c>
      <c r="E4" s="153">
        <v>10</v>
      </c>
      <c r="F4" s="153">
        <f t="shared" si="0"/>
        <v>0</v>
      </c>
      <c r="G4" s="153" t="str">
        <f t="shared" si="1"/>
        <v>OK</v>
      </c>
      <c r="H4" s="153" t="b">
        <v>1</v>
      </c>
    </row>
    <row r="5" spans="1:8" x14ac:dyDescent="0.3">
      <c r="A5" s="153" t="s">
        <v>1358</v>
      </c>
      <c r="B5" s="153" t="s">
        <v>1352</v>
      </c>
      <c r="C5" s="153" t="s">
        <v>1359</v>
      </c>
      <c r="D5" s="153">
        <v>-3</v>
      </c>
      <c r="E5" s="153">
        <v>-3</v>
      </c>
      <c r="F5" s="153">
        <f t="shared" si="0"/>
        <v>0</v>
      </c>
      <c r="G5" s="153" t="str">
        <f t="shared" si="1"/>
        <v>OK</v>
      </c>
      <c r="H5" s="153" t="b">
        <v>1</v>
      </c>
    </row>
    <row r="6" spans="1:8" x14ac:dyDescent="0.3">
      <c r="A6" s="153" t="s">
        <v>1360</v>
      </c>
      <c r="B6" s="153" t="s">
        <v>1352</v>
      </c>
      <c r="C6" s="153" t="s">
        <v>1361</v>
      </c>
      <c r="D6" s="153">
        <v>17.2</v>
      </c>
      <c r="E6" s="153">
        <v>17.2</v>
      </c>
      <c r="F6" s="153">
        <f t="shared" si="0"/>
        <v>0</v>
      </c>
      <c r="G6" s="153" t="str">
        <f t="shared" si="1"/>
        <v>OK</v>
      </c>
      <c r="H6" s="153" t="b">
        <v>1</v>
      </c>
    </row>
    <row r="7" spans="1:8" x14ac:dyDescent="0.3">
      <c r="A7" s="153" t="s">
        <v>1362</v>
      </c>
      <c r="B7" s="153" t="s">
        <v>1352</v>
      </c>
      <c r="C7" s="153" t="s">
        <v>1363</v>
      </c>
      <c r="D7" s="153">
        <v>445.82400000000001</v>
      </c>
      <c r="E7" s="153">
        <v>445.82400000000001</v>
      </c>
      <c r="F7" s="153">
        <f t="shared" si="0"/>
        <v>0</v>
      </c>
      <c r="G7" s="153" t="str">
        <f t="shared" si="1"/>
        <v>OK</v>
      </c>
      <c r="H7" s="153" t="b">
        <v>1</v>
      </c>
    </row>
    <row r="8" spans="1:8" x14ac:dyDescent="0.3">
      <c r="A8" s="153" t="s">
        <v>1364</v>
      </c>
      <c r="B8" s="153" t="s">
        <v>1352</v>
      </c>
      <c r="C8" s="153" t="s">
        <v>1365</v>
      </c>
      <c r="D8" s="153">
        <v>0.96000000000000008</v>
      </c>
      <c r="E8" s="153">
        <v>0.96000000000000008</v>
      </c>
      <c r="F8" s="153">
        <f t="shared" si="0"/>
        <v>0</v>
      </c>
      <c r="G8" s="153" t="str">
        <f t="shared" si="1"/>
        <v>OK</v>
      </c>
      <c r="H8" s="153" t="b">
        <v>1</v>
      </c>
    </row>
    <row r="9" spans="1:8" x14ac:dyDescent="0.3">
      <c r="A9" s="153" t="s">
        <v>1366</v>
      </c>
      <c r="B9" s="153" t="s">
        <v>1352</v>
      </c>
      <c r="C9" s="153" t="s">
        <v>1367</v>
      </c>
      <c r="D9" s="153">
        <v>428</v>
      </c>
      <c r="E9" s="153">
        <v>428</v>
      </c>
      <c r="F9" s="153">
        <f t="shared" si="0"/>
        <v>0</v>
      </c>
      <c r="G9" s="153" t="str">
        <f t="shared" si="1"/>
        <v>OK</v>
      </c>
      <c r="H9" s="153" t="b">
        <v>1</v>
      </c>
    </row>
    <row r="10" spans="1:8" x14ac:dyDescent="0.3">
      <c r="A10" s="153" t="s">
        <v>1368</v>
      </c>
      <c r="B10" s="153" t="s">
        <v>1352</v>
      </c>
      <c r="C10" s="153" t="s">
        <v>1369</v>
      </c>
      <c r="D10" s="153">
        <v>427</v>
      </c>
      <c r="E10" s="153">
        <v>427</v>
      </c>
      <c r="F10" s="153">
        <f t="shared" si="0"/>
        <v>0</v>
      </c>
      <c r="G10" s="153" t="str">
        <f t="shared" si="1"/>
        <v>OK</v>
      </c>
      <c r="H10" s="153" t="b">
        <v>1</v>
      </c>
    </row>
    <row r="11" spans="1:8" x14ac:dyDescent="0.3">
      <c r="A11" s="153" t="s">
        <v>1370</v>
      </c>
      <c r="B11" s="153" t="s">
        <v>1352</v>
      </c>
      <c r="C11" s="153" t="s">
        <v>1371</v>
      </c>
      <c r="D11" s="153">
        <v>172.5</v>
      </c>
      <c r="E11" s="153">
        <v>172.5</v>
      </c>
      <c r="F11" s="153">
        <f t="shared" si="0"/>
        <v>0</v>
      </c>
      <c r="G11" s="153" t="str">
        <f t="shared" si="1"/>
        <v>OK</v>
      </c>
      <c r="H11" s="153" t="b">
        <v>1</v>
      </c>
    </row>
    <row r="12" spans="1:8" x14ac:dyDescent="0.3">
      <c r="A12" s="153" t="s">
        <v>1372</v>
      </c>
      <c r="B12" s="153" t="s">
        <v>1352</v>
      </c>
      <c r="C12" s="153" t="s">
        <v>1373</v>
      </c>
      <c r="D12" s="153">
        <v>427</v>
      </c>
      <c r="E12" s="153">
        <v>427</v>
      </c>
      <c r="F12" s="153">
        <f t="shared" si="0"/>
        <v>0</v>
      </c>
      <c r="G12" s="153" t="str">
        <f t="shared" si="1"/>
        <v>OK</v>
      </c>
      <c r="H12" s="153" t="b">
        <v>1</v>
      </c>
    </row>
    <row r="13" spans="1:8" x14ac:dyDescent="0.3">
      <c r="A13" s="153" t="s">
        <v>1374</v>
      </c>
      <c r="B13" s="153" t="s">
        <v>1352</v>
      </c>
      <c r="C13" s="153" t="s">
        <v>1375</v>
      </c>
      <c r="D13" s="153">
        <v>3228</v>
      </c>
      <c r="E13" s="153">
        <v>3228</v>
      </c>
      <c r="F13" s="153">
        <f t="shared" si="0"/>
        <v>0</v>
      </c>
      <c r="G13" s="153" t="str">
        <f t="shared" si="1"/>
        <v>OK</v>
      </c>
      <c r="H13" s="153" t="b">
        <v>1</v>
      </c>
    </row>
    <row r="14" spans="1:8" x14ac:dyDescent="0.3">
      <c r="A14" s="153" t="s">
        <v>1376</v>
      </c>
      <c r="B14" s="153" t="s">
        <v>1352</v>
      </c>
      <c r="C14" s="153" t="s">
        <v>1377</v>
      </c>
      <c r="D14" s="153">
        <v>30561.03999999999</v>
      </c>
      <c r="E14" s="153">
        <v>30561.03999999999</v>
      </c>
      <c r="F14" s="153">
        <f t="shared" si="0"/>
        <v>0</v>
      </c>
      <c r="G14" s="153" t="str">
        <f t="shared" si="1"/>
        <v>OK</v>
      </c>
      <c r="H14" s="153" t="b">
        <v>1</v>
      </c>
    </row>
    <row r="15" spans="1:8" x14ac:dyDescent="0.3">
      <c r="A15" s="153" t="s">
        <v>1378</v>
      </c>
      <c r="B15" s="153" t="s">
        <v>1352</v>
      </c>
      <c r="C15" s="153" t="s">
        <v>1379</v>
      </c>
      <c r="D15" s="153">
        <v>21204.762599999998</v>
      </c>
      <c r="E15" s="153">
        <v>21204.762599999998</v>
      </c>
      <c r="F15" s="153">
        <f t="shared" si="0"/>
        <v>0</v>
      </c>
      <c r="G15" s="153" t="str">
        <f t="shared" si="1"/>
        <v>OK</v>
      </c>
      <c r="H15" s="153" t="b">
        <v>1</v>
      </c>
    </row>
    <row r="16" spans="1:8" x14ac:dyDescent="0.3">
      <c r="A16" s="153" t="s">
        <v>1380</v>
      </c>
      <c r="B16" s="153" t="s">
        <v>1352</v>
      </c>
      <c r="C16" s="153" t="s">
        <v>1381</v>
      </c>
      <c r="D16" s="153">
        <v>31.25</v>
      </c>
      <c r="E16" s="153">
        <v>31.25</v>
      </c>
      <c r="F16" s="153">
        <f t="shared" si="0"/>
        <v>0</v>
      </c>
      <c r="G16" s="153" t="str">
        <f t="shared" si="1"/>
        <v>OK</v>
      </c>
      <c r="H16" s="153" t="b">
        <v>1</v>
      </c>
    </row>
    <row r="17" spans="1:8" x14ac:dyDescent="0.3">
      <c r="A17" s="153" t="s">
        <v>1382</v>
      </c>
      <c r="B17" s="153" t="s">
        <v>1352</v>
      </c>
      <c r="C17" s="153" t="s">
        <v>1383</v>
      </c>
      <c r="D17" s="153">
        <v>64.125</v>
      </c>
      <c r="E17" s="153">
        <v>64.125</v>
      </c>
      <c r="F17" s="153">
        <f t="shared" si="0"/>
        <v>0</v>
      </c>
      <c r="G17" s="153" t="str">
        <f t="shared" si="1"/>
        <v>OK</v>
      </c>
      <c r="H17" s="153" t="b">
        <v>1</v>
      </c>
    </row>
    <row r="18" spans="1:8" x14ac:dyDescent="0.3">
      <c r="A18" s="153" t="s">
        <v>1384</v>
      </c>
      <c r="B18" s="153" t="s">
        <v>1352</v>
      </c>
      <c r="C18" s="153" t="s">
        <v>1385</v>
      </c>
      <c r="D18" s="153">
        <v>8.6665992248909802</v>
      </c>
      <c r="E18" s="153">
        <v>8.6665992248909802</v>
      </c>
      <c r="F18" s="153">
        <f t="shared" si="0"/>
        <v>0</v>
      </c>
      <c r="G18" s="153" t="str">
        <f t="shared" si="1"/>
        <v>OK</v>
      </c>
      <c r="H18" s="153" t="b">
        <v>1</v>
      </c>
    </row>
    <row r="19" spans="1:8" x14ac:dyDescent="0.3">
      <c r="A19" s="153" t="s">
        <v>1386</v>
      </c>
      <c r="B19" s="153" t="s">
        <v>1352</v>
      </c>
      <c r="C19" s="153" t="s">
        <v>1387</v>
      </c>
      <c r="D19" s="153">
        <v>9</v>
      </c>
      <c r="E19" s="153">
        <v>9</v>
      </c>
      <c r="F19" s="153">
        <f t="shared" si="0"/>
        <v>0</v>
      </c>
      <c r="G19" s="153" t="str">
        <f t="shared" si="1"/>
        <v>OK</v>
      </c>
      <c r="H19" s="153" t="b">
        <v>1</v>
      </c>
    </row>
    <row r="20" spans="1:8" x14ac:dyDescent="0.3">
      <c r="A20" s="153" t="s">
        <v>1388</v>
      </c>
      <c r="B20" s="153" t="s">
        <v>1352</v>
      </c>
      <c r="C20" s="153" t="s">
        <v>1389</v>
      </c>
      <c r="D20" s="153">
        <v>1266</v>
      </c>
      <c r="E20" s="153">
        <v>1266</v>
      </c>
      <c r="F20" s="153">
        <f t="shared" si="0"/>
        <v>0</v>
      </c>
      <c r="G20" s="153" t="str">
        <f t="shared" si="1"/>
        <v>OK</v>
      </c>
      <c r="H20" s="153" t="b">
        <v>1</v>
      </c>
    </row>
    <row r="21" spans="1:8" x14ac:dyDescent="0.3">
      <c r="A21" s="153" t="s">
        <v>1390</v>
      </c>
      <c r="B21" s="153" t="s">
        <v>1352</v>
      </c>
      <c r="C21" s="153" t="s">
        <v>1391</v>
      </c>
      <c r="D21" s="153">
        <v>1417</v>
      </c>
      <c r="E21" s="153">
        <v>1417</v>
      </c>
      <c r="F21" s="153">
        <f t="shared" si="0"/>
        <v>0</v>
      </c>
      <c r="G21" s="153" t="str">
        <f t="shared" si="1"/>
        <v>OK</v>
      </c>
      <c r="H21" s="153" t="b">
        <v>1</v>
      </c>
    </row>
    <row r="22" spans="1:8" x14ac:dyDescent="0.3">
      <c r="A22" s="153" t="s">
        <v>1392</v>
      </c>
      <c r="B22" s="153" t="s">
        <v>1352</v>
      </c>
      <c r="C22" s="153" t="s">
        <v>1393</v>
      </c>
      <c r="D22" s="153">
        <v>427</v>
      </c>
      <c r="E22" s="153">
        <v>427</v>
      </c>
      <c r="F22" s="153">
        <f t="shared" si="0"/>
        <v>0</v>
      </c>
      <c r="G22" s="153" t="str">
        <f t="shared" si="1"/>
        <v>OK</v>
      </c>
      <c r="H22" s="153" t="b">
        <v>1</v>
      </c>
    </row>
    <row r="23" spans="1:8" x14ac:dyDescent="0.3">
      <c r="A23" s="153" t="s">
        <v>1394</v>
      </c>
      <c r="B23" s="153" t="s">
        <v>1352</v>
      </c>
      <c r="C23" s="153" t="s">
        <v>1395</v>
      </c>
      <c r="D23" s="153">
        <v>51860</v>
      </c>
      <c r="E23" s="153">
        <v>51860</v>
      </c>
      <c r="F23" s="153">
        <f t="shared" si="0"/>
        <v>0</v>
      </c>
      <c r="G23" s="153" t="str">
        <f t="shared" si="1"/>
        <v>OK</v>
      </c>
      <c r="H23" s="153" t="b">
        <v>1</v>
      </c>
    </row>
    <row r="24" spans="1:8" x14ac:dyDescent="0.3">
      <c r="A24" s="153" t="s">
        <v>1396</v>
      </c>
      <c r="B24" s="153" t="s">
        <v>1352</v>
      </c>
      <c r="C24" s="153" t="s">
        <v>1397</v>
      </c>
      <c r="D24" s="153">
        <v>0</v>
      </c>
      <c r="E24" s="153">
        <v>0</v>
      </c>
      <c r="F24" s="153">
        <f t="shared" si="0"/>
        <v>0</v>
      </c>
      <c r="G24" s="153" t="str">
        <f t="shared" si="1"/>
        <v>OK</v>
      </c>
      <c r="H24" s="153" t="b">
        <v>1</v>
      </c>
    </row>
    <row r="25" spans="1:8" x14ac:dyDescent="0.3">
      <c r="A25" s="153" t="s">
        <v>1398</v>
      </c>
      <c r="B25" s="153" t="s">
        <v>1352</v>
      </c>
      <c r="C25" s="153" t="s">
        <v>1399</v>
      </c>
      <c r="D25" s="153">
        <v>0</v>
      </c>
      <c r="E25" s="153">
        <v>0</v>
      </c>
      <c r="F25" s="153">
        <f t="shared" si="0"/>
        <v>0</v>
      </c>
      <c r="G25" s="153" t="str">
        <f t="shared" si="1"/>
        <v>OK</v>
      </c>
      <c r="H25" s="153" t="b">
        <v>1</v>
      </c>
    </row>
    <row r="26" spans="1:8" x14ac:dyDescent="0.3">
      <c r="A26" s="153" t="s">
        <v>1400</v>
      </c>
      <c r="B26" s="153" t="s">
        <v>1352</v>
      </c>
      <c r="C26" s="153" t="s">
        <v>1401</v>
      </c>
      <c r="D26" s="153">
        <v>1642.298878504673</v>
      </c>
      <c r="E26" s="153">
        <v>1642.298878504673</v>
      </c>
      <c r="F26" s="153">
        <f t="shared" si="0"/>
        <v>0</v>
      </c>
      <c r="G26" s="153" t="str">
        <f t="shared" si="1"/>
        <v>OK</v>
      </c>
      <c r="H26" s="153" t="b">
        <v>1</v>
      </c>
    </row>
    <row r="27" spans="1:8" x14ac:dyDescent="0.3">
      <c r="A27" s="153" t="s">
        <v>1402</v>
      </c>
      <c r="B27" s="153" t="s">
        <v>1352</v>
      </c>
      <c r="C27" s="153" t="s">
        <v>1403</v>
      </c>
      <c r="D27" s="153">
        <v>0</v>
      </c>
      <c r="E27" s="153">
        <v>0</v>
      </c>
      <c r="F27" s="153">
        <f t="shared" si="0"/>
        <v>0</v>
      </c>
      <c r="G27" s="153" t="str">
        <f t="shared" si="1"/>
        <v>OK</v>
      </c>
      <c r="H27" s="153" t="b">
        <v>1</v>
      </c>
    </row>
    <row r="28" spans="1:8" x14ac:dyDescent="0.3">
      <c r="A28" s="153" t="s">
        <v>1404</v>
      </c>
      <c r="B28" s="153" t="s">
        <v>1352</v>
      </c>
      <c r="C28" s="153" t="s">
        <v>1405</v>
      </c>
      <c r="D28" s="153">
        <v>13500</v>
      </c>
      <c r="E28" s="153">
        <v>13500</v>
      </c>
      <c r="F28" s="153">
        <f t="shared" si="0"/>
        <v>0</v>
      </c>
      <c r="G28" s="153" t="str">
        <f t="shared" si="1"/>
        <v>OK</v>
      </c>
      <c r="H28" s="153" t="b">
        <v>1</v>
      </c>
    </row>
    <row r="29" spans="1:8" x14ac:dyDescent="0.3">
      <c r="A29" s="153" t="s">
        <v>1406</v>
      </c>
      <c r="B29" s="153" t="s">
        <v>1352</v>
      </c>
      <c r="C29" s="153" t="s">
        <v>1407</v>
      </c>
      <c r="D29" s="153">
        <v>67003.476478504657</v>
      </c>
      <c r="E29" s="153">
        <v>67003.476478504657</v>
      </c>
      <c r="F29" s="153">
        <f t="shared" si="0"/>
        <v>0</v>
      </c>
      <c r="G29" s="153" t="str">
        <f t="shared" si="1"/>
        <v>OK</v>
      </c>
      <c r="H29" s="153" t="b">
        <v>1</v>
      </c>
    </row>
    <row r="30" spans="1:8" x14ac:dyDescent="0.3">
      <c r="A30" s="153" t="s">
        <v>1408</v>
      </c>
      <c r="B30" s="153" t="s">
        <v>1352</v>
      </c>
      <c r="C30" s="153" t="s">
        <v>1409</v>
      </c>
      <c r="D30" s="153">
        <v>-15143.476478504659</v>
      </c>
      <c r="E30" s="153">
        <v>-15143.476478504659</v>
      </c>
      <c r="F30" s="153">
        <f t="shared" si="0"/>
        <v>0</v>
      </c>
      <c r="G30" s="153" t="str">
        <f t="shared" si="1"/>
        <v>OK</v>
      </c>
      <c r="H30" s="153" t="b">
        <v>1</v>
      </c>
    </row>
    <row r="31" spans="1:8" x14ac:dyDescent="0.3">
      <c r="A31" s="153" t="s">
        <v>1410</v>
      </c>
      <c r="B31" s="153" t="s">
        <v>1352</v>
      </c>
      <c r="C31" s="153" t="s">
        <v>1411</v>
      </c>
      <c r="D31" s="153">
        <v>0</v>
      </c>
      <c r="E31" s="153">
        <v>0</v>
      </c>
      <c r="F31" s="153">
        <f t="shared" si="0"/>
        <v>0</v>
      </c>
      <c r="G31" s="153" t="str">
        <f t="shared" si="1"/>
        <v>OK</v>
      </c>
      <c r="H31" s="153" t="b">
        <v>1</v>
      </c>
    </row>
    <row r="32" spans="1:8" x14ac:dyDescent="0.3">
      <c r="A32" s="153" t="s">
        <v>1412</v>
      </c>
      <c r="B32" s="153" t="s">
        <v>1352</v>
      </c>
      <c r="C32" s="153" t="s">
        <v>1413</v>
      </c>
      <c r="D32" s="153">
        <v>3</v>
      </c>
      <c r="E32" s="153">
        <v>3</v>
      </c>
      <c r="F32" s="153">
        <f t="shared" si="0"/>
        <v>0</v>
      </c>
      <c r="G32" s="153" t="str">
        <f t="shared" si="1"/>
        <v>OK</v>
      </c>
      <c r="H32" s="153" t="b">
        <v>1</v>
      </c>
    </row>
    <row r="33" spans="1:8" x14ac:dyDescent="0.3">
      <c r="A33" s="153" t="s">
        <v>1414</v>
      </c>
      <c r="B33" s="153" t="s">
        <v>1352</v>
      </c>
      <c r="C33" s="153" t="s">
        <v>1415</v>
      </c>
      <c r="D33" s="153">
        <v>38.5</v>
      </c>
      <c r="E33" s="153">
        <v>38.5</v>
      </c>
      <c r="F33" s="153">
        <f t="shared" si="0"/>
        <v>0</v>
      </c>
      <c r="G33" s="153" t="str">
        <f t="shared" si="1"/>
        <v>OK</v>
      </c>
      <c r="H33" s="153" t="b">
        <v>1</v>
      </c>
    </row>
    <row r="34" spans="1:8" x14ac:dyDescent="0.3">
      <c r="A34" s="153" t="s">
        <v>1416</v>
      </c>
      <c r="B34" s="153" t="s">
        <v>1352</v>
      </c>
      <c r="C34" s="153" t="s">
        <v>1417</v>
      </c>
      <c r="D34" s="153">
        <v>40.799999999999997</v>
      </c>
      <c r="E34" s="153">
        <v>40.799999999999997</v>
      </c>
      <c r="F34" s="153">
        <f t="shared" si="0"/>
        <v>0</v>
      </c>
      <c r="G34" s="153" t="str">
        <f t="shared" si="1"/>
        <v>OK</v>
      </c>
      <c r="H34" s="153" t="b">
        <v>1</v>
      </c>
    </row>
    <row r="35" spans="1:8" x14ac:dyDescent="0.3">
      <c r="A35" s="153" t="s">
        <v>1418</v>
      </c>
      <c r="B35" s="153" t="s">
        <v>1352</v>
      </c>
      <c r="C35" s="153" t="s">
        <v>1419</v>
      </c>
      <c r="D35" s="153">
        <v>48.2</v>
      </c>
      <c r="E35" s="153">
        <v>48.2</v>
      </c>
      <c r="F35" s="153">
        <f t="shared" si="0"/>
        <v>0</v>
      </c>
      <c r="G35" s="153" t="str">
        <f t="shared" si="1"/>
        <v>OK</v>
      </c>
      <c r="H35" s="153" t="b">
        <v>1</v>
      </c>
    </row>
    <row r="36" spans="1:8" x14ac:dyDescent="0.3">
      <c r="A36" s="153" t="s">
        <v>1420</v>
      </c>
      <c r="B36" s="153" t="s">
        <v>1352</v>
      </c>
      <c r="C36" s="153" t="s">
        <v>1421</v>
      </c>
      <c r="D36" s="153">
        <v>647</v>
      </c>
      <c r="E36" s="153">
        <v>647</v>
      </c>
      <c r="F36" s="153">
        <f t="shared" si="0"/>
        <v>0</v>
      </c>
      <c r="G36" s="153" t="str">
        <f t="shared" si="1"/>
        <v>OK</v>
      </c>
      <c r="H36" s="153" t="b">
        <v>1</v>
      </c>
    </row>
    <row r="37" spans="1:8" x14ac:dyDescent="0.3">
      <c r="A37" s="153" t="s">
        <v>1422</v>
      </c>
      <c r="B37" s="153" t="s">
        <v>1352</v>
      </c>
      <c r="C37" s="153" t="s">
        <v>1423</v>
      </c>
      <c r="D37" s="153">
        <v>926</v>
      </c>
      <c r="E37" s="153">
        <v>926</v>
      </c>
      <c r="F37" s="153">
        <f t="shared" si="0"/>
        <v>0</v>
      </c>
      <c r="G37" s="153" t="str">
        <f t="shared" si="1"/>
        <v>OK</v>
      </c>
      <c r="H37" s="153" t="b">
        <v>1</v>
      </c>
    </row>
    <row r="38" spans="1:8" x14ac:dyDescent="0.3">
      <c r="A38" s="153" t="s">
        <v>1424</v>
      </c>
      <c r="B38" s="153" t="s">
        <v>1352</v>
      </c>
      <c r="C38" s="153" t="s">
        <v>1425</v>
      </c>
      <c r="D38" s="153">
        <v>4770</v>
      </c>
      <c r="E38" s="153">
        <v>4770</v>
      </c>
      <c r="F38" s="153">
        <f t="shared" si="0"/>
        <v>0</v>
      </c>
      <c r="G38" s="153" t="str">
        <f t="shared" si="1"/>
        <v>OK</v>
      </c>
      <c r="H38" s="153" t="b">
        <v>1</v>
      </c>
    </row>
    <row r="39" spans="1:8" x14ac:dyDescent="0.3">
      <c r="A39" s="153" t="s">
        <v>1426</v>
      </c>
      <c r="B39" s="153" t="s">
        <v>1352</v>
      </c>
      <c r="C39" s="153" t="s">
        <v>1427</v>
      </c>
      <c r="D39" s="153">
        <v>4964</v>
      </c>
      <c r="E39" s="153">
        <v>4964</v>
      </c>
      <c r="F39" s="153">
        <f t="shared" si="0"/>
        <v>0</v>
      </c>
      <c r="G39" s="153" t="str">
        <f t="shared" si="1"/>
        <v>OK</v>
      </c>
      <c r="H39" s="153" t="b">
        <v>1</v>
      </c>
    </row>
    <row r="40" spans="1:8" x14ac:dyDescent="0.3">
      <c r="A40" s="153" t="s">
        <v>1428</v>
      </c>
      <c r="B40" s="153" t="s">
        <v>1352</v>
      </c>
      <c r="C40" s="153" t="s">
        <v>1429</v>
      </c>
      <c r="D40" s="153">
        <v>5038</v>
      </c>
      <c r="E40" s="153">
        <v>5038</v>
      </c>
      <c r="F40" s="153">
        <f t="shared" si="0"/>
        <v>0</v>
      </c>
      <c r="G40" s="153" t="str">
        <f t="shared" si="1"/>
        <v>OK</v>
      </c>
      <c r="H40" s="153" t="b">
        <v>1</v>
      </c>
    </row>
    <row r="41" spans="1:8" x14ac:dyDescent="0.3">
      <c r="A41" s="153" t="s">
        <v>1430</v>
      </c>
      <c r="B41" s="153" t="s">
        <v>1352</v>
      </c>
      <c r="C41" s="153" t="s">
        <v>1431</v>
      </c>
      <c r="D41" s="153" t="b">
        <v>0</v>
      </c>
      <c r="E41" s="153" t="b">
        <v>0</v>
      </c>
      <c r="F41" s="153">
        <f t="shared" si="0"/>
        <v>0</v>
      </c>
      <c r="G41" s="153" t="str">
        <f t="shared" si="1"/>
        <v>OK</v>
      </c>
      <c r="H41" s="153" t="b">
        <v>1</v>
      </c>
    </row>
    <row r="42" spans="1:8" x14ac:dyDescent="0.3">
      <c r="A42" s="153" t="s">
        <v>1432</v>
      </c>
      <c r="B42" s="153" t="s">
        <v>1352</v>
      </c>
      <c r="C42" s="153" t="s">
        <v>1433</v>
      </c>
      <c r="D42" s="153" t="b">
        <v>1</v>
      </c>
      <c r="E42" s="153" t="b">
        <v>1</v>
      </c>
      <c r="F42" s="153">
        <f t="shared" si="0"/>
        <v>0</v>
      </c>
      <c r="G42" s="153" t="str">
        <f t="shared" si="1"/>
        <v>OK</v>
      </c>
      <c r="H42" s="153" t="b">
        <v>1</v>
      </c>
    </row>
    <row r="43" spans="1:8" x14ac:dyDescent="0.3">
      <c r="A43" s="153" t="s">
        <v>1434</v>
      </c>
      <c r="B43" s="153" t="s">
        <v>1352</v>
      </c>
      <c r="C43" s="153" t="s">
        <v>1435</v>
      </c>
      <c r="D43" s="153" t="b">
        <v>0</v>
      </c>
      <c r="E43" s="153" t="b">
        <v>0</v>
      </c>
      <c r="F43" s="153">
        <f t="shared" si="0"/>
        <v>0</v>
      </c>
      <c r="G43" s="153" t="str">
        <f t="shared" si="1"/>
        <v>OK</v>
      </c>
      <c r="H43" s="153" t="b">
        <v>1</v>
      </c>
    </row>
    <row r="44" spans="1:8" x14ac:dyDescent="0.3">
      <c r="A44" s="153" t="s">
        <v>1436</v>
      </c>
      <c r="B44" s="153" t="s">
        <v>1352</v>
      </c>
      <c r="C44" s="153" t="s">
        <v>1437</v>
      </c>
      <c r="D44" s="153" t="b">
        <v>0</v>
      </c>
      <c r="E44" s="153" t="b">
        <v>0</v>
      </c>
      <c r="F44" s="153">
        <f t="shared" si="0"/>
        <v>0</v>
      </c>
      <c r="G44" s="153" t="str">
        <f t="shared" si="1"/>
        <v>OK</v>
      </c>
      <c r="H44" s="153" t="b">
        <v>1</v>
      </c>
    </row>
    <row r="45" spans="1:8" x14ac:dyDescent="0.3">
      <c r="A45" s="153" t="s">
        <v>1438</v>
      </c>
      <c r="B45" s="153" t="s">
        <v>1352</v>
      </c>
      <c r="C45" s="153" t="s">
        <v>1439</v>
      </c>
      <c r="D45" s="153" t="b">
        <v>1</v>
      </c>
      <c r="E45" s="153" t="b">
        <v>1</v>
      </c>
      <c r="F45" s="153">
        <f t="shared" si="0"/>
        <v>0</v>
      </c>
      <c r="G45" s="153" t="str">
        <f t="shared" si="1"/>
        <v>OK</v>
      </c>
      <c r="H45" s="153" t="b">
        <v>1</v>
      </c>
    </row>
    <row r="46" spans="1:8" x14ac:dyDescent="0.3">
      <c r="A46" s="153" t="s">
        <v>1440</v>
      </c>
      <c r="B46" s="153" t="s">
        <v>1352</v>
      </c>
      <c r="C46" s="153" t="s">
        <v>1441</v>
      </c>
      <c r="D46" s="153" t="b">
        <v>1</v>
      </c>
      <c r="E46" s="153" t="b">
        <v>1</v>
      </c>
      <c r="F46" s="153">
        <f t="shared" si="0"/>
        <v>0</v>
      </c>
      <c r="G46" s="153" t="str">
        <f t="shared" si="1"/>
        <v>OK</v>
      </c>
      <c r="H46" s="153" t="b">
        <v>1</v>
      </c>
    </row>
    <row r="47" spans="1:8" x14ac:dyDescent="0.3">
      <c r="A47" s="153" t="s">
        <v>1442</v>
      </c>
      <c r="B47" s="153" t="s">
        <v>1352</v>
      </c>
      <c r="C47" s="153" t="s">
        <v>1443</v>
      </c>
      <c r="D47" s="153" t="b">
        <v>0</v>
      </c>
      <c r="E47" s="153" t="b">
        <v>0</v>
      </c>
      <c r="F47" s="153">
        <f t="shared" si="0"/>
        <v>0</v>
      </c>
      <c r="G47" s="153" t="str">
        <f t="shared" si="1"/>
        <v>OK</v>
      </c>
      <c r="H47" s="153" t="b">
        <v>1</v>
      </c>
    </row>
    <row r="48" spans="1:8" x14ac:dyDescent="0.3">
      <c r="A48" s="153" t="s">
        <v>1444</v>
      </c>
      <c r="B48" s="153" t="s">
        <v>1352</v>
      </c>
      <c r="C48" s="153" t="s">
        <v>1445</v>
      </c>
      <c r="D48" s="153" t="b">
        <v>0</v>
      </c>
      <c r="E48" s="153" t="b">
        <v>0</v>
      </c>
      <c r="F48" s="153">
        <f t="shared" si="0"/>
        <v>0</v>
      </c>
      <c r="G48" s="153" t="str">
        <f t="shared" si="1"/>
        <v>OK</v>
      </c>
      <c r="H48" s="153" t="b">
        <v>1</v>
      </c>
    </row>
    <row r="49" spans="1:8" x14ac:dyDescent="0.3">
      <c r="A49" s="153" t="s">
        <v>1446</v>
      </c>
      <c r="B49" s="153" t="s">
        <v>1352</v>
      </c>
      <c r="C49" s="153" t="s">
        <v>1447</v>
      </c>
      <c r="D49" s="153">
        <v>0</v>
      </c>
      <c r="E49" s="153">
        <v>0</v>
      </c>
      <c r="F49" s="153">
        <f t="shared" si="0"/>
        <v>0</v>
      </c>
      <c r="G49" s="153" t="str">
        <f t="shared" si="1"/>
        <v>OK</v>
      </c>
      <c r="H49" s="153" t="b">
        <v>1</v>
      </c>
    </row>
    <row r="50" spans="1:8" x14ac:dyDescent="0.3">
      <c r="A50" s="153" t="s">
        <v>1448</v>
      </c>
      <c r="B50" s="153" t="s">
        <v>1352</v>
      </c>
      <c r="C50" s="153" t="s">
        <v>1449</v>
      </c>
      <c r="D50" s="153">
        <v>20</v>
      </c>
      <c r="E50" s="153">
        <v>20</v>
      </c>
      <c r="F50" s="153">
        <f t="shared" si="0"/>
        <v>0</v>
      </c>
      <c r="G50" s="153" t="str">
        <f t="shared" si="1"/>
        <v>OK</v>
      </c>
      <c r="H50" s="153" t="b">
        <v>1</v>
      </c>
    </row>
    <row r="51" spans="1:8" x14ac:dyDescent="0.3">
      <c r="A51" s="153" t="s">
        <v>1450</v>
      </c>
      <c r="B51" s="153" t="s">
        <v>1352</v>
      </c>
      <c r="C51" s="153" t="s">
        <v>1451</v>
      </c>
      <c r="D51" s="153">
        <v>0</v>
      </c>
      <c r="E51" s="153">
        <v>0</v>
      </c>
      <c r="F51" s="153">
        <f t="shared" si="0"/>
        <v>0</v>
      </c>
      <c r="G51" s="153" t="str">
        <f t="shared" si="1"/>
        <v>OK</v>
      </c>
      <c r="H51" s="153" t="b">
        <v>1</v>
      </c>
    </row>
    <row r="52" spans="1:8" x14ac:dyDescent="0.3">
      <c r="A52" s="153" t="s">
        <v>1452</v>
      </c>
      <c r="B52" s="153" t="s">
        <v>1352</v>
      </c>
      <c r="C52" s="153" t="s">
        <v>1453</v>
      </c>
      <c r="D52" s="153">
        <v>3</v>
      </c>
      <c r="E52" s="153">
        <v>3</v>
      </c>
      <c r="F52" s="153">
        <f t="shared" si="0"/>
        <v>0</v>
      </c>
      <c r="G52" s="153" t="str">
        <f t="shared" si="1"/>
        <v>OK</v>
      </c>
      <c r="H52" s="153" t="b">
        <v>1</v>
      </c>
    </row>
    <row r="53" spans="1:8" x14ac:dyDescent="0.3">
      <c r="A53" s="153" t="s">
        <v>1454</v>
      </c>
      <c r="B53" s="153" t="s">
        <v>1352</v>
      </c>
      <c r="C53" s="153" t="s">
        <v>1455</v>
      </c>
      <c r="D53" s="153">
        <v>6.4230769230769234</v>
      </c>
      <c r="E53" s="153">
        <v>6.4230769230769234</v>
      </c>
      <c r="F53" s="153">
        <f t="shared" si="0"/>
        <v>0</v>
      </c>
      <c r="G53" s="153" t="str">
        <f t="shared" si="1"/>
        <v>OK</v>
      </c>
      <c r="H53" s="153" t="b">
        <v>1</v>
      </c>
    </row>
    <row r="54" spans="1:8" x14ac:dyDescent="0.3">
      <c r="A54" s="153" t="s">
        <v>1456</v>
      </c>
      <c r="B54" s="153" t="s">
        <v>1352</v>
      </c>
      <c r="C54" s="153" t="s">
        <v>1457</v>
      </c>
      <c r="D54" s="153">
        <v>17</v>
      </c>
      <c r="E54" s="153">
        <v>17</v>
      </c>
      <c r="F54" s="153">
        <f t="shared" si="0"/>
        <v>0</v>
      </c>
      <c r="G54" s="153" t="str">
        <f t="shared" si="1"/>
        <v>OK</v>
      </c>
      <c r="H54" s="153" t="b">
        <v>1</v>
      </c>
    </row>
    <row r="55" spans="1:8" x14ac:dyDescent="0.3">
      <c r="A55" s="153" t="s">
        <v>1458</v>
      </c>
      <c r="B55" s="153" t="s">
        <v>1352</v>
      </c>
      <c r="C55" s="153" t="s">
        <v>1459</v>
      </c>
      <c r="D55" s="153">
        <v>10</v>
      </c>
      <c r="E55" s="153">
        <v>10</v>
      </c>
      <c r="F55" s="153">
        <f t="shared" si="0"/>
        <v>0</v>
      </c>
      <c r="G55" s="153" t="str">
        <f t="shared" si="1"/>
        <v>OK</v>
      </c>
      <c r="H55" s="153" t="b">
        <v>1</v>
      </c>
    </row>
    <row r="56" spans="1:8" x14ac:dyDescent="0.3">
      <c r="A56" s="153" t="s">
        <v>1460</v>
      </c>
      <c r="B56" s="153" t="s">
        <v>1352</v>
      </c>
      <c r="C56" s="153" t="s">
        <v>1461</v>
      </c>
      <c r="D56" s="153">
        <v>-3</v>
      </c>
      <c r="E56" s="153">
        <v>-3</v>
      </c>
      <c r="F56" s="153">
        <f t="shared" si="0"/>
        <v>0</v>
      </c>
      <c r="G56" s="153" t="str">
        <f t="shared" si="1"/>
        <v>OK</v>
      </c>
      <c r="H56" s="153" t="b">
        <v>1</v>
      </c>
    </row>
    <row r="57" spans="1:8" x14ac:dyDescent="0.3">
      <c r="A57" s="153" t="s">
        <v>1462</v>
      </c>
      <c r="B57" s="153" t="s">
        <v>1352</v>
      </c>
      <c r="C57" s="153" t="s">
        <v>1463</v>
      </c>
      <c r="D57" s="153">
        <v>17.2</v>
      </c>
      <c r="E57" s="153">
        <v>17.2</v>
      </c>
      <c r="F57" s="153">
        <f t="shared" si="0"/>
        <v>0</v>
      </c>
      <c r="G57" s="153" t="str">
        <f t="shared" si="1"/>
        <v>OK</v>
      </c>
      <c r="H57" s="153" t="b">
        <v>1</v>
      </c>
    </row>
    <row r="58" spans="1:8" x14ac:dyDescent="0.3">
      <c r="A58" s="153" t="s">
        <v>1464</v>
      </c>
      <c r="B58" s="153" t="s">
        <v>1352</v>
      </c>
      <c r="C58" s="153" t="s">
        <v>1465</v>
      </c>
      <c r="D58" s="153">
        <v>445.82400000000001</v>
      </c>
      <c r="E58" s="153">
        <v>445.82400000000001</v>
      </c>
      <c r="F58" s="153">
        <f t="shared" si="0"/>
        <v>0</v>
      </c>
      <c r="G58" s="153" t="str">
        <f t="shared" si="1"/>
        <v>OK</v>
      </c>
      <c r="H58" s="153" t="b">
        <v>1</v>
      </c>
    </row>
    <row r="59" spans="1:8" x14ac:dyDescent="0.3">
      <c r="A59" s="153" t="s">
        <v>1466</v>
      </c>
      <c r="B59" s="153" t="s">
        <v>1352</v>
      </c>
      <c r="C59" s="153" t="s">
        <v>1467</v>
      </c>
      <c r="D59" s="153">
        <v>0.96000000000000008</v>
      </c>
      <c r="E59" s="153">
        <v>0.96000000000000008</v>
      </c>
      <c r="F59" s="153">
        <f t="shared" si="0"/>
        <v>0</v>
      </c>
      <c r="G59" s="153" t="str">
        <f t="shared" si="1"/>
        <v>OK</v>
      </c>
      <c r="H59" s="153" t="b">
        <v>1</v>
      </c>
    </row>
    <row r="60" spans="1:8" x14ac:dyDescent="0.3">
      <c r="A60" s="153" t="s">
        <v>1468</v>
      </c>
      <c r="B60" s="153" t="s">
        <v>1352</v>
      </c>
      <c r="C60" s="153" t="s">
        <v>1469</v>
      </c>
      <c r="D60" s="153">
        <v>428</v>
      </c>
      <c r="E60" s="153">
        <v>428</v>
      </c>
      <c r="F60" s="153">
        <f t="shared" si="0"/>
        <v>0</v>
      </c>
      <c r="G60" s="153" t="str">
        <f t="shared" si="1"/>
        <v>OK</v>
      </c>
      <c r="H60" s="153" t="b">
        <v>1</v>
      </c>
    </row>
    <row r="61" spans="1:8" x14ac:dyDescent="0.3">
      <c r="A61" s="153" t="s">
        <v>1470</v>
      </c>
      <c r="B61" s="153" t="s">
        <v>1352</v>
      </c>
      <c r="C61" s="153" t="s">
        <v>1471</v>
      </c>
      <c r="D61" s="153">
        <v>427</v>
      </c>
      <c r="E61" s="153">
        <v>427</v>
      </c>
      <c r="F61" s="153">
        <f t="shared" si="0"/>
        <v>0</v>
      </c>
      <c r="G61" s="153" t="str">
        <f t="shared" si="1"/>
        <v>OK</v>
      </c>
      <c r="H61" s="153" t="b">
        <v>1</v>
      </c>
    </row>
    <row r="62" spans="1:8" x14ac:dyDescent="0.3">
      <c r="A62" s="153" t="s">
        <v>1472</v>
      </c>
      <c r="B62" s="153" t="s">
        <v>1352</v>
      </c>
      <c r="C62" s="153" t="s">
        <v>1473</v>
      </c>
      <c r="D62" s="153">
        <v>172.5</v>
      </c>
      <c r="E62" s="153">
        <v>172.5</v>
      </c>
      <c r="F62" s="153">
        <f t="shared" si="0"/>
        <v>0</v>
      </c>
      <c r="G62" s="153" t="str">
        <f t="shared" si="1"/>
        <v>OK</v>
      </c>
      <c r="H62" s="153" t="b">
        <v>1</v>
      </c>
    </row>
    <row r="63" spans="1:8" x14ac:dyDescent="0.3">
      <c r="A63" s="153" t="s">
        <v>1474</v>
      </c>
      <c r="B63" s="153" t="s">
        <v>1352</v>
      </c>
      <c r="C63" s="153" t="s">
        <v>1475</v>
      </c>
      <c r="D63" s="153">
        <v>427</v>
      </c>
      <c r="E63" s="153">
        <v>427</v>
      </c>
      <c r="F63" s="153">
        <f t="shared" si="0"/>
        <v>0</v>
      </c>
      <c r="G63" s="153" t="str">
        <f t="shared" si="1"/>
        <v>OK</v>
      </c>
      <c r="H63" s="153" t="b">
        <v>1</v>
      </c>
    </row>
    <row r="64" spans="1:8" x14ac:dyDescent="0.3">
      <c r="A64" s="153" t="s">
        <v>1476</v>
      </c>
      <c r="B64" s="153" t="s">
        <v>1352</v>
      </c>
      <c r="C64" s="153" t="s">
        <v>1477</v>
      </c>
      <c r="D64" s="153">
        <v>3228</v>
      </c>
      <c r="E64" s="153">
        <v>3228</v>
      </c>
      <c r="F64" s="153">
        <f t="shared" si="0"/>
        <v>0</v>
      </c>
      <c r="G64" s="153" t="str">
        <f t="shared" si="1"/>
        <v>OK</v>
      </c>
      <c r="H64" s="153" t="b">
        <v>1</v>
      </c>
    </row>
    <row r="65" spans="1:8" x14ac:dyDescent="0.3">
      <c r="A65" s="153" t="s">
        <v>1478</v>
      </c>
      <c r="B65" s="153" t="s">
        <v>1352</v>
      </c>
      <c r="C65" s="153" t="s">
        <v>1479</v>
      </c>
      <c r="D65" s="153">
        <v>30561.03999999999</v>
      </c>
      <c r="E65" s="153">
        <v>30561.03999999999</v>
      </c>
      <c r="F65" s="153">
        <f t="shared" si="0"/>
        <v>0</v>
      </c>
      <c r="G65" s="153" t="str">
        <f t="shared" si="1"/>
        <v>OK</v>
      </c>
      <c r="H65" s="153" t="b">
        <v>1</v>
      </c>
    </row>
    <row r="66" spans="1:8" x14ac:dyDescent="0.3">
      <c r="A66" s="153" t="s">
        <v>1480</v>
      </c>
      <c r="B66" s="153" t="s">
        <v>1352</v>
      </c>
      <c r="C66" s="153" t="s">
        <v>1481</v>
      </c>
      <c r="D66" s="153">
        <v>21204.762599999998</v>
      </c>
      <c r="E66" s="153">
        <v>21204.762599999998</v>
      </c>
      <c r="F66" s="153">
        <f t="shared" ref="F66:F129" si="2">IF(NOT(H66),"",IF(AND(ISNUMBER(D66),ISNUMBER(E66)),E66-D66,IF(D66=E66,0,1)))</f>
        <v>0</v>
      </c>
      <c r="G66" s="153" t="str">
        <f t="shared" ref="G66:G129" si="3">IF(NOT(H66),"PENDIENTE SIDE",IF(IF(AND(ISNUMBER(D66),ISNUMBER(E66)),IF(MOD(D66,1)=0,D66=E66,ABS(D66-E66)&lt;=0.000000001*MAX(1,ABS(D66),ABS(E66))),D66=E66),"OK","DIFERENCIA"))</f>
        <v>OK</v>
      </c>
      <c r="H66" s="153" t="b">
        <v>1</v>
      </c>
    </row>
    <row r="67" spans="1:8" x14ac:dyDescent="0.3">
      <c r="A67" s="153" t="s">
        <v>1482</v>
      </c>
      <c r="B67" s="153" t="s">
        <v>1352</v>
      </c>
      <c r="C67" s="153" t="s">
        <v>1483</v>
      </c>
      <c r="D67" s="153">
        <v>31.25</v>
      </c>
      <c r="E67" s="153">
        <v>31.25</v>
      </c>
      <c r="F67" s="153">
        <f t="shared" si="2"/>
        <v>0</v>
      </c>
      <c r="G67" s="153" t="str">
        <f t="shared" si="3"/>
        <v>OK</v>
      </c>
      <c r="H67" s="153" t="b">
        <v>1</v>
      </c>
    </row>
    <row r="68" spans="1:8" x14ac:dyDescent="0.3">
      <c r="A68" s="153" t="s">
        <v>1484</v>
      </c>
      <c r="B68" s="153" t="s">
        <v>1352</v>
      </c>
      <c r="C68" s="153" t="s">
        <v>1485</v>
      </c>
      <c r="D68" s="153">
        <v>64.125</v>
      </c>
      <c r="E68" s="153">
        <v>64.125</v>
      </c>
      <c r="F68" s="153">
        <f t="shared" si="2"/>
        <v>0</v>
      </c>
      <c r="G68" s="153" t="str">
        <f t="shared" si="3"/>
        <v>OK</v>
      </c>
      <c r="H68" s="153" t="b">
        <v>1</v>
      </c>
    </row>
    <row r="69" spans="1:8" x14ac:dyDescent="0.3">
      <c r="A69" s="153" t="s">
        <v>1486</v>
      </c>
      <c r="B69" s="153" t="s">
        <v>1352</v>
      </c>
      <c r="C69" s="153" t="s">
        <v>1487</v>
      </c>
      <c r="D69" s="153">
        <v>8.6665992248909802</v>
      </c>
      <c r="E69" s="153">
        <v>8.6665992248909802</v>
      </c>
      <c r="F69" s="153">
        <f t="shared" si="2"/>
        <v>0</v>
      </c>
      <c r="G69" s="153" t="str">
        <f t="shared" si="3"/>
        <v>OK</v>
      </c>
      <c r="H69" s="153" t="b">
        <v>1</v>
      </c>
    </row>
    <row r="70" spans="1:8" x14ac:dyDescent="0.3">
      <c r="A70" s="153" t="s">
        <v>1488</v>
      </c>
      <c r="B70" s="153" t="s">
        <v>1352</v>
      </c>
      <c r="C70" s="153" t="s">
        <v>1489</v>
      </c>
      <c r="D70" s="153">
        <v>10.3</v>
      </c>
      <c r="E70" s="153">
        <v>10.3</v>
      </c>
      <c r="F70" s="153">
        <f t="shared" si="2"/>
        <v>0</v>
      </c>
      <c r="G70" s="153" t="str">
        <f t="shared" si="3"/>
        <v>OK</v>
      </c>
      <c r="H70" s="153" t="b">
        <v>1</v>
      </c>
    </row>
    <row r="71" spans="1:8" x14ac:dyDescent="0.3">
      <c r="A71" s="153" t="s">
        <v>1490</v>
      </c>
      <c r="B71" s="153" t="s">
        <v>1352</v>
      </c>
      <c r="C71" s="153" t="s">
        <v>1491</v>
      </c>
      <c r="D71" s="153">
        <v>323</v>
      </c>
      <c r="E71" s="153">
        <v>323</v>
      </c>
      <c r="F71" s="153">
        <f t="shared" si="2"/>
        <v>0</v>
      </c>
      <c r="G71" s="153" t="str">
        <f t="shared" si="3"/>
        <v>OK</v>
      </c>
      <c r="H71" s="153" t="b">
        <v>1</v>
      </c>
    </row>
    <row r="72" spans="1:8" x14ac:dyDescent="0.3">
      <c r="A72" s="153" t="s">
        <v>1492</v>
      </c>
      <c r="B72" s="153" t="s">
        <v>1352</v>
      </c>
      <c r="C72" s="153" t="s">
        <v>1493</v>
      </c>
      <c r="D72" s="153">
        <v>361</v>
      </c>
      <c r="E72" s="153">
        <v>361</v>
      </c>
      <c r="F72" s="153">
        <f t="shared" si="2"/>
        <v>0</v>
      </c>
      <c r="G72" s="153" t="str">
        <f t="shared" si="3"/>
        <v>OK</v>
      </c>
      <c r="H72" s="153" t="b">
        <v>1</v>
      </c>
    </row>
    <row r="73" spans="1:8" x14ac:dyDescent="0.3">
      <c r="A73" s="153" t="s">
        <v>1494</v>
      </c>
      <c r="B73" s="153" t="s">
        <v>1352</v>
      </c>
      <c r="C73" s="153" t="s">
        <v>1495</v>
      </c>
      <c r="D73" s="153">
        <v>427</v>
      </c>
      <c r="E73" s="153">
        <v>427</v>
      </c>
      <c r="F73" s="153">
        <f t="shared" si="2"/>
        <v>0</v>
      </c>
      <c r="G73" s="153" t="str">
        <f t="shared" si="3"/>
        <v>OK</v>
      </c>
      <c r="H73" s="153" t="b">
        <v>1</v>
      </c>
    </row>
    <row r="74" spans="1:8" x14ac:dyDescent="0.3">
      <c r="A74" s="153" t="s">
        <v>1496</v>
      </c>
      <c r="B74" s="153" t="s">
        <v>1352</v>
      </c>
      <c r="C74" s="153" t="s">
        <v>1497</v>
      </c>
      <c r="D74" s="153">
        <v>62505</v>
      </c>
      <c r="E74" s="153">
        <v>62505</v>
      </c>
      <c r="F74" s="153">
        <f t="shared" si="2"/>
        <v>0</v>
      </c>
      <c r="G74" s="153" t="str">
        <f t="shared" si="3"/>
        <v>OK</v>
      </c>
      <c r="H74" s="153" t="b">
        <v>1</v>
      </c>
    </row>
    <row r="75" spans="1:8" x14ac:dyDescent="0.3">
      <c r="A75" s="153" t="s">
        <v>1498</v>
      </c>
      <c r="B75" s="153" t="s">
        <v>1352</v>
      </c>
      <c r="C75" s="153" t="s">
        <v>1499</v>
      </c>
      <c r="D75" s="153">
        <v>0</v>
      </c>
      <c r="E75" s="153">
        <v>0</v>
      </c>
      <c r="F75" s="153">
        <f t="shared" si="2"/>
        <v>0</v>
      </c>
      <c r="G75" s="153" t="str">
        <f t="shared" si="3"/>
        <v>OK</v>
      </c>
      <c r="H75" s="153" t="b">
        <v>1</v>
      </c>
    </row>
    <row r="76" spans="1:8" x14ac:dyDescent="0.3">
      <c r="A76" s="153" t="s">
        <v>1500</v>
      </c>
      <c r="B76" s="153" t="s">
        <v>1352</v>
      </c>
      <c r="C76" s="153" t="s">
        <v>1501</v>
      </c>
      <c r="D76" s="153">
        <v>0</v>
      </c>
      <c r="E76" s="153">
        <v>0</v>
      </c>
      <c r="F76" s="153">
        <f t="shared" si="2"/>
        <v>0</v>
      </c>
      <c r="G76" s="153" t="str">
        <f t="shared" si="3"/>
        <v>OK</v>
      </c>
      <c r="H76" s="153" t="b">
        <v>1</v>
      </c>
    </row>
    <row r="77" spans="1:8" x14ac:dyDescent="0.3">
      <c r="A77" s="153" t="s">
        <v>1502</v>
      </c>
      <c r="B77" s="153" t="s">
        <v>1352</v>
      </c>
      <c r="C77" s="153" t="s">
        <v>1503</v>
      </c>
      <c r="D77" s="153">
        <v>1642.298878504673</v>
      </c>
      <c r="E77" s="153">
        <v>1642.298878504673</v>
      </c>
      <c r="F77" s="153">
        <f t="shared" si="2"/>
        <v>0</v>
      </c>
      <c r="G77" s="153" t="str">
        <f t="shared" si="3"/>
        <v>OK</v>
      </c>
      <c r="H77" s="153" t="b">
        <v>1</v>
      </c>
    </row>
    <row r="78" spans="1:8" x14ac:dyDescent="0.3">
      <c r="A78" s="153" t="s">
        <v>1504</v>
      </c>
      <c r="B78" s="153" t="s">
        <v>1352</v>
      </c>
      <c r="C78" s="153" t="s">
        <v>1505</v>
      </c>
      <c r="D78" s="153">
        <v>0</v>
      </c>
      <c r="E78" s="153">
        <v>0</v>
      </c>
      <c r="F78" s="153">
        <f t="shared" si="2"/>
        <v>0</v>
      </c>
      <c r="G78" s="153" t="str">
        <f t="shared" si="3"/>
        <v>OK</v>
      </c>
      <c r="H78" s="153" t="b">
        <v>1</v>
      </c>
    </row>
    <row r="79" spans="1:8" x14ac:dyDescent="0.3">
      <c r="A79" s="153" t="s">
        <v>1506</v>
      </c>
      <c r="B79" s="153" t="s">
        <v>1352</v>
      </c>
      <c r="C79" s="153" t="s">
        <v>1507</v>
      </c>
      <c r="D79" s="153">
        <v>13500</v>
      </c>
      <c r="E79" s="153">
        <v>13500</v>
      </c>
      <c r="F79" s="153">
        <f t="shared" si="2"/>
        <v>0</v>
      </c>
      <c r="G79" s="153" t="str">
        <f t="shared" si="3"/>
        <v>OK</v>
      </c>
      <c r="H79" s="153" t="b">
        <v>1</v>
      </c>
    </row>
    <row r="80" spans="1:8" x14ac:dyDescent="0.3">
      <c r="A80" s="153" t="s">
        <v>1508</v>
      </c>
      <c r="B80" s="153" t="s">
        <v>1352</v>
      </c>
      <c r="C80" s="153" t="s">
        <v>1509</v>
      </c>
      <c r="D80" s="153">
        <v>67003.476478504657</v>
      </c>
      <c r="E80" s="153">
        <v>67003.476478504657</v>
      </c>
      <c r="F80" s="153">
        <f t="shared" si="2"/>
        <v>0</v>
      </c>
      <c r="G80" s="153" t="str">
        <f t="shared" si="3"/>
        <v>OK</v>
      </c>
      <c r="H80" s="153" t="b">
        <v>1</v>
      </c>
    </row>
    <row r="81" spans="1:8" x14ac:dyDescent="0.3">
      <c r="A81" s="153" t="s">
        <v>1510</v>
      </c>
      <c r="B81" s="153" t="s">
        <v>1352</v>
      </c>
      <c r="C81" s="153" t="s">
        <v>1511</v>
      </c>
      <c r="D81" s="153">
        <v>-4498.4764785046573</v>
      </c>
      <c r="E81" s="153">
        <v>-4498.4764785046573</v>
      </c>
      <c r="F81" s="153">
        <f t="shared" si="2"/>
        <v>0</v>
      </c>
      <c r="G81" s="153" t="str">
        <f t="shared" si="3"/>
        <v>OK</v>
      </c>
      <c r="H81" s="153" t="b">
        <v>1</v>
      </c>
    </row>
    <row r="82" spans="1:8" x14ac:dyDescent="0.3">
      <c r="A82" s="153" t="s">
        <v>1512</v>
      </c>
      <c r="B82" s="153" t="s">
        <v>1352</v>
      </c>
      <c r="C82" s="153" t="s">
        <v>1513</v>
      </c>
      <c r="D82" s="153">
        <v>0</v>
      </c>
      <c r="E82" s="153">
        <v>0</v>
      </c>
      <c r="F82" s="153">
        <f t="shared" si="2"/>
        <v>0</v>
      </c>
      <c r="G82" s="153" t="str">
        <f t="shared" si="3"/>
        <v>OK</v>
      </c>
      <c r="H82" s="153" t="b">
        <v>1</v>
      </c>
    </row>
    <row r="83" spans="1:8" x14ac:dyDescent="0.3">
      <c r="A83" s="153" t="s">
        <v>1514</v>
      </c>
      <c r="B83" s="153" t="s">
        <v>1352</v>
      </c>
      <c r="C83" s="153" t="s">
        <v>1515</v>
      </c>
      <c r="D83" s="153">
        <v>3</v>
      </c>
      <c r="E83" s="153">
        <v>3</v>
      </c>
      <c r="F83" s="153">
        <f t="shared" si="2"/>
        <v>0</v>
      </c>
      <c r="G83" s="153" t="str">
        <f t="shared" si="3"/>
        <v>OK</v>
      </c>
      <c r="H83" s="153" t="b">
        <v>1</v>
      </c>
    </row>
    <row r="84" spans="1:8" x14ac:dyDescent="0.3">
      <c r="A84" s="153" t="s">
        <v>1516</v>
      </c>
      <c r="B84" s="153" t="s">
        <v>1352</v>
      </c>
      <c r="C84" s="153" t="s">
        <v>1517</v>
      </c>
      <c r="D84" s="153">
        <v>38.5</v>
      </c>
      <c r="E84" s="153">
        <v>38.5</v>
      </c>
      <c r="F84" s="153">
        <f t="shared" si="2"/>
        <v>0</v>
      </c>
      <c r="G84" s="153" t="str">
        <f t="shared" si="3"/>
        <v>OK</v>
      </c>
      <c r="H84" s="153" t="b">
        <v>1</v>
      </c>
    </row>
    <row r="85" spans="1:8" x14ac:dyDescent="0.3">
      <c r="A85" s="153" t="s">
        <v>1518</v>
      </c>
      <c r="B85" s="153" t="s">
        <v>1352</v>
      </c>
      <c r="C85" s="153" t="s">
        <v>1519</v>
      </c>
      <c r="D85" s="153">
        <v>40.799999999999997</v>
      </c>
      <c r="E85" s="153">
        <v>40.799999999999997</v>
      </c>
      <c r="F85" s="153">
        <f t="shared" si="2"/>
        <v>0</v>
      </c>
      <c r="G85" s="153" t="str">
        <f t="shared" si="3"/>
        <v>OK</v>
      </c>
      <c r="H85" s="153" t="b">
        <v>1</v>
      </c>
    </row>
    <row r="86" spans="1:8" x14ac:dyDescent="0.3">
      <c r="A86" s="153" t="s">
        <v>1520</v>
      </c>
      <c r="B86" s="153" t="s">
        <v>1352</v>
      </c>
      <c r="C86" s="153" t="s">
        <v>1521</v>
      </c>
      <c r="D86" s="153">
        <v>48.2</v>
      </c>
      <c r="E86" s="153">
        <v>48.2</v>
      </c>
      <c r="F86" s="153">
        <f t="shared" si="2"/>
        <v>0</v>
      </c>
      <c r="G86" s="153" t="str">
        <f t="shared" si="3"/>
        <v>OK</v>
      </c>
      <c r="H86" s="153" t="b">
        <v>1</v>
      </c>
    </row>
    <row r="87" spans="1:8" x14ac:dyDescent="0.3">
      <c r="A87" s="153" t="s">
        <v>1522</v>
      </c>
      <c r="B87" s="153" t="s">
        <v>1352</v>
      </c>
      <c r="C87" s="153" t="s">
        <v>1523</v>
      </c>
      <c r="D87" s="153">
        <v>647</v>
      </c>
      <c r="E87" s="153">
        <v>647</v>
      </c>
      <c r="F87" s="153">
        <f t="shared" si="2"/>
        <v>0</v>
      </c>
      <c r="G87" s="153" t="str">
        <f t="shared" si="3"/>
        <v>OK</v>
      </c>
      <c r="H87" s="153" t="b">
        <v>1</v>
      </c>
    </row>
    <row r="88" spans="1:8" x14ac:dyDescent="0.3">
      <c r="A88" s="153" t="s">
        <v>1524</v>
      </c>
      <c r="B88" s="153" t="s">
        <v>1352</v>
      </c>
      <c r="C88" s="153" t="s">
        <v>1525</v>
      </c>
      <c r="D88" s="153">
        <v>926</v>
      </c>
      <c r="E88" s="153">
        <v>926</v>
      </c>
      <c r="F88" s="153">
        <f t="shared" si="2"/>
        <v>0</v>
      </c>
      <c r="G88" s="153" t="str">
        <f t="shared" si="3"/>
        <v>OK</v>
      </c>
      <c r="H88" s="153" t="b">
        <v>1</v>
      </c>
    </row>
    <row r="89" spans="1:8" x14ac:dyDescent="0.3">
      <c r="A89" s="153" t="s">
        <v>1526</v>
      </c>
      <c r="B89" s="153" t="s">
        <v>1352</v>
      </c>
      <c r="C89" s="153" t="s">
        <v>1527</v>
      </c>
      <c r="D89" s="153">
        <v>4770</v>
      </c>
      <c r="E89" s="153">
        <v>4770</v>
      </c>
      <c r="F89" s="153">
        <f t="shared" si="2"/>
        <v>0</v>
      </c>
      <c r="G89" s="153" t="str">
        <f t="shared" si="3"/>
        <v>OK</v>
      </c>
      <c r="H89" s="153" t="b">
        <v>1</v>
      </c>
    </row>
    <row r="90" spans="1:8" x14ac:dyDescent="0.3">
      <c r="A90" s="153" t="s">
        <v>1528</v>
      </c>
      <c r="B90" s="153" t="s">
        <v>1352</v>
      </c>
      <c r="C90" s="153" t="s">
        <v>1529</v>
      </c>
      <c r="D90" s="153">
        <v>4964</v>
      </c>
      <c r="E90" s="153">
        <v>4964</v>
      </c>
      <c r="F90" s="153">
        <f t="shared" si="2"/>
        <v>0</v>
      </c>
      <c r="G90" s="153" t="str">
        <f t="shared" si="3"/>
        <v>OK</v>
      </c>
      <c r="H90" s="153" t="b">
        <v>1</v>
      </c>
    </row>
    <row r="91" spans="1:8" x14ac:dyDescent="0.3">
      <c r="A91" s="153" t="s">
        <v>1530</v>
      </c>
      <c r="B91" s="153" t="s">
        <v>1352</v>
      </c>
      <c r="C91" s="153" t="s">
        <v>1531</v>
      </c>
      <c r="D91" s="153">
        <v>5038</v>
      </c>
      <c r="E91" s="153">
        <v>5038</v>
      </c>
      <c r="F91" s="153">
        <f t="shared" si="2"/>
        <v>0</v>
      </c>
      <c r="G91" s="153" t="str">
        <f t="shared" si="3"/>
        <v>OK</v>
      </c>
      <c r="H91" s="153" t="b">
        <v>1</v>
      </c>
    </row>
    <row r="92" spans="1:8" x14ac:dyDescent="0.3">
      <c r="A92" s="153" t="s">
        <v>1532</v>
      </c>
      <c r="B92" s="153" t="s">
        <v>1352</v>
      </c>
      <c r="C92" s="153" t="s">
        <v>1533</v>
      </c>
      <c r="D92" s="153" t="b">
        <v>0</v>
      </c>
      <c r="E92" s="153" t="b">
        <v>0</v>
      </c>
      <c r="F92" s="153">
        <f t="shared" si="2"/>
        <v>0</v>
      </c>
      <c r="G92" s="153" t="str">
        <f t="shared" si="3"/>
        <v>OK</v>
      </c>
      <c r="H92" s="153" t="b">
        <v>1</v>
      </c>
    </row>
    <row r="93" spans="1:8" x14ac:dyDescent="0.3">
      <c r="A93" s="153" t="s">
        <v>1534</v>
      </c>
      <c r="B93" s="153" t="s">
        <v>1352</v>
      </c>
      <c r="C93" s="153" t="s">
        <v>1535</v>
      </c>
      <c r="D93" s="153" t="b">
        <v>1</v>
      </c>
      <c r="E93" s="153" t="b">
        <v>1</v>
      </c>
      <c r="F93" s="153">
        <f t="shared" si="2"/>
        <v>0</v>
      </c>
      <c r="G93" s="153" t="str">
        <f t="shared" si="3"/>
        <v>OK</v>
      </c>
      <c r="H93" s="153" t="b">
        <v>1</v>
      </c>
    </row>
    <row r="94" spans="1:8" x14ac:dyDescent="0.3">
      <c r="A94" s="153" t="s">
        <v>1536</v>
      </c>
      <c r="B94" s="153" t="s">
        <v>1352</v>
      </c>
      <c r="C94" s="153" t="s">
        <v>1537</v>
      </c>
      <c r="D94" s="153" t="b">
        <v>0</v>
      </c>
      <c r="E94" s="153" t="b">
        <v>0</v>
      </c>
      <c r="F94" s="153">
        <f t="shared" si="2"/>
        <v>0</v>
      </c>
      <c r="G94" s="153" t="str">
        <f t="shared" si="3"/>
        <v>OK</v>
      </c>
      <c r="H94" s="153" t="b">
        <v>1</v>
      </c>
    </row>
    <row r="95" spans="1:8" x14ac:dyDescent="0.3">
      <c r="A95" s="153" t="s">
        <v>1538</v>
      </c>
      <c r="B95" s="153" t="s">
        <v>1352</v>
      </c>
      <c r="C95" s="153" t="s">
        <v>1539</v>
      </c>
      <c r="D95" s="153" t="b">
        <v>0</v>
      </c>
      <c r="E95" s="153" t="b">
        <v>0</v>
      </c>
      <c r="F95" s="153">
        <f t="shared" si="2"/>
        <v>0</v>
      </c>
      <c r="G95" s="153" t="str">
        <f t="shared" si="3"/>
        <v>OK</v>
      </c>
      <c r="H95" s="153" t="b">
        <v>1</v>
      </c>
    </row>
    <row r="96" spans="1:8" x14ac:dyDescent="0.3">
      <c r="A96" s="153" t="s">
        <v>1540</v>
      </c>
      <c r="B96" s="153" t="s">
        <v>1352</v>
      </c>
      <c r="C96" s="153" t="s">
        <v>1541</v>
      </c>
      <c r="D96" s="153" t="b">
        <v>1</v>
      </c>
      <c r="E96" s="153" t="b">
        <v>1</v>
      </c>
      <c r="F96" s="153">
        <f t="shared" si="2"/>
        <v>0</v>
      </c>
      <c r="G96" s="153" t="str">
        <f t="shared" si="3"/>
        <v>OK</v>
      </c>
      <c r="H96" s="153" t="b">
        <v>1</v>
      </c>
    </row>
    <row r="97" spans="1:8" x14ac:dyDescent="0.3">
      <c r="A97" s="153" t="s">
        <v>1542</v>
      </c>
      <c r="B97" s="153" t="s">
        <v>1352</v>
      </c>
      <c r="C97" s="153" t="s">
        <v>1543</v>
      </c>
      <c r="D97" s="153" t="b">
        <v>1</v>
      </c>
      <c r="E97" s="153" t="b">
        <v>1</v>
      </c>
      <c r="F97" s="153">
        <f t="shared" si="2"/>
        <v>0</v>
      </c>
      <c r="G97" s="153" t="str">
        <f t="shared" si="3"/>
        <v>OK</v>
      </c>
      <c r="H97" s="153" t="b">
        <v>1</v>
      </c>
    </row>
    <row r="98" spans="1:8" x14ac:dyDescent="0.3">
      <c r="A98" s="153" t="s">
        <v>1544</v>
      </c>
      <c r="B98" s="153" t="s">
        <v>1352</v>
      </c>
      <c r="C98" s="153" t="s">
        <v>1545</v>
      </c>
      <c r="D98" s="153" t="b">
        <v>0</v>
      </c>
      <c r="E98" s="153" t="b">
        <v>0</v>
      </c>
      <c r="F98" s="153">
        <f t="shared" si="2"/>
        <v>0</v>
      </c>
      <c r="G98" s="153" t="str">
        <f t="shared" si="3"/>
        <v>OK</v>
      </c>
      <c r="H98" s="153" t="b">
        <v>1</v>
      </c>
    </row>
    <row r="99" spans="1:8" x14ac:dyDescent="0.3">
      <c r="A99" s="153" t="s">
        <v>1546</v>
      </c>
      <c r="B99" s="153" t="s">
        <v>1352</v>
      </c>
      <c r="C99" s="153" t="s">
        <v>1547</v>
      </c>
      <c r="D99" s="153" t="b">
        <v>0</v>
      </c>
      <c r="E99" s="153" t="b">
        <v>0</v>
      </c>
      <c r="F99" s="153">
        <f t="shared" si="2"/>
        <v>0</v>
      </c>
      <c r="G99" s="153" t="str">
        <f t="shared" si="3"/>
        <v>OK</v>
      </c>
      <c r="H99" s="153" t="b">
        <v>1</v>
      </c>
    </row>
    <row r="100" spans="1:8" x14ac:dyDescent="0.3">
      <c r="A100" s="153" t="s">
        <v>1548</v>
      </c>
      <c r="B100" s="153" t="s">
        <v>1352</v>
      </c>
      <c r="C100" s="153" t="s">
        <v>1549</v>
      </c>
      <c r="D100" s="153">
        <v>0</v>
      </c>
      <c r="E100" s="153">
        <v>0</v>
      </c>
      <c r="F100" s="153">
        <f t="shared" si="2"/>
        <v>0</v>
      </c>
      <c r="G100" s="153" t="str">
        <f t="shared" si="3"/>
        <v>OK</v>
      </c>
      <c r="H100" s="153" t="b">
        <v>1</v>
      </c>
    </row>
    <row r="101" spans="1:8" x14ac:dyDescent="0.3">
      <c r="A101" s="153" t="s">
        <v>1550</v>
      </c>
      <c r="B101" s="153" t="s">
        <v>1352</v>
      </c>
      <c r="C101" s="153" t="s">
        <v>1551</v>
      </c>
      <c r="D101" s="153">
        <v>20</v>
      </c>
      <c r="E101" s="153">
        <v>20</v>
      </c>
      <c r="F101" s="153">
        <f t="shared" si="2"/>
        <v>0</v>
      </c>
      <c r="G101" s="153" t="str">
        <f t="shared" si="3"/>
        <v>OK</v>
      </c>
      <c r="H101" s="153" t="b">
        <v>1</v>
      </c>
    </row>
    <row r="102" spans="1:8" x14ac:dyDescent="0.3">
      <c r="A102" s="153" t="s">
        <v>1552</v>
      </c>
      <c r="B102" s="153" t="s">
        <v>1352</v>
      </c>
      <c r="C102" s="153" t="s">
        <v>1553</v>
      </c>
      <c r="D102" s="153">
        <v>0</v>
      </c>
      <c r="E102" s="153">
        <v>0</v>
      </c>
      <c r="F102" s="153">
        <f t="shared" si="2"/>
        <v>0</v>
      </c>
      <c r="G102" s="153" t="str">
        <f t="shared" si="3"/>
        <v>OK</v>
      </c>
      <c r="H102" s="153" t="b">
        <v>1</v>
      </c>
    </row>
    <row r="103" spans="1:8" x14ac:dyDescent="0.3">
      <c r="A103" s="153" t="s">
        <v>1554</v>
      </c>
      <c r="B103" s="153" t="s">
        <v>1352</v>
      </c>
      <c r="C103" s="153" t="s">
        <v>1555</v>
      </c>
      <c r="D103" s="153">
        <v>3</v>
      </c>
      <c r="E103" s="153">
        <v>3</v>
      </c>
      <c r="F103" s="153">
        <f t="shared" si="2"/>
        <v>0</v>
      </c>
      <c r="G103" s="153" t="str">
        <f t="shared" si="3"/>
        <v>OK</v>
      </c>
      <c r="H103" s="153" t="b">
        <v>1</v>
      </c>
    </row>
    <row r="104" spans="1:8" x14ac:dyDescent="0.3">
      <c r="A104" s="153" t="s">
        <v>1556</v>
      </c>
      <c r="B104" s="153" t="s">
        <v>1352</v>
      </c>
      <c r="C104" s="153" t="s">
        <v>1557</v>
      </c>
      <c r="D104" s="153">
        <v>6.4230769230769234</v>
      </c>
      <c r="E104" s="153">
        <v>6.4230769230769234</v>
      </c>
      <c r="F104" s="153">
        <f t="shared" si="2"/>
        <v>0</v>
      </c>
      <c r="G104" s="153" t="str">
        <f t="shared" si="3"/>
        <v>OK</v>
      </c>
      <c r="H104" s="153" t="b">
        <v>1</v>
      </c>
    </row>
    <row r="105" spans="1:8" x14ac:dyDescent="0.3">
      <c r="A105" s="153" t="s">
        <v>1558</v>
      </c>
      <c r="B105" s="153" t="s">
        <v>1352</v>
      </c>
      <c r="C105" s="153" t="s">
        <v>1559</v>
      </c>
      <c r="D105" s="153">
        <v>17</v>
      </c>
      <c r="E105" s="153">
        <v>17</v>
      </c>
      <c r="F105" s="153">
        <f t="shared" si="2"/>
        <v>0</v>
      </c>
      <c r="G105" s="153" t="str">
        <f t="shared" si="3"/>
        <v>OK</v>
      </c>
      <c r="H105" s="153" t="b">
        <v>1</v>
      </c>
    </row>
    <row r="106" spans="1:8" x14ac:dyDescent="0.3">
      <c r="A106" s="153" t="s">
        <v>1560</v>
      </c>
      <c r="B106" s="153" t="s">
        <v>1352</v>
      </c>
      <c r="C106" s="153" t="s">
        <v>1561</v>
      </c>
      <c r="D106" s="153">
        <v>10</v>
      </c>
      <c r="E106" s="153">
        <v>10</v>
      </c>
      <c r="F106" s="153">
        <f t="shared" si="2"/>
        <v>0</v>
      </c>
      <c r="G106" s="153" t="str">
        <f t="shared" si="3"/>
        <v>OK</v>
      </c>
      <c r="H106" s="153" t="b">
        <v>1</v>
      </c>
    </row>
    <row r="107" spans="1:8" x14ac:dyDescent="0.3">
      <c r="A107" s="153" t="s">
        <v>1562</v>
      </c>
      <c r="B107" s="153" t="s">
        <v>1352</v>
      </c>
      <c r="C107" s="153" t="s">
        <v>1563</v>
      </c>
      <c r="D107" s="153">
        <v>-3</v>
      </c>
      <c r="E107" s="153">
        <v>-3</v>
      </c>
      <c r="F107" s="153">
        <f t="shared" si="2"/>
        <v>0</v>
      </c>
      <c r="G107" s="153" t="str">
        <f t="shared" si="3"/>
        <v>OK</v>
      </c>
      <c r="H107" s="153" t="b">
        <v>1</v>
      </c>
    </row>
    <row r="108" spans="1:8" x14ac:dyDescent="0.3">
      <c r="A108" s="153" t="s">
        <v>1564</v>
      </c>
      <c r="B108" s="153" t="s">
        <v>1352</v>
      </c>
      <c r="C108" s="153" t="s">
        <v>1565</v>
      </c>
      <c r="D108" s="153">
        <v>17.2</v>
      </c>
      <c r="E108" s="153">
        <v>17.2</v>
      </c>
      <c r="F108" s="153">
        <f t="shared" si="2"/>
        <v>0</v>
      </c>
      <c r="G108" s="153" t="str">
        <f t="shared" si="3"/>
        <v>OK</v>
      </c>
      <c r="H108" s="153" t="b">
        <v>1</v>
      </c>
    </row>
    <row r="109" spans="1:8" x14ac:dyDescent="0.3">
      <c r="A109" s="153" t="s">
        <v>1566</v>
      </c>
      <c r="B109" s="153" t="s">
        <v>1352</v>
      </c>
      <c r="C109" s="153" t="s">
        <v>1567</v>
      </c>
      <c r="D109" s="153">
        <v>445.82400000000001</v>
      </c>
      <c r="E109" s="153">
        <v>445.82400000000001</v>
      </c>
      <c r="F109" s="153">
        <f t="shared" si="2"/>
        <v>0</v>
      </c>
      <c r="G109" s="153" t="str">
        <f t="shared" si="3"/>
        <v>OK</v>
      </c>
      <c r="H109" s="153" t="b">
        <v>1</v>
      </c>
    </row>
    <row r="110" spans="1:8" x14ac:dyDescent="0.3">
      <c r="A110" s="153" t="s">
        <v>1568</v>
      </c>
      <c r="B110" s="153" t="s">
        <v>1352</v>
      </c>
      <c r="C110" s="153" t="s">
        <v>1569</v>
      </c>
      <c r="D110" s="153">
        <v>0.96000000000000008</v>
      </c>
      <c r="E110" s="153">
        <v>0.96000000000000008</v>
      </c>
      <c r="F110" s="153">
        <f t="shared" si="2"/>
        <v>0</v>
      </c>
      <c r="G110" s="153" t="str">
        <f t="shared" si="3"/>
        <v>OK</v>
      </c>
      <c r="H110" s="153" t="b">
        <v>1</v>
      </c>
    </row>
    <row r="111" spans="1:8" x14ac:dyDescent="0.3">
      <c r="A111" s="153" t="s">
        <v>1570</v>
      </c>
      <c r="B111" s="153" t="s">
        <v>1352</v>
      </c>
      <c r="C111" s="153" t="s">
        <v>1571</v>
      </c>
      <c r="D111" s="153">
        <v>428</v>
      </c>
      <c r="E111" s="153">
        <v>428</v>
      </c>
      <c r="F111" s="153">
        <f t="shared" si="2"/>
        <v>0</v>
      </c>
      <c r="G111" s="153" t="str">
        <f t="shared" si="3"/>
        <v>OK</v>
      </c>
      <c r="H111" s="153" t="b">
        <v>1</v>
      </c>
    </row>
    <row r="112" spans="1:8" x14ac:dyDescent="0.3">
      <c r="A112" s="153" t="s">
        <v>1572</v>
      </c>
      <c r="B112" s="153" t="s">
        <v>1352</v>
      </c>
      <c r="C112" s="153" t="s">
        <v>1573</v>
      </c>
      <c r="D112" s="153">
        <v>427</v>
      </c>
      <c r="E112" s="153">
        <v>427</v>
      </c>
      <c r="F112" s="153">
        <f t="shared" si="2"/>
        <v>0</v>
      </c>
      <c r="G112" s="153" t="str">
        <f t="shared" si="3"/>
        <v>OK</v>
      </c>
      <c r="H112" s="153" t="b">
        <v>1</v>
      </c>
    </row>
    <row r="113" spans="1:8" x14ac:dyDescent="0.3">
      <c r="A113" s="153" t="s">
        <v>1574</v>
      </c>
      <c r="B113" s="153" t="s">
        <v>1352</v>
      </c>
      <c r="C113" s="153" t="s">
        <v>1575</v>
      </c>
      <c r="D113" s="153">
        <v>172.5</v>
      </c>
      <c r="E113" s="153">
        <v>172.5</v>
      </c>
      <c r="F113" s="153">
        <f t="shared" si="2"/>
        <v>0</v>
      </c>
      <c r="G113" s="153" t="str">
        <f t="shared" si="3"/>
        <v>OK</v>
      </c>
      <c r="H113" s="153" t="b">
        <v>1</v>
      </c>
    </row>
    <row r="114" spans="1:8" x14ac:dyDescent="0.3">
      <c r="A114" s="153" t="s">
        <v>1576</v>
      </c>
      <c r="B114" s="153" t="s">
        <v>1352</v>
      </c>
      <c r="C114" s="153" t="s">
        <v>1577</v>
      </c>
      <c r="D114" s="153">
        <v>427</v>
      </c>
      <c r="E114" s="153">
        <v>427</v>
      </c>
      <c r="F114" s="153">
        <f t="shared" si="2"/>
        <v>0</v>
      </c>
      <c r="G114" s="153" t="str">
        <f t="shared" si="3"/>
        <v>OK</v>
      </c>
      <c r="H114" s="153" t="b">
        <v>1</v>
      </c>
    </row>
    <row r="115" spans="1:8" x14ac:dyDescent="0.3">
      <c r="A115" s="153" t="s">
        <v>1578</v>
      </c>
      <c r="B115" s="153" t="s">
        <v>1352</v>
      </c>
      <c r="C115" s="153" t="s">
        <v>1579</v>
      </c>
      <c r="D115" s="153">
        <v>3228</v>
      </c>
      <c r="E115" s="153">
        <v>3228</v>
      </c>
      <c r="F115" s="153">
        <f t="shared" si="2"/>
        <v>0</v>
      </c>
      <c r="G115" s="153" t="str">
        <f t="shared" si="3"/>
        <v>OK</v>
      </c>
      <c r="H115" s="153" t="b">
        <v>1</v>
      </c>
    </row>
    <row r="116" spans="1:8" x14ac:dyDescent="0.3">
      <c r="A116" s="153" t="s">
        <v>1580</v>
      </c>
      <c r="B116" s="153" t="s">
        <v>1352</v>
      </c>
      <c r="C116" s="153" t="s">
        <v>1581</v>
      </c>
      <c r="D116" s="153">
        <v>30561.03999999999</v>
      </c>
      <c r="E116" s="153">
        <v>30561.03999999999</v>
      </c>
      <c r="F116" s="153">
        <f t="shared" si="2"/>
        <v>0</v>
      </c>
      <c r="G116" s="153" t="str">
        <f t="shared" si="3"/>
        <v>OK</v>
      </c>
      <c r="H116" s="153" t="b">
        <v>1</v>
      </c>
    </row>
    <row r="117" spans="1:8" x14ac:dyDescent="0.3">
      <c r="A117" s="153" t="s">
        <v>1582</v>
      </c>
      <c r="B117" s="153" t="s">
        <v>1352</v>
      </c>
      <c r="C117" s="153" t="s">
        <v>1583</v>
      </c>
      <c r="D117" s="153">
        <v>21204.762599999998</v>
      </c>
      <c r="E117" s="153">
        <v>21204.762599999998</v>
      </c>
      <c r="F117" s="153">
        <f t="shared" si="2"/>
        <v>0</v>
      </c>
      <c r="G117" s="153" t="str">
        <f t="shared" si="3"/>
        <v>OK</v>
      </c>
      <c r="H117" s="153" t="b">
        <v>1</v>
      </c>
    </row>
    <row r="118" spans="1:8" x14ac:dyDescent="0.3">
      <c r="A118" s="153" t="s">
        <v>1584</v>
      </c>
      <c r="B118" s="153" t="s">
        <v>1352</v>
      </c>
      <c r="C118" s="153" t="s">
        <v>1585</v>
      </c>
      <c r="D118" s="153">
        <v>31.25</v>
      </c>
      <c r="E118" s="153">
        <v>31.25</v>
      </c>
      <c r="F118" s="153">
        <f t="shared" si="2"/>
        <v>0</v>
      </c>
      <c r="G118" s="153" t="str">
        <f t="shared" si="3"/>
        <v>OK</v>
      </c>
      <c r="H118" s="153" t="b">
        <v>1</v>
      </c>
    </row>
    <row r="119" spans="1:8" x14ac:dyDescent="0.3">
      <c r="A119" s="153" t="s">
        <v>1586</v>
      </c>
      <c r="B119" s="153" t="s">
        <v>1352</v>
      </c>
      <c r="C119" s="153" t="s">
        <v>1587</v>
      </c>
      <c r="D119" s="153">
        <v>64.125</v>
      </c>
      <c r="E119" s="153">
        <v>64.125</v>
      </c>
      <c r="F119" s="153">
        <f t="shared" si="2"/>
        <v>0</v>
      </c>
      <c r="G119" s="153" t="str">
        <f t="shared" si="3"/>
        <v>OK</v>
      </c>
      <c r="H119" s="153" t="b">
        <v>1</v>
      </c>
    </row>
    <row r="120" spans="1:8" x14ac:dyDescent="0.3">
      <c r="A120" s="153" t="s">
        <v>1588</v>
      </c>
      <c r="B120" s="153" t="s">
        <v>1352</v>
      </c>
      <c r="C120" s="153" t="s">
        <v>1589</v>
      </c>
      <c r="D120" s="153">
        <v>8.6665992248909802</v>
      </c>
      <c r="E120" s="153">
        <v>8.6665992248909802</v>
      </c>
      <c r="F120" s="153">
        <f t="shared" si="2"/>
        <v>0</v>
      </c>
      <c r="G120" s="153" t="str">
        <f t="shared" si="3"/>
        <v>OK</v>
      </c>
      <c r="H120" s="153" t="b">
        <v>1</v>
      </c>
    </row>
    <row r="121" spans="1:8" x14ac:dyDescent="0.3">
      <c r="A121" s="153" t="s">
        <v>1590</v>
      </c>
      <c r="B121" s="153" t="s">
        <v>1352</v>
      </c>
      <c r="C121" s="153" t="s">
        <v>1591</v>
      </c>
      <c r="D121" s="153">
        <v>12.2</v>
      </c>
      <c r="E121" s="153">
        <v>12.2</v>
      </c>
      <c r="F121" s="153">
        <f t="shared" si="2"/>
        <v>0</v>
      </c>
      <c r="G121" s="153" t="str">
        <f t="shared" si="3"/>
        <v>OK</v>
      </c>
      <c r="H121" s="153" t="b">
        <v>1</v>
      </c>
    </row>
    <row r="122" spans="1:8" x14ac:dyDescent="0.3">
      <c r="A122" s="153" t="s">
        <v>1592</v>
      </c>
      <c r="B122" s="153" t="s">
        <v>1352</v>
      </c>
      <c r="C122" s="153" t="s">
        <v>1593</v>
      </c>
      <c r="D122" s="153">
        <v>777</v>
      </c>
      <c r="E122" s="153">
        <v>777</v>
      </c>
      <c r="F122" s="153">
        <f t="shared" si="2"/>
        <v>0</v>
      </c>
      <c r="G122" s="153" t="str">
        <f t="shared" si="3"/>
        <v>OK</v>
      </c>
      <c r="H122" s="153" t="b">
        <v>1</v>
      </c>
    </row>
    <row r="123" spans="1:8" x14ac:dyDescent="0.3">
      <c r="A123" s="153" t="s">
        <v>1594</v>
      </c>
      <c r="B123" s="153" t="s">
        <v>1352</v>
      </c>
      <c r="C123" s="153" t="s">
        <v>1595</v>
      </c>
      <c r="D123" s="153">
        <v>870</v>
      </c>
      <c r="E123" s="153">
        <v>870</v>
      </c>
      <c r="F123" s="153">
        <f t="shared" si="2"/>
        <v>0</v>
      </c>
      <c r="G123" s="153" t="str">
        <f t="shared" si="3"/>
        <v>OK</v>
      </c>
      <c r="H123" s="153" t="b">
        <v>1</v>
      </c>
    </row>
    <row r="124" spans="1:8" x14ac:dyDescent="0.3">
      <c r="A124" s="153" t="s">
        <v>1596</v>
      </c>
      <c r="B124" s="153" t="s">
        <v>1352</v>
      </c>
      <c r="C124" s="153" t="s">
        <v>1597</v>
      </c>
      <c r="D124" s="153">
        <v>427</v>
      </c>
      <c r="E124" s="153">
        <v>427</v>
      </c>
      <c r="F124" s="153">
        <f t="shared" si="2"/>
        <v>0</v>
      </c>
      <c r="G124" s="153" t="str">
        <f t="shared" si="3"/>
        <v>OK</v>
      </c>
      <c r="H124" s="153" t="b">
        <v>1</v>
      </c>
    </row>
    <row r="125" spans="1:8" x14ac:dyDescent="0.3">
      <c r="A125" s="153" t="s">
        <v>1598</v>
      </c>
      <c r="B125" s="153" t="s">
        <v>1352</v>
      </c>
      <c r="C125" s="153" t="s">
        <v>1599</v>
      </c>
      <c r="D125" s="153">
        <v>59727</v>
      </c>
      <c r="E125" s="153">
        <v>59727</v>
      </c>
      <c r="F125" s="153">
        <f t="shared" si="2"/>
        <v>0</v>
      </c>
      <c r="G125" s="153" t="str">
        <f t="shared" si="3"/>
        <v>OK</v>
      </c>
      <c r="H125" s="153" t="b">
        <v>1</v>
      </c>
    </row>
    <row r="126" spans="1:8" x14ac:dyDescent="0.3">
      <c r="A126" s="153" t="s">
        <v>1600</v>
      </c>
      <c r="B126" s="153" t="s">
        <v>1352</v>
      </c>
      <c r="C126" s="153" t="s">
        <v>1601</v>
      </c>
      <c r="D126" s="153">
        <v>0</v>
      </c>
      <c r="E126" s="153">
        <v>0</v>
      </c>
      <c r="F126" s="153">
        <f t="shared" si="2"/>
        <v>0</v>
      </c>
      <c r="G126" s="153" t="str">
        <f t="shared" si="3"/>
        <v>OK</v>
      </c>
      <c r="H126" s="153" t="b">
        <v>1</v>
      </c>
    </row>
    <row r="127" spans="1:8" x14ac:dyDescent="0.3">
      <c r="A127" s="153" t="s">
        <v>1602</v>
      </c>
      <c r="B127" s="153" t="s">
        <v>1352</v>
      </c>
      <c r="C127" s="153" t="s">
        <v>1603</v>
      </c>
      <c r="D127" s="153">
        <v>0</v>
      </c>
      <c r="E127" s="153">
        <v>0</v>
      </c>
      <c r="F127" s="153">
        <f t="shared" si="2"/>
        <v>0</v>
      </c>
      <c r="G127" s="153" t="str">
        <f t="shared" si="3"/>
        <v>OK</v>
      </c>
      <c r="H127" s="153" t="b">
        <v>1</v>
      </c>
    </row>
    <row r="128" spans="1:8" x14ac:dyDescent="0.3">
      <c r="A128" s="153" t="s">
        <v>1604</v>
      </c>
      <c r="B128" s="153" t="s">
        <v>1352</v>
      </c>
      <c r="C128" s="153" t="s">
        <v>1605</v>
      </c>
      <c r="D128" s="153">
        <v>1642.298878504673</v>
      </c>
      <c r="E128" s="153">
        <v>1642.298878504673</v>
      </c>
      <c r="F128" s="153">
        <f t="shared" si="2"/>
        <v>0</v>
      </c>
      <c r="G128" s="153" t="str">
        <f t="shared" si="3"/>
        <v>OK</v>
      </c>
      <c r="H128" s="153" t="b">
        <v>1</v>
      </c>
    </row>
    <row r="129" spans="1:8" x14ac:dyDescent="0.3">
      <c r="A129" s="153" t="s">
        <v>1606</v>
      </c>
      <c r="B129" s="153" t="s">
        <v>1352</v>
      </c>
      <c r="C129" s="153" t="s">
        <v>1607</v>
      </c>
      <c r="D129" s="153">
        <v>0</v>
      </c>
      <c r="E129" s="153">
        <v>0</v>
      </c>
      <c r="F129" s="153">
        <f t="shared" si="2"/>
        <v>0</v>
      </c>
      <c r="G129" s="153" t="str">
        <f t="shared" si="3"/>
        <v>OK</v>
      </c>
      <c r="H129" s="153" t="b">
        <v>1</v>
      </c>
    </row>
    <row r="130" spans="1:8" x14ac:dyDescent="0.3">
      <c r="A130" s="153" t="s">
        <v>1608</v>
      </c>
      <c r="B130" s="153" t="s">
        <v>1352</v>
      </c>
      <c r="C130" s="153" t="s">
        <v>1609</v>
      </c>
      <c r="D130" s="153">
        <v>13500</v>
      </c>
      <c r="E130" s="153">
        <v>13500</v>
      </c>
      <c r="F130" s="153">
        <f t="shared" ref="F130:F193" si="4">IF(NOT(H130),"",IF(AND(ISNUMBER(D130),ISNUMBER(E130)),E130-D130,IF(D130=E130,0,1)))</f>
        <v>0</v>
      </c>
      <c r="G130" s="153" t="str">
        <f t="shared" ref="G130:G193" si="5">IF(NOT(H130),"PENDIENTE SIDE",IF(IF(AND(ISNUMBER(D130),ISNUMBER(E130)),IF(MOD(D130,1)=0,D130=E130,ABS(D130-E130)&lt;=0.000000001*MAX(1,ABS(D130),ABS(E130))),D130=E130),"OK","DIFERENCIA"))</f>
        <v>OK</v>
      </c>
      <c r="H130" s="153" t="b">
        <v>1</v>
      </c>
    </row>
    <row r="131" spans="1:8" x14ac:dyDescent="0.3">
      <c r="A131" s="153" t="s">
        <v>1610</v>
      </c>
      <c r="B131" s="153" t="s">
        <v>1352</v>
      </c>
      <c r="C131" s="153" t="s">
        <v>1611</v>
      </c>
      <c r="D131" s="153">
        <v>67003.476478504657</v>
      </c>
      <c r="E131" s="153">
        <v>67003.476478504657</v>
      </c>
      <c r="F131" s="153">
        <f t="shared" si="4"/>
        <v>0</v>
      </c>
      <c r="G131" s="153" t="str">
        <f t="shared" si="5"/>
        <v>OK</v>
      </c>
      <c r="H131" s="153" t="b">
        <v>1</v>
      </c>
    </row>
    <row r="132" spans="1:8" x14ac:dyDescent="0.3">
      <c r="A132" s="153" t="s">
        <v>1612</v>
      </c>
      <c r="B132" s="153" t="s">
        <v>1352</v>
      </c>
      <c r="C132" s="153" t="s">
        <v>1613</v>
      </c>
      <c r="D132" s="153">
        <v>-7276.4764785046573</v>
      </c>
      <c r="E132" s="153">
        <v>-7276.4764785046573</v>
      </c>
      <c r="F132" s="153">
        <f t="shared" si="4"/>
        <v>0</v>
      </c>
      <c r="G132" s="153" t="str">
        <f t="shared" si="5"/>
        <v>OK</v>
      </c>
      <c r="H132" s="153" t="b">
        <v>1</v>
      </c>
    </row>
    <row r="133" spans="1:8" x14ac:dyDescent="0.3">
      <c r="A133" s="153" t="s">
        <v>1614</v>
      </c>
      <c r="B133" s="153" t="s">
        <v>1352</v>
      </c>
      <c r="C133" s="153" t="s">
        <v>1615</v>
      </c>
      <c r="D133" s="153">
        <v>0</v>
      </c>
      <c r="E133" s="153">
        <v>0</v>
      </c>
      <c r="F133" s="153">
        <f t="shared" si="4"/>
        <v>0</v>
      </c>
      <c r="G133" s="153" t="str">
        <f t="shared" si="5"/>
        <v>OK</v>
      </c>
      <c r="H133" s="153" t="b">
        <v>1</v>
      </c>
    </row>
    <row r="134" spans="1:8" x14ac:dyDescent="0.3">
      <c r="A134" s="153" t="s">
        <v>1616</v>
      </c>
      <c r="B134" s="153" t="s">
        <v>1352</v>
      </c>
      <c r="C134" s="153" t="s">
        <v>1617</v>
      </c>
      <c r="D134" s="153">
        <v>3</v>
      </c>
      <c r="E134" s="153">
        <v>3</v>
      </c>
      <c r="F134" s="153">
        <f t="shared" si="4"/>
        <v>0</v>
      </c>
      <c r="G134" s="153" t="str">
        <f t="shared" si="5"/>
        <v>OK</v>
      </c>
      <c r="H134" s="153" t="b">
        <v>1</v>
      </c>
    </row>
    <row r="135" spans="1:8" x14ac:dyDescent="0.3">
      <c r="A135" s="153" t="s">
        <v>1618</v>
      </c>
      <c r="B135" s="153" t="s">
        <v>1352</v>
      </c>
      <c r="C135" s="153" t="s">
        <v>1619</v>
      </c>
      <c r="D135" s="153">
        <v>38.5</v>
      </c>
      <c r="E135" s="153">
        <v>38.5</v>
      </c>
      <c r="F135" s="153">
        <f t="shared" si="4"/>
        <v>0</v>
      </c>
      <c r="G135" s="153" t="str">
        <f t="shared" si="5"/>
        <v>OK</v>
      </c>
      <c r="H135" s="153" t="b">
        <v>1</v>
      </c>
    </row>
    <row r="136" spans="1:8" x14ac:dyDescent="0.3">
      <c r="A136" s="153" t="s">
        <v>1620</v>
      </c>
      <c r="B136" s="153" t="s">
        <v>1352</v>
      </c>
      <c r="C136" s="153" t="s">
        <v>1621</v>
      </c>
      <c r="D136" s="153">
        <v>40.799999999999997</v>
      </c>
      <c r="E136" s="153">
        <v>40.799999999999997</v>
      </c>
      <c r="F136" s="153">
        <f t="shared" si="4"/>
        <v>0</v>
      </c>
      <c r="G136" s="153" t="str">
        <f t="shared" si="5"/>
        <v>OK</v>
      </c>
      <c r="H136" s="153" t="b">
        <v>1</v>
      </c>
    </row>
    <row r="137" spans="1:8" x14ac:dyDescent="0.3">
      <c r="A137" s="153" t="s">
        <v>1622</v>
      </c>
      <c r="B137" s="153" t="s">
        <v>1352</v>
      </c>
      <c r="C137" s="153" t="s">
        <v>1623</v>
      </c>
      <c r="D137" s="153">
        <v>48.2</v>
      </c>
      <c r="E137" s="153">
        <v>48.2</v>
      </c>
      <c r="F137" s="153">
        <f t="shared" si="4"/>
        <v>0</v>
      </c>
      <c r="G137" s="153" t="str">
        <f t="shared" si="5"/>
        <v>OK</v>
      </c>
      <c r="H137" s="153" t="b">
        <v>1</v>
      </c>
    </row>
    <row r="138" spans="1:8" x14ac:dyDescent="0.3">
      <c r="A138" s="153" t="s">
        <v>1624</v>
      </c>
      <c r="B138" s="153" t="s">
        <v>1352</v>
      </c>
      <c r="C138" s="153" t="s">
        <v>1625</v>
      </c>
      <c r="D138" s="153">
        <v>647</v>
      </c>
      <c r="E138" s="153">
        <v>647</v>
      </c>
      <c r="F138" s="153">
        <f t="shared" si="4"/>
        <v>0</v>
      </c>
      <c r="G138" s="153" t="str">
        <f t="shared" si="5"/>
        <v>OK</v>
      </c>
      <c r="H138" s="153" t="b">
        <v>1</v>
      </c>
    </row>
    <row r="139" spans="1:8" x14ac:dyDescent="0.3">
      <c r="A139" s="153" t="s">
        <v>1626</v>
      </c>
      <c r="B139" s="153" t="s">
        <v>1352</v>
      </c>
      <c r="C139" s="153" t="s">
        <v>1627</v>
      </c>
      <c r="D139" s="153">
        <v>926</v>
      </c>
      <c r="E139" s="153">
        <v>926</v>
      </c>
      <c r="F139" s="153">
        <f t="shared" si="4"/>
        <v>0</v>
      </c>
      <c r="G139" s="153" t="str">
        <f t="shared" si="5"/>
        <v>OK</v>
      </c>
      <c r="H139" s="153" t="b">
        <v>1</v>
      </c>
    </row>
    <row r="140" spans="1:8" x14ac:dyDescent="0.3">
      <c r="A140" s="153" t="s">
        <v>1628</v>
      </c>
      <c r="B140" s="153" t="s">
        <v>1352</v>
      </c>
      <c r="C140" s="153" t="s">
        <v>1629</v>
      </c>
      <c r="D140" s="153">
        <v>4770</v>
      </c>
      <c r="E140" s="153">
        <v>4770</v>
      </c>
      <c r="F140" s="153">
        <f t="shared" si="4"/>
        <v>0</v>
      </c>
      <c r="G140" s="153" t="str">
        <f t="shared" si="5"/>
        <v>OK</v>
      </c>
      <c r="H140" s="153" t="b">
        <v>1</v>
      </c>
    </row>
    <row r="141" spans="1:8" x14ac:dyDescent="0.3">
      <c r="A141" s="153" t="s">
        <v>1630</v>
      </c>
      <c r="B141" s="153" t="s">
        <v>1352</v>
      </c>
      <c r="C141" s="153" t="s">
        <v>1631</v>
      </c>
      <c r="D141" s="153">
        <v>4964</v>
      </c>
      <c r="E141" s="153">
        <v>4964</v>
      </c>
      <c r="F141" s="153">
        <f t="shared" si="4"/>
        <v>0</v>
      </c>
      <c r="G141" s="153" t="str">
        <f t="shared" si="5"/>
        <v>OK</v>
      </c>
      <c r="H141" s="153" t="b">
        <v>1</v>
      </c>
    </row>
    <row r="142" spans="1:8" x14ac:dyDescent="0.3">
      <c r="A142" s="153" t="s">
        <v>1632</v>
      </c>
      <c r="B142" s="153" t="s">
        <v>1352</v>
      </c>
      <c r="C142" s="153" t="s">
        <v>1633</v>
      </c>
      <c r="D142" s="153">
        <v>5038</v>
      </c>
      <c r="E142" s="153">
        <v>5038</v>
      </c>
      <c r="F142" s="153">
        <f t="shared" si="4"/>
        <v>0</v>
      </c>
      <c r="G142" s="153" t="str">
        <f t="shared" si="5"/>
        <v>OK</v>
      </c>
      <c r="H142" s="153" t="b">
        <v>1</v>
      </c>
    </row>
    <row r="143" spans="1:8" x14ac:dyDescent="0.3">
      <c r="A143" s="153" t="s">
        <v>1634</v>
      </c>
      <c r="B143" s="153" t="s">
        <v>1352</v>
      </c>
      <c r="C143" s="153" t="s">
        <v>1635</v>
      </c>
      <c r="D143" s="153" t="b">
        <v>0</v>
      </c>
      <c r="E143" s="153" t="b">
        <v>0</v>
      </c>
      <c r="F143" s="153">
        <f t="shared" si="4"/>
        <v>0</v>
      </c>
      <c r="G143" s="153" t="str">
        <f t="shared" si="5"/>
        <v>OK</v>
      </c>
      <c r="H143" s="153" t="b">
        <v>1</v>
      </c>
    </row>
    <row r="144" spans="1:8" x14ac:dyDescent="0.3">
      <c r="A144" s="153" t="s">
        <v>1636</v>
      </c>
      <c r="B144" s="153" t="s">
        <v>1352</v>
      </c>
      <c r="C144" s="153" t="s">
        <v>1637</v>
      </c>
      <c r="D144" s="153" t="b">
        <v>1</v>
      </c>
      <c r="E144" s="153" t="b">
        <v>1</v>
      </c>
      <c r="F144" s="153">
        <f t="shared" si="4"/>
        <v>0</v>
      </c>
      <c r="G144" s="153" t="str">
        <f t="shared" si="5"/>
        <v>OK</v>
      </c>
      <c r="H144" s="153" t="b">
        <v>1</v>
      </c>
    </row>
    <row r="145" spans="1:8" x14ac:dyDescent="0.3">
      <c r="A145" s="153" t="s">
        <v>1638</v>
      </c>
      <c r="B145" s="153" t="s">
        <v>1352</v>
      </c>
      <c r="C145" s="153" t="s">
        <v>1639</v>
      </c>
      <c r="D145" s="153" t="b">
        <v>0</v>
      </c>
      <c r="E145" s="153" t="b">
        <v>0</v>
      </c>
      <c r="F145" s="153">
        <f t="shared" si="4"/>
        <v>0</v>
      </c>
      <c r="G145" s="153" t="str">
        <f t="shared" si="5"/>
        <v>OK</v>
      </c>
      <c r="H145" s="153" t="b">
        <v>1</v>
      </c>
    </row>
    <row r="146" spans="1:8" x14ac:dyDescent="0.3">
      <c r="A146" s="153" t="s">
        <v>1640</v>
      </c>
      <c r="B146" s="153" t="s">
        <v>1352</v>
      </c>
      <c r="C146" s="153" t="s">
        <v>1641</v>
      </c>
      <c r="D146" s="153" t="b">
        <v>0</v>
      </c>
      <c r="E146" s="153" t="b">
        <v>0</v>
      </c>
      <c r="F146" s="153">
        <f t="shared" si="4"/>
        <v>0</v>
      </c>
      <c r="G146" s="153" t="str">
        <f t="shared" si="5"/>
        <v>OK</v>
      </c>
      <c r="H146" s="153" t="b">
        <v>1</v>
      </c>
    </row>
    <row r="147" spans="1:8" x14ac:dyDescent="0.3">
      <c r="A147" s="153" t="s">
        <v>1642</v>
      </c>
      <c r="B147" s="153" t="s">
        <v>1352</v>
      </c>
      <c r="C147" s="153" t="s">
        <v>1643</v>
      </c>
      <c r="D147" s="153" t="b">
        <v>1</v>
      </c>
      <c r="E147" s="153" t="b">
        <v>1</v>
      </c>
      <c r="F147" s="153">
        <f t="shared" si="4"/>
        <v>0</v>
      </c>
      <c r="G147" s="153" t="str">
        <f t="shared" si="5"/>
        <v>OK</v>
      </c>
      <c r="H147" s="153" t="b">
        <v>1</v>
      </c>
    </row>
    <row r="148" spans="1:8" x14ac:dyDescent="0.3">
      <c r="A148" s="153" t="s">
        <v>1644</v>
      </c>
      <c r="B148" s="153" t="s">
        <v>1352</v>
      </c>
      <c r="C148" s="153" t="s">
        <v>1645</v>
      </c>
      <c r="D148" s="153" t="b">
        <v>1</v>
      </c>
      <c r="E148" s="153" t="b">
        <v>1</v>
      </c>
      <c r="F148" s="153">
        <f t="shared" si="4"/>
        <v>0</v>
      </c>
      <c r="G148" s="153" t="str">
        <f t="shared" si="5"/>
        <v>OK</v>
      </c>
      <c r="H148" s="153" t="b">
        <v>1</v>
      </c>
    </row>
    <row r="149" spans="1:8" x14ac:dyDescent="0.3">
      <c r="A149" s="153" t="s">
        <v>1646</v>
      </c>
      <c r="B149" s="153" t="s">
        <v>1352</v>
      </c>
      <c r="C149" s="153" t="s">
        <v>1647</v>
      </c>
      <c r="D149" s="153" t="b">
        <v>0</v>
      </c>
      <c r="E149" s="153" t="b">
        <v>0</v>
      </c>
      <c r="F149" s="153">
        <f t="shared" si="4"/>
        <v>0</v>
      </c>
      <c r="G149" s="153" t="str">
        <f t="shared" si="5"/>
        <v>OK</v>
      </c>
      <c r="H149" s="153" t="b">
        <v>1</v>
      </c>
    </row>
    <row r="150" spans="1:8" x14ac:dyDescent="0.3">
      <c r="A150" s="153" t="s">
        <v>1648</v>
      </c>
      <c r="B150" s="153" t="s">
        <v>1352</v>
      </c>
      <c r="C150" s="153" t="s">
        <v>1649</v>
      </c>
      <c r="D150" s="153" t="b">
        <v>0</v>
      </c>
      <c r="E150" s="153" t="b">
        <v>0</v>
      </c>
      <c r="F150" s="153">
        <f t="shared" si="4"/>
        <v>0</v>
      </c>
      <c r="G150" s="153" t="str">
        <f t="shared" si="5"/>
        <v>OK</v>
      </c>
      <c r="H150" s="153" t="b">
        <v>1</v>
      </c>
    </row>
    <row r="151" spans="1:8" x14ac:dyDescent="0.3">
      <c r="A151" s="153" t="s">
        <v>1650</v>
      </c>
      <c r="B151" s="153" t="s">
        <v>1352</v>
      </c>
      <c r="C151" s="153" t="s">
        <v>1651</v>
      </c>
      <c r="D151" s="153">
        <v>0</v>
      </c>
      <c r="E151" s="153">
        <v>0</v>
      </c>
      <c r="F151" s="153">
        <f t="shared" si="4"/>
        <v>0</v>
      </c>
      <c r="G151" s="153" t="str">
        <f t="shared" si="5"/>
        <v>OK</v>
      </c>
      <c r="H151" s="153" t="b">
        <v>1</v>
      </c>
    </row>
    <row r="152" spans="1:8" x14ac:dyDescent="0.3">
      <c r="A152" s="153" t="s">
        <v>1652</v>
      </c>
      <c r="B152" s="153" t="s">
        <v>1352</v>
      </c>
      <c r="C152" s="153" t="s">
        <v>1653</v>
      </c>
      <c r="D152" s="153">
        <v>20</v>
      </c>
      <c r="E152" s="153">
        <v>20</v>
      </c>
      <c r="F152" s="153">
        <f t="shared" si="4"/>
        <v>0</v>
      </c>
      <c r="G152" s="153" t="str">
        <f t="shared" si="5"/>
        <v>OK</v>
      </c>
      <c r="H152" s="153" t="b">
        <v>1</v>
      </c>
    </row>
    <row r="153" spans="1:8" x14ac:dyDescent="0.3">
      <c r="A153" s="153" t="s">
        <v>1654</v>
      </c>
      <c r="B153" s="153" t="s">
        <v>1352</v>
      </c>
      <c r="C153" s="153" t="s">
        <v>1655</v>
      </c>
      <c r="D153" s="153">
        <v>0</v>
      </c>
      <c r="E153" s="153">
        <v>0</v>
      </c>
      <c r="F153" s="153">
        <f t="shared" si="4"/>
        <v>0</v>
      </c>
      <c r="G153" s="153" t="str">
        <f t="shared" si="5"/>
        <v>OK</v>
      </c>
      <c r="H153" s="153" t="b">
        <v>1</v>
      </c>
    </row>
    <row r="154" spans="1:8" x14ac:dyDescent="0.3">
      <c r="A154" s="153" t="s">
        <v>1656</v>
      </c>
      <c r="B154" s="153" t="s">
        <v>1352</v>
      </c>
      <c r="C154" s="153" t="s">
        <v>1657</v>
      </c>
      <c r="D154" s="153">
        <v>3</v>
      </c>
      <c r="E154" s="153">
        <v>3</v>
      </c>
      <c r="F154" s="153">
        <f t="shared" si="4"/>
        <v>0</v>
      </c>
      <c r="G154" s="153" t="str">
        <f t="shared" si="5"/>
        <v>OK</v>
      </c>
      <c r="H154" s="153" t="b">
        <v>1</v>
      </c>
    </row>
    <row r="155" spans="1:8" x14ac:dyDescent="0.3">
      <c r="A155" s="153" t="s">
        <v>1658</v>
      </c>
      <c r="B155" s="153" t="s">
        <v>1352</v>
      </c>
      <c r="C155" s="153" t="s">
        <v>1659</v>
      </c>
      <c r="D155" s="153">
        <v>6.4230769230769234</v>
      </c>
      <c r="E155" s="153">
        <v>6.4230769230769234</v>
      </c>
      <c r="F155" s="153">
        <f t="shared" si="4"/>
        <v>0</v>
      </c>
      <c r="G155" s="153" t="str">
        <f t="shared" si="5"/>
        <v>OK</v>
      </c>
      <c r="H155" s="153" t="b">
        <v>1</v>
      </c>
    </row>
    <row r="156" spans="1:8" x14ac:dyDescent="0.3">
      <c r="A156" s="153" t="s">
        <v>1660</v>
      </c>
      <c r="B156" s="153" t="s">
        <v>1352</v>
      </c>
      <c r="C156" s="153" t="s">
        <v>1661</v>
      </c>
      <c r="D156" s="153">
        <v>17</v>
      </c>
      <c r="E156" s="153">
        <v>17</v>
      </c>
      <c r="F156" s="153">
        <f t="shared" si="4"/>
        <v>0</v>
      </c>
      <c r="G156" s="153" t="str">
        <f t="shared" si="5"/>
        <v>OK</v>
      </c>
      <c r="H156" s="153" t="b">
        <v>1</v>
      </c>
    </row>
    <row r="157" spans="1:8" x14ac:dyDescent="0.3">
      <c r="A157" s="153" t="s">
        <v>1662</v>
      </c>
      <c r="B157" s="153" t="s">
        <v>1352</v>
      </c>
      <c r="C157" s="153" t="s">
        <v>1663</v>
      </c>
      <c r="D157" s="153">
        <v>10</v>
      </c>
      <c r="E157" s="153">
        <v>10</v>
      </c>
      <c r="F157" s="153">
        <f t="shared" si="4"/>
        <v>0</v>
      </c>
      <c r="G157" s="153" t="str">
        <f t="shared" si="5"/>
        <v>OK</v>
      </c>
      <c r="H157" s="153" t="b">
        <v>1</v>
      </c>
    </row>
    <row r="158" spans="1:8" x14ac:dyDescent="0.3">
      <c r="A158" s="153" t="s">
        <v>1664</v>
      </c>
      <c r="B158" s="153" t="s">
        <v>1352</v>
      </c>
      <c r="C158" s="153" t="s">
        <v>1665</v>
      </c>
      <c r="D158" s="153">
        <v>-3</v>
      </c>
      <c r="E158" s="153">
        <v>-3</v>
      </c>
      <c r="F158" s="153">
        <f t="shared" si="4"/>
        <v>0</v>
      </c>
      <c r="G158" s="153" t="str">
        <f t="shared" si="5"/>
        <v>OK</v>
      </c>
      <c r="H158" s="153" t="b">
        <v>1</v>
      </c>
    </row>
    <row r="159" spans="1:8" x14ac:dyDescent="0.3">
      <c r="A159" s="153" t="s">
        <v>1666</v>
      </c>
      <c r="B159" s="153" t="s">
        <v>1352</v>
      </c>
      <c r="C159" s="153" t="s">
        <v>1667</v>
      </c>
      <c r="D159" s="153">
        <v>17.2</v>
      </c>
      <c r="E159" s="153">
        <v>17.2</v>
      </c>
      <c r="F159" s="153">
        <f t="shared" si="4"/>
        <v>0</v>
      </c>
      <c r="G159" s="153" t="str">
        <f t="shared" si="5"/>
        <v>OK</v>
      </c>
      <c r="H159" s="153" t="b">
        <v>1</v>
      </c>
    </row>
    <row r="160" spans="1:8" x14ac:dyDescent="0.3">
      <c r="A160" s="153" t="s">
        <v>1668</v>
      </c>
      <c r="B160" s="153" t="s">
        <v>1352</v>
      </c>
      <c r="C160" s="153" t="s">
        <v>1669</v>
      </c>
      <c r="D160" s="153">
        <v>445.82400000000001</v>
      </c>
      <c r="E160" s="153">
        <v>445.82400000000001</v>
      </c>
      <c r="F160" s="153">
        <f t="shared" si="4"/>
        <v>0</v>
      </c>
      <c r="G160" s="153" t="str">
        <f t="shared" si="5"/>
        <v>OK</v>
      </c>
      <c r="H160" s="153" t="b">
        <v>1</v>
      </c>
    </row>
    <row r="161" spans="1:8" x14ac:dyDescent="0.3">
      <c r="A161" s="153" t="s">
        <v>1670</v>
      </c>
      <c r="B161" s="153" t="s">
        <v>1352</v>
      </c>
      <c r="C161" s="153" t="s">
        <v>1671</v>
      </c>
      <c r="D161" s="153">
        <v>0.96000000000000008</v>
      </c>
      <c r="E161" s="153">
        <v>0.96000000000000008</v>
      </c>
      <c r="F161" s="153">
        <f t="shared" si="4"/>
        <v>0</v>
      </c>
      <c r="G161" s="153" t="str">
        <f t="shared" si="5"/>
        <v>OK</v>
      </c>
      <c r="H161" s="153" t="b">
        <v>1</v>
      </c>
    </row>
    <row r="162" spans="1:8" x14ac:dyDescent="0.3">
      <c r="A162" s="153" t="s">
        <v>1672</v>
      </c>
      <c r="B162" s="153" t="s">
        <v>1352</v>
      </c>
      <c r="C162" s="153" t="s">
        <v>1673</v>
      </c>
      <c r="D162" s="153">
        <v>428</v>
      </c>
      <c r="E162" s="153">
        <v>428</v>
      </c>
      <c r="F162" s="153">
        <f t="shared" si="4"/>
        <v>0</v>
      </c>
      <c r="G162" s="153" t="str">
        <f t="shared" si="5"/>
        <v>OK</v>
      </c>
      <c r="H162" s="153" t="b">
        <v>1</v>
      </c>
    </row>
    <row r="163" spans="1:8" x14ac:dyDescent="0.3">
      <c r="A163" s="153" t="s">
        <v>1674</v>
      </c>
      <c r="B163" s="153" t="s">
        <v>1352</v>
      </c>
      <c r="C163" s="153" t="s">
        <v>1675</v>
      </c>
      <c r="D163" s="153">
        <v>427</v>
      </c>
      <c r="E163" s="153">
        <v>427</v>
      </c>
      <c r="F163" s="153">
        <f t="shared" si="4"/>
        <v>0</v>
      </c>
      <c r="G163" s="153" t="str">
        <f t="shared" si="5"/>
        <v>OK</v>
      </c>
      <c r="H163" s="153" t="b">
        <v>1</v>
      </c>
    </row>
    <row r="164" spans="1:8" x14ac:dyDescent="0.3">
      <c r="A164" s="153" t="s">
        <v>1676</v>
      </c>
      <c r="B164" s="153" t="s">
        <v>1352</v>
      </c>
      <c r="C164" s="153" t="s">
        <v>1677</v>
      </c>
      <c r="D164" s="153">
        <v>172.5</v>
      </c>
      <c r="E164" s="153">
        <v>172.5</v>
      </c>
      <c r="F164" s="153">
        <f t="shared" si="4"/>
        <v>0</v>
      </c>
      <c r="G164" s="153" t="str">
        <f t="shared" si="5"/>
        <v>OK</v>
      </c>
      <c r="H164" s="153" t="b">
        <v>1</v>
      </c>
    </row>
    <row r="165" spans="1:8" x14ac:dyDescent="0.3">
      <c r="A165" s="153" t="s">
        <v>1678</v>
      </c>
      <c r="B165" s="153" t="s">
        <v>1352</v>
      </c>
      <c r="C165" s="153" t="s">
        <v>1679</v>
      </c>
      <c r="D165" s="153">
        <v>427</v>
      </c>
      <c r="E165" s="153">
        <v>427</v>
      </c>
      <c r="F165" s="153">
        <f t="shared" si="4"/>
        <v>0</v>
      </c>
      <c r="G165" s="153" t="str">
        <f t="shared" si="5"/>
        <v>OK</v>
      </c>
      <c r="H165" s="153" t="b">
        <v>1</v>
      </c>
    </row>
    <row r="166" spans="1:8" x14ac:dyDescent="0.3">
      <c r="A166" s="153" t="s">
        <v>1680</v>
      </c>
      <c r="B166" s="153" t="s">
        <v>1352</v>
      </c>
      <c r="C166" s="153" t="s">
        <v>1681</v>
      </c>
      <c r="D166" s="153">
        <v>3228</v>
      </c>
      <c r="E166" s="153">
        <v>3228</v>
      </c>
      <c r="F166" s="153">
        <f t="shared" si="4"/>
        <v>0</v>
      </c>
      <c r="G166" s="153" t="str">
        <f t="shared" si="5"/>
        <v>OK</v>
      </c>
      <c r="H166" s="153" t="b">
        <v>1</v>
      </c>
    </row>
    <row r="167" spans="1:8" x14ac:dyDescent="0.3">
      <c r="A167" s="153" t="s">
        <v>1682</v>
      </c>
      <c r="B167" s="153" t="s">
        <v>1352</v>
      </c>
      <c r="C167" s="153" t="s">
        <v>1683</v>
      </c>
      <c r="D167" s="153">
        <v>30561.03999999999</v>
      </c>
      <c r="E167" s="153">
        <v>30561.03999999999</v>
      </c>
      <c r="F167" s="153">
        <f t="shared" si="4"/>
        <v>0</v>
      </c>
      <c r="G167" s="153" t="str">
        <f t="shared" si="5"/>
        <v>OK</v>
      </c>
      <c r="H167" s="153" t="b">
        <v>1</v>
      </c>
    </row>
    <row r="168" spans="1:8" x14ac:dyDescent="0.3">
      <c r="A168" s="153" t="s">
        <v>1684</v>
      </c>
      <c r="B168" s="153" t="s">
        <v>1352</v>
      </c>
      <c r="C168" s="153" t="s">
        <v>1685</v>
      </c>
      <c r="D168" s="153">
        <v>21204.762599999998</v>
      </c>
      <c r="E168" s="153">
        <v>21204.762599999998</v>
      </c>
      <c r="F168" s="153">
        <f t="shared" si="4"/>
        <v>0</v>
      </c>
      <c r="G168" s="153" t="str">
        <f t="shared" si="5"/>
        <v>OK</v>
      </c>
      <c r="H168" s="153" t="b">
        <v>1</v>
      </c>
    </row>
    <row r="169" spans="1:8" x14ac:dyDescent="0.3">
      <c r="A169" s="153" t="s">
        <v>1686</v>
      </c>
      <c r="B169" s="153" t="s">
        <v>1352</v>
      </c>
      <c r="C169" s="153" t="s">
        <v>1687</v>
      </c>
      <c r="D169" s="153">
        <v>31.25</v>
      </c>
      <c r="E169" s="153">
        <v>31.25</v>
      </c>
      <c r="F169" s="153">
        <f t="shared" si="4"/>
        <v>0</v>
      </c>
      <c r="G169" s="153" t="str">
        <f t="shared" si="5"/>
        <v>OK</v>
      </c>
      <c r="H169" s="153" t="b">
        <v>1</v>
      </c>
    </row>
    <row r="170" spans="1:8" x14ac:dyDescent="0.3">
      <c r="A170" s="153" t="s">
        <v>1688</v>
      </c>
      <c r="B170" s="153" t="s">
        <v>1352</v>
      </c>
      <c r="C170" s="153" t="s">
        <v>1689</v>
      </c>
      <c r="D170" s="153">
        <v>64.125</v>
      </c>
      <c r="E170" s="153">
        <v>64.125</v>
      </c>
      <c r="F170" s="153">
        <f t="shared" si="4"/>
        <v>0</v>
      </c>
      <c r="G170" s="153" t="str">
        <f t="shared" si="5"/>
        <v>OK</v>
      </c>
      <c r="H170" s="153" t="b">
        <v>1</v>
      </c>
    </row>
    <row r="171" spans="1:8" x14ac:dyDescent="0.3">
      <c r="A171" s="153" t="s">
        <v>1690</v>
      </c>
      <c r="B171" s="153" t="s">
        <v>1352</v>
      </c>
      <c r="C171" s="153" t="s">
        <v>1691</v>
      </c>
      <c r="D171" s="153">
        <v>8.6665992248909802</v>
      </c>
      <c r="E171" s="153">
        <v>8.6665992248909802</v>
      </c>
      <c r="F171" s="153">
        <f t="shared" si="4"/>
        <v>0</v>
      </c>
      <c r="G171" s="153" t="str">
        <f t="shared" si="5"/>
        <v>OK</v>
      </c>
      <c r="H171" s="153" t="b">
        <v>1</v>
      </c>
    </row>
    <row r="172" spans="1:8" x14ac:dyDescent="0.3">
      <c r="A172" s="153" t="s">
        <v>1692</v>
      </c>
      <c r="B172" s="153" t="s">
        <v>1352</v>
      </c>
      <c r="C172" s="153" t="s">
        <v>1693</v>
      </c>
      <c r="D172" s="153">
        <v>11</v>
      </c>
      <c r="E172" s="153">
        <v>11</v>
      </c>
      <c r="F172" s="153">
        <f t="shared" si="4"/>
        <v>0</v>
      </c>
      <c r="G172" s="153" t="str">
        <f t="shared" si="5"/>
        <v>OK</v>
      </c>
      <c r="H172" s="153" t="b">
        <v>1</v>
      </c>
    </row>
    <row r="173" spans="1:8" x14ac:dyDescent="0.3">
      <c r="A173" s="153" t="s">
        <v>1694</v>
      </c>
      <c r="B173" s="153" t="s">
        <v>1352</v>
      </c>
      <c r="C173" s="153" t="s">
        <v>1695</v>
      </c>
      <c r="D173" s="153">
        <v>1133</v>
      </c>
      <c r="E173" s="153">
        <v>1133</v>
      </c>
      <c r="F173" s="153">
        <f t="shared" si="4"/>
        <v>0</v>
      </c>
      <c r="G173" s="153" t="str">
        <f t="shared" si="5"/>
        <v>OK</v>
      </c>
      <c r="H173" s="153" t="b">
        <v>1</v>
      </c>
    </row>
    <row r="174" spans="1:8" x14ac:dyDescent="0.3">
      <c r="A174" s="153" t="s">
        <v>1696</v>
      </c>
      <c r="B174" s="153" t="s">
        <v>1352</v>
      </c>
      <c r="C174" s="153" t="s">
        <v>1697</v>
      </c>
      <c r="D174" s="153">
        <v>1268</v>
      </c>
      <c r="E174" s="153">
        <v>1268</v>
      </c>
      <c r="F174" s="153">
        <f t="shared" si="4"/>
        <v>0</v>
      </c>
      <c r="G174" s="153" t="str">
        <f t="shared" si="5"/>
        <v>OK</v>
      </c>
      <c r="H174" s="153" t="b">
        <v>1</v>
      </c>
    </row>
    <row r="175" spans="1:8" x14ac:dyDescent="0.3">
      <c r="A175" s="153" t="s">
        <v>1698</v>
      </c>
      <c r="B175" s="153" t="s">
        <v>1352</v>
      </c>
      <c r="C175" s="153" t="s">
        <v>1699</v>
      </c>
      <c r="D175" s="153">
        <v>427</v>
      </c>
      <c r="E175" s="153">
        <v>427</v>
      </c>
      <c r="F175" s="153">
        <f t="shared" si="4"/>
        <v>0</v>
      </c>
      <c r="G175" s="153" t="str">
        <f t="shared" si="5"/>
        <v>OK</v>
      </c>
      <c r="H175" s="153" t="b">
        <v>1</v>
      </c>
    </row>
    <row r="176" spans="1:8" x14ac:dyDescent="0.3">
      <c r="A176" s="153" t="s">
        <v>1700</v>
      </c>
      <c r="B176" s="153" t="s">
        <v>1352</v>
      </c>
      <c r="C176" s="153" t="s">
        <v>1701</v>
      </c>
      <c r="D176" s="153">
        <v>79445</v>
      </c>
      <c r="E176" s="153">
        <v>79445</v>
      </c>
      <c r="F176" s="153">
        <f t="shared" si="4"/>
        <v>0</v>
      </c>
      <c r="G176" s="153" t="str">
        <f t="shared" si="5"/>
        <v>OK</v>
      </c>
      <c r="H176" s="153" t="b">
        <v>1</v>
      </c>
    </row>
    <row r="177" spans="1:8" x14ac:dyDescent="0.3">
      <c r="A177" s="153" t="s">
        <v>1702</v>
      </c>
      <c r="B177" s="153" t="s">
        <v>1352</v>
      </c>
      <c r="C177" s="153" t="s">
        <v>1703</v>
      </c>
      <c r="D177" s="153">
        <v>0</v>
      </c>
      <c r="E177" s="153">
        <v>0</v>
      </c>
      <c r="F177" s="153">
        <f t="shared" si="4"/>
        <v>0</v>
      </c>
      <c r="G177" s="153" t="str">
        <f t="shared" si="5"/>
        <v>OK</v>
      </c>
      <c r="H177" s="153" t="b">
        <v>1</v>
      </c>
    </row>
    <row r="178" spans="1:8" x14ac:dyDescent="0.3">
      <c r="A178" s="153" t="s">
        <v>1704</v>
      </c>
      <c r="B178" s="153" t="s">
        <v>1352</v>
      </c>
      <c r="C178" s="153" t="s">
        <v>1705</v>
      </c>
      <c r="D178" s="153">
        <v>0</v>
      </c>
      <c r="E178" s="153">
        <v>0</v>
      </c>
      <c r="F178" s="153">
        <f t="shared" si="4"/>
        <v>0</v>
      </c>
      <c r="G178" s="153" t="str">
        <f t="shared" si="5"/>
        <v>OK</v>
      </c>
      <c r="H178" s="153" t="b">
        <v>1</v>
      </c>
    </row>
    <row r="179" spans="1:8" x14ac:dyDescent="0.3">
      <c r="A179" s="153" t="s">
        <v>1706</v>
      </c>
      <c r="B179" s="153" t="s">
        <v>1352</v>
      </c>
      <c r="C179" s="153" t="s">
        <v>1707</v>
      </c>
      <c r="D179" s="153">
        <v>1642.298878504673</v>
      </c>
      <c r="E179" s="153">
        <v>1642.298878504673</v>
      </c>
      <c r="F179" s="153">
        <f t="shared" si="4"/>
        <v>0</v>
      </c>
      <c r="G179" s="153" t="str">
        <f t="shared" si="5"/>
        <v>OK</v>
      </c>
      <c r="H179" s="153" t="b">
        <v>1</v>
      </c>
    </row>
    <row r="180" spans="1:8" x14ac:dyDescent="0.3">
      <c r="A180" s="153" t="s">
        <v>1708</v>
      </c>
      <c r="B180" s="153" t="s">
        <v>1352</v>
      </c>
      <c r="C180" s="153" t="s">
        <v>1709</v>
      </c>
      <c r="D180" s="153">
        <v>0</v>
      </c>
      <c r="E180" s="153">
        <v>0</v>
      </c>
      <c r="F180" s="153">
        <f t="shared" si="4"/>
        <v>0</v>
      </c>
      <c r="G180" s="153" t="str">
        <f t="shared" si="5"/>
        <v>OK</v>
      </c>
      <c r="H180" s="153" t="b">
        <v>1</v>
      </c>
    </row>
    <row r="181" spans="1:8" x14ac:dyDescent="0.3">
      <c r="A181" s="153" t="s">
        <v>1710</v>
      </c>
      <c r="B181" s="153" t="s">
        <v>1352</v>
      </c>
      <c r="C181" s="153" t="s">
        <v>1711</v>
      </c>
      <c r="D181" s="153">
        <v>13500</v>
      </c>
      <c r="E181" s="153">
        <v>13500</v>
      </c>
      <c r="F181" s="153">
        <f t="shared" si="4"/>
        <v>0</v>
      </c>
      <c r="G181" s="153" t="str">
        <f t="shared" si="5"/>
        <v>OK</v>
      </c>
      <c r="H181" s="153" t="b">
        <v>1</v>
      </c>
    </row>
    <row r="182" spans="1:8" x14ac:dyDescent="0.3">
      <c r="A182" s="153" t="s">
        <v>1712</v>
      </c>
      <c r="B182" s="153" t="s">
        <v>1352</v>
      </c>
      <c r="C182" s="153" t="s">
        <v>1713</v>
      </c>
      <c r="D182" s="153">
        <v>67003.476478504657</v>
      </c>
      <c r="E182" s="153">
        <v>67003.476478504657</v>
      </c>
      <c r="F182" s="153">
        <f t="shared" si="4"/>
        <v>0</v>
      </c>
      <c r="G182" s="153" t="str">
        <f t="shared" si="5"/>
        <v>OK</v>
      </c>
      <c r="H182" s="153" t="b">
        <v>1</v>
      </c>
    </row>
    <row r="183" spans="1:8" x14ac:dyDescent="0.3">
      <c r="A183" s="153" t="s">
        <v>1714</v>
      </c>
      <c r="B183" s="153" t="s">
        <v>1352</v>
      </c>
      <c r="C183" s="153" t="s">
        <v>1715</v>
      </c>
      <c r="D183" s="153">
        <v>12441.523521495341</v>
      </c>
      <c r="E183" s="153">
        <v>12441.523521495341</v>
      </c>
      <c r="F183" s="153">
        <f t="shared" si="4"/>
        <v>0</v>
      </c>
      <c r="G183" s="153" t="str">
        <f t="shared" si="5"/>
        <v>OK</v>
      </c>
      <c r="H183" s="153" t="b">
        <v>1</v>
      </c>
    </row>
    <row r="184" spans="1:8" x14ac:dyDescent="0.3">
      <c r="A184" s="153" t="s">
        <v>1716</v>
      </c>
      <c r="B184" s="153" t="s">
        <v>1352</v>
      </c>
      <c r="C184" s="153" t="s">
        <v>1717</v>
      </c>
      <c r="D184" s="153">
        <v>0</v>
      </c>
      <c r="E184" s="153">
        <v>0</v>
      </c>
      <c r="F184" s="153">
        <f t="shared" si="4"/>
        <v>0</v>
      </c>
      <c r="G184" s="153" t="str">
        <f t="shared" si="5"/>
        <v>OK</v>
      </c>
      <c r="H184" s="153" t="b">
        <v>1</v>
      </c>
    </row>
    <row r="185" spans="1:8" x14ac:dyDescent="0.3">
      <c r="A185" s="153" t="s">
        <v>1718</v>
      </c>
      <c r="B185" s="153" t="s">
        <v>1352</v>
      </c>
      <c r="C185" s="153" t="s">
        <v>1719</v>
      </c>
      <c r="D185" s="153">
        <v>3</v>
      </c>
      <c r="E185" s="153">
        <v>3</v>
      </c>
      <c r="F185" s="153">
        <f t="shared" si="4"/>
        <v>0</v>
      </c>
      <c r="G185" s="153" t="str">
        <f t="shared" si="5"/>
        <v>OK</v>
      </c>
      <c r="H185" s="153" t="b">
        <v>1</v>
      </c>
    </row>
    <row r="186" spans="1:8" x14ac:dyDescent="0.3">
      <c r="A186" s="153" t="s">
        <v>1720</v>
      </c>
      <c r="B186" s="153" t="s">
        <v>1352</v>
      </c>
      <c r="C186" s="153" t="s">
        <v>1721</v>
      </c>
      <c r="D186" s="153">
        <v>38.5</v>
      </c>
      <c r="E186" s="153">
        <v>38.5</v>
      </c>
      <c r="F186" s="153">
        <f t="shared" si="4"/>
        <v>0</v>
      </c>
      <c r="G186" s="153" t="str">
        <f t="shared" si="5"/>
        <v>OK</v>
      </c>
      <c r="H186" s="153" t="b">
        <v>1</v>
      </c>
    </row>
    <row r="187" spans="1:8" x14ac:dyDescent="0.3">
      <c r="A187" s="153" t="s">
        <v>1722</v>
      </c>
      <c r="B187" s="153" t="s">
        <v>1352</v>
      </c>
      <c r="C187" s="153" t="s">
        <v>1723</v>
      </c>
      <c r="D187" s="153">
        <v>40.799999999999997</v>
      </c>
      <c r="E187" s="153">
        <v>40.799999999999997</v>
      </c>
      <c r="F187" s="153">
        <f t="shared" si="4"/>
        <v>0</v>
      </c>
      <c r="G187" s="153" t="str">
        <f t="shared" si="5"/>
        <v>OK</v>
      </c>
      <c r="H187" s="153" t="b">
        <v>1</v>
      </c>
    </row>
    <row r="188" spans="1:8" x14ac:dyDescent="0.3">
      <c r="A188" s="153" t="s">
        <v>1724</v>
      </c>
      <c r="B188" s="153" t="s">
        <v>1352</v>
      </c>
      <c r="C188" s="153" t="s">
        <v>1725</v>
      </c>
      <c r="D188" s="153">
        <v>48.2</v>
      </c>
      <c r="E188" s="153">
        <v>48.2</v>
      </c>
      <c r="F188" s="153">
        <f t="shared" si="4"/>
        <v>0</v>
      </c>
      <c r="G188" s="153" t="str">
        <f t="shared" si="5"/>
        <v>OK</v>
      </c>
      <c r="H188" s="153" t="b">
        <v>1</v>
      </c>
    </row>
    <row r="189" spans="1:8" x14ac:dyDescent="0.3">
      <c r="A189" s="153" t="s">
        <v>1726</v>
      </c>
      <c r="B189" s="153" t="s">
        <v>1352</v>
      </c>
      <c r="C189" s="153" t="s">
        <v>1727</v>
      </c>
      <c r="D189" s="153">
        <v>647</v>
      </c>
      <c r="E189" s="153">
        <v>647</v>
      </c>
      <c r="F189" s="153">
        <f t="shared" si="4"/>
        <v>0</v>
      </c>
      <c r="G189" s="153" t="str">
        <f t="shared" si="5"/>
        <v>OK</v>
      </c>
      <c r="H189" s="153" t="b">
        <v>1</v>
      </c>
    </row>
    <row r="190" spans="1:8" x14ac:dyDescent="0.3">
      <c r="A190" s="153" t="s">
        <v>1728</v>
      </c>
      <c r="B190" s="153" t="s">
        <v>1352</v>
      </c>
      <c r="C190" s="153" t="s">
        <v>1729</v>
      </c>
      <c r="D190" s="153">
        <v>926</v>
      </c>
      <c r="E190" s="153">
        <v>926</v>
      </c>
      <c r="F190" s="153">
        <f t="shared" si="4"/>
        <v>0</v>
      </c>
      <c r="G190" s="153" t="str">
        <f t="shared" si="5"/>
        <v>OK</v>
      </c>
      <c r="H190" s="153" t="b">
        <v>1</v>
      </c>
    </row>
    <row r="191" spans="1:8" x14ac:dyDescent="0.3">
      <c r="A191" s="153" t="s">
        <v>1730</v>
      </c>
      <c r="B191" s="153" t="s">
        <v>1352</v>
      </c>
      <c r="C191" s="153" t="s">
        <v>1731</v>
      </c>
      <c r="D191" s="153">
        <v>4770</v>
      </c>
      <c r="E191" s="153">
        <v>4770</v>
      </c>
      <c r="F191" s="153">
        <f t="shared" si="4"/>
        <v>0</v>
      </c>
      <c r="G191" s="153" t="str">
        <f t="shared" si="5"/>
        <v>OK</v>
      </c>
      <c r="H191" s="153" t="b">
        <v>1</v>
      </c>
    </row>
    <row r="192" spans="1:8" x14ac:dyDescent="0.3">
      <c r="A192" s="153" t="s">
        <v>1732</v>
      </c>
      <c r="B192" s="153" t="s">
        <v>1352</v>
      </c>
      <c r="C192" s="153" t="s">
        <v>1733</v>
      </c>
      <c r="D192" s="153">
        <v>4964</v>
      </c>
      <c r="E192" s="153">
        <v>4964</v>
      </c>
      <c r="F192" s="153">
        <f t="shared" si="4"/>
        <v>0</v>
      </c>
      <c r="G192" s="153" t="str">
        <f t="shared" si="5"/>
        <v>OK</v>
      </c>
      <c r="H192" s="153" t="b">
        <v>1</v>
      </c>
    </row>
    <row r="193" spans="1:8" x14ac:dyDescent="0.3">
      <c r="A193" s="153" t="s">
        <v>1734</v>
      </c>
      <c r="B193" s="153" t="s">
        <v>1352</v>
      </c>
      <c r="C193" s="153" t="s">
        <v>1735</v>
      </c>
      <c r="D193" s="153">
        <v>5038</v>
      </c>
      <c r="E193" s="153">
        <v>5038</v>
      </c>
      <c r="F193" s="153">
        <f t="shared" si="4"/>
        <v>0</v>
      </c>
      <c r="G193" s="153" t="str">
        <f t="shared" si="5"/>
        <v>OK</v>
      </c>
      <c r="H193" s="153" t="b">
        <v>1</v>
      </c>
    </row>
    <row r="194" spans="1:8" x14ac:dyDescent="0.3">
      <c r="A194" s="153" t="s">
        <v>1736</v>
      </c>
      <c r="B194" s="153" t="s">
        <v>1352</v>
      </c>
      <c r="C194" s="153" t="s">
        <v>1737</v>
      </c>
      <c r="D194" s="153" t="b">
        <v>0</v>
      </c>
      <c r="E194" s="153" t="b">
        <v>0</v>
      </c>
      <c r="F194" s="153">
        <f t="shared" ref="F194:F257" si="6">IF(NOT(H194),"",IF(AND(ISNUMBER(D194),ISNUMBER(E194)),E194-D194,IF(D194=E194,0,1)))</f>
        <v>0</v>
      </c>
      <c r="G194" s="153" t="str">
        <f t="shared" ref="G194:G257" si="7">IF(NOT(H194),"PENDIENTE SIDE",IF(IF(AND(ISNUMBER(D194),ISNUMBER(E194)),IF(MOD(D194,1)=0,D194=E194,ABS(D194-E194)&lt;=0.000000001*MAX(1,ABS(D194),ABS(E194))),D194=E194),"OK","DIFERENCIA"))</f>
        <v>OK</v>
      </c>
      <c r="H194" s="153" t="b">
        <v>1</v>
      </c>
    </row>
    <row r="195" spans="1:8" x14ac:dyDescent="0.3">
      <c r="A195" s="153" t="s">
        <v>1738</v>
      </c>
      <c r="B195" s="153" t="s">
        <v>1352</v>
      </c>
      <c r="C195" s="153" t="s">
        <v>1739</v>
      </c>
      <c r="D195" s="153" t="b">
        <v>1</v>
      </c>
      <c r="E195" s="153" t="b">
        <v>1</v>
      </c>
      <c r="F195" s="153">
        <f t="shared" si="6"/>
        <v>0</v>
      </c>
      <c r="G195" s="153" t="str">
        <f t="shared" si="7"/>
        <v>OK</v>
      </c>
      <c r="H195" s="153" t="b">
        <v>1</v>
      </c>
    </row>
    <row r="196" spans="1:8" x14ac:dyDescent="0.3">
      <c r="A196" s="153" t="s">
        <v>1740</v>
      </c>
      <c r="B196" s="153" t="s">
        <v>1352</v>
      </c>
      <c r="C196" s="153" t="s">
        <v>1741</v>
      </c>
      <c r="D196" s="153" t="b">
        <v>0</v>
      </c>
      <c r="E196" s="153" t="b">
        <v>0</v>
      </c>
      <c r="F196" s="153">
        <f t="shared" si="6"/>
        <v>0</v>
      </c>
      <c r="G196" s="153" t="str">
        <f t="shared" si="7"/>
        <v>OK</v>
      </c>
      <c r="H196" s="153" t="b">
        <v>1</v>
      </c>
    </row>
    <row r="197" spans="1:8" x14ac:dyDescent="0.3">
      <c r="A197" s="153" t="s">
        <v>1742</v>
      </c>
      <c r="B197" s="153" t="s">
        <v>1352</v>
      </c>
      <c r="C197" s="153" t="s">
        <v>1743</v>
      </c>
      <c r="D197" s="153" t="b">
        <v>0</v>
      </c>
      <c r="E197" s="153" t="b">
        <v>0</v>
      </c>
      <c r="F197" s="153">
        <f t="shared" si="6"/>
        <v>0</v>
      </c>
      <c r="G197" s="153" t="str">
        <f t="shared" si="7"/>
        <v>OK</v>
      </c>
      <c r="H197" s="153" t="b">
        <v>1</v>
      </c>
    </row>
    <row r="198" spans="1:8" x14ac:dyDescent="0.3">
      <c r="A198" s="153" t="s">
        <v>1744</v>
      </c>
      <c r="B198" s="153" t="s">
        <v>1352</v>
      </c>
      <c r="C198" s="153" t="s">
        <v>1745</v>
      </c>
      <c r="D198" s="153" t="b">
        <v>1</v>
      </c>
      <c r="E198" s="153" t="b">
        <v>1</v>
      </c>
      <c r="F198" s="153">
        <f t="shared" si="6"/>
        <v>0</v>
      </c>
      <c r="G198" s="153" t="str">
        <f t="shared" si="7"/>
        <v>OK</v>
      </c>
      <c r="H198" s="153" t="b">
        <v>1</v>
      </c>
    </row>
    <row r="199" spans="1:8" x14ac:dyDescent="0.3">
      <c r="A199" s="153" t="s">
        <v>1746</v>
      </c>
      <c r="B199" s="153" t="s">
        <v>1352</v>
      </c>
      <c r="C199" s="153" t="s">
        <v>1747</v>
      </c>
      <c r="D199" s="153" t="b">
        <v>1</v>
      </c>
      <c r="E199" s="153" t="b">
        <v>1</v>
      </c>
      <c r="F199" s="153">
        <f t="shared" si="6"/>
        <v>0</v>
      </c>
      <c r="G199" s="153" t="str">
        <f t="shared" si="7"/>
        <v>OK</v>
      </c>
      <c r="H199" s="153" t="b">
        <v>1</v>
      </c>
    </row>
    <row r="200" spans="1:8" x14ac:dyDescent="0.3">
      <c r="A200" s="153" t="s">
        <v>1748</v>
      </c>
      <c r="B200" s="153" t="s">
        <v>1352</v>
      </c>
      <c r="C200" s="153" t="s">
        <v>1749</v>
      </c>
      <c r="D200" s="153" t="b">
        <v>0</v>
      </c>
      <c r="E200" s="153" t="b">
        <v>0</v>
      </c>
      <c r="F200" s="153">
        <f t="shared" si="6"/>
        <v>0</v>
      </c>
      <c r="G200" s="153" t="str">
        <f t="shared" si="7"/>
        <v>OK</v>
      </c>
      <c r="H200" s="153" t="b">
        <v>1</v>
      </c>
    </row>
    <row r="201" spans="1:8" x14ac:dyDescent="0.3">
      <c r="A201" s="153" t="s">
        <v>1750</v>
      </c>
      <c r="B201" s="153" t="s">
        <v>1352</v>
      </c>
      <c r="C201" s="153" t="s">
        <v>1751</v>
      </c>
      <c r="D201" s="153" t="b">
        <v>0</v>
      </c>
      <c r="E201" s="153" t="b">
        <v>0</v>
      </c>
      <c r="F201" s="153">
        <f t="shared" si="6"/>
        <v>0</v>
      </c>
      <c r="G201" s="153" t="str">
        <f t="shared" si="7"/>
        <v>OK</v>
      </c>
      <c r="H201" s="153" t="b">
        <v>1</v>
      </c>
    </row>
    <row r="202" spans="1:8" x14ac:dyDescent="0.3">
      <c r="A202" s="153" t="s">
        <v>1752</v>
      </c>
      <c r="B202" s="153" t="s">
        <v>1352</v>
      </c>
      <c r="C202" s="153" t="s">
        <v>1753</v>
      </c>
      <c r="D202" s="153">
        <v>0</v>
      </c>
      <c r="E202" s="153">
        <v>0</v>
      </c>
      <c r="F202" s="153">
        <f t="shared" si="6"/>
        <v>0</v>
      </c>
      <c r="G202" s="153" t="str">
        <f t="shared" si="7"/>
        <v>OK</v>
      </c>
      <c r="H202" s="153" t="b">
        <v>1</v>
      </c>
    </row>
    <row r="203" spans="1:8" x14ac:dyDescent="0.3">
      <c r="A203" s="153" t="s">
        <v>1754</v>
      </c>
      <c r="B203" s="153" t="s">
        <v>1352</v>
      </c>
      <c r="C203" s="153" t="s">
        <v>1755</v>
      </c>
      <c r="D203" s="153">
        <v>20</v>
      </c>
      <c r="E203" s="153">
        <v>20</v>
      </c>
      <c r="F203" s="153">
        <f t="shared" si="6"/>
        <v>0</v>
      </c>
      <c r="G203" s="153" t="str">
        <f t="shared" si="7"/>
        <v>OK</v>
      </c>
      <c r="H203" s="153" t="b">
        <v>1</v>
      </c>
    </row>
    <row r="204" spans="1:8" x14ac:dyDescent="0.3">
      <c r="A204" s="153" t="s">
        <v>1756</v>
      </c>
      <c r="B204" s="153" t="s">
        <v>1352</v>
      </c>
      <c r="C204" s="153" t="s">
        <v>1757</v>
      </c>
      <c r="D204" s="153">
        <v>0</v>
      </c>
      <c r="E204" s="153">
        <v>0</v>
      </c>
      <c r="F204" s="153">
        <f t="shared" si="6"/>
        <v>0</v>
      </c>
      <c r="G204" s="153" t="str">
        <f t="shared" si="7"/>
        <v>OK</v>
      </c>
      <c r="H204" s="153" t="b">
        <v>1</v>
      </c>
    </row>
    <row r="205" spans="1:8" x14ac:dyDescent="0.3">
      <c r="A205" s="153" t="s">
        <v>1758</v>
      </c>
      <c r="B205" s="153" t="s">
        <v>1352</v>
      </c>
      <c r="C205" s="153" t="s">
        <v>1759</v>
      </c>
      <c r="D205" s="153">
        <v>3</v>
      </c>
      <c r="E205" s="153">
        <v>3</v>
      </c>
      <c r="F205" s="153">
        <f t="shared" si="6"/>
        <v>0</v>
      </c>
      <c r="G205" s="153" t="str">
        <f t="shared" si="7"/>
        <v>OK</v>
      </c>
      <c r="H205" s="153" t="b">
        <v>1</v>
      </c>
    </row>
    <row r="206" spans="1:8" x14ac:dyDescent="0.3">
      <c r="A206" s="153" t="s">
        <v>1760</v>
      </c>
      <c r="B206" s="153" t="s">
        <v>1761</v>
      </c>
      <c r="C206" s="153" t="s">
        <v>1060</v>
      </c>
      <c r="D206" s="153">
        <v>100</v>
      </c>
      <c r="E206" s="153">
        <v>100</v>
      </c>
      <c r="F206" s="153">
        <f t="shared" si="6"/>
        <v>0</v>
      </c>
      <c r="G206" s="153" t="str">
        <f t="shared" si="7"/>
        <v>OK</v>
      </c>
      <c r="H206" s="153" t="b">
        <v>1</v>
      </c>
    </row>
    <row r="207" spans="1:8" x14ac:dyDescent="0.3">
      <c r="A207" s="153" t="s">
        <v>1762</v>
      </c>
      <c r="B207" s="153" t="s">
        <v>1761</v>
      </c>
      <c r="C207" s="153" t="s">
        <v>1063</v>
      </c>
      <c r="D207" s="153">
        <v>90.1</v>
      </c>
      <c r="E207" s="153">
        <v>90.1</v>
      </c>
      <c r="F207" s="153">
        <f t="shared" si="6"/>
        <v>0</v>
      </c>
      <c r="G207" s="153" t="str">
        <f t="shared" si="7"/>
        <v>OK</v>
      </c>
      <c r="H207" s="153" t="b">
        <v>1</v>
      </c>
    </row>
    <row r="208" spans="1:8" x14ac:dyDescent="0.3">
      <c r="A208" s="153" t="s">
        <v>1763</v>
      </c>
      <c r="B208" s="153" t="s">
        <v>1761</v>
      </c>
      <c r="C208" s="153" t="s">
        <v>1764</v>
      </c>
      <c r="D208" s="153">
        <v>0.36184738955823292</v>
      </c>
      <c r="E208" s="153">
        <v>0.36184738955823292</v>
      </c>
      <c r="F208" s="153">
        <f t="shared" si="6"/>
        <v>0</v>
      </c>
      <c r="G208" s="153" t="str">
        <f t="shared" si="7"/>
        <v>OK</v>
      </c>
      <c r="H208" s="153" t="b">
        <v>1</v>
      </c>
    </row>
    <row r="209" spans="1:8" x14ac:dyDescent="0.3">
      <c r="A209" s="153" t="s">
        <v>1765</v>
      </c>
      <c r="B209" s="153" t="s">
        <v>1761</v>
      </c>
      <c r="C209" s="153" t="s">
        <v>1058</v>
      </c>
      <c r="D209" s="153">
        <v>1266</v>
      </c>
      <c r="E209" s="153">
        <v>1266</v>
      </c>
      <c r="F209" s="153">
        <f t="shared" si="6"/>
        <v>0</v>
      </c>
      <c r="G209" s="153" t="str">
        <f t="shared" si="7"/>
        <v>OK</v>
      </c>
      <c r="H209" s="153" t="b">
        <v>1</v>
      </c>
    </row>
    <row r="210" spans="1:8" x14ac:dyDescent="0.3">
      <c r="A210" s="153" t="s">
        <v>1766</v>
      </c>
      <c r="B210" s="153" t="s">
        <v>1761</v>
      </c>
      <c r="C210" s="153" t="s">
        <v>1056</v>
      </c>
      <c r="D210" s="153">
        <v>1417</v>
      </c>
      <c r="E210" s="153">
        <v>1417</v>
      </c>
      <c r="F210" s="153">
        <f t="shared" si="6"/>
        <v>0</v>
      </c>
      <c r="G210" s="153" t="str">
        <f t="shared" si="7"/>
        <v>OK</v>
      </c>
      <c r="H210" s="153" t="b">
        <v>1</v>
      </c>
    </row>
    <row r="211" spans="1:8" x14ac:dyDescent="0.3">
      <c r="A211" s="153" t="s">
        <v>1767</v>
      </c>
      <c r="B211" s="153" t="s">
        <v>1761</v>
      </c>
      <c r="C211" s="153" t="s">
        <v>1054</v>
      </c>
      <c r="D211" s="153">
        <v>21</v>
      </c>
      <c r="E211" s="153">
        <v>21</v>
      </c>
      <c r="F211" s="153">
        <f t="shared" si="6"/>
        <v>0</v>
      </c>
      <c r="G211" s="153" t="str">
        <f t="shared" si="7"/>
        <v>OK</v>
      </c>
      <c r="H211" s="153" t="b">
        <v>1</v>
      </c>
    </row>
    <row r="212" spans="1:8" x14ac:dyDescent="0.3">
      <c r="A212" s="153" t="s">
        <v>1768</v>
      </c>
      <c r="B212" s="153" t="s">
        <v>1761</v>
      </c>
      <c r="C212" s="153" t="s">
        <v>1769</v>
      </c>
      <c r="D212" s="153">
        <v>90</v>
      </c>
      <c r="E212" s="153">
        <v>90</v>
      </c>
      <c r="F212" s="153">
        <f t="shared" si="6"/>
        <v>0</v>
      </c>
      <c r="G212" s="153" t="str">
        <f t="shared" si="7"/>
        <v>OK</v>
      </c>
      <c r="H212" s="153" t="b">
        <v>1</v>
      </c>
    </row>
    <row r="213" spans="1:8" x14ac:dyDescent="0.3">
      <c r="A213" s="153" t="s">
        <v>1770</v>
      </c>
      <c r="B213" s="153" t="s">
        <v>1761</v>
      </c>
      <c r="C213" s="153" t="s">
        <v>1072</v>
      </c>
      <c r="D213" s="153">
        <v>80</v>
      </c>
      <c r="E213" s="153">
        <v>80</v>
      </c>
      <c r="F213" s="153">
        <f t="shared" si="6"/>
        <v>0</v>
      </c>
      <c r="G213" s="153" t="str">
        <f t="shared" si="7"/>
        <v>OK</v>
      </c>
      <c r="H213" s="153" t="b">
        <v>1</v>
      </c>
    </row>
    <row r="214" spans="1:8" x14ac:dyDescent="0.3">
      <c r="A214" s="153" t="s">
        <v>1771</v>
      </c>
      <c r="B214" s="153" t="s">
        <v>1761</v>
      </c>
      <c r="C214" s="153" t="s">
        <v>1074</v>
      </c>
      <c r="D214" s="153">
        <v>68.75</v>
      </c>
      <c r="E214" s="153">
        <v>68.75</v>
      </c>
      <c r="F214" s="153">
        <f t="shared" si="6"/>
        <v>0</v>
      </c>
      <c r="G214" s="153" t="str">
        <f t="shared" si="7"/>
        <v>OK</v>
      </c>
      <c r="H214" s="153" t="b">
        <v>1</v>
      </c>
    </row>
    <row r="215" spans="1:8" x14ac:dyDescent="0.3">
      <c r="A215" s="153" t="s">
        <v>1772</v>
      </c>
      <c r="B215" s="153" t="s">
        <v>1761</v>
      </c>
      <c r="C215" s="153" t="s">
        <v>1773</v>
      </c>
      <c r="D215" s="153">
        <v>0.29923830250272032</v>
      </c>
      <c r="E215" s="153">
        <v>0.29923830250272032</v>
      </c>
      <c r="F215" s="153">
        <f t="shared" si="6"/>
        <v>0</v>
      </c>
      <c r="G215" s="153" t="str">
        <f t="shared" si="7"/>
        <v>OK</v>
      </c>
      <c r="H215" s="153" t="b">
        <v>1</v>
      </c>
    </row>
    <row r="216" spans="1:8" x14ac:dyDescent="0.3">
      <c r="A216" s="153" t="s">
        <v>1774</v>
      </c>
      <c r="B216" s="153" t="s">
        <v>1761</v>
      </c>
      <c r="C216" s="153" t="s">
        <v>1070</v>
      </c>
      <c r="D216" s="153">
        <v>1047</v>
      </c>
      <c r="E216" s="153">
        <v>1047</v>
      </c>
      <c r="F216" s="153">
        <f t="shared" si="6"/>
        <v>0</v>
      </c>
      <c r="G216" s="153" t="str">
        <f t="shared" si="7"/>
        <v>OK</v>
      </c>
      <c r="H216" s="153" t="b">
        <v>1</v>
      </c>
    </row>
    <row r="217" spans="1:8" x14ac:dyDescent="0.3">
      <c r="A217" s="153" t="s">
        <v>1775</v>
      </c>
      <c r="B217" s="153" t="s">
        <v>1761</v>
      </c>
      <c r="C217" s="153" t="s">
        <v>1068</v>
      </c>
      <c r="D217" s="153">
        <v>1172</v>
      </c>
      <c r="E217" s="153">
        <v>1172</v>
      </c>
      <c r="F217" s="153">
        <f t="shared" si="6"/>
        <v>0</v>
      </c>
      <c r="G217" s="153" t="str">
        <f t="shared" si="7"/>
        <v>OK</v>
      </c>
      <c r="H217" s="153" t="b">
        <v>1</v>
      </c>
    </row>
    <row r="218" spans="1:8" x14ac:dyDescent="0.3">
      <c r="A218" s="153" t="s">
        <v>1776</v>
      </c>
      <c r="B218" s="153" t="s">
        <v>1761</v>
      </c>
      <c r="C218" s="153" t="s">
        <v>1066</v>
      </c>
      <c r="D218" s="153">
        <v>21</v>
      </c>
      <c r="E218" s="153">
        <v>21</v>
      </c>
      <c r="F218" s="153">
        <f t="shared" si="6"/>
        <v>0</v>
      </c>
      <c r="G218" s="153" t="str">
        <f t="shared" si="7"/>
        <v>OK</v>
      </c>
      <c r="H218" s="153" t="b">
        <v>1</v>
      </c>
    </row>
    <row r="219" spans="1:8" x14ac:dyDescent="0.3">
      <c r="A219" s="153" t="s">
        <v>1777</v>
      </c>
      <c r="B219" s="153" t="s">
        <v>1761</v>
      </c>
      <c r="C219" s="153" t="s">
        <v>1778</v>
      </c>
      <c r="D219" s="153">
        <v>90</v>
      </c>
      <c r="E219" s="153">
        <v>90</v>
      </c>
      <c r="F219" s="153">
        <f t="shared" si="6"/>
        <v>0</v>
      </c>
      <c r="G219" s="153" t="str">
        <f t="shared" si="7"/>
        <v>OK</v>
      </c>
      <c r="H219" s="153" t="b">
        <v>1</v>
      </c>
    </row>
    <row r="220" spans="1:8" x14ac:dyDescent="0.3">
      <c r="A220" s="153" t="s">
        <v>1779</v>
      </c>
      <c r="B220" s="153" t="s">
        <v>1761</v>
      </c>
      <c r="C220" s="153" t="s">
        <v>1082</v>
      </c>
      <c r="D220" s="153">
        <v>100</v>
      </c>
      <c r="E220" s="153">
        <v>100</v>
      </c>
      <c r="F220" s="153">
        <f t="shared" si="6"/>
        <v>0</v>
      </c>
      <c r="G220" s="153" t="str">
        <f t="shared" si="7"/>
        <v>OK</v>
      </c>
      <c r="H220" s="153" t="b">
        <v>1</v>
      </c>
    </row>
    <row r="221" spans="1:8" x14ac:dyDescent="0.3">
      <c r="A221" s="153" t="s">
        <v>1780</v>
      </c>
      <c r="B221" s="153" t="s">
        <v>1761</v>
      </c>
      <c r="C221" s="153" t="s">
        <v>1085</v>
      </c>
      <c r="D221" s="153">
        <v>63.4</v>
      </c>
      <c r="E221" s="153">
        <v>63.4</v>
      </c>
      <c r="F221" s="153">
        <f t="shared" si="6"/>
        <v>0</v>
      </c>
      <c r="G221" s="153" t="str">
        <f t="shared" si="7"/>
        <v>OK</v>
      </c>
      <c r="H221" s="153" t="b">
        <v>1</v>
      </c>
    </row>
    <row r="222" spans="1:8" x14ac:dyDescent="0.3">
      <c r="A222" s="153" t="s">
        <v>1781</v>
      </c>
      <c r="B222" s="153" t="s">
        <v>1761</v>
      </c>
      <c r="C222" s="153" t="s">
        <v>1782</v>
      </c>
      <c r="D222" s="153">
        <v>0.22379103423932231</v>
      </c>
      <c r="E222" s="153">
        <v>0.22379103423932231</v>
      </c>
      <c r="F222" s="153">
        <f t="shared" si="6"/>
        <v>0</v>
      </c>
      <c r="G222" s="153" t="str">
        <f t="shared" si="7"/>
        <v>OK</v>
      </c>
      <c r="H222" s="153" t="b">
        <v>1</v>
      </c>
    </row>
    <row r="223" spans="1:8" x14ac:dyDescent="0.3">
      <c r="A223" s="153" t="s">
        <v>1783</v>
      </c>
      <c r="B223" s="153" t="s">
        <v>1761</v>
      </c>
      <c r="C223" s="153" t="s">
        <v>1080</v>
      </c>
      <c r="D223" s="153">
        <v>179</v>
      </c>
      <c r="E223" s="153">
        <v>179</v>
      </c>
      <c r="F223" s="153">
        <f t="shared" si="6"/>
        <v>0</v>
      </c>
      <c r="G223" s="153" t="str">
        <f t="shared" si="7"/>
        <v>OK</v>
      </c>
      <c r="H223" s="153" t="b">
        <v>1</v>
      </c>
    </row>
    <row r="224" spans="1:8" x14ac:dyDescent="0.3">
      <c r="A224" s="153" t="s">
        <v>1784</v>
      </c>
      <c r="B224" s="153" t="s">
        <v>1761</v>
      </c>
      <c r="C224" s="153" t="s">
        <v>1078</v>
      </c>
      <c r="D224" s="153">
        <v>200</v>
      </c>
      <c r="E224" s="153">
        <v>200</v>
      </c>
      <c r="F224" s="153">
        <f t="shared" si="6"/>
        <v>0</v>
      </c>
      <c r="G224" s="153" t="str">
        <f t="shared" si="7"/>
        <v>OK</v>
      </c>
      <c r="H224" s="153" t="b">
        <v>1</v>
      </c>
    </row>
    <row r="225" spans="1:8" x14ac:dyDescent="0.3">
      <c r="A225" s="153" t="s">
        <v>1785</v>
      </c>
      <c r="B225" s="153" t="s">
        <v>1761</v>
      </c>
      <c r="C225" s="153" t="s">
        <v>1076</v>
      </c>
      <c r="D225" s="153">
        <v>21</v>
      </c>
      <c r="E225" s="153">
        <v>21</v>
      </c>
      <c r="F225" s="153">
        <f t="shared" si="6"/>
        <v>0</v>
      </c>
      <c r="G225" s="153" t="str">
        <f t="shared" si="7"/>
        <v>OK</v>
      </c>
      <c r="H225" s="153" t="b">
        <v>1</v>
      </c>
    </row>
    <row r="226" spans="1:8" x14ac:dyDescent="0.3">
      <c r="A226" s="153" t="s">
        <v>1786</v>
      </c>
      <c r="B226" s="153" t="s">
        <v>1761</v>
      </c>
      <c r="C226" s="153" t="s">
        <v>1787</v>
      </c>
      <c r="D226" s="153">
        <v>90</v>
      </c>
      <c r="E226" s="153">
        <v>90</v>
      </c>
      <c r="F226" s="153">
        <f t="shared" si="6"/>
        <v>0</v>
      </c>
      <c r="G226" s="153" t="str">
        <f t="shared" si="7"/>
        <v>OK</v>
      </c>
      <c r="H226" s="153" t="b">
        <v>1</v>
      </c>
    </row>
    <row r="227" spans="1:8" x14ac:dyDescent="0.3">
      <c r="A227" s="153" t="s">
        <v>1788</v>
      </c>
      <c r="B227" s="153" t="s">
        <v>1789</v>
      </c>
      <c r="C227" s="153" t="s">
        <v>1058</v>
      </c>
      <c r="D227" s="153">
        <v>4</v>
      </c>
      <c r="E227" s="153">
        <v>4</v>
      </c>
      <c r="F227" s="153">
        <f t="shared" si="6"/>
        <v>0</v>
      </c>
      <c r="G227" s="153" t="str">
        <f t="shared" si="7"/>
        <v>OK</v>
      </c>
      <c r="H227" s="153" t="b">
        <v>1</v>
      </c>
    </row>
    <row r="228" spans="1:8" x14ac:dyDescent="0.3">
      <c r="A228" s="153" t="s">
        <v>1790</v>
      </c>
      <c r="B228" s="153" t="s">
        <v>1789</v>
      </c>
      <c r="C228" s="153" t="s">
        <v>1791</v>
      </c>
      <c r="D228" s="153">
        <v>205</v>
      </c>
      <c r="E228" s="153">
        <v>205</v>
      </c>
      <c r="F228" s="153">
        <f t="shared" si="6"/>
        <v>0</v>
      </c>
      <c r="G228" s="153" t="str">
        <f t="shared" si="7"/>
        <v>OK</v>
      </c>
      <c r="H228" s="153" t="b">
        <v>1</v>
      </c>
    </row>
    <row r="229" spans="1:8" x14ac:dyDescent="0.3">
      <c r="A229" s="153" t="s">
        <v>1792</v>
      </c>
      <c r="B229" s="153" t="s">
        <v>1789</v>
      </c>
      <c r="C229" s="153" t="s">
        <v>1793</v>
      </c>
      <c r="D229" s="153">
        <v>205</v>
      </c>
      <c r="E229" s="153">
        <v>205</v>
      </c>
      <c r="F229" s="153">
        <f t="shared" si="6"/>
        <v>0</v>
      </c>
      <c r="G229" s="153" t="str">
        <f t="shared" si="7"/>
        <v>OK</v>
      </c>
      <c r="H229" s="153" t="b">
        <v>1</v>
      </c>
    </row>
    <row r="230" spans="1:8" x14ac:dyDescent="0.3">
      <c r="A230" s="153" t="s">
        <v>1794</v>
      </c>
      <c r="B230" s="153" t="s">
        <v>1789</v>
      </c>
      <c r="C230" s="153" t="s">
        <v>1795</v>
      </c>
      <c r="D230" s="153">
        <v>40</v>
      </c>
      <c r="E230" s="153">
        <v>40</v>
      </c>
      <c r="F230" s="153">
        <f t="shared" si="6"/>
        <v>0</v>
      </c>
      <c r="G230" s="153" t="str">
        <f t="shared" si="7"/>
        <v>OK</v>
      </c>
      <c r="H230" s="153" t="b">
        <v>1</v>
      </c>
    </row>
    <row r="231" spans="1:8" x14ac:dyDescent="0.3">
      <c r="A231" s="153" t="s">
        <v>1796</v>
      </c>
      <c r="B231" s="153" t="s">
        <v>1789</v>
      </c>
      <c r="C231" s="153" t="s">
        <v>1070</v>
      </c>
      <c r="D231" s="153">
        <v>7</v>
      </c>
      <c r="E231" s="153">
        <v>7</v>
      </c>
      <c r="F231" s="153">
        <f t="shared" si="6"/>
        <v>0</v>
      </c>
      <c r="G231" s="153" t="str">
        <f t="shared" si="7"/>
        <v>OK</v>
      </c>
      <c r="H231" s="153" t="b">
        <v>1</v>
      </c>
    </row>
    <row r="232" spans="1:8" x14ac:dyDescent="0.3">
      <c r="A232" s="153" t="s">
        <v>1797</v>
      </c>
      <c r="B232" s="153" t="s">
        <v>1789</v>
      </c>
      <c r="C232" s="153" t="s">
        <v>1798</v>
      </c>
      <c r="D232" s="153">
        <v>148</v>
      </c>
      <c r="E232" s="153">
        <v>148</v>
      </c>
      <c r="F232" s="153">
        <f t="shared" si="6"/>
        <v>0</v>
      </c>
      <c r="G232" s="153" t="str">
        <f t="shared" si="7"/>
        <v>OK</v>
      </c>
      <c r="H232" s="153" t="b">
        <v>1</v>
      </c>
    </row>
    <row r="233" spans="1:8" x14ac:dyDescent="0.3">
      <c r="A233" s="153" t="s">
        <v>1799</v>
      </c>
      <c r="B233" s="153" t="s">
        <v>1789</v>
      </c>
      <c r="C233" s="153" t="s">
        <v>1800</v>
      </c>
      <c r="D233" s="153">
        <v>148</v>
      </c>
      <c r="E233" s="153">
        <v>148</v>
      </c>
      <c r="F233" s="153">
        <f t="shared" si="6"/>
        <v>0</v>
      </c>
      <c r="G233" s="153" t="str">
        <f t="shared" si="7"/>
        <v>OK</v>
      </c>
      <c r="H233" s="153" t="b">
        <v>1</v>
      </c>
    </row>
    <row r="234" spans="1:8" x14ac:dyDescent="0.3">
      <c r="A234" s="153" t="s">
        <v>1801</v>
      </c>
      <c r="B234" s="153" t="s">
        <v>1789</v>
      </c>
      <c r="C234" s="153" t="s">
        <v>1802</v>
      </c>
      <c r="D234" s="153">
        <v>120</v>
      </c>
      <c r="E234" s="153">
        <v>120</v>
      </c>
      <c r="F234" s="153">
        <f t="shared" si="6"/>
        <v>0</v>
      </c>
      <c r="G234" s="153" t="str">
        <f t="shared" si="7"/>
        <v>OK</v>
      </c>
      <c r="H234" s="153" t="b">
        <v>1</v>
      </c>
    </row>
    <row r="235" spans="1:8" x14ac:dyDescent="0.3">
      <c r="A235" s="153" t="s">
        <v>1803</v>
      </c>
      <c r="B235" s="153" t="s">
        <v>1789</v>
      </c>
      <c r="C235" s="153" t="s">
        <v>1080</v>
      </c>
      <c r="D235" s="153">
        <v>12</v>
      </c>
      <c r="E235" s="153">
        <v>12</v>
      </c>
      <c r="F235" s="153">
        <f t="shared" si="6"/>
        <v>0</v>
      </c>
      <c r="G235" s="153" t="str">
        <f t="shared" si="7"/>
        <v>OK</v>
      </c>
      <c r="H235" s="153" t="b">
        <v>1</v>
      </c>
    </row>
    <row r="236" spans="1:8" x14ac:dyDescent="0.3">
      <c r="A236" s="153" t="s">
        <v>1804</v>
      </c>
      <c r="B236" s="153" t="s">
        <v>1789</v>
      </c>
      <c r="C236" s="153" t="s">
        <v>1805</v>
      </c>
      <c r="D236" s="153">
        <v>74</v>
      </c>
      <c r="E236" s="153">
        <v>74</v>
      </c>
      <c r="F236" s="153">
        <f t="shared" si="6"/>
        <v>0</v>
      </c>
      <c r="G236" s="153" t="str">
        <f t="shared" si="7"/>
        <v>OK</v>
      </c>
      <c r="H236" s="153" t="b">
        <v>1</v>
      </c>
    </row>
    <row r="237" spans="1:8" x14ac:dyDescent="0.3">
      <c r="A237" s="153" t="s">
        <v>1806</v>
      </c>
      <c r="B237" s="153" t="s">
        <v>1789</v>
      </c>
      <c r="C237" s="153" t="s">
        <v>1807</v>
      </c>
      <c r="D237" s="153">
        <v>74</v>
      </c>
      <c r="E237" s="153">
        <v>74</v>
      </c>
      <c r="F237" s="153">
        <f t="shared" si="6"/>
        <v>0</v>
      </c>
      <c r="G237" s="153" t="str">
        <f t="shared" si="7"/>
        <v>OK</v>
      </c>
      <c r="H237" s="153" t="b">
        <v>1</v>
      </c>
    </row>
    <row r="238" spans="1:8" x14ac:dyDescent="0.3">
      <c r="A238" s="153" t="s">
        <v>1808</v>
      </c>
      <c r="B238" s="153" t="s">
        <v>1789</v>
      </c>
      <c r="C238" s="153" t="s">
        <v>1809</v>
      </c>
      <c r="D238" s="153">
        <v>350</v>
      </c>
      <c r="E238" s="153">
        <v>350</v>
      </c>
      <c r="F238" s="153">
        <f t="shared" si="6"/>
        <v>0</v>
      </c>
      <c r="G238" s="153" t="str">
        <f t="shared" si="7"/>
        <v>OK</v>
      </c>
      <c r="H238" s="153" t="b">
        <v>1</v>
      </c>
    </row>
    <row r="239" spans="1:8" x14ac:dyDescent="0.3">
      <c r="A239" s="153" t="s">
        <v>1810</v>
      </c>
      <c r="B239" s="153" t="s">
        <v>1761</v>
      </c>
      <c r="C239" s="153" t="s">
        <v>669</v>
      </c>
      <c r="D239" s="153">
        <v>0</v>
      </c>
      <c r="E239" s="153">
        <v>0</v>
      </c>
      <c r="F239" s="153">
        <f t="shared" si="6"/>
        <v>0</v>
      </c>
      <c r="G239" s="153" t="str">
        <f t="shared" si="7"/>
        <v>OK</v>
      </c>
      <c r="H239" s="153" t="b">
        <v>1</v>
      </c>
    </row>
    <row r="240" spans="1:8" x14ac:dyDescent="0.3">
      <c r="A240" s="153" t="s">
        <v>1811</v>
      </c>
      <c r="B240" s="153" t="s">
        <v>1761</v>
      </c>
      <c r="C240" s="153" t="s">
        <v>671</v>
      </c>
      <c r="D240" s="153">
        <v>23</v>
      </c>
      <c r="E240" s="153">
        <v>23</v>
      </c>
      <c r="F240" s="153">
        <f t="shared" si="6"/>
        <v>0</v>
      </c>
      <c r="G240" s="153" t="str">
        <f t="shared" si="7"/>
        <v>OK</v>
      </c>
      <c r="H240" s="153" t="b">
        <v>1</v>
      </c>
    </row>
    <row r="241" spans="1:8" x14ac:dyDescent="0.3">
      <c r="A241" s="153" t="s">
        <v>1812</v>
      </c>
      <c r="B241" s="153" t="s">
        <v>1761</v>
      </c>
      <c r="C241" s="153" t="s">
        <v>675</v>
      </c>
      <c r="D241" s="153">
        <v>9.2369477911646597E-2</v>
      </c>
      <c r="E241" s="153">
        <v>9.2369477911646583E-2</v>
      </c>
      <c r="F241" s="153">
        <f t="shared" si="6"/>
        <v>-1.3877787807814457E-17</v>
      </c>
      <c r="G241" s="153" t="str">
        <f t="shared" si="7"/>
        <v>OK</v>
      </c>
      <c r="H241" s="153" t="b">
        <v>1</v>
      </c>
    </row>
    <row r="242" spans="1:8" x14ac:dyDescent="0.3">
      <c r="A242" s="153" t="s">
        <v>1813</v>
      </c>
      <c r="B242" s="153" t="s">
        <v>1761</v>
      </c>
      <c r="C242" s="153" t="s">
        <v>1814</v>
      </c>
      <c r="D242" s="153">
        <v>323</v>
      </c>
      <c r="E242" s="153">
        <v>323</v>
      </c>
      <c r="F242" s="153">
        <f t="shared" si="6"/>
        <v>0</v>
      </c>
      <c r="G242" s="153" t="str">
        <f t="shared" si="7"/>
        <v>OK</v>
      </c>
      <c r="H242" s="153" t="b">
        <v>1</v>
      </c>
    </row>
    <row r="243" spans="1:8" x14ac:dyDescent="0.3">
      <c r="A243" s="153" t="s">
        <v>1815</v>
      </c>
      <c r="B243" s="153" t="s">
        <v>1761</v>
      </c>
      <c r="C243" s="153" t="s">
        <v>1816</v>
      </c>
      <c r="D243" s="153">
        <v>361</v>
      </c>
      <c r="E243" s="153">
        <v>361</v>
      </c>
      <c r="F243" s="153">
        <f t="shared" si="6"/>
        <v>0</v>
      </c>
      <c r="G243" s="153" t="str">
        <f t="shared" si="7"/>
        <v>OK</v>
      </c>
      <c r="H243" s="153" t="b">
        <v>1</v>
      </c>
    </row>
    <row r="244" spans="1:8" x14ac:dyDescent="0.3">
      <c r="A244" s="153" t="s">
        <v>1817</v>
      </c>
      <c r="B244" s="153" t="s">
        <v>1761</v>
      </c>
      <c r="C244" s="153" t="s">
        <v>1090</v>
      </c>
      <c r="D244" s="153">
        <v>24</v>
      </c>
      <c r="E244" s="153">
        <v>24</v>
      </c>
      <c r="F244" s="153">
        <f t="shared" si="6"/>
        <v>0</v>
      </c>
      <c r="G244" s="153" t="str">
        <f t="shared" si="7"/>
        <v>OK</v>
      </c>
      <c r="H244" s="153" t="b">
        <v>1</v>
      </c>
    </row>
    <row r="245" spans="1:8" x14ac:dyDescent="0.3">
      <c r="A245" s="153" t="s">
        <v>1818</v>
      </c>
      <c r="B245" s="153" t="s">
        <v>1761</v>
      </c>
      <c r="C245" s="153" t="s">
        <v>673</v>
      </c>
      <c r="D245" s="153">
        <v>103</v>
      </c>
      <c r="E245" s="153">
        <v>103</v>
      </c>
      <c r="F245" s="153">
        <f t="shared" si="6"/>
        <v>0</v>
      </c>
      <c r="G245" s="153" t="str">
        <f t="shared" si="7"/>
        <v>OK</v>
      </c>
      <c r="H245" s="153" t="b">
        <v>1</v>
      </c>
    </row>
    <row r="246" spans="1:8" x14ac:dyDescent="0.3">
      <c r="A246" s="153" t="s">
        <v>1819</v>
      </c>
      <c r="B246" s="153" t="s">
        <v>1761</v>
      </c>
      <c r="C246" s="153" t="s">
        <v>1820</v>
      </c>
      <c r="D246" s="153">
        <v>50</v>
      </c>
      <c r="E246" s="153">
        <v>50</v>
      </c>
      <c r="F246" s="153">
        <f t="shared" si="6"/>
        <v>0</v>
      </c>
      <c r="G246" s="153" t="str">
        <f t="shared" si="7"/>
        <v>OK</v>
      </c>
      <c r="H246" s="153" t="b">
        <v>1</v>
      </c>
    </row>
    <row r="247" spans="1:8" x14ac:dyDescent="0.3">
      <c r="A247" s="153" t="s">
        <v>1821</v>
      </c>
      <c r="B247" s="153" t="s">
        <v>1761</v>
      </c>
      <c r="C247" s="153" t="s">
        <v>1822</v>
      </c>
      <c r="D247" s="153">
        <v>62.05</v>
      </c>
      <c r="E247" s="153">
        <v>62.05</v>
      </c>
      <c r="F247" s="153">
        <f t="shared" si="6"/>
        <v>0</v>
      </c>
      <c r="G247" s="153" t="str">
        <f t="shared" si="7"/>
        <v>OK</v>
      </c>
      <c r="H247" s="153" t="b">
        <v>1</v>
      </c>
    </row>
    <row r="248" spans="1:8" x14ac:dyDescent="0.3">
      <c r="A248" s="153" t="s">
        <v>1823</v>
      </c>
      <c r="B248" s="153" t="s">
        <v>1761</v>
      </c>
      <c r="C248" s="153" t="s">
        <v>1824</v>
      </c>
      <c r="D248" s="153">
        <v>0.27007616974972798</v>
      </c>
      <c r="E248" s="153">
        <v>0.27007616974972798</v>
      </c>
      <c r="F248" s="153">
        <f t="shared" si="6"/>
        <v>0</v>
      </c>
      <c r="G248" s="153" t="str">
        <f t="shared" si="7"/>
        <v>OK</v>
      </c>
      <c r="H248" s="153" t="b">
        <v>1</v>
      </c>
    </row>
    <row r="249" spans="1:8" x14ac:dyDescent="0.3">
      <c r="A249" s="153" t="s">
        <v>1825</v>
      </c>
      <c r="B249" s="153" t="s">
        <v>1761</v>
      </c>
      <c r="C249" s="153" t="s">
        <v>1826</v>
      </c>
      <c r="D249" s="153">
        <v>945</v>
      </c>
      <c r="E249" s="153">
        <v>945</v>
      </c>
      <c r="F249" s="153">
        <f t="shared" si="6"/>
        <v>0</v>
      </c>
      <c r="G249" s="153" t="str">
        <f t="shared" si="7"/>
        <v>OK</v>
      </c>
      <c r="H249" s="153" t="b">
        <v>1</v>
      </c>
    </row>
    <row r="250" spans="1:8" x14ac:dyDescent="0.3">
      <c r="A250" s="153" t="s">
        <v>1827</v>
      </c>
      <c r="B250" s="153" t="s">
        <v>1761</v>
      </c>
      <c r="C250" s="153" t="s">
        <v>1828</v>
      </c>
      <c r="D250" s="153">
        <v>1058</v>
      </c>
      <c r="E250" s="153">
        <v>1058</v>
      </c>
      <c r="F250" s="153">
        <f t="shared" si="6"/>
        <v>0</v>
      </c>
      <c r="G250" s="153" t="str">
        <f t="shared" si="7"/>
        <v>OK</v>
      </c>
      <c r="H250" s="153" t="b">
        <v>1</v>
      </c>
    </row>
    <row r="251" spans="1:8" x14ac:dyDescent="0.3">
      <c r="A251" s="153" t="s">
        <v>1829</v>
      </c>
      <c r="B251" s="153" t="s">
        <v>1761</v>
      </c>
      <c r="C251" s="153" t="s">
        <v>1830</v>
      </c>
      <c r="D251" s="153">
        <v>24</v>
      </c>
      <c r="E251" s="153">
        <v>24</v>
      </c>
      <c r="F251" s="153">
        <f t="shared" si="6"/>
        <v>0</v>
      </c>
      <c r="G251" s="153" t="str">
        <f t="shared" si="7"/>
        <v>OK</v>
      </c>
      <c r="H251" s="153" t="b">
        <v>1</v>
      </c>
    </row>
    <row r="252" spans="1:8" x14ac:dyDescent="0.3">
      <c r="A252" s="153" t="s">
        <v>1831</v>
      </c>
      <c r="B252" s="153" t="s">
        <v>1761</v>
      </c>
      <c r="C252" s="153" t="s">
        <v>1832</v>
      </c>
      <c r="D252" s="153">
        <v>103</v>
      </c>
      <c r="E252" s="153">
        <v>103</v>
      </c>
      <c r="F252" s="153">
        <f t="shared" si="6"/>
        <v>0</v>
      </c>
      <c r="G252" s="153" t="str">
        <f t="shared" si="7"/>
        <v>OK</v>
      </c>
      <c r="H252" s="153" t="b">
        <v>1</v>
      </c>
    </row>
    <row r="253" spans="1:8" x14ac:dyDescent="0.3">
      <c r="A253" s="153" t="s">
        <v>1833</v>
      </c>
      <c r="B253" s="153" t="s">
        <v>1761</v>
      </c>
      <c r="C253" s="153" t="s">
        <v>1834</v>
      </c>
      <c r="D253" s="153">
        <v>80</v>
      </c>
      <c r="E253" s="153">
        <v>80</v>
      </c>
      <c r="F253" s="153">
        <f t="shared" si="6"/>
        <v>0</v>
      </c>
      <c r="G253" s="153" t="str">
        <f t="shared" si="7"/>
        <v>OK</v>
      </c>
      <c r="H253" s="153" t="b">
        <v>1</v>
      </c>
    </row>
    <row r="254" spans="1:8" x14ac:dyDescent="0.3">
      <c r="A254" s="153" t="s">
        <v>1835</v>
      </c>
      <c r="B254" s="153" t="s">
        <v>1761</v>
      </c>
      <c r="C254" s="153" t="s">
        <v>1836</v>
      </c>
      <c r="D254" s="153">
        <v>69.099999999999994</v>
      </c>
      <c r="E254" s="153">
        <v>69.099999999999994</v>
      </c>
      <c r="F254" s="153">
        <f t="shared" si="6"/>
        <v>0</v>
      </c>
      <c r="G254" s="153" t="str">
        <f t="shared" si="7"/>
        <v>OK</v>
      </c>
      <c r="H254" s="153" t="b">
        <v>1</v>
      </c>
    </row>
    <row r="255" spans="1:8" x14ac:dyDescent="0.3">
      <c r="A255" s="153" t="s">
        <v>1837</v>
      </c>
      <c r="B255" s="153" t="s">
        <v>1761</v>
      </c>
      <c r="C255" s="153" t="s">
        <v>1838</v>
      </c>
      <c r="D255" s="153">
        <v>0.24391104835863039</v>
      </c>
      <c r="E255" s="153">
        <v>0.24391104835863039</v>
      </c>
      <c r="F255" s="153">
        <f t="shared" si="6"/>
        <v>0</v>
      </c>
      <c r="G255" s="153" t="str">
        <f t="shared" si="7"/>
        <v>OK</v>
      </c>
      <c r="H255" s="153" t="b">
        <v>1</v>
      </c>
    </row>
    <row r="256" spans="1:8" x14ac:dyDescent="0.3">
      <c r="A256" s="153" t="s">
        <v>1839</v>
      </c>
      <c r="B256" s="153" t="s">
        <v>1761</v>
      </c>
      <c r="C256" s="153" t="s">
        <v>1840</v>
      </c>
      <c r="D256" s="153">
        <v>195</v>
      </c>
      <c r="E256" s="153">
        <v>195</v>
      </c>
      <c r="F256" s="153">
        <f t="shared" si="6"/>
        <v>0</v>
      </c>
      <c r="G256" s="153" t="str">
        <f t="shared" si="7"/>
        <v>OK</v>
      </c>
      <c r="H256" s="153" t="b">
        <v>1</v>
      </c>
    </row>
    <row r="257" spans="1:8" x14ac:dyDescent="0.3">
      <c r="A257" s="153" t="s">
        <v>1841</v>
      </c>
      <c r="B257" s="153" t="s">
        <v>1761</v>
      </c>
      <c r="C257" s="153" t="s">
        <v>1842</v>
      </c>
      <c r="D257" s="153">
        <v>218</v>
      </c>
      <c r="E257" s="153">
        <v>218</v>
      </c>
      <c r="F257" s="153">
        <f t="shared" si="6"/>
        <v>0</v>
      </c>
      <c r="G257" s="153" t="str">
        <f t="shared" si="7"/>
        <v>OK</v>
      </c>
      <c r="H257" s="153" t="b">
        <v>1</v>
      </c>
    </row>
    <row r="258" spans="1:8" x14ac:dyDescent="0.3">
      <c r="A258" s="153" t="s">
        <v>1843</v>
      </c>
      <c r="B258" s="153" t="s">
        <v>1761</v>
      </c>
      <c r="C258" s="153" t="s">
        <v>1844</v>
      </c>
      <c r="D258" s="153">
        <v>24</v>
      </c>
      <c r="E258" s="153">
        <v>24</v>
      </c>
      <c r="F258" s="153">
        <f t="shared" ref="F258:F321" si="8">IF(NOT(H258),"",IF(AND(ISNUMBER(D258),ISNUMBER(E258)),E258-D258,IF(D258=E258,0,1)))</f>
        <v>0</v>
      </c>
      <c r="G258" s="153" t="str">
        <f t="shared" ref="G258:G321" si="9">IF(NOT(H258),"PENDIENTE SIDE",IF(IF(AND(ISNUMBER(D258),ISNUMBER(E258)),IF(MOD(D258,1)=0,D258=E258,ABS(D258-E258)&lt;=0.000000001*MAX(1,ABS(D258),ABS(E258))),D258=E258),"OK","DIFERENCIA"))</f>
        <v>OK</v>
      </c>
      <c r="H258" s="153" t="b">
        <v>1</v>
      </c>
    </row>
    <row r="259" spans="1:8" x14ac:dyDescent="0.3">
      <c r="A259" s="153" t="s">
        <v>1845</v>
      </c>
      <c r="B259" s="153" t="s">
        <v>1761</v>
      </c>
      <c r="C259" s="153" t="s">
        <v>1846</v>
      </c>
      <c r="D259" s="153">
        <v>103</v>
      </c>
      <c r="E259" s="153">
        <v>103</v>
      </c>
      <c r="F259" s="153">
        <f t="shared" si="8"/>
        <v>0</v>
      </c>
      <c r="G259" s="153" t="str">
        <f t="shared" si="9"/>
        <v>OK</v>
      </c>
      <c r="H259" s="153" t="b">
        <v>1</v>
      </c>
    </row>
    <row r="260" spans="1:8" x14ac:dyDescent="0.3">
      <c r="A260" s="153" t="s">
        <v>1847</v>
      </c>
      <c r="B260" s="153" t="s">
        <v>1789</v>
      </c>
      <c r="C260" s="153" t="s">
        <v>1814</v>
      </c>
      <c r="D260" s="153">
        <v>4</v>
      </c>
      <c r="E260" s="153">
        <v>4</v>
      </c>
      <c r="F260" s="153">
        <f t="shared" si="8"/>
        <v>0</v>
      </c>
      <c r="G260" s="153" t="str">
        <f t="shared" si="9"/>
        <v>OK</v>
      </c>
      <c r="H260" s="153" t="b">
        <v>1</v>
      </c>
    </row>
    <row r="261" spans="1:8" x14ac:dyDescent="0.3">
      <c r="A261" s="153" t="s">
        <v>1848</v>
      </c>
      <c r="B261" s="153" t="s">
        <v>1789</v>
      </c>
      <c r="C261" s="153" t="s">
        <v>1849</v>
      </c>
      <c r="D261" s="153">
        <v>205</v>
      </c>
      <c r="E261" s="153">
        <v>205</v>
      </c>
      <c r="F261" s="153">
        <f t="shared" si="8"/>
        <v>0</v>
      </c>
      <c r="G261" s="153" t="str">
        <f t="shared" si="9"/>
        <v>OK</v>
      </c>
      <c r="H261" s="153" t="b">
        <v>1</v>
      </c>
    </row>
    <row r="262" spans="1:8" x14ac:dyDescent="0.3">
      <c r="A262" s="153" t="s">
        <v>1850</v>
      </c>
      <c r="B262" s="153" t="s">
        <v>1789</v>
      </c>
      <c r="C262" s="153" t="s">
        <v>1851</v>
      </c>
      <c r="D262" s="153">
        <v>205</v>
      </c>
      <c r="E262" s="153">
        <v>205</v>
      </c>
      <c r="F262" s="153">
        <f t="shared" si="8"/>
        <v>0</v>
      </c>
      <c r="G262" s="153" t="str">
        <f t="shared" si="9"/>
        <v>OK</v>
      </c>
      <c r="H262" s="153" t="b">
        <v>1</v>
      </c>
    </row>
    <row r="263" spans="1:8" x14ac:dyDescent="0.3">
      <c r="A263" s="153" t="s">
        <v>1852</v>
      </c>
      <c r="B263" s="153" t="s">
        <v>1789</v>
      </c>
      <c r="C263" s="153" t="s">
        <v>1853</v>
      </c>
      <c r="D263" s="153">
        <v>45</v>
      </c>
      <c r="E263" s="153">
        <v>45</v>
      </c>
      <c r="F263" s="153">
        <f t="shared" si="8"/>
        <v>0</v>
      </c>
      <c r="G263" s="153" t="str">
        <f t="shared" si="9"/>
        <v>OK</v>
      </c>
      <c r="H263" s="153" t="b">
        <v>1</v>
      </c>
    </row>
    <row r="264" spans="1:8" x14ac:dyDescent="0.3">
      <c r="A264" s="153" t="s">
        <v>1854</v>
      </c>
      <c r="B264" s="153" t="s">
        <v>1789</v>
      </c>
      <c r="C264" s="153" t="s">
        <v>1826</v>
      </c>
      <c r="D264" s="153">
        <v>7</v>
      </c>
      <c r="E264" s="153">
        <v>7</v>
      </c>
      <c r="F264" s="153">
        <f t="shared" si="8"/>
        <v>0</v>
      </c>
      <c r="G264" s="153" t="str">
        <f t="shared" si="9"/>
        <v>OK</v>
      </c>
      <c r="H264" s="153" t="b">
        <v>1</v>
      </c>
    </row>
    <row r="265" spans="1:8" x14ac:dyDescent="0.3">
      <c r="A265" s="153" t="s">
        <v>1855</v>
      </c>
      <c r="B265" s="153" t="s">
        <v>1789</v>
      </c>
      <c r="C265" s="153" t="s">
        <v>1856</v>
      </c>
      <c r="D265" s="153">
        <v>148</v>
      </c>
      <c r="E265" s="153">
        <v>148</v>
      </c>
      <c r="F265" s="153">
        <f t="shared" si="8"/>
        <v>0</v>
      </c>
      <c r="G265" s="153" t="str">
        <f t="shared" si="9"/>
        <v>OK</v>
      </c>
      <c r="H265" s="153" t="b">
        <v>1</v>
      </c>
    </row>
    <row r="266" spans="1:8" x14ac:dyDescent="0.3">
      <c r="A266" s="153" t="s">
        <v>1857</v>
      </c>
      <c r="B266" s="153" t="s">
        <v>1789</v>
      </c>
      <c r="C266" s="153" t="s">
        <v>1858</v>
      </c>
      <c r="D266" s="153">
        <v>148</v>
      </c>
      <c r="E266" s="153">
        <v>148</v>
      </c>
      <c r="F266" s="153">
        <f t="shared" si="8"/>
        <v>0</v>
      </c>
      <c r="G266" s="153" t="str">
        <f t="shared" si="9"/>
        <v>OK</v>
      </c>
      <c r="H266" s="153" t="b">
        <v>1</v>
      </c>
    </row>
    <row r="267" spans="1:8" x14ac:dyDescent="0.3">
      <c r="A267" s="153" t="s">
        <v>1859</v>
      </c>
      <c r="B267" s="153" t="s">
        <v>1789</v>
      </c>
      <c r="C267" s="153" t="s">
        <v>1860</v>
      </c>
      <c r="D267" s="153">
        <v>150</v>
      </c>
      <c r="E267" s="153">
        <v>150</v>
      </c>
      <c r="F267" s="153">
        <f t="shared" si="8"/>
        <v>0</v>
      </c>
      <c r="G267" s="153" t="str">
        <f t="shared" si="9"/>
        <v>OK</v>
      </c>
      <c r="H267" s="153" t="b">
        <v>1</v>
      </c>
    </row>
    <row r="268" spans="1:8" x14ac:dyDescent="0.3">
      <c r="A268" s="153" t="s">
        <v>1861</v>
      </c>
      <c r="B268" s="153" t="s">
        <v>1789</v>
      </c>
      <c r="C268" s="153" t="s">
        <v>1840</v>
      </c>
      <c r="D268" s="153">
        <v>12</v>
      </c>
      <c r="E268" s="153">
        <v>12</v>
      </c>
      <c r="F268" s="153">
        <f t="shared" si="8"/>
        <v>0</v>
      </c>
      <c r="G268" s="153" t="str">
        <f t="shared" si="9"/>
        <v>OK</v>
      </c>
      <c r="H268" s="153" t="b">
        <v>1</v>
      </c>
    </row>
    <row r="269" spans="1:8" x14ac:dyDescent="0.3">
      <c r="A269" s="153" t="s">
        <v>1862</v>
      </c>
      <c r="B269" s="153" t="s">
        <v>1789</v>
      </c>
      <c r="C269" s="153" t="s">
        <v>1863</v>
      </c>
      <c r="D269" s="153">
        <v>74</v>
      </c>
      <c r="E269" s="153">
        <v>74</v>
      </c>
      <c r="F269" s="153">
        <f t="shared" si="8"/>
        <v>0</v>
      </c>
      <c r="G269" s="153" t="str">
        <f t="shared" si="9"/>
        <v>OK</v>
      </c>
      <c r="H269" s="153" t="b">
        <v>1</v>
      </c>
    </row>
    <row r="270" spans="1:8" x14ac:dyDescent="0.3">
      <c r="A270" s="153" t="s">
        <v>1864</v>
      </c>
      <c r="B270" s="153" t="s">
        <v>1789</v>
      </c>
      <c r="C270" s="153" t="s">
        <v>1865</v>
      </c>
      <c r="D270" s="153">
        <v>74</v>
      </c>
      <c r="E270" s="153">
        <v>74</v>
      </c>
      <c r="F270" s="153">
        <f t="shared" si="8"/>
        <v>0</v>
      </c>
      <c r="G270" s="153" t="str">
        <f t="shared" si="9"/>
        <v>OK</v>
      </c>
      <c r="H270" s="153" t="b">
        <v>1</v>
      </c>
    </row>
    <row r="271" spans="1:8" x14ac:dyDescent="0.3">
      <c r="A271" s="153" t="s">
        <v>1866</v>
      </c>
      <c r="B271" s="153" t="s">
        <v>1789</v>
      </c>
      <c r="C271" s="153" t="s">
        <v>1867</v>
      </c>
      <c r="D271" s="153">
        <v>420</v>
      </c>
      <c r="E271" s="153">
        <v>420</v>
      </c>
      <c r="F271" s="153">
        <f t="shared" si="8"/>
        <v>0</v>
      </c>
      <c r="G271" s="153" t="str">
        <f t="shared" si="9"/>
        <v>OK</v>
      </c>
      <c r="H271" s="153" t="b">
        <v>1</v>
      </c>
    </row>
    <row r="272" spans="1:8" x14ac:dyDescent="0.3">
      <c r="A272" s="153" t="s">
        <v>1868</v>
      </c>
      <c r="B272" s="153" t="s">
        <v>1761</v>
      </c>
      <c r="C272" s="153" t="s">
        <v>1869</v>
      </c>
      <c r="D272" s="153">
        <v>40</v>
      </c>
      <c r="E272" s="153">
        <v>40</v>
      </c>
      <c r="F272" s="153">
        <f t="shared" si="8"/>
        <v>0</v>
      </c>
      <c r="G272" s="153" t="str">
        <f t="shared" si="9"/>
        <v>OK</v>
      </c>
      <c r="H272" s="153" t="b">
        <v>1</v>
      </c>
    </row>
    <row r="273" spans="1:8" x14ac:dyDescent="0.3">
      <c r="A273" s="153" t="s">
        <v>1870</v>
      </c>
      <c r="B273" s="153" t="s">
        <v>1761</v>
      </c>
      <c r="C273" s="153" t="s">
        <v>1871</v>
      </c>
      <c r="D273" s="153">
        <v>55.3</v>
      </c>
      <c r="E273" s="153">
        <v>55.3</v>
      </c>
      <c r="F273" s="153">
        <f t="shared" si="8"/>
        <v>0</v>
      </c>
      <c r="G273" s="153" t="str">
        <f t="shared" si="9"/>
        <v>OK</v>
      </c>
      <c r="H273" s="153" t="b">
        <v>1</v>
      </c>
    </row>
    <row r="274" spans="1:8" x14ac:dyDescent="0.3">
      <c r="A274" s="153" t="s">
        <v>1872</v>
      </c>
      <c r="B274" s="153" t="s">
        <v>1761</v>
      </c>
      <c r="C274" s="153" t="s">
        <v>1873</v>
      </c>
      <c r="D274" s="153">
        <v>0.2220883534136546</v>
      </c>
      <c r="E274" s="153">
        <v>0.2220883534136546</v>
      </c>
      <c r="F274" s="153">
        <f t="shared" si="8"/>
        <v>0</v>
      </c>
      <c r="G274" s="153" t="str">
        <f t="shared" si="9"/>
        <v>OK</v>
      </c>
      <c r="H274" s="153" t="b">
        <v>1</v>
      </c>
    </row>
    <row r="275" spans="1:8" x14ac:dyDescent="0.3">
      <c r="A275" s="153" t="s">
        <v>1874</v>
      </c>
      <c r="B275" s="153" t="s">
        <v>1761</v>
      </c>
      <c r="C275" s="153" t="s">
        <v>1875</v>
      </c>
      <c r="D275" s="153">
        <v>777</v>
      </c>
      <c r="E275" s="153">
        <v>777</v>
      </c>
      <c r="F275" s="153">
        <f t="shared" si="8"/>
        <v>0</v>
      </c>
      <c r="G275" s="153" t="str">
        <f t="shared" si="9"/>
        <v>OK</v>
      </c>
      <c r="H275" s="153" t="b">
        <v>1</v>
      </c>
    </row>
    <row r="276" spans="1:8" x14ac:dyDescent="0.3">
      <c r="A276" s="153" t="s">
        <v>1876</v>
      </c>
      <c r="B276" s="153" t="s">
        <v>1761</v>
      </c>
      <c r="C276" s="153" t="s">
        <v>663</v>
      </c>
      <c r="D276" s="153">
        <v>870</v>
      </c>
      <c r="E276" s="153">
        <v>870</v>
      </c>
      <c r="F276" s="153">
        <f t="shared" si="8"/>
        <v>0</v>
      </c>
      <c r="G276" s="153" t="str">
        <f t="shared" si="9"/>
        <v>OK</v>
      </c>
      <c r="H276" s="153" t="b">
        <v>1</v>
      </c>
    </row>
    <row r="277" spans="1:8" x14ac:dyDescent="0.3">
      <c r="A277" s="153" t="s">
        <v>1877</v>
      </c>
      <c r="B277" s="153" t="s">
        <v>1761</v>
      </c>
      <c r="C277" s="153" t="s">
        <v>1878</v>
      </c>
      <c r="D277" s="153">
        <v>29</v>
      </c>
      <c r="E277" s="153">
        <v>29</v>
      </c>
      <c r="F277" s="153">
        <f t="shared" si="8"/>
        <v>0</v>
      </c>
      <c r="G277" s="153" t="str">
        <f t="shared" si="9"/>
        <v>OK</v>
      </c>
      <c r="H277" s="153" t="b">
        <v>1</v>
      </c>
    </row>
    <row r="278" spans="1:8" x14ac:dyDescent="0.3">
      <c r="A278" s="153" t="s">
        <v>1879</v>
      </c>
      <c r="B278" s="153" t="s">
        <v>1761</v>
      </c>
      <c r="C278" s="153" t="s">
        <v>1880</v>
      </c>
      <c r="D278" s="153">
        <v>122</v>
      </c>
      <c r="E278" s="153">
        <v>122</v>
      </c>
      <c r="F278" s="153">
        <f t="shared" si="8"/>
        <v>0</v>
      </c>
      <c r="G278" s="153" t="str">
        <f t="shared" si="9"/>
        <v>OK</v>
      </c>
      <c r="H278" s="153" t="b">
        <v>1</v>
      </c>
    </row>
    <row r="279" spans="1:8" x14ac:dyDescent="0.3">
      <c r="A279" s="153" t="s">
        <v>1881</v>
      </c>
      <c r="B279" s="153" t="s">
        <v>1761</v>
      </c>
      <c r="C279" s="153" t="s">
        <v>1882</v>
      </c>
      <c r="D279" s="153">
        <v>10</v>
      </c>
      <c r="E279" s="153">
        <v>10</v>
      </c>
      <c r="F279" s="153">
        <f t="shared" si="8"/>
        <v>0</v>
      </c>
      <c r="G279" s="153" t="str">
        <f t="shared" si="9"/>
        <v>OK</v>
      </c>
      <c r="H279" s="153" t="b">
        <v>1</v>
      </c>
    </row>
    <row r="280" spans="1:8" x14ac:dyDescent="0.3">
      <c r="A280" s="153" t="s">
        <v>1883</v>
      </c>
      <c r="B280" s="153" t="s">
        <v>1761</v>
      </c>
      <c r="C280" s="153" t="s">
        <v>677</v>
      </c>
      <c r="D280" s="153">
        <v>53.95</v>
      </c>
      <c r="E280" s="153">
        <v>53.95</v>
      </c>
      <c r="F280" s="153">
        <f t="shared" si="8"/>
        <v>0</v>
      </c>
      <c r="G280" s="153" t="str">
        <f t="shared" si="9"/>
        <v>OK</v>
      </c>
      <c r="H280" s="153" t="b">
        <v>1</v>
      </c>
    </row>
    <row r="281" spans="1:8" x14ac:dyDescent="0.3">
      <c r="A281" s="153" t="s">
        <v>1884</v>
      </c>
      <c r="B281" s="153" t="s">
        <v>1761</v>
      </c>
      <c r="C281" s="153" t="s">
        <v>1885</v>
      </c>
      <c r="D281" s="153">
        <v>0.23482045701849841</v>
      </c>
      <c r="E281" s="153">
        <v>0.23482045701849841</v>
      </c>
      <c r="F281" s="153">
        <f t="shared" si="8"/>
        <v>0</v>
      </c>
      <c r="G281" s="153" t="str">
        <f t="shared" si="9"/>
        <v>OK</v>
      </c>
      <c r="H281" s="153" t="b">
        <v>1</v>
      </c>
    </row>
    <row r="282" spans="1:8" x14ac:dyDescent="0.3">
      <c r="A282" s="153" t="s">
        <v>1886</v>
      </c>
      <c r="B282" s="153" t="s">
        <v>1761</v>
      </c>
      <c r="C282" s="153" t="s">
        <v>1887</v>
      </c>
      <c r="D282" s="153">
        <v>822</v>
      </c>
      <c r="E282" s="153">
        <v>822</v>
      </c>
      <c r="F282" s="153">
        <f t="shared" si="8"/>
        <v>0</v>
      </c>
      <c r="G282" s="153" t="str">
        <f t="shared" si="9"/>
        <v>OK</v>
      </c>
      <c r="H282" s="153" t="b">
        <v>1</v>
      </c>
    </row>
    <row r="283" spans="1:8" x14ac:dyDescent="0.3">
      <c r="A283" s="153" t="s">
        <v>1888</v>
      </c>
      <c r="B283" s="153" t="s">
        <v>1761</v>
      </c>
      <c r="C283" s="153" t="s">
        <v>1889</v>
      </c>
      <c r="D283" s="153">
        <v>920</v>
      </c>
      <c r="E283" s="153">
        <v>920</v>
      </c>
      <c r="F283" s="153">
        <f t="shared" si="8"/>
        <v>0</v>
      </c>
      <c r="G283" s="153" t="str">
        <f t="shared" si="9"/>
        <v>OK</v>
      </c>
      <c r="H283" s="153" t="b">
        <v>1</v>
      </c>
    </row>
    <row r="284" spans="1:8" x14ac:dyDescent="0.3">
      <c r="A284" s="153" t="s">
        <v>1890</v>
      </c>
      <c r="B284" s="153" t="s">
        <v>1761</v>
      </c>
      <c r="C284" s="153" t="s">
        <v>1891</v>
      </c>
      <c r="D284" s="153">
        <v>29</v>
      </c>
      <c r="E284" s="153">
        <v>29</v>
      </c>
      <c r="F284" s="153">
        <f t="shared" si="8"/>
        <v>0</v>
      </c>
      <c r="G284" s="153" t="str">
        <f t="shared" si="9"/>
        <v>OK</v>
      </c>
      <c r="H284" s="153" t="b">
        <v>1</v>
      </c>
    </row>
    <row r="285" spans="1:8" x14ac:dyDescent="0.3">
      <c r="A285" s="153" t="s">
        <v>1892</v>
      </c>
      <c r="B285" s="153" t="s">
        <v>1761</v>
      </c>
      <c r="C285" s="153" t="s">
        <v>1893</v>
      </c>
      <c r="D285" s="153">
        <v>122</v>
      </c>
      <c r="E285" s="153">
        <v>122</v>
      </c>
      <c r="F285" s="153">
        <f t="shared" si="8"/>
        <v>0</v>
      </c>
      <c r="G285" s="153" t="str">
        <f t="shared" si="9"/>
        <v>OK</v>
      </c>
      <c r="H285" s="153" t="b">
        <v>1</v>
      </c>
    </row>
    <row r="286" spans="1:8" x14ac:dyDescent="0.3">
      <c r="A286" s="153" t="s">
        <v>1894</v>
      </c>
      <c r="B286" s="153" t="s">
        <v>1761</v>
      </c>
      <c r="C286" s="153" t="s">
        <v>1895</v>
      </c>
      <c r="D286" s="153">
        <v>88</v>
      </c>
      <c r="E286" s="153">
        <v>88</v>
      </c>
      <c r="F286" s="153">
        <f t="shared" si="8"/>
        <v>0</v>
      </c>
      <c r="G286" s="153" t="str">
        <f t="shared" si="9"/>
        <v>OK</v>
      </c>
      <c r="H286" s="153" t="b">
        <v>1</v>
      </c>
    </row>
    <row r="287" spans="1:8" x14ac:dyDescent="0.3">
      <c r="A287" s="153" t="s">
        <v>1896</v>
      </c>
      <c r="B287" s="153" t="s">
        <v>1761</v>
      </c>
      <c r="C287" s="153" t="s">
        <v>679</v>
      </c>
      <c r="D287" s="153">
        <v>81.400000000000006</v>
      </c>
      <c r="E287" s="153">
        <v>81.400000000000006</v>
      </c>
      <c r="F287" s="153">
        <f t="shared" si="8"/>
        <v>0</v>
      </c>
      <c r="G287" s="153" t="str">
        <f t="shared" si="9"/>
        <v>OK</v>
      </c>
      <c r="H287" s="153" t="b">
        <v>1</v>
      </c>
    </row>
    <row r="288" spans="1:8" x14ac:dyDescent="0.3">
      <c r="A288" s="153" t="s">
        <v>1897</v>
      </c>
      <c r="B288" s="153" t="s">
        <v>1761</v>
      </c>
      <c r="C288" s="153" t="s">
        <v>1898</v>
      </c>
      <c r="D288" s="153">
        <v>0.28732792093187443</v>
      </c>
      <c r="E288" s="153">
        <v>0.28732792093187443</v>
      </c>
      <c r="F288" s="153">
        <f t="shared" si="8"/>
        <v>0</v>
      </c>
      <c r="G288" s="153" t="str">
        <f t="shared" si="9"/>
        <v>OK</v>
      </c>
      <c r="H288" s="153" t="b">
        <v>1</v>
      </c>
    </row>
    <row r="289" spans="1:8" x14ac:dyDescent="0.3">
      <c r="A289" s="153" t="s">
        <v>1899</v>
      </c>
      <c r="B289" s="153" t="s">
        <v>1761</v>
      </c>
      <c r="C289" s="153" t="s">
        <v>1900</v>
      </c>
      <c r="D289" s="153">
        <v>230</v>
      </c>
      <c r="E289" s="153">
        <v>230</v>
      </c>
      <c r="F289" s="153">
        <f t="shared" si="8"/>
        <v>0</v>
      </c>
      <c r="G289" s="153" t="str">
        <f t="shared" si="9"/>
        <v>OK</v>
      </c>
      <c r="H289" s="153" t="b">
        <v>1</v>
      </c>
    </row>
    <row r="290" spans="1:8" x14ac:dyDescent="0.3">
      <c r="A290" s="153" t="s">
        <v>1901</v>
      </c>
      <c r="B290" s="153" t="s">
        <v>1761</v>
      </c>
      <c r="C290" s="153" t="s">
        <v>1902</v>
      </c>
      <c r="D290" s="153">
        <v>257</v>
      </c>
      <c r="E290" s="153">
        <v>257</v>
      </c>
      <c r="F290" s="153">
        <f t="shared" si="8"/>
        <v>0</v>
      </c>
      <c r="G290" s="153" t="str">
        <f t="shared" si="9"/>
        <v>OK</v>
      </c>
      <c r="H290" s="153" t="b">
        <v>1</v>
      </c>
    </row>
    <row r="291" spans="1:8" x14ac:dyDescent="0.3">
      <c r="A291" s="153" t="s">
        <v>1903</v>
      </c>
      <c r="B291" s="153" t="s">
        <v>1761</v>
      </c>
      <c r="C291" s="153" t="s">
        <v>1904</v>
      </c>
      <c r="D291" s="153">
        <v>29</v>
      </c>
      <c r="E291" s="153">
        <v>29</v>
      </c>
      <c r="F291" s="153">
        <f t="shared" si="8"/>
        <v>0</v>
      </c>
      <c r="G291" s="153" t="str">
        <f t="shared" si="9"/>
        <v>OK</v>
      </c>
      <c r="H291" s="153" t="b">
        <v>1</v>
      </c>
    </row>
    <row r="292" spans="1:8" x14ac:dyDescent="0.3">
      <c r="A292" s="153" t="s">
        <v>1905</v>
      </c>
      <c r="B292" s="153" t="s">
        <v>1761</v>
      </c>
      <c r="C292" s="153" t="s">
        <v>681</v>
      </c>
      <c r="D292" s="153">
        <v>122</v>
      </c>
      <c r="E292" s="153">
        <v>122</v>
      </c>
      <c r="F292" s="153">
        <f t="shared" si="8"/>
        <v>0</v>
      </c>
      <c r="G292" s="153" t="str">
        <f t="shared" si="9"/>
        <v>OK</v>
      </c>
      <c r="H292" s="153" t="b">
        <v>1</v>
      </c>
    </row>
    <row r="293" spans="1:8" x14ac:dyDescent="0.3">
      <c r="A293" s="153" t="s">
        <v>1906</v>
      </c>
      <c r="B293" s="153" t="s">
        <v>1789</v>
      </c>
      <c r="C293" s="153" t="s">
        <v>1875</v>
      </c>
      <c r="D293" s="153">
        <v>4</v>
      </c>
      <c r="E293" s="153">
        <v>4</v>
      </c>
      <c r="F293" s="153">
        <f t="shared" si="8"/>
        <v>0</v>
      </c>
      <c r="G293" s="153" t="str">
        <f t="shared" si="9"/>
        <v>OK</v>
      </c>
      <c r="H293" s="153" t="b">
        <v>1</v>
      </c>
    </row>
    <row r="294" spans="1:8" x14ac:dyDescent="0.3">
      <c r="A294" s="153" t="s">
        <v>1907</v>
      </c>
      <c r="B294" s="153" t="s">
        <v>1789</v>
      </c>
      <c r="C294" s="153" t="s">
        <v>1908</v>
      </c>
      <c r="D294" s="153">
        <v>205</v>
      </c>
      <c r="E294" s="153">
        <v>205</v>
      </c>
      <c r="F294" s="153">
        <f t="shared" si="8"/>
        <v>0</v>
      </c>
      <c r="G294" s="153" t="str">
        <f t="shared" si="9"/>
        <v>OK</v>
      </c>
      <c r="H294" s="153" t="b">
        <v>1</v>
      </c>
    </row>
    <row r="295" spans="1:8" x14ac:dyDescent="0.3">
      <c r="A295" s="153" t="s">
        <v>1909</v>
      </c>
      <c r="B295" s="153" t="s">
        <v>1789</v>
      </c>
      <c r="C295" s="153" t="s">
        <v>1910</v>
      </c>
      <c r="D295" s="153">
        <v>205</v>
      </c>
      <c r="E295" s="153">
        <v>205</v>
      </c>
      <c r="F295" s="153">
        <f t="shared" si="8"/>
        <v>0</v>
      </c>
      <c r="G295" s="153" t="str">
        <f t="shared" si="9"/>
        <v>OK</v>
      </c>
      <c r="H295" s="153" t="b">
        <v>1</v>
      </c>
    </row>
    <row r="296" spans="1:8" x14ac:dyDescent="0.3">
      <c r="A296" s="153" t="s">
        <v>1911</v>
      </c>
      <c r="B296" s="153" t="s">
        <v>1789</v>
      </c>
      <c r="C296" s="153" t="s">
        <v>1912</v>
      </c>
      <c r="D296" s="153">
        <v>43</v>
      </c>
      <c r="E296" s="153">
        <v>43</v>
      </c>
      <c r="F296" s="153">
        <f t="shared" si="8"/>
        <v>0</v>
      </c>
      <c r="G296" s="153" t="str">
        <f t="shared" si="9"/>
        <v>OK</v>
      </c>
      <c r="H296" s="153" t="b">
        <v>1</v>
      </c>
    </row>
    <row r="297" spans="1:8" x14ac:dyDescent="0.3">
      <c r="A297" s="153" t="s">
        <v>1913</v>
      </c>
      <c r="B297" s="153" t="s">
        <v>1789</v>
      </c>
      <c r="C297" s="153" t="s">
        <v>1887</v>
      </c>
      <c r="D297" s="153">
        <v>7</v>
      </c>
      <c r="E297" s="153">
        <v>7</v>
      </c>
      <c r="F297" s="153">
        <f t="shared" si="8"/>
        <v>0</v>
      </c>
      <c r="G297" s="153" t="str">
        <f t="shared" si="9"/>
        <v>OK</v>
      </c>
      <c r="H297" s="153" t="b">
        <v>1</v>
      </c>
    </row>
    <row r="298" spans="1:8" x14ac:dyDescent="0.3">
      <c r="A298" s="153" t="s">
        <v>1914</v>
      </c>
      <c r="B298" s="153" t="s">
        <v>1789</v>
      </c>
      <c r="C298" s="153" t="s">
        <v>1915</v>
      </c>
      <c r="D298" s="153">
        <v>148</v>
      </c>
      <c r="E298" s="153">
        <v>148</v>
      </c>
      <c r="F298" s="153">
        <f t="shared" si="8"/>
        <v>0</v>
      </c>
      <c r="G298" s="153" t="str">
        <f t="shared" si="9"/>
        <v>OK</v>
      </c>
      <c r="H298" s="153" t="b">
        <v>1</v>
      </c>
    </row>
    <row r="299" spans="1:8" x14ac:dyDescent="0.3">
      <c r="A299" s="153" t="s">
        <v>1916</v>
      </c>
      <c r="B299" s="153" t="s">
        <v>1789</v>
      </c>
      <c r="C299" s="153" t="s">
        <v>1917</v>
      </c>
      <c r="D299" s="153">
        <v>148</v>
      </c>
      <c r="E299" s="153">
        <v>148</v>
      </c>
      <c r="F299" s="153">
        <f t="shared" si="8"/>
        <v>0</v>
      </c>
      <c r="G299" s="153" t="str">
        <f t="shared" si="9"/>
        <v>OK</v>
      </c>
      <c r="H299" s="153" t="b">
        <v>1</v>
      </c>
    </row>
    <row r="300" spans="1:8" x14ac:dyDescent="0.3">
      <c r="A300" s="153" t="s">
        <v>1918</v>
      </c>
      <c r="B300" s="153" t="s">
        <v>1789</v>
      </c>
      <c r="C300" s="153" t="s">
        <v>1919</v>
      </c>
      <c r="D300" s="153">
        <v>190</v>
      </c>
      <c r="E300" s="153">
        <v>190</v>
      </c>
      <c r="F300" s="153">
        <f t="shared" si="8"/>
        <v>0</v>
      </c>
      <c r="G300" s="153" t="str">
        <f t="shared" si="9"/>
        <v>OK</v>
      </c>
      <c r="H300" s="153" t="b">
        <v>1</v>
      </c>
    </row>
    <row r="301" spans="1:8" x14ac:dyDescent="0.3">
      <c r="A301" s="153" t="s">
        <v>1920</v>
      </c>
      <c r="B301" s="153" t="s">
        <v>1789</v>
      </c>
      <c r="C301" s="153" t="s">
        <v>1900</v>
      </c>
      <c r="D301" s="153">
        <v>12</v>
      </c>
      <c r="E301" s="153">
        <v>12</v>
      </c>
      <c r="F301" s="153">
        <f t="shared" si="8"/>
        <v>0</v>
      </c>
      <c r="G301" s="153" t="str">
        <f t="shared" si="9"/>
        <v>OK</v>
      </c>
      <c r="H301" s="153" t="b">
        <v>1</v>
      </c>
    </row>
    <row r="302" spans="1:8" x14ac:dyDescent="0.3">
      <c r="A302" s="153" t="s">
        <v>1921</v>
      </c>
      <c r="B302" s="153" t="s">
        <v>1789</v>
      </c>
      <c r="C302" s="153" t="s">
        <v>1922</v>
      </c>
      <c r="D302" s="153">
        <v>74</v>
      </c>
      <c r="E302" s="153">
        <v>74</v>
      </c>
      <c r="F302" s="153">
        <f t="shared" si="8"/>
        <v>0</v>
      </c>
      <c r="G302" s="153" t="str">
        <f t="shared" si="9"/>
        <v>OK</v>
      </c>
      <c r="H302" s="153" t="b">
        <v>1</v>
      </c>
    </row>
    <row r="303" spans="1:8" x14ac:dyDescent="0.3">
      <c r="A303" s="153" t="s">
        <v>1923</v>
      </c>
      <c r="B303" s="153" t="s">
        <v>1789</v>
      </c>
      <c r="C303" s="153" t="s">
        <v>1924</v>
      </c>
      <c r="D303" s="153">
        <v>74</v>
      </c>
      <c r="E303" s="153">
        <v>74</v>
      </c>
      <c r="F303" s="153">
        <f t="shared" si="8"/>
        <v>0</v>
      </c>
      <c r="G303" s="153" t="str">
        <f t="shared" si="9"/>
        <v>OK</v>
      </c>
      <c r="H303" s="153" t="b">
        <v>1</v>
      </c>
    </row>
    <row r="304" spans="1:8" x14ac:dyDescent="0.3">
      <c r="A304" s="153" t="s">
        <v>1925</v>
      </c>
      <c r="B304" s="153" t="s">
        <v>1789</v>
      </c>
      <c r="C304" s="153" t="s">
        <v>1926</v>
      </c>
      <c r="D304" s="153">
        <v>308</v>
      </c>
      <c r="E304" s="153">
        <v>308</v>
      </c>
      <c r="F304" s="153">
        <f t="shared" si="8"/>
        <v>0</v>
      </c>
      <c r="G304" s="153" t="str">
        <f t="shared" si="9"/>
        <v>OK</v>
      </c>
      <c r="H304" s="153" t="b">
        <v>1</v>
      </c>
    </row>
    <row r="305" spans="1:8" x14ac:dyDescent="0.3">
      <c r="A305" s="153" t="s">
        <v>1927</v>
      </c>
      <c r="B305" s="153" t="s">
        <v>1761</v>
      </c>
      <c r="C305" s="153" t="s">
        <v>1928</v>
      </c>
      <c r="D305" s="153">
        <v>80</v>
      </c>
      <c r="E305" s="153">
        <v>80</v>
      </c>
      <c r="F305" s="153">
        <f t="shared" si="8"/>
        <v>0</v>
      </c>
      <c r="G305" s="153" t="str">
        <f t="shared" si="9"/>
        <v>OK</v>
      </c>
      <c r="H305" s="153" t="b">
        <v>1</v>
      </c>
    </row>
    <row r="306" spans="1:8" x14ac:dyDescent="0.3">
      <c r="A306" s="153" t="s">
        <v>1929</v>
      </c>
      <c r="B306" s="153" t="s">
        <v>1761</v>
      </c>
      <c r="C306" s="153" t="s">
        <v>1930</v>
      </c>
      <c r="D306" s="153">
        <v>80.599999999999994</v>
      </c>
      <c r="E306" s="153">
        <v>80.599999999999994</v>
      </c>
      <c r="F306" s="153">
        <f t="shared" si="8"/>
        <v>0</v>
      </c>
      <c r="G306" s="153" t="str">
        <f t="shared" si="9"/>
        <v>OK</v>
      </c>
      <c r="H306" s="153" t="b">
        <v>1</v>
      </c>
    </row>
    <row r="307" spans="1:8" x14ac:dyDescent="0.3">
      <c r="A307" s="153" t="s">
        <v>1931</v>
      </c>
      <c r="B307" s="153" t="s">
        <v>1761</v>
      </c>
      <c r="C307" s="153" t="s">
        <v>1932</v>
      </c>
      <c r="D307" s="153">
        <v>0.32369477911646588</v>
      </c>
      <c r="E307" s="153">
        <v>0.32369477911646583</v>
      </c>
      <c r="F307" s="153">
        <f t="shared" si="8"/>
        <v>-5.5511151231257827E-17</v>
      </c>
      <c r="G307" s="153" t="str">
        <f t="shared" si="9"/>
        <v>OK</v>
      </c>
      <c r="H307" s="153" t="b">
        <v>1</v>
      </c>
    </row>
    <row r="308" spans="1:8" x14ac:dyDescent="0.3">
      <c r="A308" s="153" t="s">
        <v>1933</v>
      </c>
      <c r="B308" s="153" t="s">
        <v>1761</v>
      </c>
      <c r="C308" s="153" t="s">
        <v>1934</v>
      </c>
      <c r="D308" s="153">
        <v>1133</v>
      </c>
      <c r="E308" s="153">
        <v>1133</v>
      </c>
      <c r="F308" s="153">
        <f t="shared" si="8"/>
        <v>0</v>
      </c>
      <c r="G308" s="153" t="str">
        <f t="shared" si="9"/>
        <v>OK</v>
      </c>
      <c r="H308" s="153" t="b">
        <v>1</v>
      </c>
    </row>
    <row r="309" spans="1:8" x14ac:dyDescent="0.3">
      <c r="A309" s="153" t="s">
        <v>1935</v>
      </c>
      <c r="B309" s="153" t="s">
        <v>1761</v>
      </c>
      <c r="C309" s="153" t="s">
        <v>1936</v>
      </c>
      <c r="D309" s="153">
        <v>1268</v>
      </c>
      <c r="E309" s="153">
        <v>1268</v>
      </c>
      <c r="F309" s="153">
        <f t="shared" si="8"/>
        <v>0</v>
      </c>
      <c r="G309" s="153" t="str">
        <f t="shared" si="9"/>
        <v>OK</v>
      </c>
      <c r="H309" s="153" t="b">
        <v>1</v>
      </c>
    </row>
    <row r="310" spans="1:8" x14ac:dyDescent="0.3">
      <c r="A310" s="153" t="s">
        <v>1937</v>
      </c>
      <c r="B310" s="153" t="s">
        <v>1761</v>
      </c>
      <c r="C310" s="153" t="s">
        <v>1938</v>
      </c>
      <c r="D310" s="153">
        <v>26</v>
      </c>
      <c r="E310" s="153">
        <v>26</v>
      </c>
      <c r="F310" s="153">
        <f t="shared" si="8"/>
        <v>0</v>
      </c>
      <c r="G310" s="153" t="str">
        <f t="shared" si="9"/>
        <v>OK</v>
      </c>
      <c r="H310" s="153" t="b">
        <v>1</v>
      </c>
    </row>
    <row r="311" spans="1:8" x14ac:dyDescent="0.3">
      <c r="A311" s="153" t="s">
        <v>1939</v>
      </c>
      <c r="B311" s="153" t="s">
        <v>1761</v>
      </c>
      <c r="C311" s="153" t="s">
        <v>1940</v>
      </c>
      <c r="D311" s="153">
        <v>110</v>
      </c>
      <c r="E311" s="153">
        <v>110</v>
      </c>
      <c r="F311" s="153">
        <f t="shared" si="8"/>
        <v>0</v>
      </c>
      <c r="G311" s="153" t="str">
        <f t="shared" si="9"/>
        <v>OK</v>
      </c>
      <c r="H311" s="153" t="b">
        <v>1</v>
      </c>
    </row>
    <row r="312" spans="1:8" x14ac:dyDescent="0.3">
      <c r="A312" s="153" t="s">
        <v>1941</v>
      </c>
      <c r="B312" s="153" t="s">
        <v>1761</v>
      </c>
      <c r="C312" s="153" t="s">
        <v>1942</v>
      </c>
      <c r="D312" s="153">
        <v>0</v>
      </c>
      <c r="E312" s="153">
        <v>0</v>
      </c>
      <c r="F312" s="153">
        <f t="shared" si="8"/>
        <v>0</v>
      </c>
      <c r="G312" s="153" t="str">
        <f t="shared" si="9"/>
        <v>OK</v>
      </c>
      <c r="H312" s="153" t="b">
        <v>1</v>
      </c>
    </row>
    <row r="313" spans="1:8" x14ac:dyDescent="0.3">
      <c r="A313" s="153" t="s">
        <v>1943</v>
      </c>
      <c r="B313" s="153" t="s">
        <v>1761</v>
      </c>
      <c r="C313" s="153" t="s">
        <v>1944</v>
      </c>
      <c r="D313" s="153">
        <v>45</v>
      </c>
      <c r="E313" s="153">
        <v>45</v>
      </c>
      <c r="F313" s="153">
        <f t="shared" si="8"/>
        <v>0</v>
      </c>
      <c r="G313" s="153" t="str">
        <f t="shared" si="9"/>
        <v>OK</v>
      </c>
      <c r="H313" s="153" t="b">
        <v>1</v>
      </c>
    </row>
    <row r="314" spans="1:8" x14ac:dyDescent="0.3">
      <c r="A314" s="153" t="s">
        <v>1945</v>
      </c>
      <c r="B314" s="153" t="s">
        <v>1761</v>
      </c>
      <c r="C314" s="153" t="s">
        <v>1946</v>
      </c>
      <c r="D314" s="153">
        <v>0.19586507072905329</v>
      </c>
      <c r="E314" s="153">
        <v>0.19586507072905329</v>
      </c>
      <c r="F314" s="153">
        <f t="shared" si="8"/>
        <v>0</v>
      </c>
      <c r="G314" s="153" t="str">
        <f t="shared" si="9"/>
        <v>OK</v>
      </c>
      <c r="H314" s="153" t="b">
        <v>1</v>
      </c>
    </row>
    <row r="315" spans="1:8" x14ac:dyDescent="0.3">
      <c r="A315" s="153" t="s">
        <v>1947</v>
      </c>
      <c r="B315" s="153" t="s">
        <v>1761</v>
      </c>
      <c r="C315" s="153" t="s">
        <v>1948</v>
      </c>
      <c r="D315" s="153">
        <v>686</v>
      </c>
      <c r="E315" s="153">
        <v>686</v>
      </c>
      <c r="F315" s="153">
        <f t="shared" si="8"/>
        <v>0</v>
      </c>
      <c r="G315" s="153" t="str">
        <f t="shared" si="9"/>
        <v>OK</v>
      </c>
      <c r="H315" s="153" t="b">
        <v>1</v>
      </c>
    </row>
    <row r="316" spans="1:8" x14ac:dyDescent="0.3">
      <c r="A316" s="153" t="s">
        <v>1949</v>
      </c>
      <c r="B316" s="153" t="s">
        <v>1761</v>
      </c>
      <c r="C316" s="153" t="s">
        <v>1950</v>
      </c>
      <c r="D316" s="153">
        <v>768</v>
      </c>
      <c r="E316" s="153">
        <v>768</v>
      </c>
      <c r="F316" s="153">
        <f t="shared" si="8"/>
        <v>0</v>
      </c>
      <c r="G316" s="153" t="str">
        <f t="shared" si="9"/>
        <v>OK</v>
      </c>
      <c r="H316" s="153" t="b">
        <v>1</v>
      </c>
    </row>
    <row r="317" spans="1:8" x14ac:dyDescent="0.3">
      <c r="A317" s="153" t="s">
        <v>1951</v>
      </c>
      <c r="B317" s="153" t="s">
        <v>1761</v>
      </c>
      <c r="C317" s="153" t="s">
        <v>1952</v>
      </c>
      <c r="D317" s="153">
        <v>26</v>
      </c>
      <c r="E317" s="153">
        <v>26</v>
      </c>
      <c r="F317" s="153">
        <f t="shared" si="8"/>
        <v>0</v>
      </c>
      <c r="G317" s="153" t="str">
        <f t="shared" si="9"/>
        <v>OK</v>
      </c>
      <c r="H317" s="153" t="b">
        <v>1</v>
      </c>
    </row>
    <row r="318" spans="1:8" x14ac:dyDescent="0.3">
      <c r="A318" s="153" t="s">
        <v>1953</v>
      </c>
      <c r="B318" s="153" t="s">
        <v>1761</v>
      </c>
      <c r="C318" s="153" t="s">
        <v>1954</v>
      </c>
      <c r="D318" s="153">
        <v>110</v>
      </c>
      <c r="E318" s="153">
        <v>110</v>
      </c>
      <c r="F318" s="153">
        <f t="shared" si="8"/>
        <v>0</v>
      </c>
      <c r="G318" s="153" t="str">
        <f t="shared" si="9"/>
        <v>OK</v>
      </c>
      <c r="H318" s="153" t="b">
        <v>1</v>
      </c>
    </row>
    <row r="319" spans="1:8" x14ac:dyDescent="0.3">
      <c r="A319" s="153" t="s">
        <v>1955</v>
      </c>
      <c r="B319" s="153" t="s">
        <v>1761</v>
      </c>
      <c r="C319" s="153" t="s">
        <v>1956</v>
      </c>
      <c r="D319" s="153">
        <v>40</v>
      </c>
      <c r="E319" s="153">
        <v>40</v>
      </c>
      <c r="F319" s="153">
        <f t="shared" si="8"/>
        <v>0</v>
      </c>
      <c r="G319" s="153" t="str">
        <f t="shared" si="9"/>
        <v>OK</v>
      </c>
      <c r="H319" s="153" t="b">
        <v>1</v>
      </c>
    </row>
    <row r="320" spans="1:8" x14ac:dyDescent="0.3">
      <c r="A320" s="153" t="s">
        <v>1957</v>
      </c>
      <c r="B320" s="153" t="s">
        <v>1761</v>
      </c>
      <c r="C320" s="153" t="s">
        <v>1958</v>
      </c>
      <c r="D320" s="153">
        <v>69.400000000000006</v>
      </c>
      <c r="E320" s="153">
        <v>69.400000000000006</v>
      </c>
      <c r="F320" s="153">
        <f t="shared" si="8"/>
        <v>0</v>
      </c>
      <c r="G320" s="153" t="str">
        <f t="shared" si="9"/>
        <v>OK</v>
      </c>
      <c r="H320" s="153" t="b">
        <v>1</v>
      </c>
    </row>
    <row r="321" spans="1:8" x14ac:dyDescent="0.3">
      <c r="A321" s="153" t="s">
        <v>1959</v>
      </c>
      <c r="B321" s="153" t="s">
        <v>1761</v>
      </c>
      <c r="C321" s="153" t="s">
        <v>1960</v>
      </c>
      <c r="D321" s="153">
        <v>0.24496999647017301</v>
      </c>
      <c r="E321" s="153">
        <v>0.24496999647017301</v>
      </c>
      <c r="F321" s="153">
        <f t="shared" si="8"/>
        <v>0</v>
      </c>
      <c r="G321" s="153" t="str">
        <f t="shared" si="9"/>
        <v>OK</v>
      </c>
      <c r="H321" s="153" t="b">
        <v>1</v>
      </c>
    </row>
    <row r="322" spans="1:8" x14ac:dyDescent="0.3">
      <c r="A322" s="153" t="s">
        <v>1961</v>
      </c>
      <c r="B322" s="153" t="s">
        <v>1761</v>
      </c>
      <c r="C322" s="153" t="s">
        <v>1962</v>
      </c>
      <c r="D322" s="153">
        <v>196</v>
      </c>
      <c r="E322" s="153">
        <v>196</v>
      </c>
      <c r="F322" s="153">
        <f t="shared" ref="F322:F385" si="10">IF(NOT(H322),"",IF(AND(ISNUMBER(D322),ISNUMBER(E322)),E322-D322,IF(D322=E322,0,1)))</f>
        <v>0</v>
      </c>
      <c r="G322" s="153" t="str">
        <f t="shared" ref="G322:G385" si="11">IF(NOT(H322),"PENDIENTE SIDE",IF(IF(AND(ISNUMBER(D322),ISNUMBER(E322)),IF(MOD(D322,1)=0,D322=E322,ABS(D322-E322)&lt;=0.000000001*MAX(1,ABS(D322),ABS(E322))),D322=E322),"OK","DIFERENCIA"))</f>
        <v>OK</v>
      </c>
      <c r="H322" s="153" t="b">
        <v>1</v>
      </c>
    </row>
    <row r="323" spans="1:8" x14ac:dyDescent="0.3">
      <c r="A323" s="153" t="s">
        <v>1963</v>
      </c>
      <c r="B323" s="153" t="s">
        <v>1761</v>
      </c>
      <c r="C323" s="153" t="s">
        <v>1964</v>
      </c>
      <c r="D323" s="153">
        <v>219</v>
      </c>
      <c r="E323" s="153">
        <v>219</v>
      </c>
      <c r="F323" s="153">
        <f t="shared" si="10"/>
        <v>0</v>
      </c>
      <c r="G323" s="153" t="str">
        <f t="shared" si="11"/>
        <v>OK</v>
      </c>
      <c r="H323" s="153" t="b">
        <v>1</v>
      </c>
    </row>
    <row r="324" spans="1:8" x14ac:dyDescent="0.3">
      <c r="A324" s="153" t="s">
        <v>1965</v>
      </c>
      <c r="B324" s="153" t="s">
        <v>1761</v>
      </c>
      <c r="C324" s="153" t="s">
        <v>1966</v>
      </c>
      <c r="D324" s="153">
        <v>26</v>
      </c>
      <c r="E324" s="153">
        <v>26</v>
      </c>
      <c r="F324" s="153">
        <f t="shared" si="10"/>
        <v>0</v>
      </c>
      <c r="G324" s="153" t="str">
        <f t="shared" si="11"/>
        <v>OK</v>
      </c>
      <c r="H324" s="153" t="b">
        <v>1</v>
      </c>
    </row>
    <row r="325" spans="1:8" x14ac:dyDescent="0.3">
      <c r="A325" s="153" t="s">
        <v>1967</v>
      </c>
      <c r="B325" s="153" t="s">
        <v>1761</v>
      </c>
      <c r="C325" s="153" t="s">
        <v>1968</v>
      </c>
      <c r="D325" s="153">
        <v>110</v>
      </c>
      <c r="E325" s="153">
        <v>110</v>
      </c>
      <c r="F325" s="153">
        <f t="shared" si="10"/>
        <v>0</v>
      </c>
      <c r="G325" s="153" t="str">
        <f t="shared" si="11"/>
        <v>OK</v>
      </c>
      <c r="H325" s="153" t="b">
        <v>1</v>
      </c>
    </row>
    <row r="326" spans="1:8" x14ac:dyDescent="0.3">
      <c r="A326" s="153" t="s">
        <v>1969</v>
      </c>
      <c r="B326" s="153" t="s">
        <v>1789</v>
      </c>
      <c r="C326" s="153" t="s">
        <v>1934</v>
      </c>
      <c r="D326" s="153">
        <v>4</v>
      </c>
      <c r="E326" s="153">
        <v>4</v>
      </c>
      <c r="F326" s="153">
        <f t="shared" si="10"/>
        <v>0</v>
      </c>
      <c r="G326" s="153" t="str">
        <f t="shared" si="11"/>
        <v>OK</v>
      </c>
      <c r="H326" s="153" t="b">
        <v>1</v>
      </c>
    </row>
    <row r="327" spans="1:8" x14ac:dyDescent="0.3">
      <c r="A327" s="153" t="s">
        <v>1970</v>
      </c>
      <c r="B327" s="153" t="s">
        <v>1789</v>
      </c>
      <c r="C327" s="153" t="s">
        <v>953</v>
      </c>
      <c r="D327" s="153">
        <v>205</v>
      </c>
      <c r="E327" s="153">
        <v>205</v>
      </c>
      <c r="F327" s="153">
        <f t="shared" si="10"/>
        <v>0</v>
      </c>
      <c r="G327" s="153" t="str">
        <f t="shared" si="11"/>
        <v>OK</v>
      </c>
      <c r="H327" s="153" t="b">
        <v>1</v>
      </c>
    </row>
    <row r="328" spans="1:8" x14ac:dyDescent="0.3">
      <c r="A328" s="153" t="s">
        <v>1971</v>
      </c>
      <c r="B328" s="153" t="s">
        <v>1789</v>
      </c>
      <c r="C328" s="153" t="s">
        <v>1972</v>
      </c>
      <c r="D328" s="153">
        <v>205</v>
      </c>
      <c r="E328" s="153">
        <v>205</v>
      </c>
      <c r="F328" s="153">
        <f t="shared" si="10"/>
        <v>0</v>
      </c>
      <c r="G328" s="153" t="str">
        <f t="shared" si="11"/>
        <v>OK</v>
      </c>
      <c r="H328" s="153" t="b">
        <v>1</v>
      </c>
    </row>
    <row r="329" spans="1:8" x14ac:dyDescent="0.3">
      <c r="A329" s="153" t="s">
        <v>1973</v>
      </c>
      <c r="B329" s="153" t="s">
        <v>1789</v>
      </c>
      <c r="C329" s="153" t="s">
        <v>1974</v>
      </c>
      <c r="D329" s="153">
        <v>41</v>
      </c>
      <c r="E329" s="153">
        <v>41</v>
      </c>
      <c r="F329" s="153">
        <f t="shared" si="10"/>
        <v>0</v>
      </c>
      <c r="G329" s="153" t="str">
        <f t="shared" si="11"/>
        <v>OK</v>
      </c>
      <c r="H329" s="153" t="b">
        <v>1</v>
      </c>
    </row>
    <row r="330" spans="1:8" x14ac:dyDescent="0.3">
      <c r="A330" s="153" t="s">
        <v>1975</v>
      </c>
      <c r="B330" s="153" t="s">
        <v>1789</v>
      </c>
      <c r="C330" s="153" t="s">
        <v>1948</v>
      </c>
      <c r="D330" s="153">
        <v>7</v>
      </c>
      <c r="E330" s="153">
        <v>7</v>
      </c>
      <c r="F330" s="153">
        <f t="shared" si="10"/>
        <v>0</v>
      </c>
      <c r="G330" s="153" t="str">
        <f t="shared" si="11"/>
        <v>OK</v>
      </c>
      <c r="H330" s="153" t="b">
        <v>1</v>
      </c>
    </row>
    <row r="331" spans="1:8" x14ac:dyDescent="0.3">
      <c r="A331" s="153" t="s">
        <v>1976</v>
      </c>
      <c r="B331" s="153" t="s">
        <v>1789</v>
      </c>
      <c r="C331" s="153" t="s">
        <v>1977</v>
      </c>
      <c r="D331" s="153">
        <v>148</v>
      </c>
      <c r="E331" s="153">
        <v>148</v>
      </c>
      <c r="F331" s="153">
        <f t="shared" si="10"/>
        <v>0</v>
      </c>
      <c r="G331" s="153" t="str">
        <f t="shared" si="11"/>
        <v>OK</v>
      </c>
      <c r="H331" s="153" t="b">
        <v>1</v>
      </c>
    </row>
    <row r="332" spans="1:8" x14ac:dyDescent="0.3">
      <c r="A332" s="153" t="s">
        <v>1978</v>
      </c>
      <c r="B332" s="153" t="s">
        <v>1789</v>
      </c>
      <c r="C332" s="153" t="s">
        <v>1979</v>
      </c>
      <c r="D332" s="153">
        <v>148</v>
      </c>
      <c r="E332" s="153">
        <v>148</v>
      </c>
      <c r="F332" s="153">
        <f t="shared" si="10"/>
        <v>0</v>
      </c>
      <c r="G332" s="153" t="str">
        <f t="shared" si="11"/>
        <v>OK</v>
      </c>
      <c r="H332" s="153" t="b">
        <v>1</v>
      </c>
    </row>
    <row r="333" spans="1:8" x14ac:dyDescent="0.3">
      <c r="A333" s="153" t="s">
        <v>1980</v>
      </c>
      <c r="B333" s="153" t="s">
        <v>1789</v>
      </c>
      <c r="C333" s="153" t="s">
        <v>1981</v>
      </c>
      <c r="D333" s="153">
        <v>200</v>
      </c>
      <c r="E333" s="153">
        <v>200</v>
      </c>
      <c r="F333" s="153">
        <f t="shared" si="10"/>
        <v>0</v>
      </c>
      <c r="G333" s="153" t="str">
        <f t="shared" si="11"/>
        <v>OK</v>
      </c>
      <c r="H333" s="153" t="b">
        <v>1</v>
      </c>
    </row>
    <row r="334" spans="1:8" x14ac:dyDescent="0.3">
      <c r="A334" s="153" t="s">
        <v>1982</v>
      </c>
      <c r="B334" s="153" t="s">
        <v>1789</v>
      </c>
      <c r="C334" s="153" t="s">
        <v>1962</v>
      </c>
      <c r="D334" s="153">
        <v>12</v>
      </c>
      <c r="E334" s="153">
        <v>12</v>
      </c>
      <c r="F334" s="153">
        <f t="shared" si="10"/>
        <v>0</v>
      </c>
      <c r="G334" s="153" t="str">
        <f t="shared" si="11"/>
        <v>OK</v>
      </c>
      <c r="H334" s="153" t="b">
        <v>1</v>
      </c>
    </row>
    <row r="335" spans="1:8" x14ac:dyDescent="0.3">
      <c r="A335" s="153" t="s">
        <v>1983</v>
      </c>
      <c r="B335" s="153" t="s">
        <v>1789</v>
      </c>
      <c r="C335" s="153" t="s">
        <v>1984</v>
      </c>
      <c r="D335" s="153">
        <v>74</v>
      </c>
      <c r="E335" s="153">
        <v>74</v>
      </c>
      <c r="F335" s="153">
        <f t="shared" si="10"/>
        <v>0</v>
      </c>
      <c r="G335" s="153" t="str">
        <f t="shared" si="11"/>
        <v>OK</v>
      </c>
      <c r="H335" s="153" t="b">
        <v>1</v>
      </c>
    </row>
    <row r="336" spans="1:8" x14ac:dyDescent="0.3">
      <c r="A336" s="153" t="s">
        <v>1985</v>
      </c>
      <c r="B336" s="153" t="s">
        <v>1789</v>
      </c>
      <c r="C336" s="153" t="s">
        <v>1986</v>
      </c>
      <c r="D336" s="153">
        <v>74</v>
      </c>
      <c r="E336" s="153">
        <v>74</v>
      </c>
      <c r="F336" s="153">
        <f t="shared" si="10"/>
        <v>0</v>
      </c>
      <c r="G336" s="153" t="str">
        <f t="shared" si="11"/>
        <v>OK</v>
      </c>
      <c r="H336" s="153" t="b">
        <v>1</v>
      </c>
    </row>
    <row r="337" spans="1:8" x14ac:dyDescent="0.3">
      <c r="A337" s="153" t="s">
        <v>1987</v>
      </c>
      <c r="B337" s="153" t="s">
        <v>1789</v>
      </c>
      <c r="C337" s="153" t="s">
        <v>1988</v>
      </c>
      <c r="D337" s="153">
        <v>560</v>
      </c>
      <c r="E337" s="153">
        <v>560</v>
      </c>
      <c r="F337" s="153">
        <f t="shared" si="10"/>
        <v>0</v>
      </c>
      <c r="G337" s="153" t="str">
        <f t="shared" si="11"/>
        <v>OK</v>
      </c>
      <c r="H337" s="153" t="b">
        <v>1</v>
      </c>
    </row>
    <row r="338" spans="1:8" x14ac:dyDescent="0.3">
      <c r="A338" s="153" t="s">
        <v>1989</v>
      </c>
      <c r="B338" s="153" t="s">
        <v>1352</v>
      </c>
      <c r="C338" s="153" t="s">
        <v>1990</v>
      </c>
      <c r="D338" s="153">
        <v>51860</v>
      </c>
      <c r="E338" s="153">
        <v>51860</v>
      </c>
      <c r="F338" s="153">
        <f t="shared" si="10"/>
        <v>0</v>
      </c>
      <c r="G338" s="153" t="str">
        <f t="shared" si="11"/>
        <v>OK</v>
      </c>
      <c r="H338" s="153" t="b">
        <v>1</v>
      </c>
    </row>
    <row r="339" spans="1:8" x14ac:dyDescent="0.3">
      <c r="A339" s="153" t="s">
        <v>1991</v>
      </c>
      <c r="B339" s="153" t="s">
        <v>1352</v>
      </c>
      <c r="C339" s="153" t="s">
        <v>1992</v>
      </c>
      <c r="D339" s="153">
        <v>51860</v>
      </c>
      <c r="E339" s="153">
        <v>51860</v>
      </c>
      <c r="F339" s="153">
        <f t="shared" si="10"/>
        <v>0</v>
      </c>
      <c r="G339" s="153" t="str">
        <f t="shared" si="11"/>
        <v>OK</v>
      </c>
      <c r="H339" s="153" t="b">
        <v>1</v>
      </c>
    </row>
    <row r="340" spans="1:8" x14ac:dyDescent="0.3">
      <c r="A340" s="153" t="s">
        <v>1993</v>
      </c>
      <c r="B340" s="153" t="s">
        <v>1352</v>
      </c>
      <c r="C340" s="153" t="s">
        <v>1994</v>
      </c>
      <c r="D340" s="153">
        <v>67003.476478504657</v>
      </c>
      <c r="E340" s="153">
        <v>67003.476478504657</v>
      </c>
      <c r="F340" s="153">
        <f t="shared" si="10"/>
        <v>0</v>
      </c>
      <c r="G340" s="153" t="str">
        <f t="shared" si="11"/>
        <v>OK</v>
      </c>
      <c r="H340" s="153" t="b">
        <v>1</v>
      </c>
    </row>
    <row r="341" spans="1:8" x14ac:dyDescent="0.3">
      <c r="A341" s="153" t="s">
        <v>1995</v>
      </c>
      <c r="B341" s="153" t="s">
        <v>1352</v>
      </c>
      <c r="C341" s="153" t="s">
        <v>1996</v>
      </c>
      <c r="D341" s="153">
        <v>-15143.476478504659</v>
      </c>
      <c r="E341" s="153">
        <v>-15143.476478504659</v>
      </c>
      <c r="F341" s="153">
        <f t="shared" si="10"/>
        <v>0</v>
      </c>
      <c r="G341" s="153" t="str">
        <f t="shared" si="11"/>
        <v>OK</v>
      </c>
      <c r="H341" s="153" t="b">
        <v>1</v>
      </c>
    </row>
    <row r="342" spans="1:8" x14ac:dyDescent="0.3">
      <c r="A342" s="153" t="s">
        <v>1997</v>
      </c>
      <c r="B342" s="153" t="s">
        <v>1352</v>
      </c>
      <c r="C342" s="153" t="s">
        <v>1998</v>
      </c>
      <c r="D342" s="153">
        <v>64.125</v>
      </c>
      <c r="E342" s="153">
        <v>64.125</v>
      </c>
      <c r="F342" s="153">
        <f t="shared" si="10"/>
        <v>0</v>
      </c>
      <c r="G342" s="153" t="str">
        <f t="shared" si="11"/>
        <v>OK</v>
      </c>
      <c r="H342" s="153" t="b">
        <v>1</v>
      </c>
    </row>
    <row r="343" spans="1:8" x14ac:dyDescent="0.3">
      <c r="A343" s="153" t="s">
        <v>1999</v>
      </c>
      <c r="B343" s="153" t="s">
        <v>1352</v>
      </c>
      <c r="C343" s="153" t="s">
        <v>2000</v>
      </c>
      <c r="D343" s="153">
        <v>0</v>
      </c>
      <c r="E343" s="153">
        <v>0</v>
      </c>
      <c r="F343" s="153">
        <f t="shared" si="10"/>
        <v>0</v>
      </c>
      <c r="G343" s="153" t="str">
        <f t="shared" si="11"/>
        <v>OK</v>
      </c>
      <c r="H343" s="153" t="b">
        <v>1</v>
      </c>
    </row>
    <row r="344" spans="1:8" x14ac:dyDescent="0.3">
      <c r="A344" s="153" t="s">
        <v>2001</v>
      </c>
      <c r="B344" s="153" t="s">
        <v>1352</v>
      </c>
      <c r="C344" s="153" t="s">
        <v>2002</v>
      </c>
      <c r="D344" s="153">
        <v>67003.476478504657</v>
      </c>
      <c r="E344" s="153">
        <v>67003.476478504657</v>
      </c>
      <c r="F344" s="153">
        <f t="shared" si="10"/>
        <v>0</v>
      </c>
      <c r="G344" s="153" t="str">
        <f t="shared" si="11"/>
        <v>OK</v>
      </c>
      <c r="H344" s="153" t="b">
        <v>1</v>
      </c>
    </row>
    <row r="345" spans="1:8" x14ac:dyDescent="0.3">
      <c r="A345" s="153" t="s">
        <v>2003</v>
      </c>
      <c r="B345" s="153" t="s">
        <v>1352</v>
      </c>
      <c r="C345" s="153" t="s">
        <v>2004</v>
      </c>
      <c r="D345" s="153">
        <v>1000000</v>
      </c>
      <c r="E345" s="153">
        <v>1000000</v>
      </c>
      <c r="F345" s="153">
        <f t="shared" si="10"/>
        <v>0</v>
      </c>
      <c r="G345" s="153" t="str">
        <f t="shared" si="11"/>
        <v>OK</v>
      </c>
      <c r="H345" s="153" t="b">
        <v>1</v>
      </c>
    </row>
    <row r="346" spans="1:8" x14ac:dyDescent="0.3">
      <c r="A346" s="153" t="s">
        <v>2005</v>
      </c>
      <c r="B346" s="153" t="s">
        <v>1352</v>
      </c>
      <c r="C346" s="153" t="s">
        <v>2006</v>
      </c>
      <c r="D346" s="153">
        <v>51860</v>
      </c>
      <c r="E346" s="153">
        <v>51860</v>
      </c>
      <c r="F346" s="153">
        <f t="shared" si="10"/>
        <v>0</v>
      </c>
      <c r="G346" s="153" t="str">
        <f t="shared" si="11"/>
        <v>OK</v>
      </c>
      <c r="H346" s="153" t="b">
        <v>1</v>
      </c>
    </row>
    <row r="347" spans="1:8" x14ac:dyDescent="0.3">
      <c r="A347" s="153" t="s">
        <v>2007</v>
      </c>
      <c r="B347" s="153" t="s">
        <v>1352</v>
      </c>
      <c r="C347" s="153" t="s">
        <v>2008</v>
      </c>
      <c r="D347" s="153">
        <v>148191.98887850469</v>
      </c>
      <c r="E347" s="153">
        <v>148191.98887850469</v>
      </c>
      <c r="F347" s="153">
        <f t="shared" si="10"/>
        <v>0</v>
      </c>
      <c r="G347" s="153" t="str">
        <f t="shared" si="11"/>
        <v>OK</v>
      </c>
      <c r="H347" s="153" t="b">
        <v>1</v>
      </c>
    </row>
    <row r="348" spans="1:8" x14ac:dyDescent="0.3">
      <c r="A348" s="153" t="s">
        <v>2009</v>
      </c>
      <c r="B348" s="153" t="s">
        <v>1352</v>
      </c>
      <c r="C348" s="153" t="s">
        <v>2010</v>
      </c>
      <c r="D348" s="153">
        <v>903668.01112149539</v>
      </c>
      <c r="E348" s="153">
        <v>903668.01112149539</v>
      </c>
      <c r="F348" s="153">
        <f t="shared" si="10"/>
        <v>0</v>
      </c>
      <c r="G348" s="153" t="str">
        <f t="shared" si="11"/>
        <v>OK</v>
      </c>
      <c r="H348" s="153" t="b">
        <v>1</v>
      </c>
    </row>
    <row r="349" spans="1:8" x14ac:dyDescent="0.3">
      <c r="A349" s="153" t="s">
        <v>2011</v>
      </c>
      <c r="B349" s="153" t="s">
        <v>1352</v>
      </c>
      <c r="C349" s="153" t="s">
        <v>2012</v>
      </c>
      <c r="D349" s="153">
        <v>1000000</v>
      </c>
      <c r="E349" s="153">
        <v>1000000</v>
      </c>
      <c r="F349" s="153">
        <f t="shared" si="10"/>
        <v>0</v>
      </c>
      <c r="G349" s="153" t="str">
        <f t="shared" si="11"/>
        <v>OK</v>
      </c>
      <c r="H349" s="153" t="b">
        <v>1</v>
      </c>
    </row>
    <row r="350" spans="1:8" x14ac:dyDescent="0.3">
      <c r="A350" s="153" t="s">
        <v>2013</v>
      </c>
      <c r="B350" s="153" t="s">
        <v>1352</v>
      </c>
      <c r="C350" s="153" t="s">
        <v>2014</v>
      </c>
      <c r="D350" s="153">
        <v>51860</v>
      </c>
      <c r="E350" s="153">
        <v>51860</v>
      </c>
      <c r="F350" s="153">
        <f t="shared" si="10"/>
        <v>0</v>
      </c>
      <c r="G350" s="153" t="str">
        <f t="shared" si="11"/>
        <v>OK</v>
      </c>
      <c r="H350" s="153" t="b">
        <v>1</v>
      </c>
    </row>
    <row r="351" spans="1:8" x14ac:dyDescent="0.3">
      <c r="A351" s="153" t="s">
        <v>2015</v>
      </c>
      <c r="B351" s="153" t="s">
        <v>1352</v>
      </c>
      <c r="C351" s="153" t="s">
        <v>2016</v>
      </c>
      <c r="D351" s="153">
        <v>140328.98887850469</v>
      </c>
      <c r="E351" s="153">
        <v>140328.98887850469</v>
      </c>
      <c r="F351" s="153">
        <f t="shared" si="10"/>
        <v>0</v>
      </c>
      <c r="G351" s="153" t="str">
        <f t="shared" si="11"/>
        <v>OK</v>
      </c>
      <c r="H351" s="153" t="b">
        <v>1</v>
      </c>
    </row>
    <row r="352" spans="1:8" x14ac:dyDescent="0.3">
      <c r="A352" s="153" t="s">
        <v>2017</v>
      </c>
      <c r="B352" s="153" t="s">
        <v>1352</v>
      </c>
      <c r="C352" s="153" t="s">
        <v>2018</v>
      </c>
      <c r="D352" s="153">
        <v>7863</v>
      </c>
      <c r="E352" s="153">
        <v>7863</v>
      </c>
      <c r="F352" s="153">
        <f t="shared" si="10"/>
        <v>0</v>
      </c>
      <c r="G352" s="153" t="str">
        <f t="shared" si="11"/>
        <v>OK</v>
      </c>
      <c r="H352" s="153" t="b">
        <v>1</v>
      </c>
    </row>
    <row r="353" spans="1:8" x14ac:dyDescent="0.3">
      <c r="A353" s="153" t="s">
        <v>2019</v>
      </c>
      <c r="B353" s="153" t="s">
        <v>1352</v>
      </c>
      <c r="C353" s="153" t="s">
        <v>2020</v>
      </c>
      <c r="D353" s="153">
        <v>0</v>
      </c>
      <c r="E353" s="153">
        <v>0</v>
      </c>
      <c r="F353" s="153">
        <f t="shared" si="10"/>
        <v>0</v>
      </c>
      <c r="G353" s="153" t="str">
        <f t="shared" si="11"/>
        <v>OK</v>
      </c>
      <c r="H353" s="153" t="b">
        <v>1</v>
      </c>
    </row>
    <row r="354" spans="1:8" x14ac:dyDescent="0.3">
      <c r="A354" s="153" t="s">
        <v>2021</v>
      </c>
      <c r="B354" s="153" t="s">
        <v>1352</v>
      </c>
      <c r="C354" s="153" t="s">
        <v>2022</v>
      </c>
      <c r="D354" s="153">
        <v>-88468.988878504664</v>
      </c>
      <c r="E354" s="153">
        <v>-88468.988878504664</v>
      </c>
      <c r="F354" s="153">
        <f t="shared" si="10"/>
        <v>0</v>
      </c>
      <c r="G354" s="153" t="str">
        <f t="shared" si="11"/>
        <v>OK</v>
      </c>
      <c r="H354" s="153" t="b">
        <v>1</v>
      </c>
    </row>
    <row r="355" spans="1:8" x14ac:dyDescent="0.3">
      <c r="A355" s="153" t="s">
        <v>2023</v>
      </c>
      <c r="B355" s="153" t="s">
        <v>1352</v>
      </c>
      <c r="C355" s="153" t="s">
        <v>2024</v>
      </c>
      <c r="D355" s="153">
        <v>-7863</v>
      </c>
      <c r="E355" s="153">
        <v>-7863</v>
      </c>
      <c r="F355" s="153">
        <f t="shared" si="10"/>
        <v>0</v>
      </c>
      <c r="G355" s="153" t="str">
        <f t="shared" si="11"/>
        <v>OK</v>
      </c>
      <c r="H355" s="153" t="b">
        <v>1</v>
      </c>
    </row>
    <row r="356" spans="1:8" x14ac:dyDescent="0.3">
      <c r="A356" s="153" t="s">
        <v>2025</v>
      </c>
      <c r="B356" s="153" t="s">
        <v>1352</v>
      </c>
      <c r="C356" s="153" t="s">
        <v>2026</v>
      </c>
      <c r="D356" s="153">
        <v>-96331.988878504606</v>
      </c>
      <c r="E356" s="153">
        <v>-96331.988878504606</v>
      </c>
      <c r="F356" s="153">
        <f t="shared" si="10"/>
        <v>0</v>
      </c>
      <c r="G356" s="153" t="str">
        <f t="shared" si="11"/>
        <v>OK</v>
      </c>
      <c r="H356" s="153" t="b">
        <v>1</v>
      </c>
    </row>
    <row r="357" spans="1:8" x14ac:dyDescent="0.3">
      <c r="A357" s="153" t="s">
        <v>2027</v>
      </c>
      <c r="B357" s="153" t="s">
        <v>1352</v>
      </c>
      <c r="C357" s="153" t="s">
        <v>2028</v>
      </c>
      <c r="D357" s="153">
        <v>903668.01112149539</v>
      </c>
      <c r="E357" s="153">
        <v>903668.01112149539</v>
      </c>
      <c r="F357" s="153">
        <f t="shared" si="10"/>
        <v>0</v>
      </c>
      <c r="G357" s="153" t="str">
        <f t="shared" si="11"/>
        <v>OK</v>
      </c>
      <c r="H357" s="153" t="b">
        <v>1</v>
      </c>
    </row>
    <row r="358" spans="1:8" x14ac:dyDescent="0.3">
      <c r="A358" s="153" t="s">
        <v>2029</v>
      </c>
      <c r="B358" s="153" t="s">
        <v>1352</v>
      </c>
      <c r="C358" s="153" t="s">
        <v>2030</v>
      </c>
      <c r="D358" s="153">
        <v>903668.01112149539</v>
      </c>
      <c r="E358" s="153">
        <v>903668.01112149539</v>
      </c>
      <c r="F358" s="153">
        <f t="shared" si="10"/>
        <v>0</v>
      </c>
      <c r="G358" s="153" t="str">
        <f t="shared" si="11"/>
        <v>OK</v>
      </c>
      <c r="H358" s="153" t="b">
        <v>1</v>
      </c>
    </row>
    <row r="359" spans="1:8" x14ac:dyDescent="0.3">
      <c r="A359" s="153" t="s">
        <v>2031</v>
      </c>
      <c r="B359" s="153" t="s">
        <v>1352</v>
      </c>
      <c r="C359" s="153" t="s">
        <v>2032</v>
      </c>
      <c r="D359" s="153">
        <v>7435.875</v>
      </c>
      <c r="E359" s="153">
        <v>7435.875</v>
      </c>
      <c r="F359" s="153">
        <f t="shared" si="10"/>
        <v>0</v>
      </c>
      <c r="G359" s="153" t="str">
        <f t="shared" si="11"/>
        <v>OK</v>
      </c>
      <c r="H359" s="153" t="b">
        <v>1</v>
      </c>
    </row>
    <row r="360" spans="1:8" x14ac:dyDescent="0.3">
      <c r="A360" s="153" t="s">
        <v>2033</v>
      </c>
      <c r="B360" s="153" t="s">
        <v>1352</v>
      </c>
      <c r="C360" s="153" t="s">
        <v>2034</v>
      </c>
      <c r="D360" s="153">
        <v>73389.637399999992</v>
      </c>
      <c r="E360" s="153">
        <v>73389.637399999992</v>
      </c>
      <c r="F360" s="153">
        <f t="shared" si="10"/>
        <v>0</v>
      </c>
      <c r="G360" s="153" t="str">
        <f t="shared" si="11"/>
        <v>OK</v>
      </c>
      <c r="H360" s="153" t="b">
        <v>1</v>
      </c>
    </row>
    <row r="361" spans="1:8" x14ac:dyDescent="0.3">
      <c r="A361" s="153" t="s">
        <v>2035</v>
      </c>
      <c r="B361" s="153" t="s">
        <v>1352</v>
      </c>
      <c r="C361" s="153" t="s">
        <v>2036</v>
      </c>
      <c r="D361" s="153">
        <v>984493.5235214954</v>
      </c>
      <c r="E361" s="153">
        <v>984493.5235214954</v>
      </c>
      <c r="F361" s="153">
        <f t="shared" si="10"/>
        <v>0</v>
      </c>
      <c r="G361" s="153" t="str">
        <f t="shared" si="11"/>
        <v>OK</v>
      </c>
      <c r="H361" s="153" t="b">
        <v>1</v>
      </c>
    </row>
    <row r="362" spans="1:8" x14ac:dyDescent="0.3">
      <c r="A362" s="153" t="s">
        <v>2037</v>
      </c>
      <c r="B362" s="153" t="s">
        <v>1352</v>
      </c>
      <c r="C362" s="153" t="s">
        <v>2038</v>
      </c>
      <c r="D362" s="153">
        <v>0</v>
      </c>
      <c r="E362" s="153">
        <v>0</v>
      </c>
      <c r="F362" s="153">
        <f t="shared" si="10"/>
        <v>0</v>
      </c>
      <c r="G362" s="153" t="str">
        <f t="shared" si="11"/>
        <v>OK</v>
      </c>
      <c r="H362" s="153" t="b">
        <v>1</v>
      </c>
    </row>
    <row r="363" spans="1:8" x14ac:dyDescent="0.3">
      <c r="A363" s="153" t="s">
        <v>2039</v>
      </c>
      <c r="B363" s="153" t="s">
        <v>1352</v>
      </c>
      <c r="C363" s="153" t="s">
        <v>2040</v>
      </c>
      <c r="D363" s="153">
        <v>984493.5235214954</v>
      </c>
      <c r="E363" s="153">
        <v>984493.5235214954</v>
      </c>
      <c r="F363" s="153">
        <f t="shared" si="10"/>
        <v>0</v>
      </c>
      <c r="G363" s="153" t="str">
        <f t="shared" si="11"/>
        <v>OK</v>
      </c>
      <c r="H363" s="153" t="b">
        <v>1</v>
      </c>
    </row>
    <row r="364" spans="1:8" x14ac:dyDescent="0.3">
      <c r="A364" s="153" t="s">
        <v>2041</v>
      </c>
      <c r="B364" s="153" t="s">
        <v>1352</v>
      </c>
      <c r="C364" s="153" t="s">
        <v>2042</v>
      </c>
      <c r="D364" s="153">
        <v>984493.5235214954</v>
      </c>
      <c r="E364" s="153">
        <v>984493.5235214954</v>
      </c>
      <c r="F364" s="153">
        <f t="shared" si="10"/>
        <v>0</v>
      </c>
      <c r="G364" s="153" t="str">
        <f t="shared" si="11"/>
        <v>OK</v>
      </c>
      <c r="H364" s="153" t="b">
        <v>1</v>
      </c>
    </row>
    <row r="365" spans="1:8" x14ac:dyDescent="0.3">
      <c r="A365" s="153" t="s">
        <v>2043</v>
      </c>
      <c r="B365" s="153" t="s">
        <v>1352</v>
      </c>
      <c r="C365" s="153" t="s">
        <v>2044</v>
      </c>
      <c r="D365" s="153">
        <v>0</v>
      </c>
      <c r="E365" s="153">
        <v>0</v>
      </c>
      <c r="F365" s="153">
        <f t="shared" si="10"/>
        <v>0</v>
      </c>
      <c r="G365" s="153" t="str">
        <f t="shared" si="11"/>
        <v>OK</v>
      </c>
      <c r="H365" s="153" t="b">
        <v>1</v>
      </c>
    </row>
    <row r="366" spans="1:8" x14ac:dyDescent="0.3">
      <c r="A366" s="153" t="s">
        <v>2045</v>
      </c>
      <c r="B366" s="153" t="s">
        <v>1352</v>
      </c>
      <c r="C366" s="153" t="s">
        <v>2046</v>
      </c>
      <c r="D366" s="153">
        <v>20</v>
      </c>
      <c r="E366" s="153">
        <v>20</v>
      </c>
      <c r="F366" s="153">
        <f t="shared" si="10"/>
        <v>0</v>
      </c>
      <c r="G366" s="153" t="str">
        <f t="shared" si="11"/>
        <v>OK</v>
      </c>
      <c r="H366" s="153" t="b">
        <v>1</v>
      </c>
    </row>
    <row r="367" spans="1:8" x14ac:dyDescent="0.3">
      <c r="A367" s="153" t="s">
        <v>2047</v>
      </c>
      <c r="B367" s="153" t="s">
        <v>1352</v>
      </c>
      <c r="C367" s="153" t="s">
        <v>2048</v>
      </c>
      <c r="D367" s="153">
        <v>0</v>
      </c>
      <c r="E367" s="153">
        <v>0</v>
      </c>
      <c r="F367" s="153">
        <f t="shared" si="10"/>
        <v>0</v>
      </c>
      <c r="G367" s="153" t="str">
        <f t="shared" si="11"/>
        <v>OK</v>
      </c>
      <c r="H367" s="153" t="b">
        <v>1</v>
      </c>
    </row>
    <row r="368" spans="1:8" x14ac:dyDescent="0.3">
      <c r="A368" s="153" t="s">
        <v>2049</v>
      </c>
      <c r="B368" s="153" t="s">
        <v>1352</v>
      </c>
      <c r="C368" s="153" t="s">
        <v>2050</v>
      </c>
      <c r="D368" s="153">
        <v>3</v>
      </c>
      <c r="E368" s="153">
        <v>3</v>
      </c>
      <c r="F368" s="153">
        <f t="shared" si="10"/>
        <v>0</v>
      </c>
      <c r="G368" s="153" t="str">
        <f t="shared" si="11"/>
        <v>OK</v>
      </c>
      <c r="H368" s="153" t="b">
        <v>1</v>
      </c>
    </row>
    <row r="369" spans="1:8" x14ac:dyDescent="0.3">
      <c r="A369" s="153" t="s">
        <v>2051</v>
      </c>
      <c r="B369" s="153" t="s">
        <v>1352</v>
      </c>
      <c r="C369" s="153" t="s">
        <v>2052</v>
      </c>
      <c r="D369" s="153">
        <v>0</v>
      </c>
      <c r="E369" s="153">
        <v>0</v>
      </c>
      <c r="F369" s="153">
        <f t="shared" si="10"/>
        <v>0</v>
      </c>
      <c r="G369" s="153" t="str">
        <f t="shared" si="11"/>
        <v>OK</v>
      </c>
      <c r="H369" s="153" t="b">
        <v>1</v>
      </c>
    </row>
    <row r="370" spans="1:8" x14ac:dyDescent="0.3">
      <c r="A370" s="153" t="s">
        <v>2053</v>
      </c>
      <c r="B370" s="153" t="s">
        <v>1352</v>
      </c>
      <c r="C370" s="153" t="s">
        <v>2054</v>
      </c>
      <c r="D370" s="153">
        <v>0</v>
      </c>
      <c r="E370" s="153">
        <v>0</v>
      </c>
      <c r="F370" s="153">
        <f t="shared" si="10"/>
        <v>0</v>
      </c>
      <c r="G370" s="153" t="str">
        <f t="shared" si="11"/>
        <v>OK</v>
      </c>
      <c r="H370" s="153" t="b">
        <v>1</v>
      </c>
    </row>
    <row r="371" spans="1:8" x14ac:dyDescent="0.3">
      <c r="A371" s="153" t="s">
        <v>2055</v>
      </c>
      <c r="B371" s="153" t="s">
        <v>1352</v>
      </c>
      <c r="C371" s="153" t="s">
        <v>2056</v>
      </c>
      <c r="D371" s="153">
        <v>62505</v>
      </c>
      <c r="E371" s="153">
        <v>62505</v>
      </c>
      <c r="F371" s="153">
        <f t="shared" si="10"/>
        <v>0</v>
      </c>
      <c r="G371" s="153" t="str">
        <f t="shared" si="11"/>
        <v>OK</v>
      </c>
      <c r="H371" s="153" t="b">
        <v>1</v>
      </c>
    </row>
    <row r="372" spans="1:8" x14ac:dyDescent="0.3">
      <c r="A372" s="153" t="s">
        <v>2057</v>
      </c>
      <c r="B372" s="153" t="s">
        <v>1352</v>
      </c>
      <c r="C372" s="153" t="s">
        <v>2058</v>
      </c>
      <c r="D372" s="153">
        <v>62505</v>
      </c>
      <c r="E372" s="153">
        <v>62505</v>
      </c>
      <c r="F372" s="153">
        <f t="shared" si="10"/>
        <v>0</v>
      </c>
      <c r="G372" s="153" t="str">
        <f t="shared" si="11"/>
        <v>OK</v>
      </c>
      <c r="H372" s="153" t="b">
        <v>1</v>
      </c>
    </row>
    <row r="373" spans="1:8" x14ac:dyDescent="0.3">
      <c r="A373" s="153" t="s">
        <v>2059</v>
      </c>
      <c r="B373" s="153" t="s">
        <v>1352</v>
      </c>
      <c r="C373" s="153" t="s">
        <v>2060</v>
      </c>
      <c r="D373" s="153">
        <v>67003.476478504657</v>
      </c>
      <c r="E373" s="153">
        <v>67003.476478504657</v>
      </c>
      <c r="F373" s="153">
        <f t="shared" si="10"/>
        <v>0</v>
      </c>
      <c r="G373" s="153" t="str">
        <f t="shared" si="11"/>
        <v>OK</v>
      </c>
      <c r="H373" s="153" t="b">
        <v>1</v>
      </c>
    </row>
    <row r="374" spans="1:8" x14ac:dyDescent="0.3">
      <c r="A374" s="153" t="s">
        <v>2061</v>
      </c>
      <c r="B374" s="153" t="s">
        <v>1352</v>
      </c>
      <c r="C374" s="153" t="s">
        <v>2062</v>
      </c>
      <c r="D374" s="153">
        <v>-4498.4764785046573</v>
      </c>
      <c r="E374" s="153">
        <v>-4498.4764785046573</v>
      </c>
      <c r="F374" s="153">
        <f t="shared" si="10"/>
        <v>0</v>
      </c>
      <c r="G374" s="153" t="str">
        <f t="shared" si="11"/>
        <v>OK</v>
      </c>
      <c r="H374" s="153" t="b">
        <v>1</v>
      </c>
    </row>
    <row r="375" spans="1:8" x14ac:dyDescent="0.3">
      <c r="A375" s="153" t="s">
        <v>2063</v>
      </c>
      <c r="B375" s="153" t="s">
        <v>1352</v>
      </c>
      <c r="C375" s="153" t="s">
        <v>2064</v>
      </c>
      <c r="D375" s="153">
        <v>64.125</v>
      </c>
      <c r="E375" s="153">
        <v>64.125</v>
      </c>
      <c r="F375" s="153">
        <f t="shared" si="10"/>
        <v>0</v>
      </c>
      <c r="G375" s="153" t="str">
        <f t="shared" si="11"/>
        <v>OK</v>
      </c>
      <c r="H375" s="153" t="b">
        <v>1</v>
      </c>
    </row>
    <row r="376" spans="1:8" x14ac:dyDescent="0.3">
      <c r="A376" s="153" t="s">
        <v>2065</v>
      </c>
      <c r="B376" s="153" t="s">
        <v>1352</v>
      </c>
      <c r="C376" s="153" t="s">
        <v>2066</v>
      </c>
      <c r="D376" s="153">
        <v>0</v>
      </c>
      <c r="E376" s="153">
        <v>0</v>
      </c>
      <c r="F376" s="153">
        <f t="shared" si="10"/>
        <v>0</v>
      </c>
      <c r="G376" s="153" t="str">
        <f t="shared" si="11"/>
        <v>OK</v>
      </c>
      <c r="H376" s="153" t="b">
        <v>1</v>
      </c>
    </row>
    <row r="377" spans="1:8" x14ac:dyDescent="0.3">
      <c r="A377" s="153" t="s">
        <v>2067</v>
      </c>
      <c r="B377" s="153" t="s">
        <v>1352</v>
      </c>
      <c r="C377" s="153" t="s">
        <v>2068</v>
      </c>
      <c r="D377" s="153">
        <v>67003.476478504657</v>
      </c>
      <c r="E377" s="153">
        <v>67003.476478504657</v>
      </c>
      <c r="F377" s="153">
        <f t="shared" si="10"/>
        <v>0</v>
      </c>
      <c r="G377" s="153" t="str">
        <f t="shared" si="11"/>
        <v>OK</v>
      </c>
      <c r="H377" s="153" t="b">
        <v>1</v>
      </c>
    </row>
    <row r="378" spans="1:8" x14ac:dyDescent="0.3">
      <c r="A378" s="153" t="s">
        <v>2069</v>
      </c>
      <c r="B378" s="153" t="s">
        <v>1352</v>
      </c>
      <c r="C378" s="153" t="s">
        <v>2070</v>
      </c>
      <c r="D378" s="153">
        <v>1000000</v>
      </c>
      <c r="E378" s="153">
        <v>1000000</v>
      </c>
      <c r="F378" s="153">
        <f t="shared" si="10"/>
        <v>0</v>
      </c>
      <c r="G378" s="153" t="str">
        <f t="shared" si="11"/>
        <v>OK</v>
      </c>
      <c r="H378" s="153" t="b">
        <v>1</v>
      </c>
    </row>
    <row r="379" spans="1:8" x14ac:dyDescent="0.3">
      <c r="A379" s="153" t="s">
        <v>2071</v>
      </c>
      <c r="B379" s="153" t="s">
        <v>1352</v>
      </c>
      <c r="C379" s="153" t="s">
        <v>2072</v>
      </c>
      <c r="D379" s="153">
        <v>62505</v>
      </c>
      <c r="E379" s="153">
        <v>62505</v>
      </c>
      <c r="F379" s="153">
        <f t="shared" si="10"/>
        <v>0</v>
      </c>
      <c r="G379" s="153" t="str">
        <f t="shared" si="11"/>
        <v>OK</v>
      </c>
      <c r="H379" s="153" t="b">
        <v>1</v>
      </c>
    </row>
    <row r="380" spans="1:8" x14ac:dyDescent="0.3">
      <c r="A380" s="153" t="s">
        <v>2073</v>
      </c>
      <c r="B380" s="153" t="s">
        <v>1352</v>
      </c>
      <c r="C380" s="153" t="s">
        <v>2074</v>
      </c>
      <c r="D380" s="153">
        <v>148191.98887850469</v>
      </c>
      <c r="E380" s="153">
        <v>148191.98887850469</v>
      </c>
      <c r="F380" s="153">
        <f t="shared" si="10"/>
        <v>0</v>
      </c>
      <c r="G380" s="153" t="str">
        <f t="shared" si="11"/>
        <v>OK</v>
      </c>
      <c r="H380" s="153" t="b">
        <v>1</v>
      </c>
    </row>
    <row r="381" spans="1:8" x14ac:dyDescent="0.3">
      <c r="A381" s="153" t="s">
        <v>2075</v>
      </c>
      <c r="B381" s="153" t="s">
        <v>1352</v>
      </c>
      <c r="C381" s="153" t="s">
        <v>2076</v>
      </c>
      <c r="D381" s="153">
        <v>914313.01112149539</v>
      </c>
      <c r="E381" s="153">
        <v>914313.01112149539</v>
      </c>
      <c r="F381" s="153">
        <f t="shared" si="10"/>
        <v>0</v>
      </c>
      <c r="G381" s="153" t="str">
        <f t="shared" si="11"/>
        <v>OK</v>
      </c>
      <c r="H381" s="153" t="b">
        <v>1</v>
      </c>
    </row>
    <row r="382" spans="1:8" x14ac:dyDescent="0.3">
      <c r="A382" s="153" t="s">
        <v>2077</v>
      </c>
      <c r="B382" s="153" t="s">
        <v>1352</v>
      </c>
      <c r="C382" s="153" t="s">
        <v>2078</v>
      </c>
      <c r="D382" s="153">
        <v>1000000</v>
      </c>
      <c r="E382" s="153">
        <v>1000000</v>
      </c>
      <c r="F382" s="153">
        <f t="shared" si="10"/>
        <v>0</v>
      </c>
      <c r="G382" s="153" t="str">
        <f t="shared" si="11"/>
        <v>OK</v>
      </c>
      <c r="H382" s="153" t="b">
        <v>1</v>
      </c>
    </row>
    <row r="383" spans="1:8" x14ac:dyDescent="0.3">
      <c r="A383" s="153" t="s">
        <v>2079</v>
      </c>
      <c r="B383" s="153" t="s">
        <v>1352</v>
      </c>
      <c r="C383" s="153" t="s">
        <v>2080</v>
      </c>
      <c r="D383" s="153">
        <v>62505</v>
      </c>
      <c r="E383" s="153">
        <v>62505</v>
      </c>
      <c r="F383" s="153">
        <f t="shared" si="10"/>
        <v>0</v>
      </c>
      <c r="G383" s="153" t="str">
        <f t="shared" si="11"/>
        <v>OK</v>
      </c>
      <c r="H383" s="153" t="b">
        <v>1</v>
      </c>
    </row>
    <row r="384" spans="1:8" x14ac:dyDescent="0.3">
      <c r="A384" s="153" t="s">
        <v>2081</v>
      </c>
      <c r="B384" s="153" t="s">
        <v>1352</v>
      </c>
      <c r="C384" s="153" t="s">
        <v>2082</v>
      </c>
      <c r="D384" s="153">
        <v>140328.98887850469</v>
      </c>
      <c r="E384" s="153">
        <v>140328.98887850469</v>
      </c>
      <c r="F384" s="153">
        <f t="shared" si="10"/>
        <v>0</v>
      </c>
      <c r="G384" s="153" t="str">
        <f t="shared" si="11"/>
        <v>OK</v>
      </c>
      <c r="H384" s="153" t="b">
        <v>1</v>
      </c>
    </row>
    <row r="385" spans="1:8" x14ac:dyDescent="0.3">
      <c r="A385" s="153" t="s">
        <v>2083</v>
      </c>
      <c r="B385" s="153" t="s">
        <v>1352</v>
      </c>
      <c r="C385" s="153" t="s">
        <v>2084</v>
      </c>
      <c r="D385" s="153">
        <v>7863</v>
      </c>
      <c r="E385" s="153">
        <v>7863</v>
      </c>
      <c r="F385" s="153">
        <f t="shared" si="10"/>
        <v>0</v>
      </c>
      <c r="G385" s="153" t="str">
        <f t="shared" si="11"/>
        <v>OK</v>
      </c>
      <c r="H385" s="153" t="b">
        <v>1</v>
      </c>
    </row>
    <row r="386" spans="1:8" x14ac:dyDescent="0.3">
      <c r="A386" s="153" t="s">
        <v>2085</v>
      </c>
      <c r="B386" s="153" t="s">
        <v>1352</v>
      </c>
      <c r="C386" s="153" t="s">
        <v>2086</v>
      </c>
      <c r="D386" s="153">
        <v>0</v>
      </c>
      <c r="E386" s="153">
        <v>0</v>
      </c>
      <c r="F386" s="153">
        <f t="shared" ref="F386:F449" si="12">IF(NOT(H386),"",IF(AND(ISNUMBER(D386),ISNUMBER(E386)),E386-D386,IF(D386=E386,0,1)))</f>
        <v>0</v>
      </c>
      <c r="G386" s="153" t="str">
        <f t="shared" ref="G386:G449" si="13">IF(NOT(H386),"PENDIENTE SIDE",IF(IF(AND(ISNUMBER(D386),ISNUMBER(E386)),IF(MOD(D386,1)=0,D386=E386,ABS(D386-E386)&lt;=0.000000001*MAX(1,ABS(D386),ABS(E386))),D386=E386),"OK","DIFERENCIA"))</f>
        <v>OK</v>
      </c>
      <c r="H386" s="153" t="b">
        <v>1</v>
      </c>
    </row>
    <row r="387" spans="1:8" x14ac:dyDescent="0.3">
      <c r="A387" s="153" t="s">
        <v>2087</v>
      </c>
      <c r="B387" s="153" t="s">
        <v>1352</v>
      </c>
      <c r="C387" s="153" t="s">
        <v>2088</v>
      </c>
      <c r="D387" s="153">
        <v>-77823.988878504664</v>
      </c>
      <c r="E387" s="153">
        <v>-77823.988878504664</v>
      </c>
      <c r="F387" s="153">
        <f t="shared" si="12"/>
        <v>0</v>
      </c>
      <c r="G387" s="153" t="str">
        <f t="shared" si="13"/>
        <v>OK</v>
      </c>
      <c r="H387" s="153" t="b">
        <v>1</v>
      </c>
    </row>
    <row r="388" spans="1:8" x14ac:dyDescent="0.3">
      <c r="A388" s="153" t="s">
        <v>2089</v>
      </c>
      <c r="B388" s="153" t="s">
        <v>1352</v>
      </c>
      <c r="C388" s="153" t="s">
        <v>2090</v>
      </c>
      <c r="D388" s="153">
        <v>-7863</v>
      </c>
      <c r="E388" s="153">
        <v>-7863</v>
      </c>
      <c r="F388" s="153">
        <f t="shared" si="12"/>
        <v>0</v>
      </c>
      <c r="G388" s="153" t="str">
        <f t="shared" si="13"/>
        <v>OK</v>
      </c>
      <c r="H388" s="153" t="b">
        <v>1</v>
      </c>
    </row>
    <row r="389" spans="1:8" x14ac:dyDescent="0.3">
      <c r="A389" s="153" t="s">
        <v>2091</v>
      </c>
      <c r="B389" s="153" t="s">
        <v>1352</v>
      </c>
      <c r="C389" s="153" t="s">
        <v>2092</v>
      </c>
      <c r="D389" s="153">
        <v>-85686.988878504606</v>
      </c>
      <c r="E389" s="153">
        <v>-85686.988878504606</v>
      </c>
      <c r="F389" s="153">
        <f t="shared" si="12"/>
        <v>0</v>
      </c>
      <c r="G389" s="153" t="str">
        <f t="shared" si="13"/>
        <v>OK</v>
      </c>
      <c r="H389" s="153" t="b">
        <v>1</v>
      </c>
    </row>
    <row r="390" spans="1:8" x14ac:dyDescent="0.3">
      <c r="A390" s="153" t="s">
        <v>2093</v>
      </c>
      <c r="B390" s="153" t="s">
        <v>1352</v>
      </c>
      <c r="C390" s="153" t="s">
        <v>2094</v>
      </c>
      <c r="D390" s="153">
        <v>914313.01112149539</v>
      </c>
      <c r="E390" s="153">
        <v>914313.01112149539</v>
      </c>
      <c r="F390" s="153">
        <f t="shared" si="12"/>
        <v>0</v>
      </c>
      <c r="G390" s="153" t="str">
        <f t="shared" si="13"/>
        <v>OK</v>
      </c>
      <c r="H390" s="153" t="b">
        <v>1</v>
      </c>
    </row>
    <row r="391" spans="1:8" x14ac:dyDescent="0.3">
      <c r="A391" s="153" t="s">
        <v>2095</v>
      </c>
      <c r="B391" s="153" t="s">
        <v>1352</v>
      </c>
      <c r="C391" s="153" t="s">
        <v>2096</v>
      </c>
      <c r="D391" s="153">
        <v>914313.01112149539</v>
      </c>
      <c r="E391" s="153">
        <v>914313.01112149539</v>
      </c>
      <c r="F391" s="153">
        <f t="shared" si="12"/>
        <v>0</v>
      </c>
      <c r="G391" s="153" t="str">
        <f t="shared" si="13"/>
        <v>OK</v>
      </c>
      <c r="H391" s="153" t="b">
        <v>1</v>
      </c>
    </row>
    <row r="392" spans="1:8" x14ac:dyDescent="0.3">
      <c r="A392" s="153" t="s">
        <v>2097</v>
      </c>
      <c r="B392" s="153" t="s">
        <v>1352</v>
      </c>
      <c r="C392" s="153" t="s">
        <v>2098</v>
      </c>
      <c r="D392" s="153">
        <v>7435.875</v>
      </c>
      <c r="E392" s="153">
        <v>7435.875</v>
      </c>
      <c r="F392" s="153">
        <f t="shared" si="12"/>
        <v>0</v>
      </c>
      <c r="G392" s="153" t="str">
        <f t="shared" si="13"/>
        <v>OK</v>
      </c>
      <c r="H392" s="153" t="b">
        <v>1</v>
      </c>
    </row>
    <row r="393" spans="1:8" x14ac:dyDescent="0.3">
      <c r="A393" s="153" t="s">
        <v>2099</v>
      </c>
      <c r="B393" s="153" t="s">
        <v>1352</v>
      </c>
      <c r="C393" s="153" t="s">
        <v>2100</v>
      </c>
      <c r="D393" s="153">
        <v>73389.637399999992</v>
      </c>
      <c r="E393" s="153">
        <v>73389.637399999992</v>
      </c>
      <c r="F393" s="153">
        <f t="shared" si="12"/>
        <v>0</v>
      </c>
      <c r="G393" s="153" t="str">
        <f t="shared" si="13"/>
        <v>OK</v>
      </c>
      <c r="H393" s="153" t="b">
        <v>1</v>
      </c>
    </row>
    <row r="394" spans="1:8" x14ac:dyDescent="0.3">
      <c r="A394" s="153" t="s">
        <v>2101</v>
      </c>
      <c r="B394" s="153" t="s">
        <v>1352</v>
      </c>
      <c r="C394" s="153" t="s">
        <v>2102</v>
      </c>
      <c r="D394" s="153">
        <v>995138.5235214954</v>
      </c>
      <c r="E394" s="153">
        <v>995138.5235214954</v>
      </c>
      <c r="F394" s="153">
        <f t="shared" si="12"/>
        <v>0</v>
      </c>
      <c r="G394" s="153" t="str">
        <f t="shared" si="13"/>
        <v>OK</v>
      </c>
      <c r="H394" s="153" t="b">
        <v>1</v>
      </c>
    </row>
    <row r="395" spans="1:8" x14ac:dyDescent="0.3">
      <c r="A395" s="153" t="s">
        <v>2103</v>
      </c>
      <c r="B395" s="153" t="s">
        <v>1352</v>
      </c>
      <c r="C395" s="153" t="s">
        <v>2104</v>
      </c>
      <c r="D395" s="153">
        <v>0</v>
      </c>
      <c r="E395" s="153">
        <v>0</v>
      </c>
      <c r="F395" s="153">
        <f t="shared" si="12"/>
        <v>0</v>
      </c>
      <c r="G395" s="153" t="str">
        <f t="shared" si="13"/>
        <v>OK</v>
      </c>
      <c r="H395" s="153" t="b">
        <v>1</v>
      </c>
    </row>
    <row r="396" spans="1:8" x14ac:dyDescent="0.3">
      <c r="A396" s="153" t="s">
        <v>2105</v>
      </c>
      <c r="B396" s="153" t="s">
        <v>1352</v>
      </c>
      <c r="C396" s="153" t="s">
        <v>2106</v>
      </c>
      <c r="D396" s="153">
        <v>995138.5235214954</v>
      </c>
      <c r="E396" s="153">
        <v>995138.5235214954</v>
      </c>
      <c r="F396" s="153">
        <f t="shared" si="12"/>
        <v>0</v>
      </c>
      <c r="G396" s="153" t="str">
        <f t="shared" si="13"/>
        <v>OK</v>
      </c>
      <c r="H396" s="153" t="b">
        <v>1</v>
      </c>
    </row>
    <row r="397" spans="1:8" x14ac:dyDescent="0.3">
      <c r="A397" s="153" t="s">
        <v>2107</v>
      </c>
      <c r="B397" s="153" t="s">
        <v>1352</v>
      </c>
      <c r="C397" s="153" t="s">
        <v>2108</v>
      </c>
      <c r="D397" s="153">
        <v>995138.5235214954</v>
      </c>
      <c r="E397" s="153">
        <v>995138.5235214954</v>
      </c>
      <c r="F397" s="153">
        <f t="shared" si="12"/>
        <v>0</v>
      </c>
      <c r="G397" s="153" t="str">
        <f t="shared" si="13"/>
        <v>OK</v>
      </c>
      <c r="H397" s="153" t="b">
        <v>1</v>
      </c>
    </row>
    <row r="398" spans="1:8" x14ac:dyDescent="0.3">
      <c r="A398" s="153" t="s">
        <v>2109</v>
      </c>
      <c r="B398" s="153" t="s">
        <v>1352</v>
      </c>
      <c r="C398" s="153" t="s">
        <v>2110</v>
      </c>
      <c r="D398" s="153">
        <v>0</v>
      </c>
      <c r="E398" s="153">
        <v>0</v>
      </c>
      <c r="F398" s="153">
        <f t="shared" si="12"/>
        <v>0</v>
      </c>
      <c r="G398" s="153" t="str">
        <f t="shared" si="13"/>
        <v>OK</v>
      </c>
      <c r="H398" s="153" t="b">
        <v>1</v>
      </c>
    </row>
    <row r="399" spans="1:8" x14ac:dyDescent="0.3">
      <c r="A399" s="153" t="s">
        <v>2111</v>
      </c>
      <c r="B399" s="153" t="s">
        <v>1352</v>
      </c>
      <c r="C399" s="153" t="s">
        <v>2112</v>
      </c>
      <c r="D399" s="153">
        <v>20</v>
      </c>
      <c r="E399" s="153">
        <v>20</v>
      </c>
      <c r="F399" s="153">
        <f t="shared" si="12"/>
        <v>0</v>
      </c>
      <c r="G399" s="153" t="str">
        <f t="shared" si="13"/>
        <v>OK</v>
      </c>
      <c r="H399" s="153" t="b">
        <v>1</v>
      </c>
    </row>
    <row r="400" spans="1:8" x14ac:dyDescent="0.3">
      <c r="A400" s="153" t="s">
        <v>2113</v>
      </c>
      <c r="B400" s="153" t="s">
        <v>1352</v>
      </c>
      <c r="C400" s="153" t="s">
        <v>2114</v>
      </c>
      <c r="D400" s="153">
        <v>0</v>
      </c>
      <c r="E400" s="153">
        <v>0</v>
      </c>
      <c r="F400" s="153">
        <f t="shared" si="12"/>
        <v>0</v>
      </c>
      <c r="G400" s="153" t="str">
        <f t="shared" si="13"/>
        <v>OK</v>
      </c>
      <c r="H400" s="153" t="b">
        <v>1</v>
      </c>
    </row>
    <row r="401" spans="1:8" x14ac:dyDescent="0.3">
      <c r="A401" s="153" t="s">
        <v>2115</v>
      </c>
      <c r="B401" s="153" t="s">
        <v>1352</v>
      </c>
      <c r="C401" s="153" t="s">
        <v>2116</v>
      </c>
      <c r="D401" s="153">
        <v>3</v>
      </c>
      <c r="E401" s="153">
        <v>3</v>
      </c>
      <c r="F401" s="153">
        <f t="shared" si="12"/>
        <v>0</v>
      </c>
      <c r="G401" s="153" t="str">
        <f t="shared" si="13"/>
        <v>OK</v>
      </c>
      <c r="H401" s="153" t="b">
        <v>1</v>
      </c>
    </row>
    <row r="402" spans="1:8" x14ac:dyDescent="0.3">
      <c r="A402" s="153" t="s">
        <v>2117</v>
      </c>
      <c r="B402" s="153" t="s">
        <v>1352</v>
      </c>
      <c r="C402" s="153" t="s">
        <v>2118</v>
      </c>
      <c r="D402" s="153">
        <v>0</v>
      </c>
      <c r="E402" s="153">
        <v>0</v>
      </c>
      <c r="F402" s="153">
        <f t="shared" si="12"/>
        <v>0</v>
      </c>
      <c r="G402" s="153" t="str">
        <f t="shared" si="13"/>
        <v>OK</v>
      </c>
      <c r="H402" s="153" t="b">
        <v>1</v>
      </c>
    </row>
    <row r="403" spans="1:8" x14ac:dyDescent="0.3">
      <c r="A403" s="153" t="s">
        <v>2119</v>
      </c>
      <c r="B403" s="153" t="s">
        <v>1352</v>
      </c>
      <c r="C403" s="153" t="s">
        <v>2120</v>
      </c>
      <c r="D403" s="153">
        <v>0</v>
      </c>
      <c r="E403" s="153">
        <v>0</v>
      </c>
      <c r="F403" s="153">
        <f t="shared" si="12"/>
        <v>0</v>
      </c>
      <c r="G403" s="153" t="str">
        <f t="shared" si="13"/>
        <v>OK</v>
      </c>
      <c r="H403" s="153" t="b">
        <v>1</v>
      </c>
    </row>
    <row r="404" spans="1:8" x14ac:dyDescent="0.3">
      <c r="A404" s="153" t="s">
        <v>2121</v>
      </c>
      <c r="B404" s="153" t="s">
        <v>1352</v>
      </c>
      <c r="C404" s="153" t="s">
        <v>2122</v>
      </c>
      <c r="D404" s="153">
        <v>59727</v>
      </c>
      <c r="E404" s="153">
        <v>59727</v>
      </c>
      <c r="F404" s="153">
        <f t="shared" si="12"/>
        <v>0</v>
      </c>
      <c r="G404" s="153" t="str">
        <f t="shared" si="13"/>
        <v>OK</v>
      </c>
      <c r="H404" s="153" t="b">
        <v>1</v>
      </c>
    </row>
    <row r="405" spans="1:8" x14ac:dyDescent="0.3">
      <c r="A405" s="153" t="s">
        <v>2123</v>
      </c>
      <c r="B405" s="153" t="s">
        <v>1352</v>
      </c>
      <c r="C405" s="153" t="s">
        <v>2124</v>
      </c>
      <c r="D405" s="153">
        <v>59727</v>
      </c>
      <c r="E405" s="153">
        <v>59727</v>
      </c>
      <c r="F405" s="153">
        <f t="shared" si="12"/>
        <v>0</v>
      </c>
      <c r="G405" s="153" t="str">
        <f t="shared" si="13"/>
        <v>OK</v>
      </c>
      <c r="H405" s="153" t="b">
        <v>1</v>
      </c>
    </row>
    <row r="406" spans="1:8" x14ac:dyDescent="0.3">
      <c r="A406" s="153" t="s">
        <v>2125</v>
      </c>
      <c r="B406" s="153" t="s">
        <v>1352</v>
      </c>
      <c r="C406" s="153" t="s">
        <v>2126</v>
      </c>
      <c r="D406" s="153">
        <v>67003.476478504657</v>
      </c>
      <c r="E406" s="153">
        <v>67003.476478504657</v>
      </c>
      <c r="F406" s="153">
        <f t="shared" si="12"/>
        <v>0</v>
      </c>
      <c r="G406" s="153" t="str">
        <f t="shared" si="13"/>
        <v>OK</v>
      </c>
      <c r="H406" s="153" t="b">
        <v>1</v>
      </c>
    </row>
    <row r="407" spans="1:8" x14ac:dyDescent="0.3">
      <c r="A407" s="153" t="s">
        <v>2127</v>
      </c>
      <c r="B407" s="153" t="s">
        <v>1352</v>
      </c>
      <c r="C407" s="153" t="s">
        <v>2128</v>
      </c>
      <c r="D407" s="153">
        <v>-7276.4764785046573</v>
      </c>
      <c r="E407" s="153">
        <v>-7276.4764785046573</v>
      </c>
      <c r="F407" s="153">
        <f t="shared" si="12"/>
        <v>0</v>
      </c>
      <c r="G407" s="153" t="str">
        <f t="shared" si="13"/>
        <v>OK</v>
      </c>
      <c r="H407" s="153" t="b">
        <v>1</v>
      </c>
    </row>
    <row r="408" spans="1:8" x14ac:dyDescent="0.3">
      <c r="A408" s="153" t="s">
        <v>2129</v>
      </c>
      <c r="B408" s="153" t="s">
        <v>1352</v>
      </c>
      <c r="C408" s="153" t="s">
        <v>2130</v>
      </c>
      <c r="D408" s="153">
        <v>64.125</v>
      </c>
      <c r="E408" s="153">
        <v>64.125</v>
      </c>
      <c r="F408" s="153">
        <f t="shared" si="12"/>
        <v>0</v>
      </c>
      <c r="G408" s="153" t="str">
        <f t="shared" si="13"/>
        <v>OK</v>
      </c>
      <c r="H408" s="153" t="b">
        <v>1</v>
      </c>
    </row>
    <row r="409" spans="1:8" x14ac:dyDescent="0.3">
      <c r="A409" s="153" t="s">
        <v>2131</v>
      </c>
      <c r="B409" s="153" t="s">
        <v>1352</v>
      </c>
      <c r="C409" s="153" t="s">
        <v>2132</v>
      </c>
      <c r="D409" s="153">
        <v>0</v>
      </c>
      <c r="E409" s="153">
        <v>0</v>
      </c>
      <c r="F409" s="153">
        <f t="shared" si="12"/>
        <v>0</v>
      </c>
      <c r="G409" s="153" t="str">
        <f t="shared" si="13"/>
        <v>OK</v>
      </c>
      <c r="H409" s="153" t="b">
        <v>1</v>
      </c>
    </row>
    <row r="410" spans="1:8" x14ac:dyDescent="0.3">
      <c r="A410" s="153" t="s">
        <v>2133</v>
      </c>
      <c r="B410" s="153" t="s">
        <v>1352</v>
      </c>
      <c r="C410" s="153" t="s">
        <v>2134</v>
      </c>
      <c r="D410" s="153">
        <v>67003.476478504657</v>
      </c>
      <c r="E410" s="153">
        <v>67003.476478504657</v>
      </c>
      <c r="F410" s="153">
        <f t="shared" si="12"/>
        <v>0</v>
      </c>
      <c r="G410" s="153" t="str">
        <f t="shared" si="13"/>
        <v>OK</v>
      </c>
      <c r="H410" s="153" t="b">
        <v>1</v>
      </c>
    </row>
    <row r="411" spans="1:8" x14ac:dyDescent="0.3">
      <c r="A411" s="153" t="s">
        <v>2135</v>
      </c>
      <c r="B411" s="153" t="s">
        <v>1352</v>
      </c>
      <c r="C411" s="153" t="s">
        <v>2136</v>
      </c>
      <c r="D411" s="153">
        <v>1000000</v>
      </c>
      <c r="E411" s="153">
        <v>1000000</v>
      </c>
      <c r="F411" s="153">
        <f t="shared" si="12"/>
        <v>0</v>
      </c>
      <c r="G411" s="153" t="str">
        <f t="shared" si="13"/>
        <v>OK</v>
      </c>
      <c r="H411" s="153" t="b">
        <v>1</v>
      </c>
    </row>
    <row r="412" spans="1:8" x14ac:dyDescent="0.3">
      <c r="A412" s="153" t="s">
        <v>2137</v>
      </c>
      <c r="B412" s="153" t="s">
        <v>1352</v>
      </c>
      <c r="C412" s="153" t="s">
        <v>2138</v>
      </c>
      <c r="D412" s="153">
        <v>59727</v>
      </c>
      <c r="E412" s="153">
        <v>59727</v>
      </c>
      <c r="F412" s="153">
        <f t="shared" si="12"/>
        <v>0</v>
      </c>
      <c r="G412" s="153" t="str">
        <f t="shared" si="13"/>
        <v>OK</v>
      </c>
      <c r="H412" s="153" t="b">
        <v>1</v>
      </c>
    </row>
    <row r="413" spans="1:8" x14ac:dyDescent="0.3">
      <c r="A413" s="153" t="s">
        <v>2139</v>
      </c>
      <c r="B413" s="153" t="s">
        <v>1352</v>
      </c>
      <c r="C413" s="153" t="s">
        <v>2140</v>
      </c>
      <c r="D413" s="153">
        <v>148191.98887850469</v>
      </c>
      <c r="E413" s="153">
        <v>148191.98887850469</v>
      </c>
      <c r="F413" s="153">
        <f t="shared" si="12"/>
        <v>0</v>
      </c>
      <c r="G413" s="153" t="str">
        <f t="shared" si="13"/>
        <v>OK</v>
      </c>
      <c r="H413" s="153" t="b">
        <v>1</v>
      </c>
    </row>
    <row r="414" spans="1:8" x14ac:dyDescent="0.3">
      <c r="A414" s="153" t="s">
        <v>2141</v>
      </c>
      <c r="B414" s="153" t="s">
        <v>1352</v>
      </c>
      <c r="C414" s="153" t="s">
        <v>2142</v>
      </c>
      <c r="D414" s="153">
        <v>911535.01112149539</v>
      </c>
      <c r="E414" s="153">
        <v>911535.01112149539</v>
      </c>
      <c r="F414" s="153">
        <f t="shared" si="12"/>
        <v>0</v>
      </c>
      <c r="G414" s="153" t="str">
        <f t="shared" si="13"/>
        <v>OK</v>
      </c>
      <c r="H414" s="153" t="b">
        <v>1</v>
      </c>
    </row>
    <row r="415" spans="1:8" x14ac:dyDescent="0.3">
      <c r="A415" s="153" t="s">
        <v>2143</v>
      </c>
      <c r="B415" s="153" t="s">
        <v>1352</v>
      </c>
      <c r="C415" s="153" t="s">
        <v>2144</v>
      </c>
      <c r="D415" s="153">
        <v>1000000</v>
      </c>
      <c r="E415" s="153">
        <v>1000000</v>
      </c>
      <c r="F415" s="153">
        <f t="shared" si="12"/>
        <v>0</v>
      </c>
      <c r="G415" s="153" t="str">
        <f t="shared" si="13"/>
        <v>OK</v>
      </c>
      <c r="H415" s="153" t="b">
        <v>1</v>
      </c>
    </row>
    <row r="416" spans="1:8" x14ac:dyDescent="0.3">
      <c r="A416" s="153" t="s">
        <v>2145</v>
      </c>
      <c r="B416" s="153" t="s">
        <v>1352</v>
      </c>
      <c r="C416" s="153" t="s">
        <v>2146</v>
      </c>
      <c r="D416" s="153">
        <v>59727</v>
      </c>
      <c r="E416" s="153">
        <v>59727</v>
      </c>
      <c r="F416" s="153">
        <f t="shared" si="12"/>
        <v>0</v>
      </c>
      <c r="G416" s="153" t="str">
        <f t="shared" si="13"/>
        <v>OK</v>
      </c>
      <c r="H416" s="153" t="b">
        <v>1</v>
      </c>
    </row>
    <row r="417" spans="1:8" x14ac:dyDescent="0.3">
      <c r="A417" s="153" t="s">
        <v>2147</v>
      </c>
      <c r="B417" s="153" t="s">
        <v>1352</v>
      </c>
      <c r="C417" s="153" t="s">
        <v>2148</v>
      </c>
      <c r="D417" s="153">
        <v>140328.98887850469</v>
      </c>
      <c r="E417" s="153">
        <v>140328.98887850469</v>
      </c>
      <c r="F417" s="153">
        <f t="shared" si="12"/>
        <v>0</v>
      </c>
      <c r="G417" s="153" t="str">
        <f t="shared" si="13"/>
        <v>OK</v>
      </c>
      <c r="H417" s="153" t="b">
        <v>1</v>
      </c>
    </row>
    <row r="418" spans="1:8" x14ac:dyDescent="0.3">
      <c r="A418" s="153" t="s">
        <v>2149</v>
      </c>
      <c r="B418" s="153" t="s">
        <v>1352</v>
      </c>
      <c r="C418" s="153" t="s">
        <v>2150</v>
      </c>
      <c r="D418" s="153">
        <v>7863</v>
      </c>
      <c r="E418" s="153">
        <v>7863</v>
      </c>
      <c r="F418" s="153">
        <f t="shared" si="12"/>
        <v>0</v>
      </c>
      <c r="G418" s="153" t="str">
        <f t="shared" si="13"/>
        <v>OK</v>
      </c>
      <c r="H418" s="153" t="b">
        <v>1</v>
      </c>
    </row>
    <row r="419" spans="1:8" x14ac:dyDescent="0.3">
      <c r="A419" s="153" t="s">
        <v>2151</v>
      </c>
      <c r="B419" s="153" t="s">
        <v>1352</v>
      </c>
      <c r="C419" s="153" t="s">
        <v>2152</v>
      </c>
      <c r="D419" s="153">
        <v>0</v>
      </c>
      <c r="E419" s="153">
        <v>0</v>
      </c>
      <c r="F419" s="153">
        <f t="shared" si="12"/>
        <v>0</v>
      </c>
      <c r="G419" s="153" t="str">
        <f t="shared" si="13"/>
        <v>OK</v>
      </c>
      <c r="H419" s="153" t="b">
        <v>1</v>
      </c>
    </row>
    <row r="420" spans="1:8" x14ac:dyDescent="0.3">
      <c r="A420" s="153" t="s">
        <v>2153</v>
      </c>
      <c r="B420" s="153" t="s">
        <v>1352</v>
      </c>
      <c r="C420" s="153" t="s">
        <v>2154</v>
      </c>
      <c r="D420" s="153">
        <v>-80601.988878504664</v>
      </c>
      <c r="E420" s="153">
        <v>-80601.988878504664</v>
      </c>
      <c r="F420" s="153">
        <f t="shared" si="12"/>
        <v>0</v>
      </c>
      <c r="G420" s="153" t="str">
        <f t="shared" si="13"/>
        <v>OK</v>
      </c>
      <c r="H420" s="153" t="b">
        <v>1</v>
      </c>
    </row>
    <row r="421" spans="1:8" x14ac:dyDescent="0.3">
      <c r="A421" s="153" t="s">
        <v>2155</v>
      </c>
      <c r="B421" s="153" t="s">
        <v>1352</v>
      </c>
      <c r="C421" s="153" t="s">
        <v>2156</v>
      </c>
      <c r="D421" s="153">
        <v>-7863</v>
      </c>
      <c r="E421" s="153">
        <v>-7863</v>
      </c>
      <c r="F421" s="153">
        <f t="shared" si="12"/>
        <v>0</v>
      </c>
      <c r="G421" s="153" t="str">
        <f t="shared" si="13"/>
        <v>OK</v>
      </c>
      <c r="H421" s="153" t="b">
        <v>1</v>
      </c>
    </row>
    <row r="422" spans="1:8" x14ac:dyDescent="0.3">
      <c r="A422" s="153" t="s">
        <v>2157</v>
      </c>
      <c r="B422" s="153" t="s">
        <v>1352</v>
      </c>
      <c r="C422" s="153" t="s">
        <v>2158</v>
      </c>
      <c r="D422" s="153">
        <v>-88464.988878504606</v>
      </c>
      <c r="E422" s="153">
        <v>-88464.988878504606</v>
      </c>
      <c r="F422" s="153">
        <f t="shared" si="12"/>
        <v>0</v>
      </c>
      <c r="G422" s="153" t="str">
        <f t="shared" si="13"/>
        <v>OK</v>
      </c>
      <c r="H422" s="153" t="b">
        <v>1</v>
      </c>
    </row>
    <row r="423" spans="1:8" x14ac:dyDescent="0.3">
      <c r="A423" s="153" t="s">
        <v>2159</v>
      </c>
      <c r="B423" s="153" t="s">
        <v>1352</v>
      </c>
      <c r="C423" s="153" t="s">
        <v>2160</v>
      </c>
      <c r="D423" s="153">
        <v>911535.01112149539</v>
      </c>
      <c r="E423" s="153">
        <v>911535.01112149539</v>
      </c>
      <c r="F423" s="153">
        <f t="shared" si="12"/>
        <v>0</v>
      </c>
      <c r="G423" s="153" t="str">
        <f t="shared" si="13"/>
        <v>OK</v>
      </c>
      <c r="H423" s="153" t="b">
        <v>1</v>
      </c>
    </row>
    <row r="424" spans="1:8" x14ac:dyDescent="0.3">
      <c r="A424" s="153" t="s">
        <v>2161</v>
      </c>
      <c r="B424" s="153" t="s">
        <v>1352</v>
      </c>
      <c r="C424" s="153" t="s">
        <v>2162</v>
      </c>
      <c r="D424" s="153">
        <v>911535.01112149539</v>
      </c>
      <c r="E424" s="153">
        <v>911535.01112149539</v>
      </c>
      <c r="F424" s="153">
        <f t="shared" si="12"/>
        <v>0</v>
      </c>
      <c r="G424" s="153" t="str">
        <f t="shared" si="13"/>
        <v>OK</v>
      </c>
      <c r="H424" s="153" t="b">
        <v>1</v>
      </c>
    </row>
    <row r="425" spans="1:8" x14ac:dyDescent="0.3">
      <c r="A425" s="153" t="s">
        <v>2163</v>
      </c>
      <c r="B425" s="153" t="s">
        <v>1352</v>
      </c>
      <c r="C425" s="153" t="s">
        <v>2164</v>
      </c>
      <c r="D425" s="153">
        <v>7435.875</v>
      </c>
      <c r="E425" s="153">
        <v>7435.875</v>
      </c>
      <c r="F425" s="153">
        <f t="shared" si="12"/>
        <v>0</v>
      </c>
      <c r="G425" s="153" t="str">
        <f t="shared" si="13"/>
        <v>OK</v>
      </c>
      <c r="H425" s="153" t="b">
        <v>1</v>
      </c>
    </row>
    <row r="426" spans="1:8" x14ac:dyDescent="0.3">
      <c r="A426" s="153" t="s">
        <v>2165</v>
      </c>
      <c r="B426" s="153" t="s">
        <v>1352</v>
      </c>
      <c r="C426" s="153" t="s">
        <v>2166</v>
      </c>
      <c r="D426" s="153">
        <v>73389.637399999992</v>
      </c>
      <c r="E426" s="153">
        <v>73389.637399999992</v>
      </c>
      <c r="F426" s="153">
        <f t="shared" si="12"/>
        <v>0</v>
      </c>
      <c r="G426" s="153" t="str">
        <f t="shared" si="13"/>
        <v>OK</v>
      </c>
      <c r="H426" s="153" t="b">
        <v>1</v>
      </c>
    </row>
    <row r="427" spans="1:8" x14ac:dyDescent="0.3">
      <c r="A427" s="153" t="s">
        <v>2167</v>
      </c>
      <c r="B427" s="153" t="s">
        <v>1352</v>
      </c>
      <c r="C427" s="153" t="s">
        <v>2168</v>
      </c>
      <c r="D427" s="153">
        <v>992360.5235214954</v>
      </c>
      <c r="E427" s="153">
        <v>992360.5235214954</v>
      </c>
      <c r="F427" s="153">
        <f t="shared" si="12"/>
        <v>0</v>
      </c>
      <c r="G427" s="153" t="str">
        <f t="shared" si="13"/>
        <v>OK</v>
      </c>
      <c r="H427" s="153" t="b">
        <v>1</v>
      </c>
    </row>
    <row r="428" spans="1:8" x14ac:dyDescent="0.3">
      <c r="A428" s="153" t="s">
        <v>2169</v>
      </c>
      <c r="B428" s="153" t="s">
        <v>1352</v>
      </c>
      <c r="C428" s="153" t="s">
        <v>2170</v>
      </c>
      <c r="D428" s="153">
        <v>0</v>
      </c>
      <c r="E428" s="153">
        <v>0</v>
      </c>
      <c r="F428" s="153">
        <f t="shared" si="12"/>
        <v>0</v>
      </c>
      <c r="G428" s="153" t="str">
        <f t="shared" si="13"/>
        <v>OK</v>
      </c>
      <c r="H428" s="153" t="b">
        <v>1</v>
      </c>
    </row>
    <row r="429" spans="1:8" x14ac:dyDescent="0.3">
      <c r="A429" s="153" t="s">
        <v>2171</v>
      </c>
      <c r="B429" s="153" t="s">
        <v>1352</v>
      </c>
      <c r="C429" s="153" t="s">
        <v>2172</v>
      </c>
      <c r="D429" s="153">
        <v>992360.5235214954</v>
      </c>
      <c r="E429" s="153">
        <v>992360.5235214954</v>
      </c>
      <c r="F429" s="153">
        <f t="shared" si="12"/>
        <v>0</v>
      </c>
      <c r="G429" s="153" t="str">
        <f t="shared" si="13"/>
        <v>OK</v>
      </c>
      <c r="H429" s="153" t="b">
        <v>1</v>
      </c>
    </row>
    <row r="430" spans="1:8" x14ac:dyDescent="0.3">
      <c r="A430" s="153" t="s">
        <v>2173</v>
      </c>
      <c r="B430" s="153" t="s">
        <v>1352</v>
      </c>
      <c r="C430" s="153" t="s">
        <v>2174</v>
      </c>
      <c r="D430" s="153">
        <v>992360.5235214954</v>
      </c>
      <c r="E430" s="153">
        <v>992360.5235214954</v>
      </c>
      <c r="F430" s="153">
        <f t="shared" si="12"/>
        <v>0</v>
      </c>
      <c r="G430" s="153" t="str">
        <f t="shared" si="13"/>
        <v>OK</v>
      </c>
      <c r="H430" s="153" t="b">
        <v>1</v>
      </c>
    </row>
    <row r="431" spans="1:8" x14ac:dyDescent="0.3">
      <c r="A431" s="153" t="s">
        <v>2175</v>
      </c>
      <c r="B431" s="153" t="s">
        <v>1352</v>
      </c>
      <c r="C431" s="153" t="s">
        <v>2176</v>
      </c>
      <c r="D431" s="153">
        <v>0</v>
      </c>
      <c r="E431" s="153">
        <v>0</v>
      </c>
      <c r="F431" s="153">
        <f t="shared" si="12"/>
        <v>0</v>
      </c>
      <c r="G431" s="153" t="str">
        <f t="shared" si="13"/>
        <v>OK</v>
      </c>
      <c r="H431" s="153" t="b">
        <v>1</v>
      </c>
    </row>
    <row r="432" spans="1:8" x14ac:dyDescent="0.3">
      <c r="A432" s="153" t="s">
        <v>2177</v>
      </c>
      <c r="B432" s="153" t="s">
        <v>1352</v>
      </c>
      <c r="C432" s="153" t="s">
        <v>2178</v>
      </c>
      <c r="D432" s="153">
        <v>20</v>
      </c>
      <c r="E432" s="153">
        <v>20</v>
      </c>
      <c r="F432" s="153">
        <f t="shared" si="12"/>
        <v>0</v>
      </c>
      <c r="G432" s="153" t="str">
        <f t="shared" si="13"/>
        <v>OK</v>
      </c>
      <c r="H432" s="153" t="b">
        <v>1</v>
      </c>
    </row>
    <row r="433" spans="1:8" x14ac:dyDescent="0.3">
      <c r="A433" s="153" t="s">
        <v>2179</v>
      </c>
      <c r="B433" s="153" t="s">
        <v>1352</v>
      </c>
      <c r="C433" s="153" t="s">
        <v>2180</v>
      </c>
      <c r="D433" s="153">
        <v>0</v>
      </c>
      <c r="E433" s="153">
        <v>0</v>
      </c>
      <c r="F433" s="153">
        <f t="shared" si="12"/>
        <v>0</v>
      </c>
      <c r="G433" s="153" t="str">
        <f t="shared" si="13"/>
        <v>OK</v>
      </c>
      <c r="H433" s="153" t="b">
        <v>1</v>
      </c>
    </row>
    <row r="434" spans="1:8" x14ac:dyDescent="0.3">
      <c r="A434" s="153" t="s">
        <v>2181</v>
      </c>
      <c r="B434" s="153" t="s">
        <v>1352</v>
      </c>
      <c r="C434" s="153" t="s">
        <v>2182</v>
      </c>
      <c r="D434" s="153">
        <v>3</v>
      </c>
      <c r="E434" s="153">
        <v>3</v>
      </c>
      <c r="F434" s="153">
        <f t="shared" si="12"/>
        <v>0</v>
      </c>
      <c r="G434" s="153" t="str">
        <f t="shared" si="13"/>
        <v>OK</v>
      </c>
      <c r="H434" s="153" t="b">
        <v>1</v>
      </c>
    </row>
    <row r="435" spans="1:8" x14ac:dyDescent="0.3">
      <c r="A435" s="153" t="s">
        <v>2183</v>
      </c>
      <c r="B435" s="153" t="s">
        <v>1352</v>
      </c>
      <c r="C435" s="153" t="s">
        <v>2184</v>
      </c>
      <c r="D435" s="153">
        <v>0</v>
      </c>
      <c r="E435" s="153">
        <v>0</v>
      </c>
      <c r="F435" s="153">
        <f t="shared" si="12"/>
        <v>0</v>
      </c>
      <c r="G435" s="153" t="str">
        <f t="shared" si="13"/>
        <v>OK</v>
      </c>
      <c r="H435" s="153" t="b">
        <v>1</v>
      </c>
    </row>
    <row r="436" spans="1:8" x14ac:dyDescent="0.3">
      <c r="A436" s="153" t="s">
        <v>2185</v>
      </c>
      <c r="B436" s="153" t="s">
        <v>1352</v>
      </c>
      <c r="C436" s="153" t="s">
        <v>2186</v>
      </c>
      <c r="D436" s="153">
        <v>0</v>
      </c>
      <c r="E436" s="153">
        <v>0</v>
      </c>
      <c r="F436" s="153">
        <f t="shared" si="12"/>
        <v>0</v>
      </c>
      <c r="G436" s="153" t="str">
        <f t="shared" si="13"/>
        <v>OK</v>
      </c>
      <c r="H436" s="153" t="b">
        <v>1</v>
      </c>
    </row>
    <row r="437" spans="1:8" x14ac:dyDescent="0.3">
      <c r="A437" s="153" t="s">
        <v>2187</v>
      </c>
      <c r="B437" s="153" t="s">
        <v>1352</v>
      </c>
      <c r="C437" s="153" t="s">
        <v>2188</v>
      </c>
      <c r="D437" s="153">
        <v>79445</v>
      </c>
      <c r="E437" s="153">
        <v>79445</v>
      </c>
      <c r="F437" s="153">
        <f t="shared" si="12"/>
        <v>0</v>
      </c>
      <c r="G437" s="153" t="str">
        <f t="shared" si="13"/>
        <v>OK</v>
      </c>
      <c r="H437" s="153" t="b">
        <v>1</v>
      </c>
    </row>
    <row r="438" spans="1:8" x14ac:dyDescent="0.3">
      <c r="A438" s="153" t="s">
        <v>2189</v>
      </c>
      <c r="B438" s="153" t="s">
        <v>1352</v>
      </c>
      <c r="C438" s="153" t="s">
        <v>2190</v>
      </c>
      <c r="D438" s="153">
        <v>79445</v>
      </c>
      <c r="E438" s="153">
        <v>79445</v>
      </c>
      <c r="F438" s="153">
        <f t="shared" si="12"/>
        <v>0</v>
      </c>
      <c r="G438" s="153" t="str">
        <f t="shared" si="13"/>
        <v>OK</v>
      </c>
      <c r="H438" s="153" t="b">
        <v>1</v>
      </c>
    </row>
    <row r="439" spans="1:8" x14ac:dyDescent="0.3">
      <c r="A439" s="153" t="s">
        <v>2191</v>
      </c>
      <c r="B439" s="153" t="s">
        <v>1352</v>
      </c>
      <c r="C439" s="153" t="s">
        <v>2192</v>
      </c>
      <c r="D439" s="153">
        <v>67003.476478504657</v>
      </c>
      <c r="E439" s="153">
        <v>67003.476478504657</v>
      </c>
      <c r="F439" s="153">
        <f t="shared" si="12"/>
        <v>0</v>
      </c>
      <c r="G439" s="153" t="str">
        <f t="shared" si="13"/>
        <v>OK</v>
      </c>
      <c r="H439" s="153" t="b">
        <v>1</v>
      </c>
    </row>
    <row r="440" spans="1:8" x14ac:dyDescent="0.3">
      <c r="A440" s="153" t="s">
        <v>2193</v>
      </c>
      <c r="B440" s="153" t="s">
        <v>1352</v>
      </c>
      <c r="C440" s="153" t="s">
        <v>2194</v>
      </c>
      <c r="D440" s="153">
        <v>12441.523521495341</v>
      </c>
      <c r="E440" s="153">
        <v>12441.523521495341</v>
      </c>
      <c r="F440" s="153">
        <f t="shared" si="12"/>
        <v>0</v>
      </c>
      <c r="G440" s="153" t="str">
        <f t="shared" si="13"/>
        <v>OK</v>
      </c>
      <c r="H440" s="153" t="b">
        <v>1</v>
      </c>
    </row>
    <row r="441" spans="1:8" x14ac:dyDescent="0.3">
      <c r="A441" s="153" t="s">
        <v>2195</v>
      </c>
      <c r="B441" s="153" t="s">
        <v>1352</v>
      </c>
      <c r="C441" s="153" t="s">
        <v>2196</v>
      </c>
      <c r="D441" s="153">
        <v>64.125</v>
      </c>
      <c r="E441" s="153">
        <v>64.125</v>
      </c>
      <c r="F441" s="153">
        <f t="shared" si="12"/>
        <v>0</v>
      </c>
      <c r="G441" s="153" t="str">
        <f t="shared" si="13"/>
        <v>OK</v>
      </c>
      <c r="H441" s="153" t="b">
        <v>1</v>
      </c>
    </row>
    <row r="442" spans="1:8" x14ac:dyDescent="0.3">
      <c r="A442" s="153" t="s">
        <v>2197</v>
      </c>
      <c r="B442" s="153" t="s">
        <v>1352</v>
      </c>
      <c r="C442" s="153" t="s">
        <v>2198</v>
      </c>
      <c r="D442" s="153">
        <v>0</v>
      </c>
      <c r="E442" s="153">
        <v>0</v>
      </c>
      <c r="F442" s="153">
        <f t="shared" si="12"/>
        <v>0</v>
      </c>
      <c r="G442" s="153" t="str">
        <f t="shared" si="13"/>
        <v>OK</v>
      </c>
      <c r="H442" s="153" t="b">
        <v>1</v>
      </c>
    </row>
    <row r="443" spans="1:8" x14ac:dyDescent="0.3">
      <c r="A443" s="153" t="s">
        <v>2199</v>
      </c>
      <c r="B443" s="153" t="s">
        <v>1352</v>
      </c>
      <c r="C443" s="153" t="s">
        <v>2200</v>
      </c>
      <c r="D443" s="153">
        <v>67003.476478504657</v>
      </c>
      <c r="E443" s="153">
        <v>67003.476478504657</v>
      </c>
      <c r="F443" s="153">
        <f t="shared" si="12"/>
        <v>0</v>
      </c>
      <c r="G443" s="153" t="str">
        <f t="shared" si="13"/>
        <v>OK</v>
      </c>
      <c r="H443" s="153" t="b">
        <v>1</v>
      </c>
    </row>
    <row r="444" spans="1:8" x14ac:dyDescent="0.3">
      <c r="A444" s="153" t="s">
        <v>2201</v>
      </c>
      <c r="B444" s="153" t="s">
        <v>1352</v>
      </c>
      <c r="C444" s="153" t="s">
        <v>2202</v>
      </c>
      <c r="D444" s="153">
        <v>1000000</v>
      </c>
      <c r="E444" s="153">
        <v>1000000</v>
      </c>
      <c r="F444" s="153">
        <f t="shared" si="12"/>
        <v>0</v>
      </c>
      <c r="G444" s="153" t="str">
        <f t="shared" si="13"/>
        <v>OK</v>
      </c>
      <c r="H444" s="153" t="b">
        <v>1</v>
      </c>
    </row>
    <row r="445" spans="1:8" x14ac:dyDescent="0.3">
      <c r="A445" s="153" t="s">
        <v>2203</v>
      </c>
      <c r="B445" s="153" t="s">
        <v>1352</v>
      </c>
      <c r="C445" s="153" t="s">
        <v>2204</v>
      </c>
      <c r="D445" s="153">
        <v>79445</v>
      </c>
      <c r="E445" s="153">
        <v>79445</v>
      </c>
      <c r="F445" s="153">
        <f t="shared" si="12"/>
        <v>0</v>
      </c>
      <c r="G445" s="153" t="str">
        <f t="shared" si="13"/>
        <v>OK</v>
      </c>
      <c r="H445" s="153" t="b">
        <v>1</v>
      </c>
    </row>
    <row r="446" spans="1:8" x14ac:dyDescent="0.3">
      <c r="A446" s="153" t="s">
        <v>2205</v>
      </c>
      <c r="B446" s="153" t="s">
        <v>1352</v>
      </c>
      <c r="C446" s="153" t="s">
        <v>2206</v>
      </c>
      <c r="D446" s="153">
        <v>148191.98887850469</v>
      </c>
      <c r="E446" s="153">
        <v>148191.98887850469</v>
      </c>
      <c r="F446" s="153">
        <f t="shared" si="12"/>
        <v>0</v>
      </c>
      <c r="G446" s="153" t="str">
        <f t="shared" si="13"/>
        <v>OK</v>
      </c>
      <c r="H446" s="153" t="b">
        <v>1</v>
      </c>
    </row>
    <row r="447" spans="1:8" x14ac:dyDescent="0.3">
      <c r="A447" s="153" t="s">
        <v>2207</v>
      </c>
      <c r="B447" s="153" t="s">
        <v>1352</v>
      </c>
      <c r="C447" s="153" t="s">
        <v>2208</v>
      </c>
      <c r="D447" s="153">
        <v>931253.01112149539</v>
      </c>
      <c r="E447" s="153">
        <v>931253.01112149539</v>
      </c>
      <c r="F447" s="153">
        <f t="shared" si="12"/>
        <v>0</v>
      </c>
      <c r="G447" s="153" t="str">
        <f t="shared" si="13"/>
        <v>OK</v>
      </c>
      <c r="H447" s="153" t="b">
        <v>1</v>
      </c>
    </row>
    <row r="448" spans="1:8" x14ac:dyDescent="0.3">
      <c r="A448" s="153" t="s">
        <v>2209</v>
      </c>
      <c r="B448" s="153" t="s">
        <v>1352</v>
      </c>
      <c r="C448" s="153" t="s">
        <v>2210</v>
      </c>
      <c r="D448" s="153">
        <v>1000000</v>
      </c>
      <c r="E448" s="153">
        <v>1000000</v>
      </c>
      <c r="F448" s="153">
        <f t="shared" si="12"/>
        <v>0</v>
      </c>
      <c r="G448" s="153" t="str">
        <f t="shared" si="13"/>
        <v>OK</v>
      </c>
      <c r="H448" s="153" t="b">
        <v>1</v>
      </c>
    </row>
    <row r="449" spans="1:8" x14ac:dyDescent="0.3">
      <c r="A449" s="153" t="s">
        <v>2211</v>
      </c>
      <c r="B449" s="153" t="s">
        <v>1352</v>
      </c>
      <c r="C449" s="153" t="s">
        <v>2212</v>
      </c>
      <c r="D449" s="153">
        <v>79445</v>
      </c>
      <c r="E449" s="153">
        <v>79445</v>
      </c>
      <c r="F449" s="153">
        <f t="shared" si="12"/>
        <v>0</v>
      </c>
      <c r="G449" s="153" t="str">
        <f t="shared" si="13"/>
        <v>OK</v>
      </c>
      <c r="H449" s="153" t="b">
        <v>1</v>
      </c>
    </row>
    <row r="450" spans="1:8" x14ac:dyDescent="0.3">
      <c r="A450" s="153" t="s">
        <v>2213</v>
      </c>
      <c r="B450" s="153" t="s">
        <v>1352</v>
      </c>
      <c r="C450" s="153" t="s">
        <v>2214</v>
      </c>
      <c r="D450" s="153">
        <v>140328.98887850469</v>
      </c>
      <c r="E450" s="153">
        <v>140328.98887850469</v>
      </c>
      <c r="F450" s="153">
        <f t="shared" ref="F450:F513" si="14">IF(NOT(H450),"",IF(AND(ISNUMBER(D450),ISNUMBER(E450)),E450-D450,IF(D450=E450,0,1)))</f>
        <v>0</v>
      </c>
      <c r="G450" s="153" t="str">
        <f t="shared" ref="G450:G513" si="15">IF(NOT(H450),"PENDIENTE SIDE",IF(IF(AND(ISNUMBER(D450),ISNUMBER(E450)),IF(MOD(D450,1)=0,D450=E450,ABS(D450-E450)&lt;=0.000000001*MAX(1,ABS(D450),ABS(E450))),D450=E450),"OK","DIFERENCIA"))</f>
        <v>OK</v>
      </c>
      <c r="H450" s="153" t="b">
        <v>1</v>
      </c>
    </row>
    <row r="451" spans="1:8" x14ac:dyDescent="0.3">
      <c r="A451" s="153" t="s">
        <v>2215</v>
      </c>
      <c r="B451" s="153" t="s">
        <v>1352</v>
      </c>
      <c r="C451" s="153" t="s">
        <v>2216</v>
      </c>
      <c r="D451" s="153">
        <v>7863</v>
      </c>
      <c r="E451" s="153">
        <v>7863</v>
      </c>
      <c r="F451" s="153">
        <f t="shared" si="14"/>
        <v>0</v>
      </c>
      <c r="G451" s="153" t="str">
        <f t="shared" si="15"/>
        <v>OK</v>
      </c>
      <c r="H451" s="153" t="b">
        <v>1</v>
      </c>
    </row>
    <row r="452" spans="1:8" x14ac:dyDescent="0.3">
      <c r="A452" s="153" t="s">
        <v>2217</v>
      </c>
      <c r="B452" s="153" t="s">
        <v>1352</v>
      </c>
      <c r="C452" s="153" t="s">
        <v>2218</v>
      </c>
      <c r="D452" s="153">
        <v>0</v>
      </c>
      <c r="E452" s="153">
        <v>0</v>
      </c>
      <c r="F452" s="153">
        <f t="shared" si="14"/>
        <v>0</v>
      </c>
      <c r="G452" s="153" t="str">
        <f t="shared" si="15"/>
        <v>OK</v>
      </c>
      <c r="H452" s="153" t="b">
        <v>1</v>
      </c>
    </row>
    <row r="453" spans="1:8" x14ac:dyDescent="0.3">
      <c r="A453" s="153" t="s">
        <v>2219</v>
      </c>
      <c r="B453" s="153" t="s">
        <v>1352</v>
      </c>
      <c r="C453" s="153" t="s">
        <v>2220</v>
      </c>
      <c r="D453" s="153">
        <v>-60883.988878504657</v>
      </c>
      <c r="E453" s="153">
        <v>-60883.988878504657</v>
      </c>
      <c r="F453" s="153">
        <f t="shared" si="14"/>
        <v>0</v>
      </c>
      <c r="G453" s="153" t="str">
        <f t="shared" si="15"/>
        <v>OK</v>
      </c>
      <c r="H453" s="153" t="b">
        <v>1</v>
      </c>
    </row>
    <row r="454" spans="1:8" x14ac:dyDescent="0.3">
      <c r="A454" s="153" t="s">
        <v>2221</v>
      </c>
      <c r="B454" s="153" t="s">
        <v>1352</v>
      </c>
      <c r="C454" s="153" t="s">
        <v>2222</v>
      </c>
      <c r="D454" s="153">
        <v>-7863</v>
      </c>
      <c r="E454" s="153">
        <v>-7863</v>
      </c>
      <c r="F454" s="153">
        <f t="shared" si="14"/>
        <v>0</v>
      </c>
      <c r="G454" s="153" t="str">
        <f t="shared" si="15"/>
        <v>OK</v>
      </c>
      <c r="H454" s="153" t="b">
        <v>1</v>
      </c>
    </row>
    <row r="455" spans="1:8" x14ac:dyDescent="0.3">
      <c r="A455" s="153" t="s">
        <v>2223</v>
      </c>
      <c r="B455" s="153" t="s">
        <v>1352</v>
      </c>
      <c r="C455" s="153" t="s">
        <v>2224</v>
      </c>
      <c r="D455" s="153">
        <v>-68746.988878504606</v>
      </c>
      <c r="E455" s="153">
        <v>-68746.988878504606</v>
      </c>
      <c r="F455" s="153">
        <f t="shared" si="14"/>
        <v>0</v>
      </c>
      <c r="G455" s="153" t="str">
        <f t="shared" si="15"/>
        <v>OK</v>
      </c>
      <c r="H455" s="153" t="b">
        <v>1</v>
      </c>
    </row>
    <row r="456" spans="1:8" x14ac:dyDescent="0.3">
      <c r="A456" s="153" t="s">
        <v>2225</v>
      </c>
      <c r="B456" s="153" t="s">
        <v>1352</v>
      </c>
      <c r="C456" s="153" t="s">
        <v>2226</v>
      </c>
      <c r="D456" s="153">
        <v>931253.01112149539</v>
      </c>
      <c r="E456" s="153">
        <v>931253.01112149539</v>
      </c>
      <c r="F456" s="153">
        <f t="shared" si="14"/>
        <v>0</v>
      </c>
      <c r="G456" s="153" t="str">
        <f t="shared" si="15"/>
        <v>OK</v>
      </c>
      <c r="H456" s="153" t="b">
        <v>1</v>
      </c>
    </row>
    <row r="457" spans="1:8" x14ac:dyDescent="0.3">
      <c r="A457" s="153" t="s">
        <v>2227</v>
      </c>
      <c r="B457" s="153" t="s">
        <v>1352</v>
      </c>
      <c r="C457" s="153" t="s">
        <v>2228</v>
      </c>
      <c r="D457" s="153">
        <v>931253.01112149539</v>
      </c>
      <c r="E457" s="153">
        <v>931253.01112149539</v>
      </c>
      <c r="F457" s="153">
        <f t="shared" si="14"/>
        <v>0</v>
      </c>
      <c r="G457" s="153" t="str">
        <f t="shared" si="15"/>
        <v>OK</v>
      </c>
      <c r="H457" s="153" t="b">
        <v>1</v>
      </c>
    </row>
    <row r="458" spans="1:8" x14ac:dyDescent="0.3">
      <c r="A458" s="153" t="s">
        <v>2229</v>
      </c>
      <c r="B458" s="153" t="s">
        <v>1352</v>
      </c>
      <c r="C458" s="153" t="s">
        <v>2230</v>
      </c>
      <c r="D458" s="153">
        <v>7435.875</v>
      </c>
      <c r="E458" s="153">
        <v>7435.875</v>
      </c>
      <c r="F458" s="153">
        <f t="shared" si="14"/>
        <v>0</v>
      </c>
      <c r="G458" s="153" t="str">
        <f t="shared" si="15"/>
        <v>OK</v>
      </c>
      <c r="H458" s="153" t="b">
        <v>1</v>
      </c>
    </row>
    <row r="459" spans="1:8" x14ac:dyDescent="0.3">
      <c r="A459" s="153" t="s">
        <v>2231</v>
      </c>
      <c r="B459" s="153" t="s">
        <v>1352</v>
      </c>
      <c r="C459" s="153" t="s">
        <v>2232</v>
      </c>
      <c r="D459" s="153">
        <v>73389.637399999992</v>
      </c>
      <c r="E459" s="153">
        <v>73389.637399999992</v>
      </c>
      <c r="F459" s="153">
        <f t="shared" si="14"/>
        <v>0</v>
      </c>
      <c r="G459" s="153" t="str">
        <f t="shared" si="15"/>
        <v>OK</v>
      </c>
      <c r="H459" s="153" t="b">
        <v>1</v>
      </c>
    </row>
    <row r="460" spans="1:8" x14ac:dyDescent="0.3">
      <c r="A460" s="153" t="s">
        <v>2233</v>
      </c>
      <c r="B460" s="153" t="s">
        <v>1352</v>
      </c>
      <c r="C460" s="153" t="s">
        <v>2234</v>
      </c>
      <c r="D460" s="153">
        <v>1012078.5235214951</v>
      </c>
      <c r="E460" s="153">
        <v>1012078.5235214951</v>
      </c>
      <c r="F460" s="153">
        <f t="shared" si="14"/>
        <v>0</v>
      </c>
      <c r="G460" s="153" t="str">
        <f t="shared" si="15"/>
        <v>OK</v>
      </c>
      <c r="H460" s="153" t="b">
        <v>1</v>
      </c>
    </row>
    <row r="461" spans="1:8" x14ac:dyDescent="0.3">
      <c r="A461" s="153" t="s">
        <v>2235</v>
      </c>
      <c r="B461" s="153" t="s">
        <v>1352</v>
      </c>
      <c r="C461" s="153" t="s">
        <v>2236</v>
      </c>
      <c r="D461" s="153">
        <v>0</v>
      </c>
      <c r="E461" s="153">
        <v>0</v>
      </c>
      <c r="F461" s="153">
        <f t="shared" si="14"/>
        <v>0</v>
      </c>
      <c r="G461" s="153" t="str">
        <f t="shared" si="15"/>
        <v>OK</v>
      </c>
      <c r="H461" s="153" t="b">
        <v>1</v>
      </c>
    </row>
    <row r="462" spans="1:8" x14ac:dyDescent="0.3">
      <c r="A462" s="153" t="s">
        <v>2237</v>
      </c>
      <c r="B462" s="153" t="s">
        <v>1352</v>
      </c>
      <c r="C462" s="153" t="s">
        <v>2238</v>
      </c>
      <c r="D462" s="153">
        <v>1012078.5235214951</v>
      </c>
      <c r="E462" s="153">
        <v>1012078.5235214951</v>
      </c>
      <c r="F462" s="153">
        <f t="shared" si="14"/>
        <v>0</v>
      </c>
      <c r="G462" s="153" t="str">
        <f t="shared" si="15"/>
        <v>OK</v>
      </c>
      <c r="H462" s="153" t="b">
        <v>1</v>
      </c>
    </row>
    <row r="463" spans="1:8" x14ac:dyDescent="0.3">
      <c r="A463" s="153" t="s">
        <v>2239</v>
      </c>
      <c r="B463" s="153" t="s">
        <v>1352</v>
      </c>
      <c r="C463" s="153" t="s">
        <v>2240</v>
      </c>
      <c r="D463" s="153">
        <v>1012078.5235214951</v>
      </c>
      <c r="E463" s="153">
        <v>1012078.5235214951</v>
      </c>
      <c r="F463" s="153">
        <f t="shared" si="14"/>
        <v>0</v>
      </c>
      <c r="G463" s="153" t="str">
        <f t="shared" si="15"/>
        <v>OK</v>
      </c>
      <c r="H463" s="153" t="b">
        <v>1</v>
      </c>
    </row>
    <row r="464" spans="1:8" x14ac:dyDescent="0.3">
      <c r="A464" s="153" t="s">
        <v>2241</v>
      </c>
      <c r="B464" s="153" t="s">
        <v>1352</v>
      </c>
      <c r="C464" s="153" t="s">
        <v>2242</v>
      </c>
      <c r="D464" s="153">
        <v>0</v>
      </c>
      <c r="E464" s="153">
        <v>0</v>
      </c>
      <c r="F464" s="153">
        <f t="shared" si="14"/>
        <v>0</v>
      </c>
      <c r="G464" s="153" t="str">
        <f t="shared" si="15"/>
        <v>OK</v>
      </c>
      <c r="H464" s="153" t="b">
        <v>1</v>
      </c>
    </row>
    <row r="465" spans="1:8" x14ac:dyDescent="0.3">
      <c r="A465" s="153" t="s">
        <v>2243</v>
      </c>
      <c r="B465" s="153" t="s">
        <v>1352</v>
      </c>
      <c r="C465" s="153" t="s">
        <v>2244</v>
      </c>
      <c r="D465" s="153">
        <v>20</v>
      </c>
      <c r="E465" s="153">
        <v>20</v>
      </c>
      <c r="F465" s="153">
        <f t="shared" si="14"/>
        <v>0</v>
      </c>
      <c r="G465" s="153" t="str">
        <f t="shared" si="15"/>
        <v>OK</v>
      </c>
      <c r="H465" s="153" t="b">
        <v>1</v>
      </c>
    </row>
    <row r="466" spans="1:8" x14ac:dyDescent="0.3">
      <c r="A466" s="153" t="s">
        <v>2245</v>
      </c>
      <c r="B466" s="153" t="s">
        <v>1352</v>
      </c>
      <c r="C466" s="153" t="s">
        <v>2246</v>
      </c>
      <c r="D466" s="153">
        <v>0</v>
      </c>
      <c r="E466" s="153">
        <v>0</v>
      </c>
      <c r="F466" s="153">
        <f t="shared" si="14"/>
        <v>0</v>
      </c>
      <c r="G466" s="153" t="str">
        <f t="shared" si="15"/>
        <v>OK</v>
      </c>
      <c r="H466" s="153" t="b">
        <v>1</v>
      </c>
    </row>
    <row r="467" spans="1:8" x14ac:dyDescent="0.3">
      <c r="A467" s="153" t="s">
        <v>2247</v>
      </c>
      <c r="B467" s="153" t="s">
        <v>1352</v>
      </c>
      <c r="C467" s="153" t="s">
        <v>2248</v>
      </c>
      <c r="D467" s="153">
        <v>3</v>
      </c>
      <c r="E467" s="153">
        <v>3</v>
      </c>
      <c r="F467" s="153">
        <f t="shared" si="14"/>
        <v>0</v>
      </c>
      <c r="G467" s="153" t="str">
        <f t="shared" si="15"/>
        <v>OK</v>
      </c>
      <c r="H467" s="153" t="b">
        <v>1</v>
      </c>
    </row>
    <row r="468" spans="1:8" x14ac:dyDescent="0.3">
      <c r="A468" s="153" t="s">
        <v>2249</v>
      </c>
      <c r="B468" s="153" t="s">
        <v>1352</v>
      </c>
      <c r="C468" s="153" t="s">
        <v>2250</v>
      </c>
      <c r="D468" s="153">
        <v>0</v>
      </c>
      <c r="E468" s="153">
        <v>0</v>
      </c>
      <c r="F468" s="153">
        <f t="shared" si="14"/>
        <v>0</v>
      </c>
      <c r="G468" s="153" t="str">
        <f t="shared" si="15"/>
        <v>OK</v>
      </c>
      <c r="H468" s="153" t="b">
        <v>1</v>
      </c>
    </row>
    <row r="469" spans="1:8" x14ac:dyDescent="0.3">
      <c r="A469" s="153" t="s">
        <v>2251</v>
      </c>
      <c r="B469" s="153" t="s">
        <v>1352</v>
      </c>
      <c r="C469" s="153" t="s">
        <v>2252</v>
      </c>
      <c r="D469" s="153">
        <v>0</v>
      </c>
      <c r="E469" s="153">
        <v>0</v>
      </c>
      <c r="F469" s="153">
        <f t="shared" si="14"/>
        <v>0</v>
      </c>
      <c r="G469" s="153" t="str">
        <f t="shared" si="15"/>
        <v>OK</v>
      </c>
      <c r="H469" s="153" t="b">
        <v>1</v>
      </c>
    </row>
  </sheetData>
  <autoFilter ref="A1:H469" xr:uid="{00000000-0009-0000-0000-00000E000000}"/>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505"/>
  <sheetViews>
    <sheetView workbookViewId="0">
      <pane xSplit="3" ySplit="1" topLeftCell="D2" activePane="bottomRight" state="frozen"/>
      <selection pane="topRight"/>
      <selection pane="bottomLeft"/>
      <selection pane="bottomRight"/>
    </sheetView>
  </sheetViews>
  <sheetFormatPr baseColWidth="10" defaultColWidth="8.88671875" defaultRowHeight="14.4" x14ac:dyDescent="0.3"/>
  <cols>
    <col min="1" max="1" width="42" customWidth="1"/>
    <col min="2" max="2" width="28" customWidth="1"/>
    <col min="3" max="3" width="14" customWidth="1"/>
    <col min="4" max="5" width="24" customWidth="1"/>
    <col min="6" max="6" width="20" customWidth="1"/>
    <col min="7" max="7" width="22" customWidth="1"/>
  </cols>
  <sheetData>
    <row r="1" spans="1:8" x14ac:dyDescent="0.3">
      <c r="A1" s="154" t="s">
        <v>653</v>
      </c>
      <c r="B1" s="154" t="s">
        <v>654</v>
      </c>
      <c r="C1" s="154" t="s">
        <v>655</v>
      </c>
      <c r="D1" s="154" t="s">
        <v>656</v>
      </c>
      <c r="E1" s="154" t="s">
        <v>657</v>
      </c>
      <c r="F1" s="154" t="s">
        <v>658</v>
      </c>
      <c r="G1" s="154" t="s">
        <v>659</v>
      </c>
      <c r="H1" s="154" t="s">
        <v>660</v>
      </c>
    </row>
    <row r="2" spans="1:8" x14ac:dyDescent="0.3">
      <c r="A2" s="153" t="s">
        <v>1351</v>
      </c>
      <c r="B2" s="153" t="s">
        <v>2253</v>
      </c>
      <c r="C2" s="153" t="s">
        <v>1353</v>
      </c>
      <c r="D2" s="153">
        <v>12</v>
      </c>
      <c r="E2" s="153">
        <v>12</v>
      </c>
      <c r="F2" s="153">
        <f t="shared" ref="F2:F65" si="0">IF(NOT(H2),"",IF(AND(ISNUMBER(D2),ISNUMBER(E2)),E2-D2,IF(D2=E2,0,1)))</f>
        <v>0</v>
      </c>
      <c r="G2" s="153" t="str">
        <f t="shared" ref="G2:G65" si="1">IF(NOT(H2),"PENDIENTE SIDE",IF(IF(AND(ISNUMBER(D2),ISNUMBER(E2)),IF(MOD(D2,1)=0,D2=E2,ABS(D2-E2)&lt;=0.000000001*MAX(1,ABS(D2),ABS(E2))),D2=E2),"OK","DIFERENCIA"))</f>
        <v>OK</v>
      </c>
      <c r="H2" s="153" t="b">
        <v>1</v>
      </c>
    </row>
    <row r="3" spans="1:8" x14ac:dyDescent="0.3">
      <c r="A3" s="153" t="s">
        <v>1354</v>
      </c>
      <c r="B3" s="153" t="s">
        <v>2253</v>
      </c>
      <c r="C3" s="153" t="s">
        <v>1355</v>
      </c>
      <c r="D3" s="153">
        <v>17</v>
      </c>
      <c r="E3" s="153">
        <v>17</v>
      </c>
      <c r="F3" s="153">
        <f t="shared" si="0"/>
        <v>0</v>
      </c>
      <c r="G3" s="153" t="str">
        <f t="shared" si="1"/>
        <v>OK</v>
      </c>
      <c r="H3" s="153" t="b">
        <v>1</v>
      </c>
    </row>
    <row r="4" spans="1:8" x14ac:dyDescent="0.3">
      <c r="A4" s="153" t="s">
        <v>1356</v>
      </c>
      <c r="B4" s="153" t="s">
        <v>2253</v>
      </c>
      <c r="C4" s="153" t="s">
        <v>1357</v>
      </c>
      <c r="D4" s="153">
        <v>10</v>
      </c>
      <c r="E4" s="153">
        <v>10</v>
      </c>
      <c r="F4" s="153">
        <f t="shared" si="0"/>
        <v>0</v>
      </c>
      <c r="G4" s="153" t="str">
        <f t="shared" si="1"/>
        <v>OK</v>
      </c>
      <c r="H4" s="153" t="b">
        <v>1</v>
      </c>
    </row>
    <row r="5" spans="1:8" x14ac:dyDescent="0.3">
      <c r="A5" s="153" t="s">
        <v>1358</v>
      </c>
      <c r="B5" s="153" t="s">
        <v>2253</v>
      </c>
      <c r="C5" s="153" t="s">
        <v>1359</v>
      </c>
      <c r="D5" s="153">
        <v>-3</v>
      </c>
      <c r="E5" s="153">
        <v>-3</v>
      </c>
      <c r="F5" s="153">
        <f t="shared" si="0"/>
        <v>0</v>
      </c>
      <c r="G5" s="153" t="str">
        <f t="shared" si="1"/>
        <v>OK</v>
      </c>
      <c r="H5" s="153" t="b">
        <v>1</v>
      </c>
    </row>
    <row r="6" spans="1:8" x14ac:dyDescent="0.3">
      <c r="A6" s="153" t="s">
        <v>1360</v>
      </c>
      <c r="B6" s="153" t="s">
        <v>2253</v>
      </c>
      <c r="C6" s="153" t="s">
        <v>1361</v>
      </c>
      <c r="D6" s="153">
        <v>5</v>
      </c>
      <c r="E6" s="153">
        <v>5</v>
      </c>
      <c r="F6" s="153">
        <f t="shared" si="0"/>
        <v>0</v>
      </c>
      <c r="G6" s="153" t="str">
        <f t="shared" si="1"/>
        <v>OK</v>
      </c>
      <c r="H6" s="153" t="b">
        <v>1</v>
      </c>
    </row>
    <row r="7" spans="1:8" x14ac:dyDescent="0.3">
      <c r="A7" s="153" t="s">
        <v>1362</v>
      </c>
      <c r="B7" s="153" t="s">
        <v>2253</v>
      </c>
      <c r="C7" s="153" t="s">
        <v>1363</v>
      </c>
      <c r="D7" s="153">
        <v>129.6</v>
      </c>
      <c r="E7" s="153">
        <v>129.6</v>
      </c>
      <c r="F7" s="153">
        <f t="shared" si="0"/>
        <v>0</v>
      </c>
      <c r="G7" s="153" t="str">
        <f t="shared" si="1"/>
        <v>OK</v>
      </c>
      <c r="H7" s="153" t="b">
        <v>1</v>
      </c>
    </row>
    <row r="8" spans="1:8" x14ac:dyDescent="0.3">
      <c r="A8" s="153" t="s">
        <v>1364</v>
      </c>
      <c r="B8" s="153" t="s">
        <v>2253</v>
      </c>
      <c r="C8" s="153" t="s">
        <v>1365</v>
      </c>
      <c r="D8" s="153">
        <v>0.94000000000000006</v>
      </c>
      <c r="E8" s="153">
        <v>0.94000000000000006</v>
      </c>
      <c r="F8" s="153">
        <f t="shared" si="0"/>
        <v>0</v>
      </c>
      <c r="G8" s="153" t="str">
        <f t="shared" si="1"/>
        <v>OK</v>
      </c>
      <c r="H8" s="153" t="b">
        <v>1</v>
      </c>
    </row>
    <row r="9" spans="1:8" x14ac:dyDescent="0.3">
      <c r="A9" s="153" t="s">
        <v>1366</v>
      </c>
      <c r="B9" s="153" t="s">
        <v>2253</v>
      </c>
      <c r="C9" s="153" t="s">
        <v>1367</v>
      </c>
      <c r="D9" s="153">
        <v>122</v>
      </c>
      <c r="E9" s="153">
        <v>122</v>
      </c>
      <c r="F9" s="153">
        <f t="shared" si="0"/>
        <v>0</v>
      </c>
      <c r="G9" s="153" t="str">
        <f t="shared" si="1"/>
        <v>OK</v>
      </c>
      <c r="H9" s="153" t="b">
        <v>1</v>
      </c>
    </row>
    <row r="10" spans="1:8" x14ac:dyDescent="0.3">
      <c r="A10" s="153" t="s">
        <v>1368</v>
      </c>
      <c r="B10" s="153" t="s">
        <v>2253</v>
      </c>
      <c r="C10" s="153" t="s">
        <v>1369</v>
      </c>
      <c r="D10" s="153">
        <v>122</v>
      </c>
      <c r="E10" s="153">
        <v>122</v>
      </c>
      <c r="F10" s="153">
        <f t="shared" si="0"/>
        <v>0</v>
      </c>
      <c r="G10" s="153" t="str">
        <f t="shared" si="1"/>
        <v>OK</v>
      </c>
      <c r="H10" s="153" t="b">
        <v>1</v>
      </c>
    </row>
    <row r="11" spans="1:8" x14ac:dyDescent="0.3">
      <c r="A11" s="153" t="s">
        <v>1370</v>
      </c>
      <c r="B11" s="153" t="s">
        <v>2253</v>
      </c>
      <c r="C11" s="153" t="s">
        <v>1371</v>
      </c>
      <c r="D11" s="153">
        <v>85.399999999999991</v>
      </c>
      <c r="E11" s="153">
        <v>85.4</v>
      </c>
      <c r="F11" s="153">
        <f t="shared" si="0"/>
        <v>1.4210854715202004E-14</v>
      </c>
      <c r="G11" s="153" t="str">
        <f t="shared" si="1"/>
        <v>OK</v>
      </c>
      <c r="H11" s="153" t="b">
        <v>1</v>
      </c>
    </row>
    <row r="12" spans="1:8" x14ac:dyDescent="0.3">
      <c r="A12" s="153" t="s">
        <v>1372</v>
      </c>
      <c r="B12" s="153" t="s">
        <v>2253</v>
      </c>
      <c r="C12" s="153" t="s">
        <v>1373</v>
      </c>
      <c r="D12" s="153">
        <v>122</v>
      </c>
      <c r="E12" s="153">
        <v>122</v>
      </c>
      <c r="F12" s="153">
        <f t="shared" si="0"/>
        <v>0</v>
      </c>
      <c r="G12" s="153" t="str">
        <f t="shared" si="1"/>
        <v>OK</v>
      </c>
      <c r="H12" s="153" t="b">
        <v>1</v>
      </c>
    </row>
    <row r="13" spans="1:8" x14ac:dyDescent="0.3">
      <c r="A13" s="153" t="s">
        <v>1374</v>
      </c>
      <c r="B13" s="153" t="s">
        <v>2253</v>
      </c>
      <c r="C13" s="153" t="s">
        <v>1375</v>
      </c>
      <c r="D13" s="153">
        <v>1586</v>
      </c>
      <c r="E13" s="153">
        <v>1586</v>
      </c>
      <c r="F13" s="153">
        <f t="shared" si="0"/>
        <v>0</v>
      </c>
      <c r="G13" s="153" t="str">
        <f t="shared" si="1"/>
        <v>OK</v>
      </c>
      <c r="H13" s="153" t="b">
        <v>1</v>
      </c>
    </row>
    <row r="14" spans="1:8" x14ac:dyDescent="0.3">
      <c r="A14" s="153" t="s">
        <v>1376</v>
      </c>
      <c r="B14" s="153" t="s">
        <v>2253</v>
      </c>
      <c r="C14" s="153" t="s">
        <v>1377</v>
      </c>
      <c r="D14" s="153">
        <v>11106.32</v>
      </c>
      <c r="E14" s="153">
        <v>11106.32</v>
      </c>
      <c r="F14" s="153">
        <f t="shared" si="0"/>
        <v>0</v>
      </c>
      <c r="G14" s="153" t="str">
        <f t="shared" si="1"/>
        <v>OK</v>
      </c>
      <c r="H14" s="153" t="b">
        <v>1</v>
      </c>
    </row>
    <row r="15" spans="1:8" x14ac:dyDescent="0.3">
      <c r="A15" s="153" t="s">
        <v>1378</v>
      </c>
      <c r="B15" s="153" t="s">
        <v>2253</v>
      </c>
      <c r="C15" s="153" t="s">
        <v>1379</v>
      </c>
      <c r="D15" s="153">
        <v>16984.156800000001</v>
      </c>
      <c r="E15" s="153">
        <v>16984.156800000001</v>
      </c>
      <c r="F15" s="153">
        <f t="shared" si="0"/>
        <v>0</v>
      </c>
      <c r="G15" s="153" t="str">
        <f t="shared" si="1"/>
        <v>OK</v>
      </c>
      <c r="H15" s="153" t="b">
        <v>1</v>
      </c>
    </row>
    <row r="16" spans="1:8" x14ac:dyDescent="0.3">
      <c r="A16" s="153" t="s">
        <v>1380</v>
      </c>
      <c r="B16" s="153" t="s">
        <v>2253</v>
      </c>
      <c r="C16" s="153" t="s">
        <v>1381</v>
      </c>
      <c r="D16" s="153">
        <v>31.25</v>
      </c>
      <c r="E16" s="153">
        <v>31.25</v>
      </c>
      <c r="F16" s="153">
        <f t="shared" si="0"/>
        <v>0</v>
      </c>
      <c r="G16" s="153" t="str">
        <f t="shared" si="1"/>
        <v>OK</v>
      </c>
      <c r="H16" s="153" t="b">
        <v>1</v>
      </c>
    </row>
    <row r="17" spans="1:8" x14ac:dyDescent="0.3">
      <c r="A17" s="153" t="s">
        <v>1382</v>
      </c>
      <c r="B17" s="153" t="s">
        <v>2253</v>
      </c>
      <c r="C17" s="153" t="s">
        <v>1383</v>
      </c>
      <c r="D17" s="153">
        <v>64.125</v>
      </c>
      <c r="E17" s="153">
        <v>64.125</v>
      </c>
      <c r="F17" s="153">
        <f t="shared" si="0"/>
        <v>0</v>
      </c>
      <c r="G17" s="153" t="str">
        <f t="shared" si="1"/>
        <v>OK</v>
      </c>
      <c r="H17" s="153" t="b">
        <v>1</v>
      </c>
    </row>
    <row r="18" spans="1:8" x14ac:dyDescent="0.3">
      <c r="A18" s="153" t="s">
        <v>1384</v>
      </c>
      <c r="B18" s="153" t="s">
        <v>2253</v>
      </c>
      <c r="C18" s="153" t="s">
        <v>1385</v>
      </c>
      <c r="D18" s="153">
        <v>20</v>
      </c>
      <c r="E18" s="153">
        <v>20</v>
      </c>
      <c r="F18" s="153">
        <f t="shared" si="0"/>
        <v>0</v>
      </c>
      <c r="G18" s="153" t="str">
        <f t="shared" si="1"/>
        <v>OK</v>
      </c>
      <c r="H18" s="153" t="b">
        <v>1</v>
      </c>
    </row>
    <row r="19" spans="1:8" x14ac:dyDescent="0.3">
      <c r="A19" s="153" t="s">
        <v>1386</v>
      </c>
      <c r="B19" s="153" t="s">
        <v>2253</v>
      </c>
      <c r="C19" s="153" t="s">
        <v>1387</v>
      </c>
      <c r="D19" s="153">
        <v>22</v>
      </c>
      <c r="E19" s="153">
        <v>22</v>
      </c>
      <c r="F19" s="153">
        <f t="shared" si="0"/>
        <v>0</v>
      </c>
      <c r="G19" s="153" t="str">
        <f t="shared" si="1"/>
        <v>OK</v>
      </c>
      <c r="H19" s="153" t="b">
        <v>1</v>
      </c>
    </row>
    <row r="20" spans="1:8" x14ac:dyDescent="0.3">
      <c r="A20" s="153" t="s">
        <v>1388</v>
      </c>
      <c r="B20" s="153" t="s">
        <v>2253</v>
      </c>
      <c r="C20" s="153" t="s">
        <v>1391</v>
      </c>
      <c r="D20" s="153">
        <v>9</v>
      </c>
      <c r="E20" s="153">
        <v>9</v>
      </c>
      <c r="F20" s="153">
        <f t="shared" si="0"/>
        <v>0</v>
      </c>
      <c r="G20" s="153" t="str">
        <f t="shared" si="1"/>
        <v>OK</v>
      </c>
      <c r="H20" s="153" t="b">
        <v>1</v>
      </c>
    </row>
    <row r="21" spans="1:8" x14ac:dyDescent="0.3">
      <c r="A21" s="153" t="s">
        <v>1390</v>
      </c>
      <c r="B21" s="153" t="s">
        <v>2253</v>
      </c>
      <c r="C21" s="153" t="s">
        <v>1393</v>
      </c>
      <c r="D21" s="153">
        <v>10</v>
      </c>
      <c r="E21" s="153">
        <v>10</v>
      </c>
      <c r="F21" s="153">
        <f t="shared" si="0"/>
        <v>0</v>
      </c>
      <c r="G21" s="153" t="str">
        <f t="shared" si="1"/>
        <v>OK</v>
      </c>
      <c r="H21" s="153" t="b">
        <v>1</v>
      </c>
    </row>
    <row r="22" spans="1:8" x14ac:dyDescent="0.3">
      <c r="A22" s="153" t="s">
        <v>1392</v>
      </c>
      <c r="B22" s="153" t="s">
        <v>2253</v>
      </c>
      <c r="C22" s="153" t="s">
        <v>1395</v>
      </c>
      <c r="D22" s="153">
        <v>10</v>
      </c>
      <c r="E22" s="153">
        <v>10</v>
      </c>
      <c r="F22" s="153">
        <f t="shared" si="0"/>
        <v>0</v>
      </c>
      <c r="G22" s="153" t="str">
        <f t="shared" si="1"/>
        <v>OK</v>
      </c>
      <c r="H22" s="153" t="b">
        <v>1</v>
      </c>
    </row>
    <row r="23" spans="1:8" x14ac:dyDescent="0.3">
      <c r="A23" s="153" t="s">
        <v>1394</v>
      </c>
      <c r="B23" s="153" t="s">
        <v>2253</v>
      </c>
      <c r="C23" s="153" t="s">
        <v>1397</v>
      </c>
      <c r="D23" s="153">
        <v>3500</v>
      </c>
      <c r="E23" s="153">
        <v>3500</v>
      </c>
      <c r="F23" s="153">
        <f t="shared" si="0"/>
        <v>0</v>
      </c>
      <c r="G23" s="153" t="str">
        <f t="shared" si="1"/>
        <v>OK</v>
      </c>
      <c r="H23" s="153" t="b">
        <v>1</v>
      </c>
    </row>
    <row r="24" spans="1:8" x14ac:dyDescent="0.3">
      <c r="A24" s="153" t="s">
        <v>1396</v>
      </c>
      <c r="B24" s="153" t="s">
        <v>2253</v>
      </c>
      <c r="C24" s="153" t="s">
        <v>2254</v>
      </c>
      <c r="D24" s="153">
        <v>112</v>
      </c>
      <c r="E24" s="153">
        <v>112</v>
      </c>
      <c r="F24" s="153">
        <f t="shared" si="0"/>
        <v>0</v>
      </c>
      <c r="G24" s="153" t="str">
        <f t="shared" si="1"/>
        <v>OK</v>
      </c>
      <c r="H24" s="153" t="b">
        <v>1</v>
      </c>
    </row>
    <row r="25" spans="1:8" x14ac:dyDescent="0.3">
      <c r="A25" s="153" t="s">
        <v>1398</v>
      </c>
      <c r="B25" s="153" t="s">
        <v>2253</v>
      </c>
      <c r="C25" s="153" t="s">
        <v>1399</v>
      </c>
      <c r="D25" s="153">
        <v>224</v>
      </c>
      <c r="E25" s="153">
        <v>224</v>
      </c>
      <c r="F25" s="153">
        <f t="shared" si="0"/>
        <v>0</v>
      </c>
      <c r="G25" s="153" t="str">
        <f t="shared" si="1"/>
        <v>OK</v>
      </c>
      <c r="H25" s="153" t="b">
        <v>1</v>
      </c>
    </row>
    <row r="26" spans="1:8" x14ac:dyDescent="0.3">
      <c r="A26" s="153" t="s">
        <v>1400</v>
      </c>
      <c r="B26" s="153" t="s">
        <v>2253</v>
      </c>
      <c r="C26" s="153" t="s">
        <v>1401</v>
      </c>
      <c r="D26" s="153">
        <v>1775.190491803279</v>
      </c>
      <c r="E26" s="153">
        <v>1775.190491803279</v>
      </c>
      <c r="F26" s="153">
        <f t="shared" si="0"/>
        <v>0</v>
      </c>
      <c r="G26" s="153" t="str">
        <f t="shared" si="1"/>
        <v>OK</v>
      </c>
      <c r="H26" s="153" t="b">
        <v>1</v>
      </c>
    </row>
    <row r="27" spans="1:8" x14ac:dyDescent="0.3">
      <c r="A27" s="153" t="s">
        <v>1402</v>
      </c>
      <c r="B27" s="153" t="s">
        <v>2253</v>
      </c>
      <c r="C27" s="153" t="s">
        <v>1403</v>
      </c>
      <c r="D27" s="153">
        <v>0</v>
      </c>
      <c r="E27" s="153">
        <v>0</v>
      </c>
      <c r="F27" s="153">
        <f t="shared" si="0"/>
        <v>0</v>
      </c>
      <c r="G27" s="153" t="str">
        <f t="shared" si="1"/>
        <v>OK</v>
      </c>
      <c r="H27" s="153" t="b">
        <v>1</v>
      </c>
    </row>
    <row r="28" spans="1:8" x14ac:dyDescent="0.3">
      <c r="A28" s="153" t="s">
        <v>1404</v>
      </c>
      <c r="B28" s="153" t="s">
        <v>2253</v>
      </c>
      <c r="C28" s="153" t="s">
        <v>1405</v>
      </c>
      <c r="D28" s="153">
        <v>13500</v>
      </c>
      <c r="E28" s="153">
        <v>13500</v>
      </c>
      <c r="F28" s="153">
        <f t="shared" si="0"/>
        <v>0</v>
      </c>
      <c r="G28" s="153" t="str">
        <f t="shared" si="1"/>
        <v>OK</v>
      </c>
      <c r="H28" s="153" t="b">
        <v>1</v>
      </c>
    </row>
    <row r="29" spans="1:8" x14ac:dyDescent="0.3">
      <c r="A29" s="153" t="s">
        <v>1406</v>
      </c>
      <c r="B29" s="153" t="s">
        <v>2253</v>
      </c>
      <c r="C29" s="153" t="s">
        <v>1407</v>
      </c>
      <c r="D29" s="153">
        <v>43685.042291803278</v>
      </c>
      <c r="E29" s="153">
        <v>43685.042291803278</v>
      </c>
      <c r="F29" s="153">
        <f t="shared" si="0"/>
        <v>0</v>
      </c>
      <c r="G29" s="153" t="str">
        <f t="shared" si="1"/>
        <v>OK</v>
      </c>
      <c r="H29" s="153" t="b">
        <v>1</v>
      </c>
    </row>
    <row r="30" spans="1:8" x14ac:dyDescent="0.3">
      <c r="A30" s="153" t="s">
        <v>1408</v>
      </c>
      <c r="B30" s="153" t="s">
        <v>2253</v>
      </c>
      <c r="C30" s="153" t="s">
        <v>1409</v>
      </c>
      <c r="D30" s="153">
        <v>-40185.042291803278</v>
      </c>
      <c r="E30" s="153">
        <v>-40185.042291803278</v>
      </c>
      <c r="F30" s="153">
        <f t="shared" si="0"/>
        <v>0</v>
      </c>
      <c r="G30" s="153" t="str">
        <f t="shared" si="1"/>
        <v>OK</v>
      </c>
      <c r="H30" s="153" t="b">
        <v>1</v>
      </c>
    </row>
    <row r="31" spans="1:8" x14ac:dyDescent="0.3">
      <c r="A31" s="153" t="s">
        <v>1410</v>
      </c>
      <c r="B31" s="153" t="s">
        <v>2253</v>
      </c>
      <c r="C31" s="153" t="s">
        <v>1411</v>
      </c>
      <c r="D31" s="153">
        <v>0</v>
      </c>
      <c r="E31" s="153">
        <v>0</v>
      </c>
      <c r="F31" s="153">
        <f t="shared" si="0"/>
        <v>0</v>
      </c>
      <c r="G31" s="153" t="str">
        <f t="shared" si="1"/>
        <v>OK</v>
      </c>
      <c r="H31" s="153" t="b">
        <v>1</v>
      </c>
    </row>
    <row r="32" spans="1:8" x14ac:dyDescent="0.3">
      <c r="A32" s="153" t="s">
        <v>1412</v>
      </c>
      <c r="B32" s="153" t="s">
        <v>2253</v>
      </c>
      <c r="C32" s="153" t="s">
        <v>1413</v>
      </c>
      <c r="D32" s="153">
        <v>3</v>
      </c>
      <c r="E32" s="153">
        <v>3</v>
      </c>
      <c r="F32" s="153">
        <f t="shared" si="0"/>
        <v>0</v>
      </c>
      <c r="G32" s="153" t="str">
        <f t="shared" si="1"/>
        <v>OK</v>
      </c>
      <c r="H32" s="153" t="b">
        <v>1</v>
      </c>
    </row>
    <row r="33" spans="1:8" x14ac:dyDescent="0.3">
      <c r="A33" s="153" t="s">
        <v>1414</v>
      </c>
      <c r="B33" s="153" t="s">
        <v>2253</v>
      </c>
      <c r="C33" s="153" t="s">
        <v>1415</v>
      </c>
      <c r="D33" s="153">
        <v>0</v>
      </c>
      <c r="E33" s="153">
        <v>0</v>
      </c>
      <c r="F33" s="153">
        <f t="shared" si="0"/>
        <v>0</v>
      </c>
      <c r="G33" s="153" t="str">
        <f t="shared" si="1"/>
        <v>OK</v>
      </c>
      <c r="H33" s="153" t="b">
        <v>1</v>
      </c>
    </row>
    <row r="34" spans="1:8" x14ac:dyDescent="0.3">
      <c r="A34" s="153" t="s">
        <v>1416</v>
      </c>
      <c r="B34" s="153" t="s">
        <v>2253</v>
      </c>
      <c r="C34" s="153" t="s">
        <v>1417</v>
      </c>
      <c r="D34" s="153">
        <v>0</v>
      </c>
      <c r="E34" s="153">
        <v>0</v>
      </c>
      <c r="F34" s="153">
        <f t="shared" si="0"/>
        <v>0</v>
      </c>
      <c r="G34" s="153" t="str">
        <f t="shared" si="1"/>
        <v>OK</v>
      </c>
      <c r="H34" s="153" t="b">
        <v>1</v>
      </c>
    </row>
    <row r="35" spans="1:8" x14ac:dyDescent="0.3">
      <c r="A35" s="153" t="s">
        <v>1418</v>
      </c>
      <c r="B35" s="153" t="s">
        <v>2253</v>
      </c>
      <c r="C35" s="153" t="s">
        <v>1419</v>
      </c>
      <c r="D35" s="153">
        <v>414.6</v>
      </c>
      <c r="E35" s="153">
        <v>414.6</v>
      </c>
      <c r="F35" s="153">
        <f t="shared" si="0"/>
        <v>0</v>
      </c>
      <c r="G35" s="153" t="str">
        <f t="shared" si="1"/>
        <v>OK</v>
      </c>
      <c r="H35" s="153" t="b">
        <v>1</v>
      </c>
    </row>
    <row r="36" spans="1:8" x14ac:dyDescent="0.3">
      <c r="A36" s="153" t="s">
        <v>1420</v>
      </c>
      <c r="B36" s="153" t="s">
        <v>2253</v>
      </c>
      <c r="C36" s="153" t="s">
        <v>1421</v>
      </c>
      <c r="D36" s="153">
        <v>0</v>
      </c>
      <c r="E36" s="153">
        <v>0</v>
      </c>
      <c r="F36" s="153">
        <f t="shared" si="0"/>
        <v>0</v>
      </c>
      <c r="G36" s="153" t="str">
        <f t="shared" si="1"/>
        <v>OK</v>
      </c>
      <c r="H36" s="153" t="b">
        <v>1</v>
      </c>
    </row>
    <row r="37" spans="1:8" x14ac:dyDescent="0.3">
      <c r="A37" s="153" t="s">
        <v>1422</v>
      </c>
      <c r="B37" s="153" t="s">
        <v>2253</v>
      </c>
      <c r="C37" s="153" t="s">
        <v>1423</v>
      </c>
      <c r="D37" s="153">
        <v>878</v>
      </c>
      <c r="E37" s="153">
        <v>878</v>
      </c>
      <c r="F37" s="153">
        <f t="shared" si="0"/>
        <v>0</v>
      </c>
      <c r="G37" s="153" t="str">
        <f t="shared" si="1"/>
        <v>OK</v>
      </c>
      <c r="H37" s="153" t="b">
        <v>1</v>
      </c>
    </row>
    <row r="38" spans="1:8" x14ac:dyDescent="0.3">
      <c r="A38" s="153" t="s">
        <v>1424</v>
      </c>
      <c r="B38" s="153" t="s">
        <v>2253</v>
      </c>
      <c r="C38" s="153" t="s">
        <v>1425</v>
      </c>
      <c r="D38" s="153">
        <v>0</v>
      </c>
      <c r="E38" s="153">
        <v>0</v>
      </c>
      <c r="F38" s="153">
        <f t="shared" si="0"/>
        <v>0</v>
      </c>
      <c r="G38" s="153" t="str">
        <f t="shared" si="1"/>
        <v>OK</v>
      </c>
      <c r="H38" s="153" t="b">
        <v>1</v>
      </c>
    </row>
    <row r="39" spans="1:8" x14ac:dyDescent="0.3">
      <c r="A39" s="153" t="s">
        <v>1426</v>
      </c>
      <c r="B39" s="153" t="s">
        <v>2253</v>
      </c>
      <c r="C39" s="153" t="s">
        <v>1427</v>
      </c>
      <c r="D39" s="153">
        <v>0</v>
      </c>
      <c r="E39" s="153">
        <v>0</v>
      </c>
      <c r="F39" s="153">
        <f t="shared" si="0"/>
        <v>0</v>
      </c>
      <c r="G39" s="153" t="str">
        <f t="shared" si="1"/>
        <v>OK</v>
      </c>
      <c r="H39" s="153" t="b">
        <v>1</v>
      </c>
    </row>
    <row r="40" spans="1:8" x14ac:dyDescent="0.3">
      <c r="A40" s="153" t="s">
        <v>1428</v>
      </c>
      <c r="B40" s="153" t="s">
        <v>2253</v>
      </c>
      <c r="C40" s="153" t="s">
        <v>1429</v>
      </c>
      <c r="D40" s="153">
        <v>13414</v>
      </c>
      <c r="E40" s="153">
        <v>13414</v>
      </c>
      <c r="F40" s="153">
        <f t="shared" si="0"/>
        <v>0</v>
      </c>
      <c r="G40" s="153" t="str">
        <f t="shared" si="1"/>
        <v>OK</v>
      </c>
      <c r="H40" s="153" t="b">
        <v>1</v>
      </c>
    </row>
    <row r="41" spans="1:8" x14ac:dyDescent="0.3">
      <c r="A41" s="153" t="s">
        <v>1430</v>
      </c>
      <c r="B41" s="153" t="s">
        <v>2253</v>
      </c>
      <c r="C41" s="153" t="s">
        <v>1431</v>
      </c>
      <c r="D41" s="153" t="b">
        <v>0</v>
      </c>
      <c r="E41" s="153" t="b">
        <v>0</v>
      </c>
      <c r="F41" s="153">
        <f t="shared" si="0"/>
        <v>0</v>
      </c>
      <c r="G41" s="153" t="str">
        <f t="shared" si="1"/>
        <v>OK</v>
      </c>
      <c r="H41" s="153" t="b">
        <v>1</v>
      </c>
    </row>
    <row r="42" spans="1:8" x14ac:dyDescent="0.3">
      <c r="A42" s="153" t="s">
        <v>1432</v>
      </c>
      <c r="B42" s="153" t="s">
        <v>2253</v>
      </c>
      <c r="C42" s="153" t="s">
        <v>1433</v>
      </c>
      <c r="D42" s="153" t="b">
        <v>1</v>
      </c>
      <c r="E42" s="153" t="b">
        <v>1</v>
      </c>
      <c r="F42" s="153">
        <f t="shared" si="0"/>
        <v>0</v>
      </c>
      <c r="G42" s="153" t="str">
        <f t="shared" si="1"/>
        <v>OK</v>
      </c>
      <c r="H42" s="153" t="b">
        <v>1</v>
      </c>
    </row>
    <row r="43" spans="1:8" x14ac:dyDescent="0.3">
      <c r="A43" s="153" t="s">
        <v>1434</v>
      </c>
      <c r="B43" s="153" t="s">
        <v>2253</v>
      </c>
      <c r="C43" s="153" t="s">
        <v>1435</v>
      </c>
      <c r="D43" s="153" t="b">
        <v>0</v>
      </c>
      <c r="E43" s="153" t="b">
        <v>0</v>
      </c>
      <c r="F43" s="153">
        <f t="shared" si="0"/>
        <v>0</v>
      </c>
      <c r="G43" s="153" t="str">
        <f t="shared" si="1"/>
        <v>OK</v>
      </c>
      <c r="H43" s="153" t="b">
        <v>1</v>
      </c>
    </row>
    <row r="44" spans="1:8" x14ac:dyDescent="0.3">
      <c r="A44" s="153" t="s">
        <v>1436</v>
      </c>
      <c r="B44" s="153" t="s">
        <v>2253</v>
      </c>
      <c r="C44" s="153" t="s">
        <v>1437</v>
      </c>
      <c r="D44" s="153" t="b">
        <v>0</v>
      </c>
      <c r="E44" s="153" t="b">
        <v>0</v>
      </c>
      <c r="F44" s="153">
        <f t="shared" si="0"/>
        <v>0</v>
      </c>
      <c r="G44" s="153" t="str">
        <f t="shared" si="1"/>
        <v>OK</v>
      </c>
      <c r="H44" s="153" t="b">
        <v>1</v>
      </c>
    </row>
    <row r="45" spans="1:8" x14ac:dyDescent="0.3">
      <c r="A45" s="153" t="s">
        <v>1438</v>
      </c>
      <c r="B45" s="153" t="s">
        <v>2253</v>
      </c>
      <c r="C45" s="153" t="s">
        <v>1439</v>
      </c>
      <c r="D45" s="153" t="b">
        <v>1</v>
      </c>
      <c r="E45" s="153" t="b">
        <v>1</v>
      </c>
      <c r="F45" s="153">
        <f t="shared" si="0"/>
        <v>0</v>
      </c>
      <c r="G45" s="153" t="str">
        <f t="shared" si="1"/>
        <v>OK</v>
      </c>
      <c r="H45" s="153" t="b">
        <v>1</v>
      </c>
    </row>
    <row r="46" spans="1:8" x14ac:dyDescent="0.3">
      <c r="A46" s="153" t="s">
        <v>1440</v>
      </c>
      <c r="B46" s="153" t="s">
        <v>2253</v>
      </c>
      <c r="C46" s="153" t="s">
        <v>1441</v>
      </c>
      <c r="D46" s="153" t="b">
        <v>1</v>
      </c>
      <c r="E46" s="153" t="b">
        <v>1</v>
      </c>
      <c r="F46" s="153">
        <f t="shared" si="0"/>
        <v>0</v>
      </c>
      <c r="G46" s="153" t="str">
        <f t="shared" si="1"/>
        <v>OK</v>
      </c>
      <c r="H46" s="153" t="b">
        <v>1</v>
      </c>
    </row>
    <row r="47" spans="1:8" x14ac:dyDescent="0.3">
      <c r="A47" s="153" t="s">
        <v>1442</v>
      </c>
      <c r="B47" s="153" t="s">
        <v>2253</v>
      </c>
      <c r="C47" s="153" t="s">
        <v>1443</v>
      </c>
      <c r="D47" s="153" t="b">
        <v>1</v>
      </c>
      <c r="E47" s="153" t="b">
        <v>1</v>
      </c>
      <c r="F47" s="153">
        <f t="shared" si="0"/>
        <v>0</v>
      </c>
      <c r="G47" s="153" t="str">
        <f t="shared" si="1"/>
        <v>OK</v>
      </c>
      <c r="H47" s="153" t="b">
        <v>1</v>
      </c>
    </row>
    <row r="48" spans="1:8" x14ac:dyDescent="0.3">
      <c r="A48" s="153" t="s">
        <v>1444</v>
      </c>
      <c r="B48" s="153" t="s">
        <v>2253</v>
      </c>
      <c r="C48" s="153" t="s">
        <v>1445</v>
      </c>
      <c r="D48" s="153" t="b">
        <v>0</v>
      </c>
      <c r="E48" s="153" t="b">
        <v>0</v>
      </c>
      <c r="F48" s="153">
        <f t="shared" si="0"/>
        <v>0</v>
      </c>
      <c r="G48" s="153" t="str">
        <f t="shared" si="1"/>
        <v>OK</v>
      </c>
      <c r="H48" s="153" t="b">
        <v>1</v>
      </c>
    </row>
    <row r="49" spans="1:8" x14ac:dyDescent="0.3">
      <c r="A49" s="153" t="s">
        <v>1446</v>
      </c>
      <c r="B49" s="153" t="s">
        <v>2253</v>
      </c>
      <c r="C49" s="153" t="s">
        <v>1447</v>
      </c>
      <c r="D49" s="153">
        <v>0</v>
      </c>
      <c r="E49" s="153">
        <v>0</v>
      </c>
      <c r="F49" s="153">
        <f t="shared" si="0"/>
        <v>0</v>
      </c>
      <c r="G49" s="153" t="str">
        <f t="shared" si="1"/>
        <v>OK</v>
      </c>
      <c r="H49" s="153" t="b">
        <v>1</v>
      </c>
    </row>
    <row r="50" spans="1:8" x14ac:dyDescent="0.3">
      <c r="A50" s="153" t="s">
        <v>1448</v>
      </c>
      <c r="B50" s="153" t="s">
        <v>2253</v>
      </c>
      <c r="C50" s="153" t="s">
        <v>1449</v>
      </c>
      <c r="D50" s="153">
        <v>20</v>
      </c>
      <c r="E50" s="153">
        <v>20</v>
      </c>
      <c r="F50" s="153">
        <f t="shared" si="0"/>
        <v>0</v>
      </c>
      <c r="G50" s="153" t="str">
        <f t="shared" si="1"/>
        <v>OK</v>
      </c>
      <c r="H50" s="153" t="b">
        <v>1</v>
      </c>
    </row>
    <row r="51" spans="1:8" x14ac:dyDescent="0.3">
      <c r="A51" s="153" t="s">
        <v>1450</v>
      </c>
      <c r="B51" s="153" t="s">
        <v>2253</v>
      </c>
      <c r="C51" s="153" t="s">
        <v>1451</v>
      </c>
      <c r="D51" s="153">
        <v>0</v>
      </c>
      <c r="E51" s="153">
        <v>0</v>
      </c>
      <c r="F51" s="153">
        <f t="shared" si="0"/>
        <v>0</v>
      </c>
      <c r="G51" s="153" t="str">
        <f t="shared" si="1"/>
        <v>OK</v>
      </c>
      <c r="H51" s="153" t="b">
        <v>1</v>
      </c>
    </row>
    <row r="52" spans="1:8" x14ac:dyDescent="0.3">
      <c r="A52" s="153" t="s">
        <v>1452</v>
      </c>
      <c r="B52" s="153" t="s">
        <v>2253</v>
      </c>
      <c r="C52" s="153" t="s">
        <v>1453</v>
      </c>
      <c r="D52" s="153">
        <v>3</v>
      </c>
      <c r="E52" s="153">
        <v>3</v>
      </c>
      <c r="F52" s="153">
        <f t="shared" si="0"/>
        <v>0</v>
      </c>
      <c r="G52" s="153" t="str">
        <f t="shared" si="1"/>
        <v>OK</v>
      </c>
      <c r="H52" s="153" t="b">
        <v>1</v>
      </c>
    </row>
    <row r="53" spans="1:8" x14ac:dyDescent="0.3">
      <c r="A53" s="153" t="s">
        <v>1454</v>
      </c>
      <c r="B53" s="153" t="s">
        <v>2253</v>
      </c>
      <c r="C53" s="153" t="s">
        <v>1455</v>
      </c>
      <c r="D53" s="153">
        <v>2.666666666666667</v>
      </c>
      <c r="E53" s="153">
        <v>2.666666666666667</v>
      </c>
      <c r="F53" s="153">
        <f t="shared" si="0"/>
        <v>0</v>
      </c>
      <c r="G53" s="153" t="str">
        <f t="shared" si="1"/>
        <v>OK</v>
      </c>
      <c r="H53" s="153" t="b">
        <v>1</v>
      </c>
    </row>
    <row r="54" spans="1:8" x14ac:dyDescent="0.3">
      <c r="A54" s="153" t="s">
        <v>1456</v>
      </c>
      <c r="B54" s="153" t="s">
        <v>2253</v>
      </c>
      <c r="C54" s="153" t="s">
        <v>1457</v>
      </c>
      <c r="D54" s="153">
        <v>2</v>
      </c>
      <c r="E54" s="153">
        <v>2</v>
      </c>
      <c r="F54" s="153">
        <f t="shared" si="0"/>
        <v>0</v>
      </c>
      <c r="G54" s="153" t="str">
        <f t="shared" si="1"/>
        <v>OK</v>
      </c>
      <c r="H54" s="153" t="b">
        <v>1</v>
      </c>
    </row>
    <row r="55" spans="1:8" x14ac:dyDescent="0.3">
      <c r="A55" s="153" t="s">
        <v>1458</v>
      </c>
      <c r="B55" s="153" t="s">
        <v>2253</v>
      </c>
      <c r="C55" s="153" t="s">
        <v>1459</v>
      </c>
      <c r="D55" s="153">
        <v>-1</v>
      </c>
      <c r="E55" s="153">
        <v>-1</v>
      </c>
      <c r="F55" s="153">
        <f t="shared" si="0"/>
        <v>0</v>
      </c>
      <c r="G55" s="153" t="str">
        <f t="shared" si="1"/>
        <v>OK</v>
      </c>
      <c r="H55" s="153" t="b">
        <v>1</v>
      </c>
    </row>
    <row r="56" spans="1:8" x14ac:dyDescent="0.3">
      <c r="A56" s="153" t="s">
        <v>1460</v>
      </c>
      <c r="B56" s="153" t="s">
        <v>2253</v>
      </c>
      <c r="C56" s="153" t="s">
        <v>1461</v>
      </c>
      <c r="D56" s="153">
        <v>2</v>
      </c>
      <c r="E56" s="153">
        <v>2</v>
      </c>
      <c r="F56" s="153">
        <f t="shared" si="0"/>
        <v>0</v>
      </c>
      <c r="G56" s="153" t="str">
        <f t="shared" si="1"/>
        <v>OK</v>
      </c>
      <c r="H56" s="153" t="b">
        <v>1</v>
      </c>
    </row>
    <row r="57" spans="1:8" x14ac:dyDescent="0.3">
      <c r="A57" s="153" t="s">
        <v>1462</v>
      </c>
      <c r="B57" s="153" t="s">
        <v>2253</v>
      </c>
      <c r="C57" s="153" t="s">
        <v>1463</v>
      </c>
      <c r="D57" s="153">
        <v>5</v>
      </c>
      <c r="E57" s="153">
        <v>5</v>
      </c>
      <c r="F57" s="153">
        <f t="shared" si="0"/>
        <v>0</v>
      </c>
      <c r="G57" s="153" t="str">
        <f t="shared" si="1"/>
        <v>OK</v>
      </c>
      <c r="H57" s="153" t="b">
        <v>1</v>
      </c>
    </row>
    <row r="58" spans="1:8" x14ac:dyDescent="0.3">
      <c r="A58" s="153" t="s">
        <v>1464</v>
      </c>
      <c r="B58" s="153" t="s">
        <v>2253</v>
      </c>
      <c r="C58" s="153" t="s">
        <v>1465</v>
      </c>
      <c r="D58" s="153">
        <v>120</v>
      </c>
      <c r="E58" s="153">
        <v>120</v>
      </c>
      <c r="F58" s="153">
        <f t="shared" si="0"/>
        <v>0</v>
      </c>
      <c r="G58" s="153" t="str">
        <f t="shared" si="1"/>
        <v>OK</v>
      </c>
      <c r="H58" s="153" t="b">
        <v>1</v>
      </c>
    </row>
    <row r="59" spans="1:8" x14ac:dyDescent="0.3">
      <c r="A59" s="153" t="s">
        <v>1466</v>
      </c>
      <c r="B59" s="153" t="s">
        <v>2253</v>
      </c>
      <c r="C59" s="153" t="s">
        <v>1467</v>
      </c>
      <c r="D59" s="153">
        <v>0.9</v>
      </c>
      <c r="E59" s="153">
        <v>0.9</v>
      </c>
      <c r="F59" s="153">
        <f t="shared" si="0"/>
        <v>0</v>
      </c>
      <c r="G59" s="153" t="str">
        <f t="shared" si="1"/>
        <v>OK</v>
      </c>
      <c r="H59" s="153" t="b">
        <v>1</v>
      </c>
    </row>
    <row r="60" spans="1:8" x14ac:dyDescent="0.3">
      <c r="A60" s="153" t="s">
        <v>1468</v>
      </c>
      <c r="B60" s="153" t="s">
        <v>2253</v>
      </c>
      <c r="C60" s="153" t="s">
        <v>1469</v>
      </c>
      <c r="D60" s="153">
        <v>108</v>
      </c>
      <c r="E60" s="153">
        <v>108</v>
      </c>
      <c r="F60" s="153">
        <f t="shared" si="0"/>
        <v>0</v>
      </c>
      <c r="G60" s="153" t="str">
        <f t="shared" si="1"/>
        <v>OK</v>
      </c>
      <c r="H60" s="153" t="b">
        <v>1</v>
      </c>
    </row>
    <row r="61" spans="1:8" x14ac:dyDescent="0.3">
      <c r="A61" s="153" t="s">
        <v>1470</v>
      </c>
      <c r="B61" s="153" t="s">
        <v>2253</v>
      </c>
      <c r="C61" s="153" t="s">
        <v>1471</v>
      </c>
      <c r="D61" s="153">
        <v>70</v>
      </c>
      <c r="E61" s="153">
        <v>70</v>
      </c>
      <c r="F61" s="153">
        <f t="shared" si="0"/>
        <v>0</v>
      </c>
      <c r="G61" s="153" t="str">
        <f t="shared" si="1"/>
        <v>OK</v>
      </c>
      <c r="H61" s="153" t="b">
        <v>1</v>
      </c>
    </row>
    <row r="62" spans="1:8" x14ac:dyDescent="0.3">
      <c r="A62" s="153" t="s">
        <v>1472</v>
      </c>
      <c r="B62" s="153" t="s">
        <v>2253</v>
      </c>
      <c r="C62" s="153" t="s">
        <v>1473</v>
      </c>
      <c r="D62" s="153">
        <v>21</v>
      </c>
      <c r="E62" s="153">
        <v>21</v>
      </c>
      <c r="F62" s="153">
        <f t="shared" si="0"/>
        <v>0</v>
      </c>
      <c r="G62" s="153" t="str">
        <f t="shared" si="1"/>
        <v>OK</v>
      </c>
      <c r="H62" s="153" t="b">
        <v>1</v>
      </c>
    </row>
    <row r="63" spans="1:8" x14ac:dyDescent="0.3">
      <c r="A63" s="153" t="s">
        <v>1474</v>
      </c>
      <c r="B63" s="153" t="s">
        <v>2253</v>
      </c>
      <c r="C63" s="153" t="s">
        <v>1475</v>
      </c>
      <c r="D63" s="153">
        <v>70</v>
      </c>
      <c r="E63" s="153">
        <v>70</v>
      </c>
      <c r="F63" s="153">
        <f t="shared" si="0"/>
        <v>0</v>
      </c>
      <c r="G63" s="153" t="str">
        <f t="shared" si="1"/>
        <v>OK</v>
      </c>
      <c r="H63" s="153" t="b">
        <v>1</v>
      </c>
    </row>
    <row r="64" spans="1:8" x14ac:dyDescent="0.3">
      <c r="A64" s="153" t="s">
        <v>1476</v>
      </c>
      <c r="B64" s="153" t="s">
        <v>2253</v>
      </c>
      <c r="C64" s="153" t="s">
        <v>1477</v>
      </c>
      <c r="D64" s="153">
        <v>420</v>
      </c>
      <c r="E64" s="153">
        <v>420</v>
      </c>
      <c r="F64" s="153">
        <f t="shared" si="0"/>
        <v>0</v>
      </c>
      <c r="G64" s="153" t="str">
        <f t="shared" si="1"/>
        <v>OK</v>
      </c>
      <c r="H64" s="153" t="b">
        <v>1</v>
      </c>
    </row>
    <row r="65" spans="1:8" x14ac:dyDescent="0.3">
      <c r="A65" s="153" t="s">
        <v>1478</v>
      </c>
      <c r="B65" s="153" t="s">
        <v>2253</v>
      </c>
      <c r="C65" s="153" t="s">
        <v>1479</v>
      </c>
      <c r="D65" s="153">
        <v>7784.7199999999993</v>
      </c>
      <c r="E65" s="153">
        <v>7784.7199999999993</v>
      </c>
      <c r="F65" s="153">
        <f t="shared" si="0"/>
        <v>0</v>
      </c>
      <c r="G65" s="153" t="str">
        <f t="shared" si="1"/>
        <v>OK</v>
      </c>
      <c r="H65" s="153" t="b">
        <v>1</v>
      </c>
    </row>
    <row r="66" spans="1:8" x14ac:dyDescent="0.3">
      <c r="A66" s="153" t="s">
        <v>1480</v>
      </c>
      <c r="B66" s="153" t="s">
        <v>2253</v>
      </c>
      <c r="C66" s="153" t="s">
        <v>1481</v>
      </c>
      <c r="D66" s="153">
        <v>1513.4</v>
      </c>
      <c r="E66" s="153">
        <v>1513.4</v>
      </c>
      <c r="F66" s="153">
        <f t="shared" ref="F66:F129" si="2">IF(NOT(H66),"",IF(AND(ISNUMBER(D66),ISNUMBER(E66)),E66-D66,IF(D66=E66,0,1)))</f>
        <v>0</v>
      </c>
      <c r="G66" s="153" t="str">
        <f t="shared" ref="G66:G129" si="3">IF(NOT(H66),"PENDIENTE SIDE",IF(IF(AND(ISNUMBER(D66),ISNUMBER(E66)),IF(MOD(D66,1)=0,D66=E66,ABS(D66-E66)&lt;=0.000000001*MAX(1,ABS(D66),ABS(E66))),D66=E66),"OK","DIFERENCIA"))</f>
        <v>OK</v>
      </c>
      <c r="H66" s="153" t="b">
        <v>1</v>
      </c>
    </row>
    <row r="67" spans="1:8" x14ac:dyDescent="0.3">
      <c r="A67" s="153" t="s">
        <v>1482</v>
      </c>
      <c r="B67" s="153" t="s">
        <v>2253</v>
      </c>
      <c r="C67" s="153" t="s">
        <v>1483</v>
      </c>
      <c r="D67" s="153">
        <v>31.25</v>
      </c>
      <c r="E67" s="153">
        <v>31.25</v>
      </c>
      <c r="F67" s="153">
        <f t="shared" si="2"/>
        <v>0</v>
      </c>
      <c r="G67" s="153" t="str">
        <f t="shared" si="3"/>
        <v>OK</v>
      </c>
      <c r="H67" s="153" t="b">
        <v>1</v>
      </c>
    </row>
    <row r="68" spans="1:8" x14ac:dyDescent="0.3">
      <c r="A68" s="153" t="s">
        <v>1484</v>
      </c>
      <c r="B68" s="153" t="s">
        <v>2253</v>
      </c>
      <c r="C68" s="153" t="s">
        <v>1485</v>
      </c>
      <c r="D68" s="153">
        <v>64.125</v>
      </c>
      <c r="E68" s="153">
        <v>64.125</v>
      </c>
      <c r="F68" s="153">
        <f t="shared" si="2"/>
        <v>0</v>
      </c>
      <c r="G68" s="153" t="str">
        <f t="shared" si="3"/>
        <v>OK</v>
      </c>
      <c r="H68" s="153" t="b">
        <v>1</v>
      </c>
    </row>
    <row r="69" spans="1:8" x14ac:dyDescent="0.3">
      <c r="A69" s="153" t="s">
        <v>1486</v>
      </c>
      <c r="B69" s="153" t="s">
        <v>2253</v>
      </c>
      <c r="C69" s="153" t="s">
        <v>1487</v>
      </c>
      <c r="D69" s="153">
        <v>0</v>
      </c>
      <c r="E69" s="153">
        <v>0</v>
      </c>
      <c r="F69" s="153">
        <f t="shared" si="2"/>
        <v>0</v>
      </c>
      <c r="G69" s="153" t="str">
        <f t="shared" si="3"/>
        <v>OK</v>
      </c>
      <c r="H69" s="153" t="b">
        <v>1</v>
      </c>
    </row>
    <row r="70" spans="1:8" x14ac:dyDescent="0.3">
      <c r="A70" s="153" t="s">
        <v>1488</v>
      </c>
      <c r="B70" s="153" t="s">
        <v>2253</v>
      </c>
      <c r="C70" s="153" t="s">
        <v>1489</v>
      </c>
      <c r="D70" s="153">
        <v>-2</v>
      </c>
      <c r="E70" s="153">
        <v>-2</v>
      </c>
      <c r="F70" s="153">
        <f t="shared" si="2"/>
        <v>0</v>
      </c>
      <c r="G70" s="153" t="str">
        <f t="shared" si="3"/>
        <v>OK</v>
      </c>
      <c r="H70" s="153" t="b">
        <v>1</v>
      </c>
    </row>
    <row r="71" spans="1:8" x14ac:dyDescent="0.3">
      <c r="A71" s="153" t="s">
        <v>1490</v>
      </c>
      <c r="B71" s="153" t="s">
        <v>2253</v>
      </c>
      <c r="C71" s="153" t="s">
        <v>1493</v>
      </c>
      <c r="D71" s="153">
        <v>1</v>
      </c>
      <c r="E71" s="153">
        <v>1</v>
      </c>
      <c r="F71" s="153">
        <f t="shared" si="2"/>
        <v>0</v>
      </c>
      <c r="G71" s="153" t="str">
        <f t="shared" si="3"/>
        <v>OK</v>
      </c>
      <c r="H71" s="153" t="b">
        <v>1</v>
      </c>
    </row>
    <row r="72" spans="1:8" x14ac:dyDescent="0.3">
      <c r="A72" s="153" t="s">
        <v>1492</v>
      </c>
      <c r="B72" s="153" t="s">
        <v>2253</v>
      </c>
      <c r="C72" s="153" t="s">
        <v>1495</v>
      </c>
      <c r="D72" s="153">
        <v>1</v>
      </c>
      <c r="E72" s="153">
        <v>1</v>
      </c>
      <c r="F72" s="153">
        <f t="shared" si="2"/>
        <v>0</v>
      </c>
      <c r="G72" s="153" t="str">
        <f t="shared" si="3"/>
        <v>OK</v>
      </c>
      <c r="H72" s="153" t="b">
        <v>1</v>
      </c>
    </row>
    <row r="73" spans="1:8" x14ac:dyDescent="0.3">
      <c r="A73" s="153" t="s">
        <v>1494</v>
      </c>
      <c r="B73" s="153" t="s">
        <v>2253</v>
      </c>
      <c r="C73" s="153" t="s">
        <v>1497</v>
      </c>
      <c r="D73" s="153">
        <v>1</v>
      </c>
      <c r="E73" s="153">
        <v>1</v>
      </c>
      <c r="F73" s="153">
        <f t="shared" si="2"/>
        <v>0</v>
      </c>
      <c r="G73" s="153" t="str">
        <f t="shared" si="3"/>
        <v>OK</v>
      </c>
      <c r="H73" s="153" t="b">
        <v>1</v>
      </c>
    </row>
    <row r="74" spans="1:8" x14ac:dyDescent="0.3">
      <c r="A74" s="153" t="s">
        <v>1496</v>
      </c>
      <c r="B74" s="153" t="s">
        <v>2253</v>
      </c>
      <c r="C74" s="153" t="s">
        <v>1499</v>
      </c>
      <c r="D74" s="153">
        <v>162.5</v>
      </c>
      <c r="E74" s="153">
        <v>162.5</v>
      </c>
      <c r="F74" s="153">
        <f t="shared" si="2"/>
        <v>0</v>
      </c>
      <c r="G74" s="153" t="str">
        <f t="shared" si="3"/>
        <v>OK</v>
      </c>
      <c r="H74" s="153" t="b">
        <v>1</v>
      </c>
    </row>
    <row r="75" spans="1:8" x14ac:dyDescent="0.3">
      <c r="A75" s="153" t="s">
        <v>1498</v>
      </c>
      <c r="B75" s="153" t="s">
        <v>2253</v>
      </c>
      <c r="C75" s="153" t="s">
        <v>2255</v>
      </c>
      <c r="D75" s="153">
        <v>69</v>
      </c>
      <c r="E75" s="153">
        <v>69</v>
      </c>
      <c r="F75" s="153">
        <f t="shared" si="2"/>
        <v>0</v>
      </c>
      <c r="G75" s="153" t="str">
        <f t="shared" si="3"/>
        <v>OK</v>
      </c>
      <c r="H75" s="153" t="b">
        <v>1</v>
      </c>
    </row>
    <row r="76" spans="1:8" x14ac:dyDescent="0.3">
      <c r="A76" s="153" t="s">
        <v>1500</v>
      </c>
      <c r="B76" s="153" t="s">
        <v>2253</v>
      </c>
      <c r="C76" s="153" t="s">
        <v>1501</v>
      </c>
      <c r="D76" s="153">
        <v>138</v>
      </c>
      <c r="E76" s="153">
        <v>138</v>
      </c>
      <c r="F76" s="153">
        <f t="shared" si="2"/>
        <v>0</v>
      </c>
      <c r="G76" s="153" t="str">
        <f t="shared" si="3"/>
        <v>OK</v>
      </c>
      <c r="H76" s="153" t="b">
        <v>1</v>
      </c>
    </row>
    <row r="77" spans="1:8" x14ac:dyDescent="0.3">
      <c r="A77" s="153" t="s">
        <v>1502</v>
      </c>
      <c r="B77" s="153" t="s">
        <v>2253</v>
      </c>
      <c r="C77" s="153" t="s">
        <v>1503</v>
      </c>
      <c r="D77" s="153">
        <v>1946.18</v>
      </c>
      <c r="E77" s="153">
        <v>1946.18</v>
      </c>
      <c r="F77" s="153">
        <f t="shared" si="2"/>
        <v>0</v>
      </c>
      <c r="G77" s="153" t="str">
        <f t="shared" si="3"/>
        <v>OK</v>
      </c>
      <c r="H77" s="153" t="b">
        <v>1</v>
      </c>
    </row>
    <row r="78" spans="1:8" x14ac:dyDescent="0.3">
      <c r="A78" s="153" t="s">
        <v>1504</v>
      </c>
      <c r="B78" s="153" t="s">
        <v>2253</v>
      </c>
      <c r="C78" s="153" t="s">
        <v>1505</v>
      </c>
      <c r="D78" s="153">
        <v>0</v>
      </c>
      <c r="E78" s="153">
        <v>0</v>
      </c>
      <c r="F78" s="153">
        <f t="shared" si="2"/>
        <v>0</v>
      </c>
      <c r="G78" s="153" t="str">
        <f t="shared" si="3"/>
        <v>OK</v>
      </c>
      <c r="H78" s="153" t="b">
        <v>1</v>
      </c>
    </row>
    <row r="79" spans="1:8" x14ac:dyDescent="0.3">
      <c r="A79" s="153" t="s">
        <v>1506</v>
      </c>
      <c r="B79" s="153" t="s">
        <v>2253</v>
      </c>
      <c r="C79" s="153" t="s">
        <v>1507</v>
      </c>
      <c r="D79" s="153">
        <v>1500</v>
      </c>
      <c r="E79" s="153">
        <v>1500</v>
      </c>
      <c r="F79" s="153">
        <f t="shared" si="2"/>
        <v>0</v>
      </c>
      <c r="G79" s="153" t="str">
        <f t="shared" si="3"/>
        <v>OK</v>
      </c>
      <c r="H79" s="153" t="b">
        <v>1</v>
      </c>
    </row>
    <row r="80" spans="1:8" x14ac:dyDescent="0.3">
      <c r="A80" s="153" t="s">
        <v>1508</v>
      </c>
      <c r="B80" s="153" t="s">
        <v>2253</v>
      </c>
      <c r="C80" s="153" t="s">
        <v>1509</v>
      </c>
      <c r="D80" s="153">
        <v>12977.674999999999</v>
      </c>
      <c r="E80" s="153">
        <v>12977.674999999999</v>
      </c>
      <c r="F80" s="153">
        <f t="shared" si="2"/>
        <v>0</v>
      </c>
      <c r="G80" s="153" t="str">
        <f t="shared" si="3"/>
        <v>OK</v>
      </c>
      <c r="H80" s="153" t="b">
        <v>1</v>
      </c>
    </row>
    <row r="81" spans="1:8" x14ac:dyDescent="0.3">
      <c r="A81" s="153" t="s">
        <v>1510</v>
      </c>
      <c r="B81" s="153" t="s">
        <v>2253</v>
      </c>
      <c r="C81" s="153" t="s">
        <v>1511</v>
      </c>
      <c r="D81" s="153">
        <v>-12815.174999999999</v>
      </c>
      <c r="E81" s="153">
        <v>-12815.174999999999</v>
      </c>
      <c r="F81" s="153">
        <f t="shared" si="2"/>
        <v>0</v>
      </c>
      <c r="G81" s="153" t="str">
        <f t="shared" si="3"/>
        <v>OK</v>
      </c>
      <c r="H81" s="153" t="b">
        <v>1</v>
      </c>
    </row>
    <row r="82" spans="1:8" x14ac:dyDescent="0.3">
      <c r="A82" s="153" t="s">
        <v>1512</v>
      </c>
      <c r="B82" s="153" t="s">
        <v>2253</v>
      </c>
      <c r="C82" s="153" t="s">
        <v>1513</v>
      </c>
      <c r="D82" s="153">
        <v>1</v>
      </c>
      <c r="E82" s="153">
        <v>1</v>
      </c>
      <c r="F82" s="153">
        <f t="shared" si="2"/>
        <v>0</v>
      </c>
      <c r="G82" s="153" t="str">
        <f t="shared" si="3"/>
        <v>OK</v>
      </c>
      <c r="H82" s="153" t="b">
        <v>1</v>
      </c>
    </row>
    <row r="83" spans="1:8" x14ac:dyDescent="0.3">
      <c r="A83" s="153" t="s">
        <v>1514</v>
      </c>
      <c r="B83" s="153" t="s">
        <v>2253</v>
      </c>
      <c r="C83" s="153" t="s">
        <v>1515</v>
      </c>
      <c r="D83" s="153">
        <v>3</v>
      </c>
      <c r="E83" s="153">
        <v>3</v>
      </c>
      <c r="F83" s="153">
        <f t="shared" si="2"/>
        <v>0</v>
      </c>
      <c r="G83" s="153" t="str">
        <f t="shared" si="3"/>
        <v>OK</v>
      </c>
      <c r="H83" s="153" t="b">
        <v>1</v>
      </c>
    </row>
    <row r="84" spans="1:8" x14ac:dyDescent="0.3">
      <c r="A84" s="153" t="s">
        <v>1516</v>
      </c>
      <c r="B84" s="153" t="s">
        <v>2253</v>
      </c>
      <c r="C84" s="153" t="s">
        <v>1517</v>
      </c>
      <c r="D84" s="153">
        <v>279</v>
      </c>
      <c r="E84" s="153">
        <v>279</v>
      </c>
      <c r="F84" s="153">
        <f t="shared" si="2"/>
        <v>0</v>
      </c>
      <c r="G84" s="153" t="str">
        <f t="shared" si="3"/>
        <v>OK</v>
      </c>
      <c r="H84" s="153" t="b">
        <v>1</v>
      </c>
    </row>
    <row r="85" spans="1:8" x14ac:dyDescent="0.3">
      <c r="A85" s="153" t="s">
        <v>1518</v>
      </c>
      <c r="B85" s="153" t="s">
        <v>2253</v>
      </c>
      <c r="C85" s="153" t="s">
        <v>1519</v>
      </c>
      <c r="D85" s="153">
        <v>0</v>
      </c>
      <c r="E85" s="153">
        <v>0</v>
      </c>
      <c r="F85" s="153">
        <f t="shared" si="2"/>
        <v>0</v>
      </c>
      <c r="G85" s="153" t="str">
        <f t="shared" si="3"/>
        <v>OK</v>
      </c>
      <c r="H85" s="153" t="b">
        <v>1</v>
      </c>
    </row>
    <row r="86" spans="1:8" x14ac:dyDescent="0.3">
      <c r="A86" s="153" t="s">
        <v>1520</v>
      </c>
      <c r="B86" s="153" t="s">
        <v>2253</v>
      </c>
      <c r="C86" s="153" t="s">
        <v>1521</v>
      </c>
      <c r="D86" s="153">
        <v>0</v>
      </c>
      <c r="E86" s="153">
        <v>0</v>
      </c>
      <c r="F86" s="153">
        <f t="shared" si="2"/>
        <v>0</v>
      </c>
      <c r="G86" s="153" t="str">
        <f t="shared" si="3"/>
        <v>OK</v>
      </c>
      <c r="H86" s="153" t="b">
        <v>1</v>
      </c>
    </row>
    <row r="87" spans="1:8" x14ac:dyDescent="0.3">
      <c r="A87" s="153" t="s">
        <v>1522</v>
      </c>
      <c r="B87" s="153" t="s">
        <v>2253</v>
      </c>
      <c r="C87" s="153" t="s">
        <v>1523</v>
      </c>
      <c r="D87" s="153">
        <v>930</v>
      </c>
      <c r="E87" s="153">
        <v>930</v>
      </c>
      <c r="F87" s="153">
        <f t="shared" si="2"/>
        <v>0</v>
      </c>
      <c r="G87" s="153" t="str">
        <f t="shared" si="3"/>
        <v>OK</v>
      </c>
      <c r="H87" s="153" t="b">
        <v>1</v>
      </c>
    </row>
    <row r="88" spans="1:8" x14ac:dyDescent="0.3">
      <c r="A88" s="153" t="s">
        <v>1524</v>
      </c>
      <c r="B88" s="153" t="s">
        <v>2253</v>
      </c>
      <c r="C88" s="153" t="s">
        <v>1525</v>
      </c>
      <c r="D88" s="153">
        <v>0</v>
      </c>
      <c r="E88" s="153">
        <v>0</v>
      </c>
      <c r="F88" s="153">
        <f t="shared" si="2"/>
        <v>0</v>
      </c>
      <c r="G88" s="153" t="str">
        <f t="shared" si="3"/>
        <v>OK</v>
      </c>
      <c r="H88" s="153" t="b">
        <v>1</v>
      </c>
    </row>
    <row r="89" spans="1:8" x14ac:dyDescent="0.3">
      <c r="A89" s="153" t="s">
        <v>1526</v>
      </c>
      <c r="B89" s="153" t="s">
        <v>2253</v>
      </c>
      <c r="C89" s="153" t="s">
        <v>1527</v>
      </c>
      <c r="D89" s="153">
        <v>5580</v>
      </c>
      <c r="E89" s="153">
        <v>5580</v>
      </c>
      <c r="F89" s="153">
        <f t="shared" si="2"/>
        <v>0</v>
      </c>
      <c r="G89" s="153" t="str">
        <f t="shared" si="3"/>
        <v>OK</v>
      </c>
      <c r="H89" s="153" t="b">
        <v>1</v>
      </c>
    </row>
    <row r="90" spans="1:8" x14ac:dyDescent="0.3">
      <c r="A90" s="153" t="s">
        <v>1528</v>
      </c>
      <c r="B90" s="153" t="s">
        <v>2253</v>
      </c>
      <c r="C90" s="153" t="s">
        <v>1529</v>
      </c>
      <c r="D90" s="153">
        <v>0</v>
      </c>
      <c r="E90" s="153">
        <v>0</v>
      </c>
      <c r="F90" s="153">
        <f t="shared" si="2"/>
        <v>0</v>
      </c>
      <c r="G90" s="153" t="str">
        <f t="shared" si="3"/>
        <v>OK</v>
      </c>
      <c r="H90" s="153" t="b">
        <v>1</v>
      </c>
    </row>
    <row r="91" spans="1:8" x14ac:dyDescent="0.3">
      <c r="A91" s="153" t="s">
        <v>1530</v>
      </c>
      <c r="B91" s="153" t="s">
        <v>2253</v>
      </c>
      <c r="C91" s="153" t="s">
        <v>1531</v>
      </c>
      <c r="D91" s="153">
        <v>0</v>
      </c>
      <c r="E91" s="153">
        <v>0</v>
      </c>
      <c r="F91" s="153">
        <f t="shared" si="2"/>
        <v>0</v>
      </c>
      <c r="G91" s="153" t="str">
        <f t="shared" si="3"/>
        <v>OK</v>
      </c>
      <c r="H91" s="153" t="b">
        <v>1</v>
      </c>
    </row>
    <row r="92" spans="1:8" x14ac:dyDescent="0.3">
      <c r="A92" s="153" t="s">
        <v>1532</v>
      </c>
      <c r="B92" s="153" t="s">
        <v>2253</v>
      </c>
      <c r="C92" s="153" t="s">
        <v>1533</v>
      </c>
      <c r="D92" s="153" t="b">
        <v>1</v>
      </c>
      <c r="E92" s="153" t="b">
        <v>1</v>
      </c>
      <c r="F92" s="153">
        <f t="shared" si="2"/>
        <v>0</v>
      </c>
      <c r="G92" s="153" t="str">
        <f t="shared" si="3"/>
        <v>OK</v>
      </c>
      <c r="H92" s="153" t="b">
        <v>1</v>
      </c>
    </row>
    <row r="93" spans="1:8" x14ac:dyDescent="0.3">
      <c r="A93" s="153" t="s">
        <v>1534</v>
      </c>
      <c r="B93" s="153" t="s">
        <v>2253</v>
      </c>
      <c r="C93" s="153" t="s">
        <v>1535</v>
      </c>
      <c r="D93" s="153" t="b">
        <v>0</v>
      </c>
      <c r="E93" s="153" t="b">
        <v>0</v>
      </c>
      <c r="F93" s="153">
        <f t="shared" si="2"/>
        <v>0</v>
      </c>
      <c r="G93" s="153" t="str">
        <f t="shared" si="3"/>
        <v>OK</v>
      </c>
      <c r="H93" s="153" t="b">
        <v>1</v>
      </c>
    </row>
    <row r="94" spans="1:8" x14ac:dyDescent="0.3">
      <c r="A94" s="153" t="s">
        <v>1536</v>
      </c>
      <c r="B94" s="153" t="s">
        <v>2253</v>
      </c>
      <c r="C94" s="153" t="s">
        <v>1537</v>
      </c>
      <c r="D94" s="153" t="b">
        <v>1</v>
      </c>
      <c r="E94" s="153" t="b">
        <v>1</v>
      </c>
      <c r="F94" s="153">
        <f t="shared" si="2"/>
        <v>0</v>
      </c>
      <c r="G94" s="153" t="str">
        <f t="shared" si="3"/>
        <v>OK</v>
      </c>
      <c r="H94" s="153" t="b">
        <v>1</v>
      </c>
    </row>
    <row r="95" spans="1:8" x14ac:dyDescent="0.3">
      <c r="A95" s="153" t="s">
        <v>1538</v>
      </c>
      <c r="B95" s="153" t="s">
        <v>2253</v>
      </c>
      <c r="C95" s="153" t="s">
        <v>1539</v>
      </c>
      <c r="D95" s="153" t="b">
        <v>0</v>
      </c>
      <c r="E95" s="153" t="b">
        <v>0</v>
      </c>
      <c r="F95" s="153">
        <f t="shared" si="2"/>
        <v>0</v>
      </c>
      <c r="G95" s="153" t="str">
        <f t="shared" si="3"/>
        <v>OK</v>
      </c>
      <c r="H95" s="153" t="b">
        <v>1</v>
      </c>
    </row>
    <row r="96" spans="1:8" x14ac:dyDescent="0.3">
      <c r="A96" s="153" t="s">
        <v>1540</v>
      </c>
      <c r="B96" s="153" t="s">
        <v>2253</v>
      </c>
      <c r="C96" s="153" t="s">
        <v>1541</v>
      </c>
      <c r="D96" s="153" t="b">
        <v>1</v>
      </c>
      <c r="E96" s="153" t="b">
        <v>1</v>
      </c>
      <c r="F96" s="153">
        <f t="shared" si="2"/>
        <v>0</v>
      </c>
      <c r="G96" s="153" t="str">
        <f t="shared" si="3"/>
        <v>OK</v>
      </c>
      <c r="H96" s="153" t="b">
        <v>1</v>
      </c>
    </row>
    <row r="97" spans="1:8" x14ac:dyDescent="0.3">
      <c r="A97" s="153" t="s">
        <v>1542</v>
      </c>
      <c r="B97" s="153" t="s">
        <v>2253</v>
      </c>
      <c r="C97" s="153" t="s">
        <v>1543</v>
      </c>
      <c r="D97" s="153" t="b">
        <v>1</v>
      </c>
      <c r="E97" s="153" t="b">
        <v>1</v>
      </c>
      <c r="F97" s="153">
        <f t="shared" si="2"/>
        <v>0</v>
      </c>
      <c r="G97" s="153" t="str">
        <f t="shared" si="3"/>
        <v>OK</v>
      </c>
      <c r="H97" s="153" t="b">
        <v>1</v>
      </c>
    </row>
    <row r="98" spans="1:8" x14ac:dyDescent="0.3">
      <c r="A98" s="153" t="s">
        <v>1544</v>
      </c>
      <c r="B98" s="153" t="s">
        <v>2253</v>
      </c>
      <c r="C98" s="153" t="s">
        <v>1545</v>
      </c>
      <c r="D98" s="153" t="b">
        <v>1</v>
      </c>
      <c r="E98" s="153" t="b">
        <v>1</v>
      </c>
      <c r="F98" s="153">
        <f t="shared" si="2"/>
        <v>0</v>
      </c>
      <c r="G98" s="153" t="str">
        <f t="shared" si="3"/>
        <v>OK</v>
      </c>
      <c r="H98" s="153" t="b">
        <v>1</v>
      </c>
    </row>
    <row r="99" spans="1:8" x14ac:dyDescent="0.3">
      <c r="A99" s="153" t="s">
        <v>1546</v>
      </c>
      <c r="B99" s="153" t="s">
        <v>2253</v>
      </c>
      <c r="C99" s="153" t="s">
        <v>1547</v>
      </c>
      <c r="D99" s="153" t="b">
        <v>1</v>
      </c>
      <c r="E99" s="153" t="b">
        <v>1</v>
      </c>
      <c r="F99" s="153">
        <f t="shared" si="2"/>
        <v>0</v>
      </c>
      <c r="G99" s="153" t="str">
        <f t="shared" si="3"/>
        <v>OK</v>
      </c>
      <c r="H99" s="153" t="b">
        <v>1</v>
      </c>
    </row>
    <row r="100" spans="1:8" x14ac:dyDescent="0.3">
      <c r="A100" s="153" t="s">
        <v>1548</v>
      </c>
      <c r="B100" s="153" t="s">
        <v>2253</v>
      </c>
      <c r="C100" s="153" t="s">
        <v>1549</v>
      </c>
      <c r="D100" s="153">
        <v>5000</v>
      </c>
      <c r="E100" s="153">
        <v>5000</v>
      </c>
      <c r="F100" s="153">
        <f t="shared" si="2"/>
        <v>0</v>
      </c>
      <c r="G100" s="153" t="str">
        <f t="shared" si="3"/>
        <v>OK</v>
      </c>
      <c r="H100" s="153" t="b">
        <v>1</v>
      </c>
    </row>
    <row r="101" spans="1:8" x14ac:dyDescent="0.3">
      <c r="A101" s="153" t="s">
        <v>1550</v>
      </c>
      <c r="B101" s="153" t="s">
        <v>2253</v>
      </c>
      <c r="C101" s="153" t="s">
        <v>1551</v>
      </c>
      <c r="D101" s="153">
        <v>20</v>
      </c>
      <c r="E101" s="153">
        <v>20</v>
      </c>
      <c r="F101" s="153">
        <f t="shared" si="2"/>
        <v>0</v>
      </c>
      <c r="G101" s="153" t="str">
        <f t="shared" si="3"/>
        <v>OK</v>
      </c>
      <c r="H101" s="153" t="b">
        <v>1</v>
      </c>
    </row>
    <row r="102" spans="1:8" x14ac:dyDescent="0.3">
      <c r="A102" s="153" t="s">
        <v>1552</v>
      </c>
      <c r="B102" s="153" t="s">
        <v>2253</v>
      </c>
      <c r="C102" s="153" t="s">
        <v>1553</v>
      </c>
      <c r="D102" s="153">
        <v>5000</v>
      </c>
      <c r="E102" s="153">
        <v>5000</v>
      </c>
      <c r="F102" s="153">
        <f t="shared" si="2"/>
        <v>0</v>
      </c>
      <c r="G102" s="153" t="str">
        <f t="shared" si="3"/>
        <v>OK</v>
      </c>
      <c r="H102" s="153" t="b">
        <v>1</v>
      </c>
    </row>
    <row r="103" spans="1:8" x14ac:dyDescent="0.3">
      <c r="A103" s="153" t="s">
        <v>1554</v>
      </c>
      <c r="B103" s="153" t="s">
        <v>2253</v>
      </c>
      <c r="C103" s="153" t="s">
        <v>1555</v>
      </c>
      <c r="D103" s="153">
        <v>3</v>
      </c>
      <c r="E103" s="153">
        <v>3</v>
      </c>
      <c r="F103" s="153">
        <f t="shared" si="2"/>
        <v>0</v>
      </c>
      <c r="G103" s="153" t="str">
        <f t="shared" si="3"/>
        <v>OK</v>
      </c>
      <c r="H103" s="153" t="b">
        <v>1</v>
      </c>
    </row>
    <row r="104" spans="1:8" x14ac:dyDescent="0.3">
      <c r="A104" s="153" t="s">
        <v>2256</v>
      </c>
      <c r="B104" s="153" t="s">
        <v>2253</v>
      </c>
      <c r="C104" s="153" t="s">
        <v>1557</v>
      </c>
      <c r="D104" s="153">
        <v>12</v>
      </c>
      <c r="E104" s="153">
        <v>12</v>
      </c>
      <c r="F104" s="153">
        <f t="shared" si="2"/>
        <v>0</v>
      </c>
      <c r="G104" s="153" t="str">
        <f t="shared" si="3"/>
        <v>OK</v>
      </c>
      <c r="H104" s="153" t="b">
        <v>1</v>
      </c>
    </row>
    <row r="105" spans="1:8" x14ac:dyDescent="0.3">
      <c r="A105" s="153" t="s">
        <v>2257</v>
      </c>
      <c r="B105" s="153" t="s">
        <v>2253</v>
      </c>
      <c r="C105" s="153" t="s">
        <v>1559</v>
      </c>
      <c r="D105" s="153">
        <v>17</v>
      </c>
      <c r="E105" s="153">
        <v>17</v>
      </c>
      <c r="F105" s="153">
        <f t="shared" si="2"/>
        <v>0</v>
      </c>
      <c r="G105" s="153" t="str">
        <f t="shared" si="3"/>
        <v>OK</v>
      </c>
      <c r="H105" s="153" t="b">
        <v>1</v>
      </c>
    </row>
    <row r="106" spans="1:8" x14ac:dyDescent="0.3">
      <c r="A106" s="153" t="s">
        <v>2258</v>
      </c>
      <c r="B106" s="153" t="s">
        <v>2253</v>
      </c>
      <c r="C106" s="153" t="s">
        <v>1561</v>
      </c>
      <c r="D106" s="153">
        <v>10</v>
      </c>
      <c r="E106" s="153">
        <v>10</v>
      </c>
      <c r="F106" s="153">
        <f t="shared" si="2"/>
        <v>0</v>
      </c>
      <c r="G106" s="153" t="str">
        <f t="shared" si="3"/>
        <v>OK</v>
      </c>
      <c r="H106" s="153" t="b">
        <v>1</v>
      </c>
    </row>
    <row r="107" spans="1:8" x14ac:dyDescent="0.3">
      <c r="A107" s="153" t="s">
        <v>2259</v>
      </c>
      <c r="B107" s="153" t="s">
        <v>2253</v>
      </c>
      <c r="C107" s="153" t="s">
        <v>1563</v>
      </c>
      <c r="D107" s="153">
        <v>-3</v>
      </c>
      <c r="E107" s="153">
        <v>-3</v>
      </c>
      <c r="F107" s="153">
        <f t="shared" si="2"/>
        <v>0</v>
      </c>
      <c r="G107" s="153" t="str">
        <f t="shared" si="3"/>
        <v>OK</v>
      </c>
      <c r="H107" s="153" t="b">
        <v>1</v>
      </c>
    </row>
    <row r="108" spans="1:8" x14ac:dyDescent="0.3">
      <c r="A108" s="153" t="s">
        <v>2260</v>
      </c>
      <c r="B108" s="153" t="s">
        <v>2253</v>
      </c>
      <c r="C108" s="153" t="s">
        <v>1565</v>
      </c>
      <c r="D108" s="153">
        <v>5</v>
      </c>
      <c r="E108" s="153">
        <v>5</v>
      </c>
      <c r="F108" s="153">
        <f t="shared" si="2"/>
        <v>0</v>
      </c>
      <c r="G108" s="153" t="str">
        <f t="shared" si="3"/>
        <v>OK</v>
      </c>
      <c r="H108" s="153" t="b">
        <v>1</v>
      </c>
    </row>
    <row r="109" spans="1:8" x14ac:dyDescent="0.3">
      <c r="A109" s="153" t="s">
        <v>2261</v>
      </c>
      <c r="B109" s="153" t="s">
        <v>2253</v>
      </c>
      <c r="C109" s="153" t="s">
        <v>1567</v>
      </c>
      <c r="D109" s="153">
        <v>129.6</v>
      </c>
      <c r="E109" s="153">
        <v>129.6</v>
      </c>
      <c r="F109" s="153">
        <f t="shared" si="2"/>
        <v>0</v>
      </c>
      <c r="G109" s="153" t="str">
        <f t="shared" si="3"/>
        <v>OK</v>
      </c>
      <c r="H109" s="153" t="b">
        <v>1</v>
      </c>
    </row>
    <row r="110" spans="1:8" x14ac:dyDescent="0.3">
      <c r="A110" s="153" t="s">
        <v>2262</v>
      </c>
      <c r="B110" s="153" t="s">
        <v>2253</v>
      </c>
      <c r="C110" s="153" t="s">
        <v>1569</v>
      </c>
      <c r="D110" s="153">
        <v>0.94000000000000006</v>
      </c>
      <c r="E110" s="153">
        <v>0.94000000000000006</v>
      </c>
      <c r="F110" s="153">
        <f t="shared" si="2"/>
        <v>0</v>
      </c>
      <c r="G110" s="153" t="str">
        <f t="shared" si="3"/>
        <v>OK</v>
      </c>
      <c r="H110" s="153" t="b">
        <v>1</v>
      </c>
    </row>
    <row r="111" spans="1:8" x14ac:dyDescent="0.3">
      <c r="A111" s="153" t="s">
        <v>2263</v>
      </c>
      <c r="B111" s="153" t="s">
        <v>2253</v>
      </c>
      <c r="C111" s="153" t="s">
        <v>1571</v>
      </c>
      <c r="D111" s="153">
        <v>122</v>
      </c>
      <c r="E111" s="153">
        <v>122</v>
      </c>
      <c r="F111" s="153">
        <f t="shared" si="2"/>
        <v>0</v>
      </c>
      <c r="G111" s="153" t="str">
        <f t="shared" si="3"/>
        <v>OK</v>
      </c>
      <c r="H111" s="153" t="b">
        <v>1</v>
      </c>
    </row>
    <row r="112" spans="1:8" x14ac:dyDescent="0.3">
      <c r="A112" s="153" t="s">
        <v>2264</v>
      </c>
      <c r="B112" s="153" t="s">
        <v>2253</v>
      </c>
      <c r="C112" s="153" t="s">
        <v>1573</v>
      </c>
      <c r="D112" s="153">
        <v>122</v>
      </c>
      <c r="E112" s="153">
        <v>122</v>
      </c>
      <c r="F112" s="153">
        <f t="shared" si="2"/>
        <v>0</v>
      </c>
      <c r="G112" s="153" t="str">
        <f t="shared" si="3"/>
        <v>OK</v>
      </c>
      <c r="H112" s="153" t="b">
        <v>1</v>
      </c>
    </row>
    <row r="113" spans="1:8" x14ac:dyDescent="0.3">
      <c r="A113" s="153" t="s">
        <v>2265</v>
      </c>
      <c r="B113" s="153" t="s">
        <v>2253</v>
      </c>
      <c r="C113" s="153" t="s">
        <v>1575</v>
      </c>
      <c r="D113" s="153">
        <v>85.399999999999991</v>
      </c>
      <c r="E113" s="153">
        <v>85.4</v>
      </c>
      <c r="F113" s="153">
        <f t="shared" si="2"/>
        <v>1.4210854715202004E-14</v>
      </c>
      <c r="G113" s="153" t="str">
        <f t="shared" si="3"/>
        <v>OK</v>
      </c>
      <c r="H113" s="153" t="b">
        <v>1</v>
      </c>
    </row>
    <row r="114" spans="1:8" x14ac:dyDescent="0.3">
      <c r="A114" s="153" t="s">
        <v>2266</v>
      </c>
      <c r="B114" s="153" t="s">
        <v>2253</v>
      </c>
      <c r="C114" s="153" t="s">
        <v>1577</v>
      </c>
      <c r="D114" s="153">
        <v>122</v>
      </c>
      <c r="E114" s="153">
        <v>122</v>
      </c>
      <c r="F114" s="153">
        <f t="shared" si="2"/>
        <v>0</v>
      </c>
      <c r="G114" s="153" t="str">
        <f t="shared" si="3"/>
        <v>OK</v>
      </c>
      <c r="H114" s="153" t="b">
        <v>1</v>
      </c>
    </row>
    <row r="115" spans="1:8" x14ac:dyDescent="0.3">
      <c r="A115" s="153" t="s">
        <v>2267</v>
      </c>
      <c r="B115" s="153" t="s">
        <v>2253</v>
      </c>
      <c r="C115" s="153" t="s">
        <v>1579</v>
      </c>
      <c r="D115" s="153">
        <v>1586</v>
      </c>
      <c r="E115" s="153">
        <v>1586</v>
      </c>
      <c r="F115" s="153">
        <f t="shared" si="2"/>
        <v>0</v>
      </c>
      <c r="G115" s="153" t="str">
        <f t="shared" si="3"/>
        <v>OK</v>
      </c>
      <c r="H115" s="153" t="b">
        <v>1</v>
      </c>
    </row>
    <row r="116" spans="1:8" x14ac:dyDescent="0.3">
      <c r="A116" s="153" t="s">
        <v>2268</v>
      </c>
      <c r="B116" s="153" t="s">
        <v>2253</v>
      </c>
      <c r="C116" s="153" t="s">
        <v>1581</v>
      </c>
      <c r="D116" s="153">
        <v>11106.32</v>
      </c>
      <c r="E116" s="153">
        <v>11106.32</v>
      </c>
      <c r="F116" s="153">
        <f t="shared" si="2"/>
        <v>0</v>
      </c>
      <c r="G116" s="153" t="str">
        <f t="shared" si="3"/>
        <v>OK</v>
      </c>
      <c r="H116" s="153" t="b">
        <v>1</v>
      </c>
    </row>
    <row r="117" spans="1:8" x14ac:dyDescent="0.3">
      <c r="A117" s="153" t="s">
        <v>2269</v>
      </c>
      <c r="B117" s="153" t="s">
        <v>2253</v>
      </c>
      <c r="C117" s="153" t="s">
        <v>1583</v>
      </c>
      <c r="D117" s="153">
        <v>16984.156800000001</v>
      </c>
      <c r="E117" s="153">
        <v>16984.156800000001</v>
      </c>
      <c r="F117" s="153">
        <f t="shared" si="2"/>
        <v>0</v>
      </c>
      <c r="G117" s="153" t="str">
        <f t="shared" si="3"/>
        <v>OK</v>
      </c>
      <c r="H117" s="153" t="b">
        <v>1</v>
      </c>
    </row>
    <row r="118" spans="1:8" x14ac:dyDescent="0.3">
      <c r="A118" s="153" t="s">
        <v>2270</v>
      </c>
      <c r="B118" s="153" t="s">
        <v>2253</v>
      </c>
      <c r="C118" s="153" t="s">
        <v>1585</v>
      </c>
      <c r="D118" s="153">
        <v>31.25</v>
      </c>
      <c r="E118" s="153">
        <v>31.25</v>
      </c>
      <c r="F118" s="153">
        <f t="shared" si="2"/>
        <v>0</v>
      </c>
      <c r="G118" s="153" t="str">
        <f t="shared" si="3"/>
        <v>OK</v>
      </c>
      <c r="H118" s="153" t="b">
        <v>1</v>
      </c>
    </row>
    <row r="119" spans="1:8" x14ac:dyDescent="0.3">
      <c r="A119" s="153" t="s">
        <v>2271</v>
      </c>
      <c r="B119" s="153" t="s">
        <v>2253</v>
      </c>
      <c r="C119" s="153" t="s">
        <v>1587</v>
      </c>
      <c r="D119" s="153">
        <v>64.125</v>
      </c>
      <c r="E119" s="153">
        <v>64.125</v>
      </c>
      <c r="F119" s="153">
        <f t="shared" si="2"/>
        <v>0</v>
      </c>
      <c r="G119" s="153" t="str">
        <f t="shared" si="3"/>
        <v>OK</v>
      </c>
      <c r="H119" s="153" t="b">
        <v>1</v>
      </c>
    </row>
    <row r="120" spans="1:8" x14ac:dyDescent="0.3">
      <c r="A120" s="153" t="s">
        <v>2272</v>
      </c>
      <c r="B120" s="153" t="s">
        <v>2253</v>
      </c>
      <c r="C120" s="153" t="s">
        <v>1589</v>
      </c>
      <c r="D120" s="153">
        <v>20</v>
      </c>
      <c r="E120" s="153">
        <v>20</v>
      </c>
      <c r="F120" s="153">
        <f t="shared" si="2"/>
        <v>0</v>
      </c>
      <c r="G120" s="153" t="str">
        <f t="shared" si="3"/>
        <v>OK</v>
      </c>
      <c r="H120" s="153" t="b">
        <v>1</v>
      </c>
    </row>
    <row r="121" spans="1:8" x14ac:dyDescent="0.3">
      <c r="A121" s="153" t="s">
        <v>2273</v>
      </c>
      <c r="B121" s="153" t="s">
        <v>2253</v>
      </c>
      <c r="C121" s="153" t="s">
        <v>1591</v>
      </c>
      <c r="D121" s="153">
        <v>22</v>
      </c>
      <c r="E121" s="153">
        <v>22</v>
      </c>
      <c r="F121" s="153">
        <f t="shared" si="2"/>
        <v>0</v>
      </c>
      <c r="G121" s="153" t="str">
        <f t="shared" si="3"/>
        <v>OK</v>
      </c>
      <c r="H121" s="153" t="b">
        <v>1</v>
      </c>
    </row>
    <row r="122" spans="1:8" x14ac:dyDescent="0.3">
      <c r="A122" s="153" t="s">
        <v>2274</v>
      </c>
      <c r="B122" s="153" t="s">
        <v>2253</v>
      </c>
      <c r="C122" s="153" t="s">
        <v>1595</v>
      </c>
      <c r="D122" s="153">
        <v>9</v>
      </c>
      <c r="E122" s="153">
        <v>9</v>
      </c>
      <c r="F122" s="153">
        <f t="shared" si="2"/>
        <v>0</v>
      </c>
      <c r="G122" s="153" t="str">
        <f t="shared" si="3"/>
        <v>OK</v>
      </c>
      <c r="H122" s="153" t="b">
        <v>1</v>
      </c>
    </row>
    <row r="123" spans="1:8" x14ac:dyDescent="0.3">
      <c r="A123" s="153" t="s">
        <v>2275</v>
      </c>
      <c r="B123" s="153" t="s">
        <v>2253</v>
      </c>
      <c r="C123" s="153" t="s">
        <v>1597</v>
      </c>
      <c r="D123" s="153">
        <v>10</v>
      </c>
      <c r="E123" s="153">
        <v>10</v>
      </c>
      <c r="F123" s="153">
        <f t="shared" si="2"/>
        <v>0</v>
      </c>
      <c r="G123" s="153" t="str">
        <f t="shared" si="3"/>
        <v>OK</v>
      </c>
      <c r="H123" s="153" t="b">
        <v>1</v>
      </c>
    </row>
    <row r="124" spans="1:8" x14ac:dyDescent="0.3">
      <c r="A124" s="153" t="s">
        <v>2276</v>
      </c>
      <c r="B124" s="153" t="s">
        <v>2253</v>
      </c>
      <c r="C124" s="153" t="s">
        <v>1599</v>
      </c>
      <c r="D124" s="153">
        <v>10</v>
      </c>
      <c r="E124" s="153">
        <v>10</v>
      </c>
      <c r="F124" s="153">
        <f t="shared" si="2"/>
        <v>0</v>
      </c>
      <c r="G124" s="153" t="str">
        <f t="shared" si="3"/>
        <v>OK</v>
      </c>
      <c r="H124" s="153" t="b">
        <v>1</v>
      </c>
    </row>
    <row r="125" spans="1:8" x14ac:dyDescent="0.3">
      <c r="A125" s="153" t="s">
        <v>2277</v>
      </c>
      <c r="B125" s="153" t="s">
        <v>2253</v>
      </c>
      <c r="C125" s="153" t="s">
        <v>1601</v>
      </c>
      <c r="D125" s="153">
        <v>3500</v>
      </c>
      <c r="E125" s="153">
        <v>3500</v>
      </c>
      <c r="F125" s="153">
        <f t="shared" si="2"/>
        <v>0</v>
      </c>
      <c r="G125" s="153" t="str">
        <f t="shared" si="3"/>
        <v>OK</v>
      </c>
      <c r="H125" s="153" t="b">
        <v>1</v>
      </c>
    </row>
    <row r="126" spans="1:8" x14ac:dyDescent="0.3">
      <c r="A126" s="153" t="s">
        <v>2278</v>
      </c>
      <c r="B126" s="153" t="s">
        <v>2253</v>
      </c>
      <c r="C126" s="153" t="s">
        <v>2279</v>
      </c>
      <c r="D126" s="153">
        <v>224</v>
      </c>
      <c r="E126" s="153">
        <v>224</v>
      </c>
      <c r="F126" s="153">
        <f t="shared" si="2"/>
        <v>0</v>
      </c>
      <c r="G126" s="153" t="str">
        <f t="shared" si="3"/>
        <v>OK</v>
      </c>
      <c r="H126" s="153" t="b">
        <v>1</v>
      </c>
    </row>
    <row r="127" spans="1:8" x14ac:dyDescent="0.3">
      <c r="A127" s="153" t="s">
        <v>2280</v>
      </c>
      <c r="B127" s="153" t="s">
        <v>2253</v>
      </c>
      <c r="C127" s="153" t="s">
        <v>1603</v>
      </c>
      <c r="D127" s="153">
        <v>448</v>
      </c>
      <c r="E127" s="153">
        <v>448</v>
      </c>
      <c r="F127" s="153">
        <f t="shared" si="2"/>
        <v>0</v>
      </c>
      <c r="G127" s="153" t="str">
        <f t="shared" si="3"/>
        <v>OK</v>
      </c>
      <c r="H127" s="153" t="b">
        <v>1</v>
      </c>
    </row>
    <row r="128" spans="1:8" x14ac:dyDescent="0.3">
      <c r="A128" s="153" t="s">
        <v>2281</v>
      </c>
      <c r="B128" s="153" t="s">
        <v>2253</v>
      </c>
      <c r="C128" s="153" t="s">
        <v>1605</v>
      </c>
      <c r="D128" s="153">
        <v>1775.190491803279</v>
      </c>
      <c r="E128" s="153">
        <v>1775.190491803279</v>
      </c>
      <c r="F128" s="153">
        <f t="shared" si="2"/>
        <v>0</v>
      </c>
      <c r="G128" s="153" t="str">
        <f t="shared" si="3"/>
        <v>OK</v>
      </c>
      <c r="H128" s="153" t="b">
        <v>1</v>
      </c>
    </row>
    <row r="129" spans="1:8" x14ac:dyDescent="0.3">
      <c r="A129" s="153" t="s">
        <v>2282</v>
      </c>
      <c r="B129" s="153" t="s">
        <v>2253</v>
      </c>
      <c r="C129" s="153" t="s">
        <v>1607</v>
      </c>
      <c r="D129" s="153">
        <v>0</v>
      </c>
      <c r="E129" s="153">
        <v>0</v>
      </c>
      <c r="F129" s="153">
        <f t="shared" si="2"/>
        <v>0</v>
      </c>
      <c r="G129" s="153" t="str">
        <f t="shared" si="3"/>
        <v>OK</v>
      </c>
      <c r="H129" s="153" t="b">
        <v>1</v>
      </c>
    </row>
    <row r="130" spans="1:8" x14ac:dyDescent="0.3">
      <c r="A130" s="153" t="s">
        <v>2283</v>
      </c>
      <c r="B130" s="153" t="s">
        <v>2253</v>
      </c>
      <c r="C130" s="153" t="s">
        <v>1609</v>
      </c>
      <c r="D130" s="153">
        <v>13500</v>
      </c>
      <c r="E130" s="153">
        <v>13500</v>
      </c>
      <c r="F130" s="153">
        <f t="shared" ref="F130:F193" si="4">IF(NOT(H130),"",IF(AND(ISNUMBER(D130),ISNUMBER(E130)),E130-D130,IF(D130=E130,0,1)))</f>
        <v>0</v>
      </c>
      <c r="G130" s="153" t="str">
        <f t="shared" ref="G130:G193" si="5">IF(NOT(H130),"PENDIENTE SIDE",IF(IF(AND(ISNUMBER(D130),ISNUMBER(E130)),IF(MOD(D130,1)=0,D130=E130,ABS(D130-E130)&lt;=0.000000001*MAX(1,ABS(D130),ABS(E130))),D130=E130),"OK","DIFERENCIA"))</f>
        <v>OK</v>
      </c>
      <c r="H130" s="153" t="b">
        <v>1</v>
      </c>
    </row>
    <row r="131" spans="1:8" x14ac:dyDescent="0.3">
      <c r="A131" s="153" t="s">
        <v>2284</v>
      </c>
      <c r="B131" s="153" t="s">
        <v>2253</v>
      </c>
      <c r="C131" s="153" t="s">
        <v>1611</v>
      </c>
      <c r="D131" s="153">
        <v>43909.042291803278</v>
      </c>
      <c r="E131" s="153">
        <v>43909.042291803278</v>
      </c>
      <c r="F131" s="153">
        <f t="shared" si="4"/>
        <v>0</v>
      </c>
      <c r="G131" s="153" t="str">
        <f t="shared" si="5"/>
        <v>OK</v>
      </c>
      <c r="H131" s="153" t="b">
        <v>1</v>
      </c>
    </row>
    <row r="132" spans="1:8" x14ac:dyDescent="0.3">
      <c r="A132" s="153" t="s">
        <v>2285</v>
      </c>
      <c r="B132" s="153" t="s">
        <v>2253</v>
      </c>
      <c r="C132" s="153" t="s">
        <v>1613</v>
      </c>
      <c r="D132" s="153">
        <v>-40409.042291803278</v>
      </c>
      <c r="E132" s="153">
        <v>-40409.042291803278</v>
      </c>
      <c r="F132" s="153">
        <f t="shared" si="4"/>
        <v>0</v>
      </c>
      <c r="G132" s="153" t="str">
        <f t="shared" si="5"/>
        <v>OK</v>
      </c>
      <c r="H132" s="153" t="b">
        <v>1</v>
      </c>
    </row>
    <row r="133" spans="1:8" x14ac:dyDescent="0.3">
      <c r="A133" s="153" t="s">
        <v>2286</v>
      </c>
      <c r="B133" s="153" t="s">
        <v>2253</v>
      </c>
      <c r="C133" s="153" t="s">
        <v>1615</v>
      </c>
      <c r="D133" s="153">
        <v>0</v>
      </c>
      <c r="E133" s="153">
        <v>0</v>
      </c>
      <c r="F133" s="153">
        <f t="shared" si="4"/>
        <v>0</v>
      </c>
      <c r="G133" s="153" t="str">
        <f t="shared" si="5"/>
        <v>OK</v>
      </c>
      <c r="H133" s="153" t="b">
        <v>1</v>
      </c>
    </row>
    <row r="134" spans="1:8" x14ac:dyDescent="0.3">
      <c r="A134" s="153" t="s">
        <v>2287</v>
      </c>
      <c r="B134" s="153" t="s">
        <v>2253</v>
      </c>
      <c r="C134" s="153" t="s">
        <v>1617</v>
      </c>
      <c r="D134" s="153">
        <v>3</v>
      </c>
      <c r="E134" s="153">
        <v>3</v>
      </c>
      <c r="F134" s="153">
        <f t="shared" si="4"/>
        <v>0</v>
      </c>
      <c r="G134" s="153" t="str">
        <f t="shared" si="5"/>
        <v>OK</v>
      </c>
      <c r="H134" s="153" t="b">
        <v>1</v>
      </c>
    </row>
    <row r="135" spans="1:8" x14ac:dyDescent="0.3">
      <c r="A135" s="153" t="s">
        <v>2288</v>
      </c>
      <c r="B135" s="153" t="s">
        <v>2253</v>
      </c>
      <c r="C135" s="153" t="s">
        <v>1619</v>
      </c>
      <c r="D135" s="153">
        <v>0</v>
      </c>
      <c r="E135" s="153">
        <v>0</v>
      </c>
      <c r="F135" s="153">
        <f t="shared" si="4"/>
        <v>0</v>
      </c>
      <c r="G135" s="153" t="str">
        <f t="shared" si="5"/>
        <v>OK</v>
      </c>
      <c r="H135" s="153" t="b">
        <v>1</v>
      </c>
    </row>
    <row r="136" spans="1:8" x14ac:dyDescent="0.3">
      <c r="A136" s="153" t="s">
        <v>2289</v>
      </c>
      <c r="B136" s="153" t="s">
        <v>2253</v>
      </c>
      <c r="C136" s="153" t="s">
        <v>1621</v>
      </c>
      <c r="D136" s="153">
        <v>0</v>
      </c>
      <c r="E136" s="153">
        <v>0</v>
      </c>
      <c r="F136" s="153">
        <f t="shared" si="4"/>
        <v>0</v>
      </c>
      <c r="G136" s="153" t="str">
        <f t="shared" si="5"/>
        <v>OK</v>
      </c>
      <c r="H136" s="153" t="b">
        <v>1</v>
      </c>
    </row>
    <row r="137" spans="1:8" x14ac:dyDescent="0.3">
      <c r="A137" s="153" t="s">
        <v>2290</v>
      </c>
      <c r="B137" s="153" t="s">
        <v>2253</v>
      </c>
      <c r="C137" s="153" t="s">
        <v>1623</v>
      </c>
      <c r="D137" s="153">
        <v>829.2</v>
      </c>
      <c r="E137" s="153">
        <v>829.2</v>
      </c>
      <c r="F137" s="153">
        <f t="shared" si="4"/>
        <v>0</v>
      </c>
      <c r="G137" s="153" t="str">
        <f t="shared" si="5"/>
        <v>OK</v>
      </c>
      <c r="H137" s="153" t="b">
        <v>1</v>
      </c>
    </row>
    <row r="138" spans="1:8" x14ac:dyDescent="0.3">
      <c r="A138" s="153" t="s">
        <v>2291</v>
      </c>
      <c r="B138" s="153" t="s">
        <v>2253</v>
      </c>
      <c r="C138" s="153" t="s">
        <v>1625</v>
      </c>
      <c r="D138" s="153">
        <v>0</v>
      </c>
      <c r="E138" s="153">
        <v>0</v>
      </c>
      <c r="F138" s="153">
        <f t="shared" si="4"/>
        <v>0</v>
      </c>
      <c r="G138" s="153" t="str">
        <f t="shared" si="5"/>
        <v>OK</v>
      </c>
      <c r="H138" s="153" t="b">
        <v>1</v>
      </c>
    </row>
    <row r="139" spans="1:8" x14ac:dyDescent="0.3">
      <c r="A139" s="153" t="s">
        <v>2292</v>
      </c>
      <c r="B139" s="153" t="s">
        <v>2253</v>
      </c>
      <c r="C139" s="153" t="s">
        <v>1627</v>
      </c>
      <c r="D139" s="153">
        <v>1756</v>
      </c>
      <c r="E139" s="153">
        <v>1756</v>
      </c>
      <c r="F139" s="153">
        <f t="shared" si="4"/>
        <v>0</v>
      </c>
      <c r="G139" s="153" t="str">
        <f t="shared" si="5"/>
        <v>OK</v>
      </c>
      <c r="H139" s="153" t="b">
        <v>1</v>
      </c>
    </row>
    <row r="140" spans="1:8" x14ac:dyDescent="0.3">
      <c r="A140" s="153" t="s">
        <v>2293</v>
      </c>
      <c r="B140" s="153" t="s">
        <v>2253</v>
      </c>
      <c r="C140" s="153" t="s">
        <v>1629</v>
      </c>
      <c r="D140" s="153">
        <v>0</v>
      </c>
      <c r="E140" s="153">
        <v>0</v>
      </c>
      <c r="F140" s="153">
        <f t="shared" si="4"/>
        <v>0</v>
      </c>
      <c r="G140" s="153" t="str">
        <f t="shared" si="5"/>
        <v>OK</v>
      </c>
      <c r="H140" s="153" t="b">
        <v>1</v>
      </c>
    </row>
    <row r="141" spans="1:8" x14ac:dyDescent="0.3">
      <c r="A141" s="153" t="s">
        <v>2294</v>
      </c>
      <c r="B141" s="153" t="s">
        <v>2253</v>
      </c>
      <c r="C141" s="153" t="s">
        <v>1631</v>
      </c>
      <c r="D141" s="153">
        <v>0</v>
      </c>
      <c r="E141" s="153">
        <v>0</v>
      </c>
      <c r="F141" s="153">
        <f t="shared" si="4"/>
        <v>0</v>
      </c>
      <c r="G141" s="153" t="str">
        <f t="shared" si="5"/>
        <v>OK</v>
      </c>
      <c r="H141" s="153" t="b">
        <v>1</v>
      </c>
    </row>
    <row r="142" spans="1:8" x14ac:dyDescent="0.3">
      <c r="A142" s="153" t="s">
        <v>2295</v>
      </c>
      <c r="B142" s="153" t="s">
        <v>2253</v>
      </c>
      <c r="C142" s="153" t="s">
        <v>1633</v>
      </c>
      <c r="D142" s="153">
        <v>26828</v>
      </c>
      <c r="E142" s="153">
        <v>26828</v>
      </c>
      <c r="F142" s="153">
        <f t="shared" si="4"/>
        <v>0</v>
      </c>
      <c r="G142" s="153" t="str">
        <f t="shared" si="5"/>
        <v>OK</v>
      </c>
      <c r="H142" s="153" t="b">
        <v>1</v>
      </c>
    </row>
    <row r="143" spans="1:8" x14ac:dyDescent="0.3">
      <c r="A143" s="153" t="s">
        <v>2296</v>
      </c>
      <c r="B143" s="153" t="s">
        <v>2253</v>
      </c>
      <c r="C143" s="153" t="s">
        <v>1635</v>
      </c>
      <c r="D143" s="153" t="b">
        <v>0</v>
      </c>
      <c r="E143" s="153" t="b">
        <v>0</v>
      </c>
      <c r="F143" s="153">
        <f t="shared" si="4"/>
        <v>0</v>
      </c>
      <c r="G143" s="153" t="str">
        <f t="shared" si="5"/>
        <v>OK</v>
      </c>
      <c r="H143" s="153" t="b">
        <v>1</v>
      </c>
    </row>
    <row r="144" spans="1:8" x14ac:dyDescent="0.3">
      <c r="A144" s="153" t="s">
        <v>2297</v>
      </c>
      <c r="B144" s="153" t="s">
        <v>2253</v>
      </c>
      <c r="C144" s="153" t="s">
        <v>1637</v>
      </c>
      <c r="D144" s="153" t="b">
        <v>1</v>
      </c>
      <c r="E144" s="153" t="b">
        <v>1</v>
      </c>
      <c r="F144" s="153">
        <f t="shared" si="4"/>
        <v>0</v>
      </c>
      <c r="G144" s="153" t="str">
        <f t="shared" si="5"/>
        <v>OK</v>
      </c>
      <c r="H144" s="153" t="b">
        <v>1</v>
      </c>
    </row>
    <row r="145" spans="1:8" x14ac:dyDescent="0.3">
      <c r="A145" s="153" t="s">
        <v>2298</v>
      </c>
      <c r="B145" s="153" t="s">
        <v>2253</v>
      </c>
      <c r="C145" s="153" t="s">
        <v>1639</v>
      </c>
      <c r="D145" s="153" t="b">
        <v>0</v>
      </c>
      <c r="E145" s="153" t="b">
        <v>0</v>
      </c>
      <c r="F145" s="153">
        <f t="shared" si="4"/>
        <v>0</v>
      </c>
      <c r="G145" s="153" t="str">
        <f t="shared" si="5"/>
        <v>OK</v>
      </c>
      <c r="H145" s="153" t="b">
        <v>1</v>
      </c>
    </row>
    <row r="146" spans="1:8" x14ac:dyDescent="0.3">
      <c r="A146" s="153" t="s">
        <v>2299</v>
      </c>
      <c r="B146" s="153" t="s">
        <v>2253</v>
      </c>
      <c r="C146" s="153" t="s">
        <v>1641</v>
      </c>
      <c r="D146" s="153" t="b">
        <v>0</v>
      </c>
      <c r="E146" s="153" t="b">
        <v>0</v>
      </c>
      <c r="F146" s="153">
        <f t="shared" si="4"/>
        <v>0</v>
      </c>
      <c r="G146" s="153" t="str">
        <f t="shared" si="5"/>
        <v>OK</v>
      </c>
      <c r="H146" s="153" t="b">
        <v>1</v>
      </c>
    </row>
    <row r="147" spans="1:8" x14ac:dyDescent="0.3">
      <c r="A147" s="153" t="s">
        <v>2300</v>
      </c>
      <c r="B147" s="153" t="s">
        <v>2253</v>
      </c>
      <c r="C147" s="153" t="s">
        <v>1643</v>
      </c>
      <c r="D147" s="153" t="b">
        <v>1</v>
      </c>
      <c r="E147" s="153" t="b">
        <v>1</v>
      </c>
      <c r="F147" s="153">
        <f t="shared" si="4"/>
        <v>0</v>
      </c>
      <c r="G147" s="153" t="str">
        <f t="shared" si="5"/>
        <v>OK</v>
      </c>
      <c r="H147" s="153" t="b">
        <v>1</v>
      </c>
    </row>
    <row r="148" spans="1:8" x14ac:dyDescent="0.3">
      <c r="A148" s="153" t="s">
        <v>2301</v>
      </c>
      <c r="B148" s="153" t="s">
        <v>2253</v>
      </c>
      <c r="C148" s="153" t="s">
        <v>1645</v>
      </c>
      <c r="D148" s="153" t="b">
        <v>1</v>
      </c>
      <c r="E148" s="153" t="b">
        <v>1</v>
      </c>
      <c r="F148" s="153">
        <f t="shared" si="4"/>
        <v>0</v>
      </c>
      <c r="G148" s="153" t="str">
        <f t="shared" si="5"/>
        <v>OK</v>
      </c>
      <c r="H148" s="153" t="b">
        <v>1</v>
      </c>
    </row>
    <row r="149" spans="1:8" x14ac:dyDescent="0.3">
      <c r="A149" s="153" t="s">
        <v>2302</v>
      </c>
      <c r="B149" s="153" t="s">
        <v>2253</v>
      </c>
      <c r="C149" s="153" t="s">
        <v>1647</v>
      </c>
      <c r="D149" s="153" t="b">
        <v>1</v>
      </c>
      <c r="E149" s="153" t="b">
        <v>1</v>
      </c>
      <c r="F149" s="153">
        <f t="shared" si="4"/>
        <v>0</v>
      </c>
      <c r="G149" s="153" t="str">
        <f t="shared" si="5"/>
        <v>OK</v>
      </c>
      <c r="H149" s="153" t="b">
        <v>1</v>
      </c>
    </row>
    <row r="150" spans="1:8" x14ac:dyDescent="0.3">
      <c r="A150" s="153" t="s">
        <v>2303</v>
      </c>
      <c r="B150" s="153" t="s">
        <v>2253</v>
      </c>
      <c r="C150" s="153" t="s">
        <v>1649</v>
      </c>
      <c r="D150" s="153" t="b">
        <v>0</v>
      </c>
      <c r="E150" s="153" t="b">
        <v>0</v>
      </c>
      <c r="F150" s="153">
        <f t="shared" si="4"/>
        <v>0</v>
      </c>
      <c r="G150" s="153" t="str">
        <f t="shared" si="5"/>
        <v>OK</v>
      </c>
      <c r="H150" s="153" t="b">
        <v>1</v>
      </c>
    </row>
    <row r="151" spans="1:8" x14ac:dyDescent="0.3">
      <c r="A151" s="153" t="s">
        <v>2304</v>
      </c>
      <c r="B151" s="153" t="s">
        <v>2253</v>
      </c>
      <c r="C151" s="153" t="s">
        <v>1651</v>
      </c>
      <c r="D151" s="153">
        <v>0</v>
      </c>
      <c r="E151" s="153">
        <v>0</v>
      </c>
      <c r="F151" s="153">
        <f t="shared" si="4"/>
        <v>0</v>
      </c>
      <c r="G151" s="153" t="str">
        <f t="shared" si="5"/>
        <v>OK</v>
      </c>
      <c r="H151" s="153" t="b">
        <v>1</v>
      </c>
    </row>
    <row r="152" spans="1:8" x14ac:dyDescent="0.3">
      <c r="A152" s="153" t="s">
        <v>2305</v>
      </c>
      <c r="B152" s="153" t="s">
        <v>2253</v>
      </c>
      <c r="C152" s="153" t="s">
        <v>1653</v>
      </c>
      <c r="D152" s="153">
        <v>23</v>
      </c>
      <c r="E152" s="153">
        <v>23</v>
      </c>
      <c r="F152" s="153">
        <f t="shared" si="4"/>
        <v>0</v>
      </c>
      <c r="G152" s="153" t="str">
        <f t="shared" si="5"/>
        <v>OK</v>
      </c>
      <c r="H152" s="153" t="b">
        <v>1</v>
      </c>
    </row>
    <row r="153" spans="1:8" x14ac:dyDescent="0.3">
      <c r="A153" s="153" t="s">
        <v>2306</v>
      </c>
      <c r="B153" s="153" t="s">
        <v>2253</v>
      </c>
      <c r="C153" s="153" t="s">
        <v>1655</v>
      </c>
      <c r="D153" s="153">
        <v>0</v>
      </c>
      <c r="E153" s="153">
        <v>0</v>
      </c>
      <c r="F153" s="153">
        <f t="shared" si="4"/>
        <v>0</v>
      </c>
      <c r="G153" s="153" t="str">
        <f t="shared" si="5"/>
        <v>OK</v>
      </c>
      <c r="H153" s="153" t="b">
        <v>1</v>
      </c>
    </row>
    <row r="154" spans="1:8" x14ac:dyDescent="0.3">
      <c r="A154" s="153" t="s">
        <v>2307</v>
      </c>
      <c r="B154" s="153" t="s">
        <v>2253</v>
      </c>
      <c r="C154" s="153" t="s">
        <v>1657</v>
      </c>
      <c r="D154" s="153">
        <v>3</v>
      </c>
      <c r="E154" s="153">
        <v>3</v>
      </c>
      <c r="F154" s="153">
        <f t="shared" si="4"/>
        <v>0</v>
      </c>
      <c r="G154" s="153" t="str">
        <f t="shared" si="5"/>
        <v>OK</v>
      </c>
      <c r="H154" s="153" t="b">
        <v>1</v>
      </c>
    </row>
    <row r="155" spans="1:8" x14ac:dyDescent="0.3">
      <c r="A155" s="153" t="s">
        <v>2308</v>
      </c>
      <c r="B155" s="153" t="s">
        <v>2253</v>
      </c>
      <c r="C155" s="153" t="s">
        <v>1659</v>
      </c>
      <c r="D155" s="153">
        <v>2.666666666666667</v>
      </c>
      <c r="E155" s="153">
        <v>2.666666666666667</v>
      </c>
      <c r="F155" s="153">
        <f t="shared" si="4"/>
        <v>0</v>
      </c>
      <c r="G155" s="153" t="str">
        <f t="shared" si="5"/>
        <v>OK</v>
      </c>
      <c r="H155" s="153" t="b">
        <v>1</v>
      </c>
    </row>
    <row r="156" spans="1:8" x14ac:dyDescent="0.3">
      <c r="A156" s="153" t="s">
        <v>2309</v>
      </c>
      <c r="B156" s="153" t="s">
        <v>2253</v>
      </c>
      <c r="C156" s="153" t="s">
        <v>1661</v>
      </c>
      <c r="D156" s="153">
        <v>2</v>
      </c>
      <c r="E156" s="153">
        <v>2</v>
      </c>
      <c r="F156" s="153">
        <f t="shared" si="4"/>
        <v>0</v>
      </c>
      <c r="G156" s="153" t="str">
        <f t="shared" si="5"/>
        <v>OK</v>
      </c>
      <c r="H156" s="153" t="b">
        <v>1</v>
      </c>
    </row>
    <row r="157" spans="1:8" x14ac:dyDescent="0.3">
      <c r="A157" s="153" t="s">
        <v>2310</v>
      </c>
      <c r="B157" s="153" t="s">
        <v>2253</v>
      </c>
      <c r="C157" s="153" t="s">
        <v>1663</v>
      </c>
      <c r="D157" s="153">
        <v>-1</v>
      </c>
      <c r="E157" s="153">
        <v>-1</v>
      </c>
      <c r="F157" s="153">
        <f t="shared" si="4"/>
        <v>0</v>
      </c>
      <c r="G157" s="153" t="str">
        <f t="shared" si="5"/>
        <v>OK</v>
      </c>
      <c r="H157" s="153" t="b">
        <v>1</v>
      </c>
    </row>
    <row r="158" spans="1:8" x14ac:dyDescent="0.3">
      <c r="A158" s="153" t="s">
        <v>2311</v>
      </c>
      <c r="B158" s="153" t="s">
        <v>2253</v>
      </c>
      <c r="C158" s="153" t="s">
        <v>1665</v>
      </c>
      <c r="D158" s="153">
        <v>2</v>
      </c>
      <c r="E158" s="153">
        <v>2</v>
      </c>
      <c r="F158" s="153">
        <f t="shared" si="4"/>
        <v>0</v>
      </c>
      <c r="G158" s="153" t="str">
        <f t="shared" si="5"/>
        <v>OK</v>
      </c>
      <c r="H158" s="153" t="b">
        <v>1</v>
      </c>
    </row>
    <row r="159" spans="1:8" x14ac:dyDescent="0.3">
      <c r="A159" s="153" t="s">
        <v>2312</v>
      </c>
      <c r="B159" s="153" t="s">
        <v>2253</v>
      </c>
      <c r="C159" s="153" t="s">
        <v>1667</v>
      </c>
      <c r="D159" s="153">
        <v>5</v>
      </c>
      <c r="E159" s="153">
        <v>5</v>
      </c>
      <c r="F159" s="153">
        <f t="shared" si="4"/>
        <v>0</v>
      </c>
      <c r="G159" s="153" t="str">
        <f t="shared" si="5"/>
        <v>OK</v>
      </c>
      <c r="H159" s="153" t="b">
        <v>1</v>
      </c>
    </row>
    <row r="160" spans="1:8" x14ac:dyDescent="0.3">
      <c r="A160" s="153" t="s">
        <v>2313</v>
      </c>
      <c r="B160" s="153" t="s">
        <v>2253</v>
      </c>
      <c r="C160" s="153" t="s">
        <v>1669</v>
      </c>
      <c r="D160" s="153">
        <v>120</v>
      </c>
      <c r="E160" s="153">
        <v>120</v>
      </c>
      <c r="F160" s="153">
        <f t="shared" si="4"/>
        <v>0</v>
      </c>
      <c r="G160" s="153" t="str">
        <f t="shared" si="5"/>
        <v>OK</v>
      </c>
      <c r="H160" s="153" t="b">
        <v>1</v>
      </c>
    </row>
    <row r="161" spans="1:8" x14ac:dyDescent="0.3">
      <c r="A161" s="153" t="s">
        <v>2314</v>
      </c>
      <c r="B161" s="153" t="s">
        <v>2253</v>
      </c>
      <c r="C161" s="153" t="s">
        <v>1671</v>
      </c>
      <c r="D161" s="153">
        <v>0.9</v>
      </c>
      <c r="E161" s="153">
        <v>0.9</v>
      </c>
      <c r="F161" s="153">
        <f t="shared" si="4"/>
        <v>0</v>
      </c>
      <c r="G161" s="153" t="str">
        <f t="shared" si="5"/>
        <v>OK</v>
      </c>
      <c r="H161" s="153" t="b">
        <v>1</v>
      </c>
    </row>
    <row r="162" spans="1:8" x14ac:dyDescent="0.3">
      <c r="A162" s="153" t="s">
        <v>2315</v>
      </c>
      <c r="B162" s="153" t="s">
        <v>2253</v>
      </c>
      <c r="C162" s="153" t="s">
        <v>1673</v>
      </c>
      <c r="D162" s="153">
        <v>108</v>
      </c>
      <c r="E162" s="153">
        <v>108</v>
      </c>
      <c r="F162" s="153">
        <f t="shared" si="4"/>
        <v>0</v>
      </c>
      <c r="G162" s="153" t="str">
        <f t="shared" si="5"/>
        <v>OK</v>
      </c>
      <c r="H162" s="153" t="b">
        <v>1</v>
      </c>
    </row>
    <row r="163" spans="1:8" x14ac:dyDescent="0.3">
      <c r="A163" s="153" t="s">
        <v>2316</v>
      </c>
      <c r="B163" s="153" t="s">
        <v>2253</v>
      </c>
      <c r="C163" s="153" t="s">
        <v>1675</v>
      </c>
      <c r="D163" s="153">
        <v>70</v>
      </c>
      <c r="E163" s="153">
        <v>70</v>
      </c>
      <c r="F163" s="153">
        <f t="shared" si="4"/>
        <v>0</v>
      </c>
      <c r="G163" s="153" t="str">
        <f t="shared" si="5"/>
        <v>OK</v>
      </c>
      <c r="H163" s="153" t="b">
        <v>1</v>
      </c>
    </row>
    <row r="164" spans="1:8" x14ac:dyDescent="0.3">
      <c r="A164" s="153" t="s">
        <v>2317</v>
      </c>
      <c r="B164" s="153" t="s">
        <v>2253</v>
      </c>
      <c r="C164" s="153" t="s">
        <v>1677</v>
      </c>
      <c r="D164" s="153">
        <v>21</v>
      </c>
      <c r="E164" s="153">
        <v>21</v>
      </c>
      <c r="F164" s="153">
        <f t="shared" si="4"/>
        <v>0</v>
      </c>
      <c r="G164" s="153" t="str">
        <f t="shared" si="5"/>
        <v>OK</v>
      </c>
      <c r="H164" s="153" t="b">
        <v>1</v>
      </c>
    </row>
    <row r="165" spans="1:8" x14ac:dyDescent="0.3">
      <c r="A165" s="153" t="s">
        <v>2318</v>
      </c>
      <c r="B165" s="153" t="s">
        <v>2253</v>
      </c>
      <c r="C165" s="153" t="s">
        <v>1679</v>
      </c>
      <c r="D165" s="153">
        <v>70</v>
      </c>
      <c r="E165" s="153">
        <v>70</v>
      </c>
      <c r="F165" s="153">
        <f t="shared" si="4"/>
        <v>0</v>
      </c>
      <c r="G165" s="153" t="str">
        <f t="shared" si="5"/>
        <v>OK</v>
      </c>
      <c r="H165" s="153" t="b">
        <v>1</v>
      </c>
    </row>
    <row r="166" spans="1:8" x14ac:dyDescent="0.3">
      <c r="A166" s="153" t="s">
        <v>2319</v>
      </c>
      <c r="B166" s="153" t="s">
        <v>2253</v>
      </c>
      <c r="C166" s="153" t="s">
        <v>1681</v>
      </c>
      <c r="D166" s="153">
        <v>420</v>
      </c>
      <c r="E166" s="153">
        <v>420</v>
      </c>
      <c r="F166" s="153">
        <f t="shared" si="4"/>
        <v>0</v>
      </c>
      <c r="G166" s="153" t="str">
        <f t="shared" si="5"/>
        <v>OK</v>
      </c>
      <c r="H166" s="153" t="b">
        <v>1</v>
      </c>
    </row>
    <row r="167" spans="1:8" x14ac:dyDescent="0.3">
      <c r="A167" s="153" t="s">
        <v>2320</v>
      </c>
      <c r="B167" s="153" t="s">
        <v>2253</v>
      </c>
      <c r="C167" s="153" t="s">
        <v>1683</v>
      </c>
      <c r="D167" s="153">
        <v>7784.7199999999993</v>
      </c>
      <c r="E167" s="153">
        <v>7784.7199999999993</v>
      </c>
      <c r="F167" s="153">
        <f t="shared" si="4"/>
        <v>0</v>
      </c>
      <c r="G167" s="153" t="str">
        <f t="shared" si="5"/>
        <v>OK</v>
      </c>
      <c r="H167" s="153" t="b">
        <v>1</v>
      </c>
    </row>
    <row r="168" spans="1:8" x14ac:dyDescent="0.3">
      <c r="A168" s="153" t="s">
        <v>2321</v>
      </c>
      <c r="B168" s="153" t="s">
        <v>2253</v>
      </c>
      <c r="C168" s="153" t="s">
        <v>1685</v>
      </c>
      <c r="D168" s="153">
        <v>1513.4</v>
      </c>
      <c r="E168" s="153">
        <v>1513.4</v>
      </c>
      <c r="F168" s="153">
        <f t="shared" si="4"/>
        <v>0</v>
      </c>
      <c r="G168" s="153" t="str">
        <f t="shared" si="5"/>
        <v>OK</v>
      </c>
      <c r="H168" s="153" t="b">
        <v>1</v>
      </c>
    </row>
    <row r="169" spans="1:8" x14ac:dyDescent="0.3">
      <c r="A169" s="153" t="s">
        <v>2322</v>
      </c>
      <c r="B169" s="153" t="s">
        <v>2253</v>
      </c>
      <c r="C169" s="153" t="s">
        <v>1687</v>
      </c>
      <c r="D169" s="153">
        <v>31.25</v>
      </c>
      <c r="E169" s="153">
        <v>31.25</v>
      </c>
      <c r="F169" s="153">
        <f t="shared" si="4"/>
        <v>0</v>
      </c>
      <c r="G169" s="153" t="str">
        <f t="shared" si="5"/>
        <v>OK</v>
      </c>
      <c r="H169" s="153" t="b">
        <v>1</v>
      </c>
    </row>
    <row r="170" spans="1:8" x14ac:dyDescent="0.3">
      <c r="A170" s="153" t="s">
        <v>2323</v>
      </c>
      <c r="B170" s="153" t="s">
        <v>2253</v>
      </c>
      <c r="C170" s="153" t="s">
        <v>1689</v>
      </c>
      <c r="D170" s="153">
        <v>64.125</v>
      </c>
      <c r="E170" s="153">
        <v>64.125</v>
      </c>
      <c r="F170" s="153">
        <f t="shared" si="4"/>
        <v>0</v>
      </c>
      <c r="G170" s="153" t="str">
        <f t="shared" si="5"/>
        <v>OK</v>
      </c>
      <c r="H170" s="153" t="b">
        <v>1</v>
      </c>
    </row>
    <row r="171" spans="1:8" x14ac:dyDescent="0.3">
      <c r="A171" s="153" t="s">
        <v>2324</v>
      </c>
      <c r="B171" s="153" t="s">
        <v>2253</v>
      </c>
      <c r="C171" s="153" t="s">
        <v>1691</v>
      </c>
      <c r="D171" s="153">
        <v>0</v>
      </c>
      <c r="E171" s="153">
        <v>0</v>
      </c>
      <c r="F171" s="153">
        <f t="shared" si="4"/>
        <v>0</v>
      </c>
      <c r="G171" s="153" t="str">
        <f t="shared" si="5"/>
        <v>OK</v>
      </c>
      <c r="H171" s="153" t="b">
        <v>1</v>
      </c>
    </row>
    <row r="172" spans="1:8" x14ac:dyDescent="0.3">
      <c r="A172" s="153" t="s">
        <v>2325</v>
      </c>
      <c r="B172" s="153" t="s">
        <v>2253</v>
      </c>
      <c r="C172" s="153" t="s">
        <v>1693</v>
      </c>
      <c r="D172" s="153">
        <v>-2</v>
      </c>
      <c r="E172" s="153">
        <v>-2</v>
      </c>
      <c r="F172" s="153">
        <f t="shared" si="4"/>
        <v>0</v>
      </c>
      <c r="G172" s="153" t="str">
        <f t="shared" si="5"/>
        <v>OK</v>
      </c>
      <c r="H172" s="153" t="b">
        <v>1</v>
      </c>
    </row>
    <row r="173" spans="1:8" x14ac:dyDescent="0.3">
      <c r="A173" s="153" t="s">
        <v>2326</v>
      </c>
      <c r="B173" s="153" t="s">
        <v>2253</v>
      </c>
      <c r="C173" s="153" t="s">
        <v>1697</v>
      </c>
      <c r="D173" s="153">
        <v>1</v>
      </c>
      <c r="E173" s="153">
        <v>1</v>
      </c>
      <c r="F173" s="153">
        <f t="shared" si="4"/>
        <v>0</v>
      </c>
      <c r="G173" s="153" t="str">
        <f t="shared" si="5"/>
        <v>OK</v>
      </c>
      <c r="H173" s="153" t="b">
        <v>1</v>
      </c>
    </row>
    <row r="174" spans="1:8" x14ac:dyDescent="0.3">
      <c r="A174" s="153" t="s">
        <v>2327</v>
      </c>
      <c r="B174" s="153" t="s">
        <v>2253</v>
      </c>
      <c r="C174" s="153" t="s">
        <v>1699</v>
      </c>
      <c r="D174" s="153">
        <v>0</v>
      </c>
      <c r="E174" s="153">
        <v>0</v>
      </c>
      <c r="F174" s="153">
        <f t="shared" si="4"/>
        <v>0</v>
      </c>
      <c r="G174" s="153" t="str">
        <f t="shared" si="5"/>
        <v>OK</v>
      </c>
      <c r="H174" s="153" t="b">
        <v>1</v>
      </c>
    </row>
    <row r="175" spans="1:8" x14ac:dyDescent="0.3">
      <c r="A175" s="153" t="s">
        <v>2328</v>
      </c>
      <c r="B175" s="153" t="s">
        <v>2253</v>
      </c>
      <c r="C175" s="153" t="s">
        <v>1701</v>
      </c>
      <c r="D175" s="153">
        <v>0</v>
      </c>
      <c r="E175" s="153">
        <v>0</v>
      </c>
      <c r="F175" s="153">
        <f t="shared" si="4"/>
        <v>0</v>
      </c>
      <c r="G175" s="153" t="str">
        <f t="shared" si="5"/>
        <v>OK</v>
      </c>
      <c r="H175" s="153" t="b">
        <v>1</v>
      </c>
    </row>
    <row r="176" spans="1:8" x14ac:dyDescent="0.3">
      <c r="A176" s="153" t="s">
        <v>2329</v>
      </c>
      <c r="B176" s="153" t="s">
        <v>2253</v>
      </c>
      <c r="C176" s="153" t="s">
        <v>1703</v>
      </c>
      <c r="D176" s="153">
        <v>0</v>
      </c>
      <c r="E176" s="153">
        <v>0</v>
      </c>
      <c r="F176" s="153">
        <f t="shared" si="4"/>
        <v>0</v>
      </c>
      <c r="G176" s="153" t="str">
        <f t="shared" si="5"/>
        <v>OK</v>
      </c>
      <c r="H176" s="153" t="b">
        <v>1</v>
      </c>
    </row>
    <row r="177" spans="1:8" x14ac:dyDescent="0.3">
      <c r="A177" s="153" t="s">
        <v>2330</v>
      </c>
      <c r="B177" s="153" t="s">
        <v>2253</v>
      </c>
      <c r="C177" s="153" t="s">
        <v>2331</v>
      </c>
      <c r="D177" s="153">
        <v>139</v>
      </c>
      <c r="E177" s="153">
        <v>139</v>
      </c>
      <c r="F177" s="153">
        <f t="shared" si="4"/>
        <v>0</v>
      </c>
      <c r="G177" s="153" t="str">
        <f t="shared" si="5"/>
        <v>OK</v>
      </c>
      <c r="H177" s="153" t="b">
        <v>1</v>
      </c>
    </row>
    <row r="178" spans="1:8" x14ac:dyDescent="0.3">
      <c r="A178" s="153" t="s">
        <v>2332</v>
      </c>
      <c r="B178" s="153" t="s">
        <v>2253</v>
      </c>
      <c r="C178" s="153" t="s">
        <v>1705</v>
      </c>
      <c r="D178" s="153">
        <v>278</v>
      </c>
      <c r="E178" s="153">
        <v>278</v>
      </c>
      <c r="F178" s="153">
        <f t="shared" si="4"/>
        <v>0</v>
      </c>
      <c r="G178" s="153" t="str">
        <f t="shared" si="5"/>
        <v>OK</v>
      </c>
      <c r="H178" s="153" t="b">
        <v>1</v>
      </c>
    </row>
    <row r="179" spans="1:8" x14ac:dyDescent="0.3">
      <c r="A179" s="153" t="s">
        <v>2333</v>
      </c>
      <c r="B179" s="153" t="s">
        <v>2253</v>
      </c>
      <c r="C179" s="153" t="s">
        <v>1707</v>
      </c>
      <c r="D179" s="153">
        <v>1946.18</v>
      </c>
      <c r="E179" s="153">
        <v>1946.18</v>
      </c>
      <c r="F179" s="153">
        <f t="shared" si="4"/>
        <v>0</v>
      </c>
      <c r="G179" s="153" t="str">
        <f t="shared" si="5"/>
        <v>OK</v>
      </c>
      <c r="H179" s="153" t="b">
        <v>1</v>
      </c>
    </row>
    <row r="180" spans="1:8" x14ac:dyDescent="0.3">
      <c r="A180" s="153" t="s">
        <v>2334</v>
      </c>
      <c r="B180" s="153" t="s">
        <v>2253</v>
      </c>
      <c r="C180" s="153" t="s">
        <v>1709</v>
      </c>
      <c r="D180" s="153">
        <v>0</v>
      </c>
      <c r="E180" s="153">
        <v>0</v>
      </c>
      <c r="F180" s="153">
        <f t="shared" si="4"/>
        <v>0</v>
      </c>
      <c r="G180" s="153" t="str">
        <f t="shared" si="5"/>
        <v>OK</v>
      </c>
      <c r="H180" s="153" t="b">
        <v>1</v>
      </c>
    </row>
    <row r="181" spans="1:8" x14ac:dyDescent="0.3">
      <c r="A181" s="153" t="s">
        <v>2335</v>
      </c>
      <c r="B181" s="153" t="s">
        <v>2253</v>
      </c>
      <c r="C181" s="153" t="s">
        <v>1711</v>
      </c>
      <c r="D181" s="153">
        <v>1500</v>
      </c>
      <c r="E181" s="153">
        <v>1500</v>
      </c>
      <c r="F181" s="153">
        <f t="shared" si="4"/>
        <v>0</v>
      </c>
      <c r="G181" s="153" t="str">
        <f t="shared" si="5"/>
        <v>OK</v>
      </c>
      <c r="H181" s="153" t="b">
        <v>1</v>
      </c>
    </row>
    <row r="182" spans="1:8" x14ac:dyDescent="0.3">
      <c r="A182" s="153" t="s">
        <v>2336</v>
      </c>
      <c r="B182" s="153" t="s">
        <v>2253</v>
      </c>
      <c r="C182" s="153" t="s">
        <v>1713</v>
      </c>
      <c r="D182" s="153">
        <v>13117.674999999999</v>
      </c>
      <c r="E182" s="153">
        <v>13117.674999999999</v>
      </c>
      <c r="F182" s="153">
        <f t="shared" si="4"/>
        <v>0</v>
      </c>
      <c r="G182" s="153" t="str">
        <f t="shared" si="5"/>
        <v>OK</v>
      </c>
      <c r="H182" s="153" t="b">
        <v>1</v>
      </c>
    </row>
    <row r="183" spans="1:8" x14ac:dyDescent="0.3">
      <c r="A183" s="153" t="s">
        <v>2337</v>
      </c>
      <c r="B183" s="153" t="s">
        <v>2253</v>
      </c>
      <c r="C183" s="153" t="s">
        <v>1715</v>
      </c>
      <c r="D183" s="153">
        <v>-13117.674999999999</v>
      </c>
      <c r="E183" s="153">
        <v>-13117.674999999999</v>
      </c>
      <c r="F183" s="153">
        <f t="shared" si="4"/>
        <v>0</v>
      </c>
      <c r="G183" s="153" t="str">
        <f t="shared" si="5"/>
        <v>OK</v>
      </c>
      <c r="H183" s="153" t="b">
        <v>1</v>
      </c>
    </row>
    <row r="184" spans="1:8" x14ac:dyDescent="0.3">
      <c r="A184" s="153" t="s">
        <v>2338</v>
      </c>
      <c r="B184" s="153" t="s">
        <v>2253</v>
      </c>
      <c r="C184" s="153" t="s">
        <v>1717</v>
      </c>
      <c r="D184" s="153">
        <v>2</v>
      </c>
      <c r="E184" s="153">
        <v>2</v>
      </c>
      <c r="F184" s="153">
        <f t="shared" si="4"/>
        <v>0</v>
      </c>
      <c r="G184" s="153" t="str">
        <f t="shared" si="5"/>
        <v>OK</v>
      </c>
      <c r="H184" s="153" t="b">
        <v>1</v>
      </c>
    </row>
    <row r="185" spans="1:8" x14ac:dyDescent="0.3">
      <c r="A185" s="153" t="s">
        <v>2339</v>
      </c>
      <c r="B185" s="153" t="s">
        <v>2253</v>
      </c>
      <c r="C185" s="153" t="s">
        <v>1719</v>
      </c>
      <c r="D185" s="153">
        <v>3</v>
      </c>
      <c r="E185" s="153">
        <v>3</v>
      </c>
      <c r="F185" s="153">
        <f t="shared" si="4"/>
        <v>0</v>
      </c>
      <c r="G185" s="153" t="str">
        <f t="shared" si="5"/>
        <v>OK</v>
      </c>
      <c r="H185" s="153" t="b">
        <v>1</v>
      </c>
    </row>
    <row r="186" spans="1:8" x14ac:dyDescent="0.3">
      <c r="A186" s="153" t="s">
        <v>2340</v>
      </c>
      <c r="B186" s="153" t="s">
        <v>2253</v>
      </c>
      <c r="C186" s="153" t="s">
        <v>1721</v>
      </c>
      <c r="D186" s="153">
        <v>558</v>
      </c>
      <c r="E186" s="153">
        <v>558</v>
      </c>
      <c r="F186" s="153">
        <f t="shared" si="4"/>
        <v>0</v>
      </c>
      <c r="G186" s="153" t="str">
        <f t="shared" si="5"/>
        <v>OK</v>
      </c>
      <c r="H186" s="153" t="b">
        <v>1</v>
      </c>
    </row>
    <row r="187" spans="1:8" x14ac:dyDescent="0.3">
      <c r="A187" s="153" t="s">
        <v>2341</v>
      </c>
      <c r="B187" s="153" t="s">
        <v>2253</v>
      </c>
      <c r="C187" s="153" t="s">
        <v>1723</v>
      </c>
      <c r="D187" s="153">
        <v>0</v>
      </c>
      <c r="E187" s="153">
        <v>0</v>
      </c>
      <c r="F187" s="153">
        <f t="shared" si="4"/>
        <v>0</v>
      </c>
      <c r="G187" s="153" t="str">
        <f t="shared" si="5"/>
        <v>OK</v>
      </c>
      <c r="H187" s="153" t="b">
        <v>1</v>
      </c>
    </row>
    <row r="188" spans="1:8" x14ac:dyDescent="0.3">
      <c r="A188" s="153" t="s">
        <v>2342</v>
      </c>
      <c r="B188" s="153" t="s">
        <v>2253</v>
      </c>
      <c r="C188" s="153" t="s">
        <v>1725</v>
      </c>
      <c r="D188" s="153">
        <v>0</v>
      </c>
      <c r="E188" s="153">
        <v>0</v>
      </c>
      <c r="F188" s="153">
        <f t="shared" si="4"/>
        <v>0</v>
      </c>
      <c r="G188" s="153" t="str">
        <f t="shared" si="5"/>
        <v>OK</v>
      </c>
      <c r="H188" s="153" t="b">
        <v>1</v>
      </c>
    </row>
    <row r="189" spans="1:8" x14ac:dyDescent="0.3">
      <c r="A189" s="153" t="s">
        <v>2343</v>
      </c>
      <c r="B189" s="153" t="s">
        <v>2253</v>
      </c>
      <c r="C189" s="153" t="s">
        <v>1727</v>
      </c>
      <c r="D189" s="153">
        <v>1860</v>
      </c>
      <c r="E189" s="153">
        <v>1860</v>
      </c>
      <c r="F189" s="153">
        <f t="shared" si="4"/>
        <v>0</v>
      </c>
      <c r="G189" s="153" t="str">
        <f t="shared" si="5"/>
        <v>OK</v>
      </c>
      <c r="H189" s="153" t="b">
        <v>1</v>
      </c>
    </row>
    <row r="190" spans="1:8" x14ac:dyDescent="0.3">
      <c r="A190" s="153" t="s">
        <v>2344</v>
      </c>
      <c r="B190" s="153" t="s">
        <v>2253</v>
      </c>
      <c r="C190" s="153" t="s">
        <v>1729</v>
      </c>
      <c r="D190" s="153">
        <v>0</v>
      </c>
      <c r="E190" s="153">
        <v>0</v>
      </c>
      <c r="F190" s="153">
        <f t="shared" si="4"/>
        <v>0</v>
      </c>
      <c r="G190" s="153" t="str">
        <f t="shared" si="5"/>
        <v>OK</v>
      </c>
      <c r="H190" s="153" t="b">
        <v>1</v>
      </c>
    </row>
    <row r="191" spans="1:8" x14ac:dyDescent="0.3">
      <c r="A191" s="153" t="s">
        <v>2345</v>
      </c>
      <c r="B191" s="153" t="s">
        <v>2253</v>
      </c>
      <c r="C191" s="153" t="s">
        <v>1731</v>
      </c>
      <c r="D191" s="153">
        <v>11160</v>
      </c>
      <c r="E191" s="153">
        <v>11160</v>
      </c>
      <c r="F191" s="153">
        <f t="shared" si="4"/>
        <v>0</v>
      </c>
      <c r="G191" s="153" t="str">
        <f t="shared" si="5"/>
        <v>OK</v>
      </c>
      <c r="H191" s="153" t="b">
        <v>1</v>
      </c>
    </row>
    <row r="192" spans="1:8" x14ac:dyDescent="0.3">
      <c r="A192" s="153" t="s">
        <v>2346</v>
      </c>
      <c r="B192" s="153" t="s">
        <v>2253</v>
      </c>
      <c r="C192" s="153" t="s">
        <v>1733</v>
      </c>
      <c r="D192" s="153">
        <v>0</v>
      </c>
      <c r="E192" s="153">
        <v>0</v>
      </c>
      <c r="F192" s="153">
        <f t="shared" si="4"/>
        <v>0</v>
      </c>
      <c r="G192" s="153" t="str">
        <f t="shared" si="5"/>
        <v>OK</v>
      </c>
      <c r="H192" s="153" t="b">
        <v>1</v>
      </c>
    </row>
    <row r="193" spans="1:8" x14ac:dyDescent="0.3">
      <c r="A193" s="153" t="s">
        <v>2347</v>
      </c>
      <c r="B193" s="153" t="s">
        <v>2253</v>
      </c>
      <c r="C193" s="153" t="s">
        <v>1735</v>
      </c>
      <c r="D193" s="153">
        <v>0</v>
      </c>
      <c r="E193" s="153">
        <v>0</v>
      </c>
      <c r="F193" s="153">
        <f t="shared" si="4"/>
        <v>0</v>
      </c>
      <c r="G193" s="153" t="str">
        <f t="shared" si="5"/>
        <v>OK</v>
      </c>
      <c r="H193" s="153" t="b">
        <v>1</v>
      </c>
    </row>
    <row r="194" spans="1:8" x14ac:dyDescent="0.3">
      <c r="A194" s="153" t="s">
        <v>2348</v>
      </c>
      <c r="B194" s="153" t="s">
        <v>2253</v>
      </c>
      <c r="C194" s="153" t="s">
        <v>1737</v>
      </c>
      <c r="D194" s="153" t="b">
        <v>1</v>
      </c>
      <c r="E194" s="153" t="b">
        <v>1</v>
      </c>
      <c r="F194" s="153">
        <f t="shared" ref="F194:F257" si="6">IF(NOT(H194),"",IF(AND(ISNUMBER(D194),ISNUMBER(E194)),E194-D194,IF(D194=E194,0,1)))</f>
        <v>0</v>
      </c>
      <c r="G194" s="153" t="str">
        <f t="shared" ref="G194:G257" si="7">IF(NOT(H194),"PENDIENTE SIDE",IF(IF(AND(ISNUMBER(D194),ISNUMBER(E194)),IF(MOD(D194,1)=0,D194=E194,ABS(D194-E194)&lt;=0.000000001*MAX(1,ABS(D194),ABS(E194))),D194=E194),"OK","DIFERENCIA"))</f>
        <v>OK</v>
      </c>
      <c r="H194" s="153" t="b">
        <v>1</v>
      </c>
    </row>
    <row r="195" spans="1:8" x14ac:dyDescent="0.3">
      <c r="A195" s="153" t="s">
        <v>2349</v>
      </c>
      <c r="B195" s="153" t="s">
        <v>2253</v>
      </c>
      <c r="C195" s="153" t="s">
        <v>1739</v>
      </c>
      <c r="D195" s="153" t="b">
        <v>0</v>
      </c>
      <c r="E195" s="153" t="b">
        <v>0</v>
      </c>
      <c r="F195" s="153">
        <f t="shared" si="6"/>
        <v>0</v>
      </c>
      <c r="G195" s="153" t="str">
        <f t="shared" si="7"/>
        <v>OK</v>
      </c>
      <c r="H195" s="153" t="b">
        <v>1</v>
      </c>
    </row>
    <row r="196" spans="1:8" x14ac:dyDescent="0.3">
      <c r="A196" s="153" t="s">
        <v>2350</v>
      </c>
      <c r="B196" s="153" t="s">
        <v>2253</v>
      </c>
      <c r="C196" s="153" t="s">
        <v>1741</v>
      </c>
      <c r="D196" s="153" t="b">
        <v>1</v>
      </c>
      <c r="E196" s="153" t="b">
        <v>1</v>
      </c>
      <c r="F196" s="153">
        <f t="shared" si="6"/>
        <v>0</v>
      </c>
      <c r="G196" s="153" t="str">
        <f t="shared" si="7"/>
        <v>OK</v>
      </c>
      <c r="H196" s="153" t="b">
        <v>1</v>
      </c>
    </row>
    <row r="197" spans="1:8" x14ac:dyDescent="0.3">
      <c r="A197" s="153" t="s">
        <v>2351</v>
      </c>
      <c r="B197" s="153" t="s">
        <v>2253</v>
      </c>
      <c r="C197" s="153" t="s">
        <v>1743</v>
      </c>
      <c r="D197" s="153" t="b">
        <v>1</v>
      </c>
      <c r="E197" s="153" t="b">
        <v>1</v>
      </c>
      <c r="F197" s="153">
        <f t="shared" si="6"/>
        <v>0</v>
      </c>
      <c r="G197" s="153" t="str">
        <f t="shared" si="7"/>
        <v>OK</v>
      </c>
      <c r="H197" s="153" t="b">
        <v>1</v>
      </c>
    </row>
    <row r="198" spans="1:8" x14ac:dyDescent="0.3">
      <c r="A198" s="153" t="s">
        <v>2352</v>
      </c>
      <c r="B198" s="153" t="s">
        <v>2253</v>
      </c>
      <c r="C198" s="153" t="s">
        <v>1745</v>
      </c>
      <c r="D198" s="153" t="b">
        <v>1</v>
      </c>
      <c r="E198" s="153" t="b">
        <v>1</v>
      </c>
      <c r="F198" s="153">
        <f t="shared" si="6"/>
        <v>0</v>
      </c>
      <c r="G198" s="153" t="str">
        <f t="shared" si="7"/>
        <v>OK</v>
      </c>
      <c r="H198" s="153" t="b">
        <v>1</v>
      </c>
    </row>
    <row r="199" spans="1:8" x14ac:dyDescent="0.3">
      <c r="A199" s="153" t="s">
        <v>2353</v>
      </c>
      <c r="B199" s="153" t="s">
        <v>2253</v>
      </c>
      <c r="C199" s="153" t="s">
        <v>1747</v>
      </c>
      <c r="D199" s="153" t="b">
        <v>1</v>
      </c>
      <c r="E199" s="153" t="b">
        <v>1</v>
      </c>
      <c r="F199" s="153">
        <f t="shared" si="6"/>
        <v>0</v>
      </c>
      <c r="G199" s="153" t="str">
        <f t="shared" si="7"/>
        <v>OK</v>
      </c>
      <c r="H199" s="153" t="b">
        <v>1</v>
      </c>
    </row>
    <row r="200" spans="1:8" x14ac:dyDescent="0.3">
      <c r="A200" s="153" t="s">
        <v>2354</v>
      </c>
      <c r="B200" s="153" t="s">
        <v>2253</v>
      </c>
      <c r="C200" s="153" t="s">
        <v>1749</v>
      </c>
      <c r="D200" s="153" t="b">
        <v>1</v>
      </c>
      <c r="E200" s="153" t="b">
        <v>1</v>
      </c>
      <c r="F200" s="153">
        <f t="shared" si="6"/>
        <v>0</v>
      </c>
      <c r="G200" s="153" t="str">
        <f t="shared" si="7"/>
        <v>OK</v>
      </c>
      <c r="H200" s="153" t="b">
        <v>1</v>
      </c>
    </row>
    <row r="201" spans="1:8" x14ac:dyDescent="0.3">
      <c r="A201" s="153" t="s">
        <v>2355</v>
      </c>
      <c r="B201" s="153" t="s">
        <v>2253</v>
      </c>
      <c r="C201" s="153" t="s">
        <v>1751</v>
      </c>
      <c r="D201" s="153" t="b">
        <v>1</v>
      </c>
      <c r="E201" s="153" t="b">
        <v>1</v>
      </c>
      <c r="F201" s="153">
        <f t="shared" si="6"/>
        <v>0</v>
      </c>
      <c r="G201" s="153" t="str">
        <f t="shared" si="7"/>
        <v>OK</v>
      </c>
      <c r="H201" s="153" t="b">
        <v>1</v>
      </c>
    </row>
    <row r="202" spans="1:8" x14ac:dyDescent="0.3">
      <c r="A202" s="153" t="s">
        <v>2356</v>
      </c>
      <c r="B202" s="153" t="s">
        <v>2253</v>
      </c>
      <c r="C202" s="153" t="s">
        <v>1753</v>
      </c>
      <c r="D202" s="153">
        <v>5000</v>
      </c>
      <c r="E202" s="153">
        <v>5000</v>
      </c>
      <c r="F202" s="153">
        <f t="shared" si="6"/>
        <v>0</v>
      </c>
      <c r="G202" s="153" t="str">
        <f t="shared" si="7"/>
        <v>OK</v>
      </c>
      <c r="H202" s="153" t="b">
        <v>1</v>
      </c>
    </row>
    <row r="203" spans="1:8" x14ac:dyDescent="0.3">
      <c r="A203" s="153" t="s">
        <v>2357</v>
      </c>
      <c r="B203" s="153" t="s">
        <v>2253</v>
      </c>
      <c r="C203" s="153" t="s">
        <v>1755</v>
      </c>
      <c r="D203" s="153">
        <v>23</v>
      </c>
      <c r="E203" s="153">
        <v>23</v>
      </c>
      <c r="F203" s="153">
        <f t="shared" si="6"/>
        <v>0</v>
      </c>
      <c r="G203" s="153" t="str">
        <f t="shared" si="7"/>
        <v>OK</v>
      </c>
      <c r="H203" s="153" t="b">
        <v>1</v>
      </c>
    </row>
    <row r="204" spans="1:8" x14ac:dyDescent="0.3">
      <c r="A204" s="153" t="s">
        <v>2358</v>
      </c>
      <c r="B204" s="153" t="s">
        <v>2253</v>
      </c>
      <c r="C204" s="153" t="s">
        <v>1757</v>
      </c>
      <c r="D204" s="153">
        <v>10000</v>
      </c>
      <c r="E204" s="153">
        <v>10000</v>
      </c>
      <c r="F204" s="153">
        <f t="shared" si="6"/>
        <v>0</v>
      </c>
      <c r="G204" s="153" t="str">
        <f t="shared" si="7"/>
        <v>OK</v>
      </c>
      <c r="H204" s="153" t="b">
        <v>1</v>
      </c>
    </row>
    <row r="205" spans="1:8" x14ac:dyDescent="0.3">
      <c r="A205" s="153" t="s">
        <v>2359</v>
      </c>
      <c r="B205" s="153" t="s">
        <v>2253</v>
      </c>
      <c r="C205" s="153" t="s">
        <v>1759</v>
      </c>
      <c r="D205" s="153">
        <v>3</v>
      </c>
      <c r="E205" s="153">
        <v>3</v>
      </c>
      <c r="F205" s="153">
        <f t="shared" si="6"/>
        <v>0</v>
      </c>
      <c r="G205" s="153" t="str">
        <f t="shared" si="7"/>
        <v>OK</v>
      </c>
      <c r="H205" s="153" t="b">
        <v>1</v>
      </c>
    </row>
    <row r="206" spans="1:8" x14ac:dyDescent="0.3">
      <c r="A206" s="153" t="s">
        <v>2360</v>
      </c>
      <c r="B206" s="153" t="s">
        <v>2253</v>
      </c>
      <c r="C206" s="153" t="s">
        <v>2361</v>
      </c>
      <c r="D206" s="153">
        <v>12</v>
      </c>
      <c r="E206" s="153">
        <v>12</v>
      </c>
      <c r="F206" s="153">
        <f t="shared" si="6"/>
        <v>0</v>
      </c>
      <c r="G206" s="153" t="str">
        <f t="shared" si="7"/>
        <v>OK</v>
      </c>
      <c r="H206" s="153" t="b">
        <v>1</v>
      </c>
    </row>
    <row r="207" spans="1:8" x14ac:dyDescent="0.3">
      <c r="A207" s="153" t="s">
        <v>2362</v>
      </c>
      <c r="B207" s="153" t="s">
        <v>2253</v>
      </c>
      <c r="C207" s="153" t="s">
        <v>2363</v>
      </c>
      <c r="D207" s="153">
        <v>17</v>
      </c>
      <c r="E207" s="153">
        <v>17</v>
      </c>
      <c r="F207" s="153">
        <f t="shared" si="6"/>
        <v>0</v>
      </c>
      <c r="G207" s="153" t="str">
        <f t="shared" si="7"/>
        <v>OK</v>
      </c>
      <c r="H207" s="153" t="b">
        <v>1</v>
      </c>
    </row>
    <row r="208" spans="1:8" x14ac:dyDescent="0.3">
      <c r="A208" s="153" t="s">
        <v>2364</v>
      </c>
      <c r="B208" s="153" t="s">
        <v>2253</v>
      </c>
      <c r="C208" s="153" t="s">
        <v>2365</v>
      </c>
      <c r="D208" s="153">
        <v>10</v>
      </c>
      <c r="E208" s="153">
        <v>10</v>
      </c>
      <c r="F208" s="153">
        <f t="shared" si="6"/>
        <v>0</v>
      </c>
      <c r="G208" s="153" t="str">
        <f t="shared" si="7"/>
        <v>OK</v>
      </c>
      <c r="H208" s="153" t="b">
        <v>1</v>
      </c>
    </row>
    <row r="209" spans="1:8" x14ac:dyDescent="0.3">
      <c r="A209" s="153" t="s">
        <v>2366</v>
      </c>
      <c r="B209" s="153" t="s">
        <v>2253</v>
      </c>
      <c r="C209" s="153" t="s">
        <v>2367</v>
      </c>
      <c r="D209" s="153">
        <v>-3</v>
      </c>
      <c r="E209" s="153">
        <v>-3</v>
      </c>
      <c r="F209" s="153">
        <f t="shared" si="6"/>
        <v>0</v>
      </c>
      <c r="G209" s="153" t="str">
        <f t="shared" si="7"/>
        <v>OK</v>
      </c>
      <c r="H209" s="153" t="b">
        <v>1</v>
      </c>
    </row>
    <row r="210" spans="1:8" x14ac:dyDescent="0.3">
      <c r="A210" s="153" t="s">
        <v>2368</v>
      </c>
      <c r="B210" s="153" t="s">
        <v>2253</v>
      </c>
      <c r="C210" s="153" t="s">
        <v>2369</v>
      </c>
      <c r="D210" s="153">
        <v>5</v>
      </c>
      <c r="E210" s="153">
        <v>5</v>
      </c>
      <c r="F210" s="153">
        <f t="shared" si="6"/>
        <v>0</v>
      </c>
      <c r="G210" s="153" t="str">
        <f t="shared" si="7"/>
        <v>OK</v>
      </c>
      <c r="H210" s="153" t="b">
        <v>1</v>
      </c>
    </row>
    <row r="211" spans="1:8" x14ac:dyDescent="0.3">
      <c r="A211" s="153" t="s">
        <v>2370</v>
      </c>
      <c r="B211" s="153" t="s">
        <v>2253</v>
      </c>
      <c r="C211" s="153" t="s">
        <v>2371</v>
      </c>
      <c r="D211" s="153">
        <v>129.6</v>
      </c>
      <c r="E211" s="153">
        <v>129.6</v>
      </c>
      <c r="F211" s="153">
        <f t="shared" si="6"/>
        <v>0</v>
      </c>
      <c r="G211" s="153" t="str">
        <f t="shared" si="7"/>
        <v>OK</v>
      </c>
      <c r="H211" s="153" t="b">
        <v>1</v>
      </c>
    </row>
    <row r="212" spans="1:8" x14ac:dyDescent="0.3">
      <c r="A212" s="153" t="s">
        <v>2372</v>
      </c>
      <c r="B212" s="153" t="s">
        <v>2253</v>
      </c>
      <c r="C212" s="153" t="s">
        <v>2373</v>
      </c>
      <c r="D212" s="153">
        <v>0.94000000000000006</v>
      </c>
      <c r="E212" s="153">
        <v>0.94000000000000006</v>
      </c>
      <c r="F212" s="153">
        <f t="shared" si="6"/>
        <v>0</v>
      </c>
      <c r="G212" s="153" t="str">
        <f t="shared" si="7"/>
        <v>OK</v>
      </c>
      <c r="H212" s="153" t="b">
        <v>1</v>
      </c>
    </row>
    <row r="213" spans="1:8" x14ac:dyDescent="0.3">
      <c r="A213" s="153" t="s">
        <v>2374</v>
      </c>
      <c r="B213" s="153" t="s">
        <v>2253</v>
      </c>
      <c r="C213" s="153" t="s">
        <v>2375</v>
      </c>
      <c r="D213" s="153">
        <v>122</v>
      </c>
      <c r="E213" s="153">
        <v>122</v>
      </c>
      <c r="F213" s="153">
        <f t="shared" si="6"/>
        <v>0</v>
      </c>
      <c r="G213" s="153" t="str">
        <f t="shared" si="7"/>
        <v>OK</v>
      </c>
      <c r="H213" s="153" t="b">
        <v>1</v>
      </c>
    </row>
    <row r="214" spans="1:8" x14ac:dyDescent="0.3">
      <c r="A214" s="153" t="s">
        <v>2376</v>
      </c>
      <c r="B214" s="153" t="s">
        <v>2253</v>
      </c>
      <c r="C214" s="153" t="s">
        <v>2377</v>
      </c>
      <c r="D214" s="153">
        <v>122</v>
      </c>
      <c r="E214" s="153">
        <v>122</v>
      </c>
      <c r="F214" s="153">
        <f t="shared" si="6"/>
        <v>0</v>
      </c>
      <c r="G214" s="153" t="str">
        <f t="shared" si="7"/>
        <v>OK</v>
      </c>
      <c r="H214" s="153" t="b">
        <v>1</v>
      </c>
    </row>
    <row r="215" spans="1:8" x14ac:dyDescent="0.3">
      <c r="A215" s="153" t="s">
        <v>2378</v>
      </c>
      <c r="B215" s="153" t="s">
        <v>2253</v>
      </c>
      <c r="C215" s="153" t="s">
        <v>2379</v>
      </c>
      <c r="D215" s="153">
        <v>85.399999999999991</v>
      </c>
      <c r="E215" s="153">
        <v>85.4</v>
      </c>
      <c r="F215" s="153">
        <f t="shared" si="6"/>
        <v>1.4210854715202004E-14</v>
      </c>
      <c r="G215" s="153" t="str">
        <f t="shared" si="7"/>
        <v>OK</v>
      </c>
      <c r="H215" s="153" t="b">
        <v>1</v>
      </c>
    </row>
    <row r="216" spans="1:8" x14ac:dyDescent="0.3">
      <c r="A216" s="153" t="s">
        <v>2380</v>
      </c>
      <c r="B216" s="153" t="s">
        <v>2253</v>
      </c>
      <c r="C216" s="153" t="s">
        <v>2381</v>
      </c>
      <c r="D216" s="153">
        <v>122</v>
      </c>
      <c r="E216" s="153">
        <v>122</v>
      </c>
      <c r="F216" s="153">
        <f t="shared" si="6"/>
        <v>0</v>
      </c>
      <c r="G216" s="153" t="str">
        <f t="shared" si="7"/>
        <v>OK</v>
      </c>
      <c r="H216" s="153" t="b">
        <v>1</v>
      </c>
    </row>
    <row r="217" spans="1:8" x14ac:dyDescent="0.3">
      <c r="A217" s="153" t="s">
        <v>2382</v>
      </c>
      <c r="B217" s="153" t="s">
        <v>2253</v>
      </c>
      <c r="C217" s="153" t="s">
        <v>2383</v>
      </c>
      <c r="D217" s="153">
        <v>1586</v>
      </c>
      <c r="E217" s="153">
        <v>1586</v>
      </c>
      <c r="F217" s="153">
        <f t="shared" si="6"/>
        <v>0</v>
      </c>
      <c r="G217" s="153" t="str">
        <f t="shared" si="7"/>
        <v>OK</v>
      </c>
      <c r="H217" s="153" t="b">
        <v>1</v>
      </c>
    </row>
    <row r="218" spans="1:8" x14ac:dyDescent="0.3">
      <c r="A218" s="153" t="s">
        <v>2384</v>
      </c>
      <c r="B218" s="153" t="s">
        <v>2253</v>
      </c>
      <c r="C218" s="153" t="s">
        <v>2385</v>
      </c>
      <c r="D218" s="153">
        <v>11106.32</v>
      </c>
      <c r="E218" s="153">
        <v>11106.32</v>
      </c>
      <c r="F218" s="153">
        <f t="shared" si="6"/>
        <v>0</v>
      </c>
      <c r="G218" s="153" t="str">
        <f t="shared" si="7"/>
        <v>OK</v>
      </c>
      <c r="H218" s="153" t="b">
        <v>1</v>
      </c>
    </row>
    <row r="219" spans="1:8" x14ac:dyDescent="0.3">
      <c r="A219" s="153" t="s">
        <v>2386</v>
      </c>
      <c r="B219" s="153" t="s">
        <v>2253</v>
      </c>
      <c r="C219" s="153" t="s">
        <v>2387</v>
      </c>
      <c r="D219" s="153">
        <v>16984.156800000001</v>
      </c>
      <c r="E219" s="153">
        <v>16984.156800000001</v>
      </c>
      <c r="F219" s="153">
        <f t="shared" si="6"/>
        <v>0</v>
      </c>
      <c r="G219" s="153" t="str">
        <f t="shared" si="7"/>
        <v>OK</v>
      </c>
      <c r="H219" s="153" t="b">
        <v>1</v>
      </c>
    </row>
    <row r="220" spans="1:8" x14ac:dyDescent="0.3">
      <c r="A220" s="153" t="s">
        <v>2388</v>
      </c>
      <c r="B220" s="153" t="s">
        <v>2253</v>
      </c>
      <c r="C220" s="153" t="s">
        <v>2389</v>
      </c>
      <c r="D220" s="153">
        <v>31.25</v>
      </c>
      <c r="E220" s="153">
        <v>31.25</v>
      </c>
      <c r="F220" s="153">
        <f t="shared" si="6"/>
        <v>0</v>
      </c>
      <c r="G220" s="153" t="str">
        <f t="shared" si="7"/>
        <v>OK</v>
      </c>
      <c r="H220" s="153" t="b">
        <v>1</v>
      </c>
    </row>
    <row r="221" spans="1:8" x14ac:dyDescent="0.3">
      <c r="A221" s="153" t="s">
        <v>2390</v>
      </c>
      <c r="B221" s="153" t="s">
        <v>2253</v>
      </c>
      <c r="C221" s="153" t="s">
        <v>2391</v>
      </c>
      <c r="D221" s="153">
        <v>64.125</v>
      </c>
      <c r="E221" s="153">
        <v>64.125</v>
      </c>
      <c r="F221" s="153">
        <f t="shared" si="6"/>
        <v>0</v>
      </c>
      <c r="G221" s="153" t="str">
        <f t="shared" si="7"/>
        <v>OK</v>
      </c>
      <c r="H221" s="153" t="b">
        <v>1</v>
      </c>
    </row>
    <row r="222" spans="1:8" x14ac:dyDescent="0.3">
      <c r="A222" s="153" t="s">
        <v>2392</v>
      </c>
      <c r="B222" s="153" t="s">
        <v>2253</v>
      </c>
      <c r="C222" s="153" t="s">
        <v>2393</v>
      </c>
      <c r="D222" s="153">
        <v>20</v>
      </c>
      <c r="E222" s="153">
        <v>20</v>
      </c>
      <c r="F222" s="153">
        <f t="shared" si="6"/>
        <v>0</v>
      </c>
      <c r="G222" s="153" t="str">
        <f t="shared" si="7"/>
        <v>OK</v>
      </c>
      <c r="H222" s="153" t="b">
        <v>1</v>
      </c>
    </row>
    <row r="223" spans="1:8" x14ac:dyDescent="0.3">
      <c r="A223" s="153" t="s">
        <v>2394</v>
      </c>
      <c r="B223" s="153" t="s">
        <v>2253</v>
      </c>
      <c r="C223" s="153" t="s">
        <v>2395</v>
      </c>
      <c r="D223" s="153">
        <v>22</v>
      </c>
      <c r="E223" s="153">
        <v>22</v>
      </c>
      <c r="F223" s="153">
        <f t="shared" si="6"/>
        <v>0</v>
      </c>
      <c r="G223" s="153" t="str">
        <f t="shared" si="7"/>
        <v>OK</v>
      </c>
      <c r="H223" s="153" t="b">
        <v>1</v>
      </c>
    </row>
    <row r="224" spans="1:8" x14ac:dyDescent="0.3">
      <c r="A224" s="153" t="s">
        <v>2396</v>
      </c>
      <c r="B224" s="153" t="s">
        <v>2253</v>
      </c>
      <c r="C224" s="153" t="s">
        <v>2397</v>
      </c>
      <c r="D224" s="153">
        <v>8</v>
      </c>
      <c r="E224" s="153">
        <v>8</v>
      </c>
      <c r="F224" s="153">
        <f t="shared" si="6"/>
        <v>0</v>
      </c>
      <c r="G224" s="153" t="str">
        <f t="shared" si="7"/>
        <v>OK</v>
      </c>
      <c r="H224" s="153" t="b">
        <v>1</v>
      </c>
    </row>
    <row r="225" spans="1:8" x14ac:dyDescent="0.3">
      <c r="A225" s="153" t="s">
        <v>2398</v>
      </c>
      <c r="B225" s="153" t="s">
        <v>2253</v>
      </c>
      <c r="C225" s="153" t="s">
        <v>2399</v>
      </c>
      <c r="D225" s="153">
        <v>8</v>
      </c>
      <c r="E225" s="153">
        <v>8</v>
      </c>
      <c r="F225" s="153">
        <f t="shared" si="6"/>
        <v>0</v>
      </c>
      <c r="G225" s="153" t="str">
        <f t="shared" si="7"/>
        <v>OK</v>
      </c>
      <c r="H225" s="153" t="b">
        <v>1</v>
      </c>
    </row>
    <row r="226" spans="1:8" x14ac:dyDescent="0.3">
      <c r="A226" s="153" t="s">
        <v>2400</v>
      </c>
      <c r="B226" s="153" t="s">
        <v>2253</v>
      </c>
      <c r="C226" s="153" t="s">
        <v>2401</v>
      </c>
      <c r="D226" s="153">
        <v>8</v>
      </c>
      <c r="E226" s="153">
        <v>8</v>
      </c>
      <c r="F226" s="153">
        <f t="shared" si="6"/>
        <v>0</v>
      </c>
      <c r="G226" s="153" t="str">
        <f t="shared" si="7"/>
        <v>OK</v>
      </c>
      <c r="H226" s="153" t="b">
        <v>1</v>
      </c>
    </row>
    <row r="227" spans="1:8" x14ac:dyDescent="0.3">
      <c r="A227" s="153" t="s">
        <v>2402</v>
      </c>
      <c r="B227" s="153" t="s">
        <v>2253</v>
      </c>
      <c r="C227" s="153" t="s">
        <v>2403</v>
      </c>
      <c r="D227" s="153">
        <v>2800</v>
      </c>
      <c r="E227" s="153">
        <v>2800</v>
      </c>
      <c r="F227" s="153">
        <f t="shared" si="6"/>
        <v>0</v>
      </c>
      <c r="G227" s="153" t="str">
        <f t="shared" si="7"/>
        <v>OK</v>
      </c>
      <c r="H227" s="153" t="b">
        <v>1</v>
      </c>
    </row>
    <row r="228" spans="1:8" x14ac:dyDescent="0.3">
      <c r="A228" s="153" t="s">
        <v>2404</v>
      </c>
      <c r="B228" s="153" t="s">
        <v>2253</v>
      </c>
      <c r="C228" s="153" t="s">
        <v>2405</v>
      </c>
      <c r="D228" s="153">
        <v>338</v>
      </c>
      <c r="E228" s="153">
        <v>338</v>
      </c>
      <c r="F228" s="153">
        <f t="shared" si="6"/>
        <v>0</v>
      </c>
      <c r="G228" s="153" t="str">
        <f t="shared" si="7"/>
        <v>OK</v>
      </c>
      <c r="H228" s="153" t="b">
        <v>1</v>
      </c>
    </row>
    <row r="229" spans="1:8" x14ac:dyDescent="0.3">
      <c r="A229" s="153" t="s">
        <v>2406</v>
      </c>
      <c r="B229" s="153" t="s">
        <v>2253</v>
      </c>
      <c r="C229" s="153" t="s">
        <v>2407</v>
      </c>
      <c r="D229" s="153">
        <v>676</v>
      </c>
      <c r="E229" s="153">
        <v>676</v>
      </c>
      <c r="F229" s="153">
        <f t="shared" si="6"/>
        <v>0</v>
      </c>
      <c r="G229" s="153" t="str">
        <f t="shared" si="7"/>
        <v>OK</v>
      </c>
      <c r="H229" s="153" t="b">
        <v>1</v>
      </c>
    </row>
    <row r="230" spans="1:8" x14ac:dyDescent="0.3">
      <c r="A230" s="153" t="s">
        <v>2408</v>
      </c>
      <c r="B230" s="153" t="s">
        <v>2253</v>
      </c>
      <c r="C230" s="153" t="s">
        <v>2409</v>
      </c>
      <c r="D230" s="153">
        <v>1775.190491803279</v>
      </c>
      <c r="E230" s="153">
        <v>1775.190491803279</v>
      </c>
      <c r="F230" s="153">
        <f t="shared" si="6"/>
        <v>0</v>
      </c>
      <c r="G230" s="153" t="str">
        <f t="shared" si="7"/>
        <v>OK</v>
      </c>
      <c r="H230" s="153" t="b">
        <v>1</v>
      </c>
    </row>
    <row r="231" spans="1:8" x14ac:dyDescent="0.3">
      <c r="A231" s="153" t="s">
        <v>2410</v>
      </c>
      <c r="B231" s="153" t="s">
        <v>2253</v>
      </c>
      <c r="C231" s="153" t="s">
        <v>2411</v>
      </c>
      <c r="D231" s="153">
        <v>0</v>
      </c>
      <c r="E231" s="153">
        <v>0</v>
      </c>
      <c r="F231" s="153">
        <f t="shared" si="6"/>
        <v>0</v>
      </c>
      <c r="G231" s="153" t="str">
        <f t="shared" si="7"/>
        <v>OK</v>
      </c>
      <c r="H231" s="153" t="b">
        <v>1</v>
      </c>
    </row>
    <row r="232" spans="1:8" x14ac:dyDescent="0.3">
      <c r="A232" s="153" t="s">
        <v>2412</v>
      </c>
      <c r="B232" s="153" t="s">
        <v>2253</v>
      </c>
      <c r="C232" s="153" t="s">
        <v>2413</v>
      </c>
      <c r="D232" s="153">
        <v>13500</v>
      </c>
      <c r="E232" s="153">
        <v>13500</v>
      </c>
      <c r="F232" s="153">
        <f t="shared" si="6"/>
        <v>0</v>
      </c>
      <c r="G232" s="153" t="str">
        <f t="shared" si="7"/>
        <v>OK</v>
      </c>
      <c r="H232" s="153" t="b">
        <v>1</v>
      </c>
    </row>
    <row r="233" spans="1:8" x14ac:dyDescent="0.3">
      <c r="A233" s="153" t="s">
        <v>2414</v>
      </c>
      <c r="B233" s="153" t="s">
        <v>2253</v>
      </c>
      <c r="C233" s="153" t="s">
        <v>2415</v>
      </c>
      <c r="D233" s="153">
        <v>44137.042291803278</v>
      </c>
      <c r="E233" s="153">
        <v>44137.042291803278</v>
      </c>
      <c r="F233" s="153">
        <f t="shared" si="6"/>
        <v>0</v>
      </c>
      <c r="G233" s="153" t="str">
        <f t="shared" si="7"/>
        <v>OK</v>
      </c>
      <c r="H233" s="153" t="b">
        <v>1</v>
      </c>
    </row>
    <row r="234" spans="1:8" x14ac:dyDescent="0.3">
      <c r="A234" s="153" t="s">
        <v>2416</v>
      </c>
      <c r="B234" s="153" t="s">
        <v>2253</v>
      </c>
      <c r="C234" s="153" t="s">
        <v>2417</v>
      </c>
      <c r="D234" s="153">
        <v>-41337.042291803278</v>
      </c>
      <c r="E234" s="153">
        <v>-41337.042291803278</v>
      </c>
      <c r="F234" s="153">
        <f t="shared" si="6"/>
        <v>0</v>
      </c>
      <c r="G234" s="153" t="str">
        <f t="shared" si="7"/>
        <v>OK</v>
      </c>
      <c r="H234" s="153" t="b">
        <v>1</v>
      </c>
    </row>
    <row r="235" spans="1:8" x14ac:dyDescent="0.3">
      <c r="A235" s="153" t="s">
        <v>2418</v>
      </c>
      <c r="B235" s="153" t="s">
        <v>2253</v>
      </c>
      <c r="C235" s="153" t="s">
        <v>2419</v>
      </c>
      <c r="D235" s="153">
        <v>0</v>
      </c>
      <c r="E235" s="153">
        <v>0</v>
      </c>
      <c r="F235" s="153">
        <f t="shared" si="6"/>
        <v>0</v>
      </c>
      <c r="G235" s="153" t="str">
        <f t="shared" si="7"/>
        <v>OK</v>
      </c>
      <c r="H235" s="153" t="b">
        <v>1</v>
      </c>
    </row>
    <row r="236" spans="1:8" x14ac:dyDescent="0.3">
      <c r="A236" s="153" t="s">
        <v>2420</v>
      </c>
      <c r="B236" s="153" t="s">
        <v>2253</v>
      </c>
      <c r="C236" s="153" t="s">
        <v>2421</v>
      </c>
      <c r="D236" s="153">
        <v>3</v>
      </c>
      <c r="E236" s="153">
        <v>3</v>
      </c>
      <c r="F236" s="153">
        <f t="shared" si="6"/>
        <v>0</v>
      </c>
      <c r="G236" s="153" t="str">
        <f t="shared" si="7"/>
        <v>OK</v>
      </c>
      <c r="H236" s="153" t="b">
        <v>1</v>
      </c>
    </row>
    <row r="237" spans="1:8" x14ac:dyDescent="0.3">
      <c r="A237" s="153" t="s">
        <v>2422</v>
      </c>
      <c r="B237" s="153" t="s">
        <v>2253</v>
      </c>
      <c r="C237" s="153" t="s">
        <v>2423</v>
      </c>
      <c r="D237" s="153">
        <v>0</v>
      </c>
      <c r="E237" s="153">
        <v>0</v>
      </c>
      <c r="F237" s="153">
        <f t="shared" si="6"/>
        <v>0</v>
      </c>
      <c r="G237" s="153" t="str">
        <f t="shared" si="7"/>
        <v>OK</v>
      </c>
      <c r="H237" s="153" t="b">
        <v>1</v>
      </c>
    </row>
    <row r="238" spans="1:8" x14ac:dyDescent="0.3">
      <c r="A238" s="153" t="s">
        <v>2424</v>
      </c>
      <c r="B238" s="153" t="s">
        <v>2253</v>
      </c>
      <c r="C238" s="153" t="s">
        <v>2425</v>
      </c>
      <c r="D238" s="153">
        <v>0</v>
      </c>
      <c r="E238" s="153">
        <v>0</v>
      </c>
      <c r="F238" s="153">
        <f t="shared" si="6"/>
        <v>0</v>
      </c>
      <c r="G238" s="153" t="str">
        <f t="shared" si="7"/>
        <v>OK</v>
      </c>
      <c r="H238" s="153" t="b">
        <v>1</v>
      </c>
    </row>
    <row r="239" spans="1:8" x14ac:dyDescent="0.3">
      <c r="A239" s="153" t="s">
        <v>2426</v>
      </c>
      <c r="B239" s="153" t="s">
        <v>2253</v>
      </c>
      <c r="C239" s="153" t="s">
        <v>2427</v>
      </c>
      <c r="D239" s="153">
        <v>1243.8</v>
      </c>
      <c r="E239" s="153">
        <v>1243.8</v>
      </c>
      <c r="F239" s="153">
        <f t="shared" si="6"/>
        <v>0</v>
      </c>
      <c r="G239" s="153" t="str">
        <f t="shared" si="7"/>
        <v>OK</v>
      </c>
      <c r="H239" s="153" t="b">
        <v>1</v>
      </c>
    </row>
    <row r="240" spans="1:8" x14ac:dyDescent="0.3">
      <c r="A240" s="153" t="s">
        <v>2428</v>
      </c>
      <c r="B240" s="153" t="s">
        <v>2253</v>
      </c>
      <c r="C240" s="153" t="s">
        <v>2429</v>
      </c>
      <c r="D240" s="153">
        <v>0</v>
      </c>
      <c r="E240" s="153">
        <v>0</v>
      </c>
      <c r="F240" s="153">
        <f t="shared" si="6"/>
        <v>0</v>
      </c>
      <c r="G240" s="153" t="str">
        <f t="shared" si="7"/>
        <v>OK</v>
      </c>
      <c r="H240" s="153" t="b">
        <v>1</v>
      </c>
    </row>
    <row r="241" spans="1:8" x14ac:dyDescent="0.3">
      <c r="A241" s="153" t="s">
        <v>2430</v>
      </c>
      <c r="B241" s="153" t="s">
        <v>2253</v>
      </c>
      <c r="C241" s="153" t="s">
        <v>2431</v>
      </c>
      <c r="D241" s="153">
        <v>2634</v>
      </c>
      <c r="E241" s="153">
        <v>2634</v>
      </c>
      <c r="F241" s="153">
        <f t="shared" si="6"/>
        <v>0</v>
      </c>
      <c r="G241" s="153" t="str">
        <f t="shared" si="7"/>
        <v>OK</v>
      </c>
      <c r="H241" s="153" t="b">
        <v>1</v>
      </c>
    </row>
    <row r="242" spans="1:8" x14ac:dyDescent="0.3">
      <c r="A242" s="153" t="s">
        <v>2432</v>
      </c>
      <c r="B242" s="153" t="s">
        <v>2253</v>
      </c>
      <c r="C242" s="153" t="s">
        <v>2433</v>
      </c>
      <c r="D242" s="153">
        <v>0</v>
      </c>
      <c r="E242" s="153">
        <v>0</v>
      </c>
      <c r="F242" s="153">
        <f t="shared" si="6"/>
        <v>0</v>
      </c>
      <c r="G242" s="153" t="str">
        <f t="shared" si="7"/>
        <v>OK</v>
      </c>
      <c r="H242" s="153" t="b">
        <v>1</v>
      </c>
    </row>
    <row r="243" spans="1:8" x14ac:dyDescent="0.3">
      <c r="A243" s="153" t="s">
        <v>2434</v>
      </c>
      <c r="B243" s="153" t="s">
        <v>2253</v>
      </c>
      <c r="C243" s="153" t="s">
        <v>2435</v>
      </c>
      <c r="D243" s="153">
        <v>0</v>
      </c>
      <c r="E243" s="153">
        <v>0</v>
      </c>
      <c r="F243" s="153">
        <f t="shared" si="6"/>
        <v>0</v>
      </c>
      <c r="G243" s="153" t="str">
        <f t="shared" si="7"/>
        <v>OK</v>
      </c>
      <c r="H243" s="153" t="b">
        <v>1</v>
      </c>
    </row>
    <row r="244" spans="1:8" x14ac:dyDescent="0.3">
      <c r="A244" s="153" t="s">
        <v>2436</v>
      </c>
      <c r="B244" s="153" t="s">
        <v>2253</v>
      </c>
      <c r="C244" s="153" t="s">
        <v>2437</v>
      </c>
      <c r="D244" s="153">
        <v>40242</v>
      </c>
      <c r="E244" s="153">
        <v>40242</v>
      </c>
      <c r="F244" s="153">
        <f t="shared" si="6"/>
        <v>0</v>
      </c>
      <c r="G244" s="153" t="str">
        <f t="shared" si="7"/>
        <v>OK</v>
      </c>
      <c r="H244" s="153" t="b">
        <v>1</v>
      </c>
    </row>
    <row r="245" spans="1:8" x14ac:dyDescent="0.3">
      <c r="A245" s="153" t="s">
        <v>2438</v>
      </c>
      <c r="B245" s="153" t="s">
        <v>2253</v>
      </c>
      <c r="C245" s="153" t="s">
        <v>2439</v>
      </c>
      <c r="D245" s="153" t="b">
        <v>0</v>
      </c>
      <c r="E245" s="153" t="b">
        <v>0</v>
      </c>
      <c r="F245" s="153">
        <f t="shared" si="6"/>
        <v>0</v>
      </c>
      <c r="G245" s="153" t="str">
        <f t="shared" si="7"/>
        <v>OK</v>
      </c>
      <c r="H245" s="153" t="b">
        <v>1</v>
      </c>
    </row>
    <row r="246" spans="1:8" x14ac:dyDescent="0.3">
      <c r="A246" s="153" t="s">
        <v>2440</v>
      </c>
      <c r="B246" s="153" t="s">
        <v>2253</v>
      </c>
      <c r="C246" s="153" t="s">
        <v>2441</v>
      </c>
      <c r="D246" s="153" t="b">
        <v>1</v>
      </c>
      <c r="E246" s="153" t="b">
        <v>1</v>
      </c>
      <c r="F246" s="153">
        <f t="shared" si="6"/>
        <v>0</v>
      </c>
      <c r="G246" s="153" t="str">
        <f t="shared" si="7"/>
        <v>OK</v>
      </c>
      <c r="H246" s="153" t="b">
        <v>1</v>
      </c>
    </row>
    <row r="247" spans="1:8" x14ac:dyDescent="0.3">
      <c r="A247" s="153" t="s">
        <v>2442</v>
      </c>
      <c r="B247" s="153" t="s">
        <v>2253</v>
      </c>
      <c r="C247" s="153" t="s">
        <v>2443</v>
      </c>
      <c r="D247" s="153" t="b">
        <v>0</v>
      </c>
      <c r="E247" s="153" t="b">
        <v>0</v>
      </c>
      <c r="F247" s="153">
        <f t="shared" si="6"/>
        <v>0</v>
      </c>
      <c r="G247" s="153" t="str">
        <f t="shared" si="7"/>
        <v>OK</v>
      </c>
      <c r="H247" s="153" t="b">
        <v>1</v>
      </c>
    </row>
    <row r="248" spans="1:8" x14ac:dyDescent="0.3">
      <c r="A248" s="153" t="s">
        <v>2444</v>
      </c>
      <c r="B248" s="153" t="s">
        <v>2253</v>
      </c>
      <c r="C248" s="153" t="s">
        <v>2445</v>
      </c>
      <c r="D248" s="153" t="b">
        <v>0</v>
      </c>
      <c r="E248" s="153" t="b">
        <v>0</v>
      </c>
      <c r="F248" s="153">
        <f t="shared" si="6"/>
        <v>0</v>
      </c>
      <c r="G248" s="153" t="str">
        <f t="shared" si="7"/>
        <v>OK</v>
      </c>
      <c r="H248" s="153" t="b">
        <v>1</v>
      </c>
    </row>
    <row r="249" spans="1:8" x14ac:dyDescent="0.3">
      <c r="A249" s="153" t="s">
        <v>2446</v>
      </c>
      <c r="B249" s="153" t="s">
        <v>2253</v>
      </c>
      <c r="C249" s="153" t="s">
        <v>2447</v>
      </c>
      <c r="D249" s="153" t="b">
        <v>1</v>
      </c>
      <c r="E249" s="153" t="b">
        <v>1</v>
      </c>
      <c r="F249" s="153">
        <f t="shared" si="6"/>
        <v>0</v>
      </c>
      <c r="G249" s="153" t="str">
        <f t="shared" si="7"/>
        <v>OK</v>
      </c>
      <c r="H249" s="153" t="b">
        <v>1</v>
      </c>
    </row>
    <row r="250" spans="1:8" x14ac:dyDescent="0.3">
      <c r="A250" s="153" t="s">
        <v>2448</v>
      </c>
      <c r="B250" s="153" t="s">
        <v>2253</v>
      </c>
      <c r="C250" s="153" t="s">
        <v>2449</v>
      </c>
      <c r="D250" s="153" t="b">
        <v>1</v>
      </c>
      <c r="E250" s="153" t="b">
        <v>1</v>
      </c>
      <c r="F250" s="153">
        <f t="shared" si="6"/>
        <v>0</v>
      </c>
      <c r="G250" s="153" t="str">
        <f t="shared" si="7"/>
        <v>OK</v>
      </c>
      <c r="H250" s="153" t="b">
        <v>1</v>
      </c>
    </row>
    <row r="251" spans="1:8" x14ac:dyDescent="0.3">
      <c r="A251" s="153" t="s">
        <v>2450</v>
      </c>
      <c r="B251" s="153" t="s">
        <v>2253</v>
      </c>
      <c r="C251" s="153" t="s">
        <v>2451</v>
      </c>
      <c r="D251" s="153" t="b">
        <v>1</v>
      </c>
      <c r="E251" s="153" t="b">
        <v>1</v>
      </c>
      <c r="F251" s="153">
        <f t="shared" si="6"/>
        <v>0</v>
      </c>
      <c r="G251" s="153" t="str">
        <f t="shared" si="7"/>
        <v>OK</v>
      </c>
      <c r="H251" s="153" t="b">
        <v>1</v>
      </c>
    </row>
    <row r="252" spans="1:8" x14ac:dyDescent="0.3">
      <c r="A252" s="153" t="s">
        <v>2452</v>
      </c>
      <c r="B252" s="153" t="s">
        <v>2253</v>
      </c>
      <c r="C252" s="153" t="s">
        <v>2453</v>
      </c>
      <c r="D252" s="153" t="b">
        <v>0</v>
      </c>
      <c r="E252" s="153" t="b">
        <v>0</v>
      </c>
      <c r="F252" s="153">
        <f t="shared" si="6"/>
        <v>0</v>
      </c>
      <c r="G252" s="153" t="str">
        <f t="shared" si="7"/>
        <v>OK</v>
      </c>
      <c r="H252" s="153" t="b">
        <v>1</v>
      </c>
    </row>
    <row r="253" spans="1:8" x14ac:dyDescent="0.3">
      <c r="A253" s="153" t="s">
        <v>2454</v>
      </c>
      <c r="B253" s="153" t="s">
        <v>2253</v>
      </c>
      <c r="C253" s="153" t="s">
        <v>2455</v>
      </c>
      <c r="D253" s="153">
        <v>0</v>
      </c>
      <c r="E253" s="153">
        <v>0</v>
      </c>
      <c r="F253" s="153">
        <f t="shared" si="6"/>
        <v>0</v>
      </c>
      <c r="G253" s="153" t="str">
        <f t="shared" si="7"/>
        <v>OK</v>
      </c>
      <c r="H253" s="153" t="b">
        <v>1</v>
      </c>
    </row>
    <row r="254" spans="1:8" x14ac:dyDescent="0.3">
      <c r="A254" s="153" t="s">
        <v>2456</v>
      </c>
      <c r="B254" s="153" t="s">
        <v>2253</v>
      </c>
      <c r="C254" s="153" t="s">
        <v>2457</v>
      </c>
      <c r="D254" s="153">
        <v>23</v>
      </c>
      <c r="E254" s="153">
        <v>23</v>
      </c>
      <c r="F254" s="153">
        <f t="shared" si="6"/>
        <v>0</v>
      </c>
      <c r="G254" s="153" t="str">
        <f t="shared" si="7"/>
        <v>OK</v>
      </c>
      <c r="H254" s="153" t="b">
        <v>1</v>
      </c>
    </row>
    <row r="255" spans="1:8" x14ac:dyDescent="0.3">
      <c r="A255" s="153" t="s">
        <v>2458</v>
      </c>
      <c r="B255" s="153" t="s">
        <v>2253</v>
      </c>
      <c r="C255" s="153" t="s">
        <v>2459</v>
      </c>
      <c r="D255" s="153">
        <v>0</v>
      </c>
      <c r="E255" s="153">
        <v>0</v>
      </c>
      <c r="F255" s="153">
        <f t="shared" si="6"/>
        <v>0</v>
      </c>
      <c r="G255" s="153" t="str">
        <f t="shared" si="7"/>
        <v>OK</v>
      </c>
      <c r="H255" s="153" t="b">
        <v>1</v>
      </c>
    </row>
    <row r="256" spans="1:8" x14ac:dyDescent="0.3">
      <c r="A256" s="153" t="s">
        <v>2460</v>
      </c>
      <c r="B256" s="153" t="s">
        <v>2253</v>
      </c>
      <c r="C256" s="153" t="s">
        <v>2461</v>
      </c>
      <c r="D256" s="153">
        <v>3</v>
      </c>
      <c r="E256" s="153">
        <v>3</v>
      </c>
      <c r="F256" s="153">
        <f t="shared" si="6"/>
        <v>0</v>
      </c>
      <c r="G256" s="153" t="str">
        <f t="shared" si="7"/>
        <v>OK</v>
      </c>
      <c r="H256" s="153" t="b">
        <v>1</v>
      </c>
    </row>
    <row r="257" spans="1:8" x14ac:dyDescent="0.3">
      <c r="A257" s="153" t="s">
        <v>2462</v>
      </c>
      <c r="B257" s="153" t="s">
        <v>2253</v>
      </c>
      <c r="C257" s="153" t="s">
        <v>2463</v>
      </c>
      <c r="D257" s="153">
        <v>10</v>
      </c>
      <c r="E257" s="153">
        <v>10</v>
      </c>
      <c r="F257" s="153">
        <f t="shared" si="6"/>
        <v>0</v>
      </c>
      <c r="G257" s="153" t="str">
        <f t="shared" si="7"/>
        <v>OK</v>
      </c>
      <c r="H257" s="153" t="b">
        <v>1</v>
      </c>
    </row>
    <row r="258" spans="1:8" x14ac:dyDescent="0.3">
      <c r="A258" s="153" t="s">
        <v>2464</v>
      </c>
      <c r="B258" s="153" t="s">
        <v>2253</v>
      </c>
      <c r="C258" s="153" t="s">
        <v>2465</v>
      </c>
      <c r="D258" s="153">
        <v>2</v>
      </c>
      <c r="E258" s="153">
        <v>2</v>
      </c>
      <c r="F258" s="153">
        <f t="shared" ref="F258:F321" si="8">IF(NOT(H258),"",IF(AND(ISNUMBER(D258),ISNUMBER(E258)),E258-D258,IF(D258=E258,0,1)))</f>
        <v>0</v>
      </c>
      <c r="G258" s="153" t="str">
        <f t="shared" ref="G258:G321" si="9">IF(NOT(H258),"PENDIENTE SIDE",IF(IF(AND(ISNUMBER(D258),ISNUMBER(E258)),IF(MOD(D258,1)=0,D258=E258,ABS(D258-E258)&lt;=0.000000001*MAX(1,ABS(D258),ABS(E258))),D258=E258),"OK","DIFERENCIA"))</f>
        <v>OK</v>
      </c>
      <c r="H258" s="153" t="b">
        <v>1</v>
      </c>
    </row>
    <row r="259" spans="1:8" x14ac:dyDescent="0.3">
      <c r="A259" s="153" t="s">
        <v>2466</v>
      </c>
      <c r="B259" s="153" t="s">
        <v>2253</v>
      </c>
      <c r="C259" s="153" t="s">
        <v>2467</v>
      </c>
      <c r="D259" s="153">
        <v>1</v>
      </c>
      <c r="E259" s="153">
        <v>1</v>
      </c>
      <c r="F259" s="153">
        <f t="shared" si="8"/>
        <v>0</v>
      </c>
      <c r="G259" s="153" t="str">
        <f t="shared" si="9"/>
        <v>OK</v>
      </c>
      <c r="H259" s="153" t="b">
        <v>1</v>
      </c>
    </row>
    <row r="260" spans="1:8" x14ac:dyDescent="0.3">
      <c r="A260" s="153" t="s">
        <v>2468</v>
      </c>
      <c r="B260" s="153" t="s">
        <v>2253</v>
      </c>
      <c r="C260" s="153" t="s">
        <v>2469</v>
      </c>
      <c r="D260" s="153">
        <v>2</v>
      </c>
      <c r="E260" s="153">
        <v>2</v>
      </c>
      <c r="F260" s="153">
        <f t="shared" si="8"/>
        <v>0</v>
      </c>
      <c r="G260" s="153" t="str">
        <f t="shared" si="9"/>
        <v>OK</v>
      </c>
      <c r="H260" s="153" t="b">
        <v>1</v>
      </c>
    </row>
    <row r="261" spans="1:8" x14ac:dyDescent="0.3">
      <c r="A261" s="153" t="s">
        <v>2470</v>
      </c>
      <c r="B261" s="153" t="s">
        <v>2253</v>
      </c>
      <c r="C261" s="153" t="s">
        <v>2471</v>
      </c>
      <c r="D261" s="153">
        <v>5</v>
      </c>
      <c r="E261" s="153">
        <v>5</v>
      </c>
      <c r="F261" s="153">
        <f t="shared" si="8"/>
        <v>0</v>
      </c>
      <c r="G261" s="153" t="str">
        <f t="shared" si="9"/>
        <v>OK</v>
      </c>
      <c r="H261" s="153" t="b">
        <v>1</v>
      </c>
    </row>
    <row r="262" spans="1:8" x14ac:dyDescent="0.3">
      <c r="A262" s="153" t="s">
        <v>2472</v>
      </c>
      <c r="B262" s="153" t="s">
        <v>2253</v>
      </c>
      <c r="C262" s="153" t="s">
        <v>2473</v>
      </c>
      <c r="D262" s="153">
        <v>120</v>
      </c>
      <c r="E262" s="153">
        <v>120</v>
      </c>
      <c r="F262" s="153">
        <f t="shared" si="8"/>
        <v>0</v>
      </c>
      <c r="G262" s="153" t="str">
        <f t="shared" si="9"/>
        <v>OK</v>
      </c>
      <c r="H262" s="153" t="b">
        <v>1</v>
      </c>
    </row>
    <row r="263" spans="1:8" x14ac:dyDescent="0.3">
      <c r="A263" s="153" t="s">
        <v>2474</v>
      </c>
      <c r="B263" s="153" t="s">
        <v>2253</v>
      </c>
      <c r="C263" s="153" t="s">
        <v>2475</v>
      </c>
      <c r="D263" s="153">
        <v>0.9</v>
      </c>
      <c r="E263" s="153">
        <v>0.9</v>
      </c>
      <c r="F263" s="153">
        <f t="shared" si="8"/>
        <v>0</v>
      </c>
      <c r="G263" s="153" t="str">
        <f t="shared" si="9"/>
        <v>OK</v>
      </c>
      <c r="H263" s="153" t="b">
        <v>1</v>
      </c>
    </row>
    <row r="264" spans="1:8" x14ac:dyDescent="0.3">
      <c r="A264" s="153" t="s">
        <v>2476</v>
      </c>
      <c r="B264" s="153" t="s">
        <v>2253</v>
      </c>
      <c r="C264" s="153" t="s">
        <v>2477</v>
      </c>
      <c r="D264" s="153">
        <v>108</v>
      </c>
      <c r="E264" s="153">
        <v>108</v>
      </c>
      <c r="F264" s="153">
        <f t="shared" si="8"/>
        <v>0</v>
      </c>
      <c r="G264" s="153" t="str">
        <f t="shared" si="9"/>
        <v>OK</v>
      </c>
      <c r="H264" s="153" t="b">
        <v>1</v>
      </c>
    </row>
    <row r="265" spans="1:8" x14ac:dyDescent="0.3">
      <c r="A265" s="153" t="s">
        <v>2478</v>
      </c>
      <c r="B265" s="153" t="s">
        <v>2253</v>
      </c>
      <c r="C265" s="153" t="s">
        <v>2479</v>
      </c>
      <c r="D265" s="153">
        <v>0</v>
      </c>
      <c r="E265" s="153">
        <v>0</v>
      </c>
      <c r="F265" s="153">
        <f t="shared" si="8"/>
        <v>0</v>
      </c>
      <c r="G265" s="153" t="str">
        <f t="shared" si="9"/>
        <v>OK</v>
      </c>
      <c r="H265" s="153" t="b">
        <v>1</v>
      </c>
    </row>
    <row r="266" spans="1:8" x14ac:dyDescent="0.3">
      <c r="A266" s="153" t="s">
        <v>2480</v>
      </c>
      <c r="B266" s="153" t="s">
        <v>2253</v>
      </c>
      <c r="C266" s="153" t="s">
        <v>2481</v>
      </c>
      <c r="D266" s="153">
        <v>0</v>
      </c>
      <c r="E266" s="153">
        <v>0</v>
      </c>
      <c r="F266" s="153">
        <f t="shared" si="8"/>
        <v>0</v>
      </c>
      <c r="G266" s="153" t="str">
        <f t="shared" si="9"/>
        <v>OK</v>
      </c>
      <c r="H266" s="153" t="b">
        <v>1</v>
      </c>
    </row>
    <row r="267" spans="1:8" x14ac:dyDescent="0.3">
      <c r="A267" s="153" t="s">
        <v>2482</v>
      </c>
      <c r="B267" s="153" t="s">
        <v>2253</v>
      </c>
      <c r="C267" s="153" t="s">
        <v>2483</v>
      </c>
      <c r="D267" s="153">
        <v>0</v>
      </c>
      <c r="E267" s="153">
        <v>0</v>
      </c>
      <c r="F267" s="153">
        <f t="shared" si="8"/>
        <v>0</v>
      </c>
      <c r="G267" s="153" t="str">
        <f t="shared" si="9"/>
        <v>OK</v>
      </c>
      <c r="H267" s="153" t="b">
        <v>1</v>
      </c>
    </row>
    <row r="268" spans="1:8" x14ac:dyDescent="0.3">
      <c r="A268" s="153" t="s">
        <v>2484</v>
      </c>
      <c r="B268" s="153" t="s">
        <v>2253</v>
      </c>
      <c r="C268" s="153" t="s">
        <v>2485</v>
      </c>
      <c r="D268" s="153">
        <v>0</v>
      </c>
      <c r="E268" s="153">
        <v>0</v>
      </c>
      <c r="F268" s="153">
        <f t="shared" si="8"/>
        <v>0</v>
      </c>
      <c r="G268" s="153" t="str">
        <f t="shared" si="9"/>
        <v>OK</v>
      </c>
      <c r="H268" s="153" t="b">
        <v>1</v>
      </c>
    </row>
    <row r="269" spans="1:8" x14ac:dyDescent="0.3">
      <c r="A269" s="153" t="s">
        <v>2486</v>
      </c>
      <c r="B269" s="153" t="s">
        <v>2253</v>
      </c>
      <c r="C269" s="153" t="s">
        <v>2487</v>
      </c>
      <c r="D269" s="153">
        <v>7784.7199999999993</v>
      </c>
      <c r="E269" s="153">
        <v>7784.7199999999993</v>
      </c>
      <c r="F269" s="153">
        <f t="shared" si="8"/>
        <v>0</v>
      </c>
      <c r="G269" s="153" t="str">
        <f t="shared" si="9"/>
        <v>OK</v>
      </c>
      <c r="H269" s="153" t="b">
        <v>1</v>
      </c>
    </row>
    <row r="270" spans="1:8" x14ac:dyDescent="0.3">
      <c r="A270" s="153" t="s">
        <v>2488</v>
      </c>
      <c r="B270" s="153" t="s">
        <v>2253</v>
      </c>
      <c r="C270" s="153" t="s">
        <v>2489</v>
      </c>
      <c r="D270" s="153">
        <v>0</v>
      </c>
      <c r="E270" s="153">
        <v>0</v>
      </c>
      <c r="F270" s="153">
        <f t="shared" si="8"/>
        <v>0</v>
      </c>
      <c r="G270" s="153" t="str">
        <f t="shared" si="9"/>
        <v>OK</v>
      </c>
      <c r="H270" s="153" t="b">
        <v>1</v>
      </c>
    </row>
    <row r="271" spans="1:8" x14ac:dyDescent="0.3">
      <c r="A271" s="153" t="s">
        <v>2490</v>
      </c>
      <c r="B271" s="153" t="s">
        <v>2253</v>
      </c>
      <c r="C271" s="153" t="s">
        <v>2491</v>
      </c>
      <c r="D271" s="153">
        <v>31.25</v>
      </c>
      <c r="E271" s="153">
        <v>31.25</v>
      </c>
      <c r="F271" s="153">
        <f t="shared" si="8"/>
        <v>0</v>
      </c>
      <c r="G271" s="153" t="str">
        <f t="shared" si="9"/>
        <v>OK</v>
      </c>
      <c r="H271" s="153" t="b">
        <v>1</v>
      </c>
    </row>
    <row r="272" spans="1:8" x14ac:dyDescent="0.3">
      <c r="A272" s="153" t="s">
        <v>2492</v>
      </c>
      <c r="B272" s="153" t="s">
        <v>2253</v>
      </c>
      <c r="C272" s="153" t="s">
        <v>2493</v>
      </c>
      <c r="D272" s="153">
        <v>64.125</v>
      </c>
      <c r="E272" s="153">
        <v>64.125</v>
      </c>
      <c r="F272" s="153">
        <f t="shared" si="8"/>
        <v>0</v>
      </c>
      <c r="G272" s="153" t="str">
        <f t="shared" si="9"/>
        <v>OK</v>
      </c>
      <c r="H272" s="153" t="b">
        <v>1</v>
      </c>
    </row>
    <row r="273" spans="1:8" x14ac:dyDescent="0.3">
      <c r="A273" s="153" t="s">
        <v>2494</v>
      </c>
      <c r="B273" s="153" t="s">
        <v>2253</v>
      </c>
      <c r="C273" s="153" t="s">
        <v>2495</v>
      </c>
      <c r="D273" s="153">
        <v>0</v>
      </c>
      <c r="E273" s="153">
        <v>0</v>
      </c>
      <c r="F273" s="153">
        <f t="shared" si="8"/>
        <v>0</v>
      </c>
      <c r="G273" s="153" t="str">
        <f t="shared" si="9"/>
        <v>OK</v>
      </c>
      <c r="H273" s="153" t="b">
        <v>1</v>
      </c>
    </row>
    <row r="274" spans="1:8" x14ac:dyDescent="0.3">
      <c r="A274" s="153" t="s">
        <v>2496</v>
      </c>
      <c r="B274" s="153" t="s">
        <v>2253</v>
      </c>
      <c r="C274" s="153" t="s">
        <v>2497</v>
      </c>
      <c r="D274" s="153">
        <v>0</v>
      </c>
      <c r="E274" s="153">
        <v>0</v>
      </c>
      <c r="F274" s="153">
        <f t="shared" si="8"/>
        <v>0</v>
      </c>
      <c r="G274" s="153" t="str">
        <f t="shared" si="9"/>
        <v>OK</v>
      </c>
      <c r="H274" s="153" t="b">
        <v>1</v>
      </c>
    </row>
    <row r="275" spans="1:8" x14ac:dyDescent="0.3">
      <c r="A275" s="153" t="s">
        <v>2498</v>
      </c>
      <c r="B275" s="153" t="s">
        <v>2253</v>
      </c>
      <c r="C275" s="153" t="s">
        <v>2499</v>
      </c>
      <c r="D275" s="153">
        <v>10</v>
      </c>
      <c r="E275" s="153">
        <v>10</v>
      </c>
      <c r="F275" s="153">
        <f t="shared" si="8"/>
        <v>0</v>
      </c>
      <c r="G275" s="153" t="str">
        <f t="shared" si="9"/>
        <v>OK</v>
      </c>
      <c r="H275" s="153" t="b">
        <v>1</v>
      </c>
    </row>
    <row r="276" spans="1:8" x14ac:dyDescent="0.3">
      <c r="A276" s="153" t="s">
        <v>2500</v>
      </c>
      <c r="B276" s="153" t="s">
        <v>2253</v>
      </c>
      <c r="C276" s="153" t="s">
        <v>2501</v>
      </c>
      <c r="D276" s="153">
        <v>8</v>
      </c>
      <c r="E276" s="153">
        <v>8</v>
      </c>
      <c r="F276" s="153">
        <f t="shared" si="8"/>
        <v>0</v>
      </c>
      <c r="G276" s="153" t="str">
        <f t="shared" si="9"/>
        <v>OK</v>
      </c>
      <c r="H276" s="153" t="b">
        <v>1</v>
      </c>
    </row>
    <row r="277" spans="1:8" x14ac:dyDescent="0.3">
      <c r="A277" s="153" t="s">
        <v>2502</v>
      </c>
      <c r="B277" s="153" t="s">
        <v>2253</v>
      </c>
      <c r="C277" s="153" t="s">
        <v>2503</v>
      </c>
      <c r="D277" s="153">
        <v>1</v>
      </c>
      <c r="E277" s="153">
        <v>1</v>
      </c>
      <c r="F277" s="153">
        <f t="shared" si="8"/>
        <v>0</v>
      </c>
      <c r="G277" s="153" t="str">
        <f t="shared" si="9"/>
        <v>OK</v>
      </c>
      <c r="H277" s="153" t="b">
        <v>1</v>
      </c>
    </row>
    <row r="278" spans="1:8" x14ac:dyDescent="0.3">
      <c r="A278" s="153" t="s">
        <v>2504</v>
      </c>
      <c r="B278" s="153" t="s">
        <v>2253</v>
      </c>
      <c r="C278" s="153" t="s">
        <v>2505</v>
      </c>
      <c r="D278" s="153">
        <v>162.5</v>
      </c>
      <c r="E278" s="153">
        <v>162.5</v>
      </c>
      <c r="F278" s="153">
        <f t="shared" si="8"/>
        <v>0</v>
      </c>
      <c r="G278" s="153" t="str">
        <f t="shared" si="9"/>
        <v>OK</v>
      </c>
      <c r="H278" s="153" t="b">
        <v>1</v>
      </c>
    </row>
    <row r="279" spans="1:8" x14ac:dyDescent="0.3">
      <c r="A279" s="153" t="s">
        <v>2506</v>
      </c>
      <c r="B279" s="153" t="s">
        <v>2253</v>
      </c>
      <c r="C279" s="153" t="s">
        <v>2507</v>
      </c>
      <c r="D279" s="153">
        <v>138</v>
      </c>
      <c r="E279" s="153">
        <v>138</v>
      </c>
      <c r="F279" s="153">
        <f t="shared" si="8"/>
        <v>0</v>
      </c>
      <c r="G279" s="153" t="str">
        <f t="shared" si="9"/>
        <v>OK</v>
      </c>
      <c r="H279" s="153" t="b">
        <v>1</v>
      </c>
    </row>
    <row r="280" spans="1:8" x14ac:dyDescent="0.3">
      <c r="A280" s="153" t="s">
        <v>2508</v>
      </c>
      <c r="B280" s="153" t="s">
        <v>2253</v>
      </c>
      <c r="C280" s="153" t="s">
        <v>2509</v>
      </c>
      <c r="D280" s="153">
        <v>276</v>
      </c>
      <c r="E280" s="153">
        <v>276</v>
      </c>
      <c r="F280" s="153">
        <f t="shared" si="8"/>
        <v>0</v>
      </c>
      <c r="G280" s="153" t="str">
        <f t="shared" si="9"/>
        <v>OK</v>
      </c>
      <c r="H280" s="153" t="b">
        <v>1</v>
      </c>
    </row>
    <row r="281" spans="1:8" x14ac:dyDescent="0.3">
      <c r="A281" s="153" t="s">
        <v>2510</v>
      </c>
      <c r="B281" s="153" t="s">
        <v>2253</v>
      </c>
      <c r="C281" s="153" t="s">
        <v>2511</v>
      </c>
      <c r="D281" s="153">
        <v>0</v>
      </c>
      <c r="E281" s="153">
        <v>0</v>
      </c>
      <c r="F281" s="153">
        <f t="shared" si="8"/>
        <v>0</v>
      </c>
      <c r="G281" s="153" t="str">
        <f t="shared" si="9"/>
        <v>OK</v>
      </c>
      <c r="H281" s="153" t="b">
        <v>1</v>
      </c>
    </row>
    <row r="282" spans="1:8" x14ac:dyDescent="0.3">
      <c r="A282" s="153" t="s">
        <v>2512</v>
      </c>
      <c r="B282" s="153" t="s">
        <v>2253</v>
      </c>
      <c r="C282" s="153" t="s">
        <v>2513</v>
      </c>
      <c r="D282" s="153">
        <v>0</v>
      </c>
      <c r="E282" s="153">
        <v>0</v>
      </c>
      <c r="F282" s="153">
        <f t="shared" si="8"/>
        <v>0</v>
      </c>
      <c r="G282" s="153" t="str">
        <f t="shared" si="9"/>
        <v>OK</v>
      </c>
      <c r="H282" s="153" t="b">
        <v>1</v>
      </c>
    </row>
    <row r="283" spans="1:8" x14ac:dyDescent="0.3">
      <c r="A283" s="153" t="s">
        <v>2514</v>
      </c>
      <c r="B283" s="153" t="s">
        <v>2253</v>
      </c>
      <c r="C283" s="153" t="s">
        <v>2515</v>
      </c>
      <c r="D283" s="153">
        <v>1500</v>
      </c>
      <c r="E283" s="153">
        <v>1500</v>
      </c>
      <c r="F283" s="153">
        <f t="shared" si="8"/>
        <v>0</v>
      </c>
      <c r="G283" s="153" t="str">
        <f t="shared" si="9"/>
        <v>OK</v>
      </c>
      <c r="H283" s="153" t="b">
        <v>1</v>
      </c>
    </row>
    <row r="284" spans="1:8" x14ac:dyDescent="0.3">
      <c r="A284" s="153" t="s">
        <v>2516</v>
      </c>
      <c r="B284" s="153" t="s">
        <v>2253</v>
      </c>
      <c r="C284" s="153" t="s">
        <v>2517</v>
      </c>
      <c r="D284" s="153">
        <v>9656.0949999999993</v>
      </c>
      <c r="E284" s="153">
        <v>9656.0949999999993</v>
      </c>
      <c r="F284" s="153">
        <f t="shared" si="8"/>
        <v>0</v>
      </c>
      <c r="G284" s="153" t="str">
        <f t="shared" si="9"/>
        <v>OK</v>
      </c>
      <c r="H284" s="153" t="b">
        <v>1</v>
      </c>
    </row>
    <row r="285" spans="1:8" x14ac:dyDescent="0.3">
      <c r="A285" s="153" t="s">
        <v>2518</v>
      </c>
      <c r="B285" s="153" t="s">
        <v>2253</v>
      </c>
      <c r="C285" s="153" t="s">
        <v>2519</v>
      </c>
      <c r="D285" s="153">
        <v>-9493.5949999999993</v>
      </c>
      <c r="E285" s="153">
        <v>-9493.5949999999993</v>
      </c>
      <c r="F285" s="153">
        <f t="shared" si="8"/>
        <v>0</v>
      </c>
      <c r="G285" s="153" t="str">
        <f t="shared" si="9"/>
        <v>OK</v>
      </c>
      <c r="H285" s="153" t="b">
        <v>1</v>
      </c>
    </row>
    <row r="286" spans="1:8" x14ac:dyDescent="0.3">
      <c r="A286" s="153" t="s">
        <v>2520</v>
      </c>
      <c r="B286" s="153" t="s">
        <v>2253</v>
      </c>
      <c r="C286" s="153" t="s">
        <v>2521</v>
      </c>
      <c r="D286" s="153">
        <v>3</v>
      </c>
      <c r="E286" s="153">
        <v>3</v>
      </c>
      <c r="F286" s="153">
        <f t="shared" si="8"/>
        <v>0</v>
      </c>
      <c r="G286" s="153" t="str">
        <f t="shared" si="9"/>
        <v>OK</v>
      </c>
      <c r="H286" s="153" t="b">
        <v>1</v>
      </c>
    </row>
    <row r="287" spans="1:8" x14ac:dyDescent="0.3">
      <c r="A287" s="153" t="s">
        <v>2522</v>
      </c>
      <c r="B287" s="153" t="s">
        <v>2253</v>
      </c>
      <c r="C287" s="153" t="s">
        <v>2523</v>
      </c>
      <c r="D287" s="153">
        <v>3</v>
      </c>
      <c r="E287" s="153">
        <v>3</v>
      </c>
      <c r="F287" s="153">
        <f t="shared" si="8"/>
        <v>0</v>
      </c>
      <c r="G287" s="153" t="str">
        <f t="shared" si="9"/>
        <v>OK</v>
      </c>
      <c r="H287" s="153" t="b">
        <v>1</v>
      </c>
    </row>
    <row r="288" spans="1:8" x14ac:dyDescent="0.3">
      <c r="A288" s="153" t="s">
        <v>2524</v>
      </c>
      <c r="B288" s="153" t="s">
        <v>2253</v>
      </c>
      <c r="C288" s="153" t="s">
        <v>2525</v>
      </c>
      <c r="D288" s="153">
        <v>558</v>
      </c>
      <c r="E288" s="153">
        <v>558</v>
      </c>
      <c r="F288" s="153">
        <f t="shared" si="8"/>
        <v>0</v>
      </c>
      <c r="G288" s="153" t="str">
        <f t="shared" si="9"/>
        <v>OK</v>
      </c>
      <c r="H288" s="153" t="b">
        <v>1</v>
      </c>
    </row>
    <row r="289" spans="1:8" x14ac:dyDescent="0.3">
      <c r="A289" s="153" t="s">
        <v>2526</v>
      </c>
      <c r="B289" s="153" t="s">
        <v>2253</v>
      </c>
      <c r="C289" s="153" t="s">
        <v>2527</v>
      </c>
      <c r="D289" s="153">
        <v>0</v>
      </c>
      <c r="E289" s="153">
        <v>0</v>
      </c>
      <c r="F289" s="153">
        <f t="shared" si="8"/>
        <v>0</v>
      </c>
      <c r="G289" s="153" t="str">
        <f t="shared" si="9"/>
        <v>OK</v>
      </c>
      <c r="H289" s="153" t="b">
        <v>1</v>
      </c>
    </row>
    <row r="290" spans="1:8" x14ac:dyDescent="0.3">
      <c r="A290" s="153" t="s">
        <v>2528</v>
      </c>
      <c r="B290" s="153" t="s">
        <v>2253</v>
      </c>
      <c r="C290" s="153" t="s">
        <v>2529</v>
      </c>
      <c r="D290" s="153">
        <v>0</v>
      </c>
      <c r="E290" s="153">
        <v>0</v>
      </c>
      <c r="F290" s="153">
        <f t="shared" si="8"/>
        <v>0</v>
      </c>
      <c r="G290" s="153" t="str">
        <f t="shared" si="9"/>
        <v>OK</v>
      </c>
      <c r="H290" s="153" t="b">
        <v>1</v>
      </c>
    </row>
    <row r="291" spans="1:8" x14ac:dyDescent="0.3">
      <c r="A291" s="153" t="s">
        <v>2530</v>
      </c>
      <c r="B291" s="153" t="s">
        <v>2253</v>
      </c>
      <c r="C291" s="153" t="s">
        <v>2531</v>
      </c>
      <c r="D291" s="153">
        <v>1860</v>
      </c>
      <c r="E291" s="153">
        <v>1860</v>
      </c>
      <c r="F291" s="153">
        <f t="shared" si="8"/>
        <v>0</v>
      </c>
      <c r="G291" s="153" t="str">
        <f t="shared" si="9"/>
        <v>OK</v>
      </c>
      <c r="H291" s="153" t="b">
        <v>1</v>
      </c>
    </row>
    <row r="292" spans="1:8" x14ac:dyDescent="0.3">
      <c r="A292" s="153" t="s">
        <v>2532</v>
      </c>
      <c r="B292" s="153" t="s">
        <v>2253</v>
      </c>
      <c r="C292" s="153" t="s">
        <v>2533</v>
      </c>
      <c r="D292" s="153">
        <v>0</v>
      </c>
      <c r="E292" s="153">
        <v>0</v>
      </c>
      <c r="F292" s="153">
        <f t="shared" si="8"/>
        <v>0</v>
      </c>
      <c r="G292" s="153" t="str">
        <f t="shared" si="9"/>
        <v>OK</v>
      </c>
      <c r="H292" s="153" t="b">
        <v>1</v>
      </c>
    </row>
    <row r="293" spans="1:8" x14ac:dyDescent="0.3">
      <c r="A293" s="153" t="s">
        <v>2534</v>
      </c>
      <c r="B293" s="153" t="s">
        <v>2253</v>
      </c>
      <c r="C293" s="153" t="s">
        <v>2535</v>
      </c>
      <c r="D293" s="153">
        <v>11160</v>
      </c>
      <c r="E293" s="153">
        <v>11160</v>
      </c>
      <c r="F293" s="153">
        <f t="shared" si="8"/>
        <v>0</v>
      </c>
      <c r="G293" s="153" t="str">
        <f t="shared" si="9"/>
        <v>OK</v>
      </c>
      <c r="H293" s="153" t="b">
        <v>1</v>
      </c>
    </row>
    <row r="294" spans="1:8" x14ac:dyDescent="0.3">
      <c r="A294" s="153" t="s">
        <v>2536</v>
      </c>
      <c r="B294" s="153" t="s">
        <v>2253</v>
      </c>
      <c r="C294" s="153" t="s">
        <v>2537</v>
      </c>
      <c r="D294" s="153">
        <v>0</v>
      </c>
      <c r="E294" s="153">
        <v>0</v>
      </c>
      <c r="F294" s="153">
        <f t="shared" si="8"/>
        <v>0</v>
      </c>
      <c r="G294" s="153" t="str">
        <f t="shared" si="9"/>
        <v>OK</v>
      </c>
      <c r="H294" s="153" t="b">
        <v>1</v>
      </c>
    </row>
    <row r="295" spans="1:8" x14ac:dyDescent="0.3">
      <c r="A295" s="153" t="s">
        <v>2538</v>
      </c>
      <c r="B295" s="153" t="s">
        <v>2253</v>
      </c>
      <c r="C295" s="153" t="s">
        <v>2539</v>
      </c>
      <c r="D295" s="153">
        <v>0</v>
      </c>
      <c r="E295" s="153">
        <v>0</v>
      </c>
      <c r="F295" s="153">
        <f t="shared" si="8"/>
        <v>0</v>
      </c>
      <c r="G295" s="153" t="str">
        <f t="shared" si="9"/>
        <v>OK</v>
      </c>
      <c r="H295" s="153" t="b">
        <v>1</v>
      </c>
    </row>
    <row r="296" spans="1:8" x14ac:dyDescent="0.3">
      <c r="A296" s="153" t="s">
        <v>2540</v>
      </c>
      <c r="B296" s="153" t="s">
        <v>2253</v>
      </c>
      <c r="C296" s="153" t="s">
        <v>2541</v>
      </c>
      <c r="D296" s="153" t="b">
        <v>0</v>
      </c>
      <c r="E296" s="153" t="b">
        <v>0</v>
      </c>
      <c r="F296" s="153">
        <f t="shared" si="8"/>
        <v>0</v>
      </c>
      <c r="G296" s="153" t="str">
        <f t="shared" si="9"/>
        <v>OK</v>
      </c>
      <c r="H296" s="153" t="b">
        <v>1</v>
      </c>
    </row>
    <row r="297" spans="1:8" x14ac:dyDescent="0.3">
      <c r="A297" s="153" t="s">
        <v>2542</v>
      </c>
      <c r="B297" s="153" t="s">
        <v>2253</v>
      </c>
      <c r="C297" s="153" t="s">
        <v>2543</v>
      </c>
      <c r="D297" s="153" t="b">
        <v>0</v>
      </c>
      <c r="E297" s="153" t="b">
        <v>0</v>
      </c>
      <c r="F297" s="153">
        <f t="shared" si="8"/>
        <v>0</v>
      </c>
      <c r="G297" s="153" t="str">
        <f t="shared" si="9"/>
        <v>OK</v>
      </c>
      <c r="H297" s="153" t="b">
        <v>1</v>
      </c>
    </row>
    <row r="298" spans="1:8" x14ac:dyDescent="0.3">
      <c r="A298" s="153" t="s">
        <v>2544</v>
      </c>
      <c r="B298" s="153" t="s">
        <v>2253</v>
      </c>
      <c r="C298" s="153" t="s">
        <v>2545</v>
      </c>
      <c r="D298" s="153" t="b">
        <v>1</v>
      </c>
      <c r="E298" s="153" t="b">
        <v>1</v>
      </c>
      <c r="F298" s="153">
        <f t="shared" si="8"/>
        <v>0</v>
      </c>
      <c r="G298" s="153" t="str">
        <f t="shared" si="9"/>
        <v>OK</v>
      </c>
      <c r="H298" s="153" t="b">
        <v>1</v>
      </c>
    </row>
    <row r="299" spans="1:8" x14ac:dyDescent="0.3">
      <c r="A299" s="153" t="s">
        <v>2546</v>
      </c>
      <c r="B299" s="153" t="s">
        <v>2253</v>
      </c>
      <c r="C299" s="153" t="s">
        <v>2547</v>
      </c>
      <c r="D299" s="153" t="b">
        <v>1</v>
      </c>
      <c r="E299" s="153" t="b">
        <v>1</v>
      </c>
      <c r="F299" s="153">
        <f t="shared" si="8"/>
        <v>0</v>
      </c>
      <c r="G299" s="153" t="str">
        <f t="shared" si="9"/>
        <v>OK</v>
      </c>
      <c r="H299" s="153" t="b">
        <v>1</v>
      </c>
    </row>
    <row r="300" spans="1:8" x14ac:dyDescent="0.3">
      <c r="A300" s="153" t="s">
        <v>2548</v>
      </c>
      <c r="B300" s="153" t="s">
        <v>2253</v>
      </c>
      <c r="C300" s="153" t="s">
        <v>2549</v>
      </c>
      <c r="D300" s="153" t="b">
        <v>1</v>
      </c>
      <c r="E300" s="153" t="b">
        <v>1</v>
      </c>
      <c r="F300" s="153">
        <f t="shared" si="8"/>
        <v>0</v>
      </c>
      <c r="G300" s="153" t="str">
        <f t="shared" si="9"/>
        <v>OK</v>
      </c>
      <c r="H300" s="153" t="b">
        <v>1</v>
      </c>
    </row>
    <row r="301" spans="1:8" x14ac:dyDescent="0.3">
      <c r="A301" s="153" t="s">
        <v>2550</v>
      </c>
      <c r="B301" s="153" t="s">
        <v>2253</v>
      </c>
      <c r="C301" s="153" t="s">
        <v>2551</v>
      </c>
      <c r="D301" s="153" t="b">
        <v>0</v>
      </c>
      <c r="E301" s="153" t="b">
        <v>0</v>
      </c>
      <c r="F301" s="153">
        <f t="shared" si="8"/>
        <v>0</v>
      </c>
      <c r="G301" s="153" t="str">
        <f t="shared" si="9"/>
        <v>OK</v>
      </c>
      <c r="H301" s="153" t="b">
        <v>1</v>
      </c>
    </row>
    <row r="302" spans="1:8" x14ac:dyDescent="0.3">
      <c r="A302" s="153" t="s">
        <v>2552</v>
      </c>
      <c r="B302" s="153" t="s">
        <v>2253</v>
      </c>
      <c r="C302" s="153" t="s">
        <v>2553</v>
      </c>
      <c r="D302" s="153" t="b">
        <v>0</v>
      </c>
      <c r="E302" s="153" t="b">
        <v>0</v>
      </c>
      <c r="F302" s="153">
        <f t="shared" si="8"/>
        <v>0</v>
      </c>
      <c r="G302" s="153" t="str">
        <f t="shared" si="9"/>
        <v>OK</v>
      </c>
      <c r="H302" s="153" t="b">
        <v>1</v>
      </c>
    </row>
    <row r="303" spans="1:8" x14ac:dyDescent="0.3">
      <c r="A303" s="153" t="s">
        <v>2554</v>
      </c>
      <c r="B303" s="153" t="s">
        <v>2253</v>
      </c>
      <c r="C303" s="153" t="s">
        <v>2555</v>
      </c>
      <c r="D303" s="153" t="b">
        <v>1</v>
      </c>
      <c r="E303" s="153" t="b">
        <v>1</v>
      </c>
      <c r="F303" s="153">
        <f t="shared" si="8"/>
        <v>0</v>
      </c>
      <c r="G303" s="153" t="str">
        <f t="shared" si="9"/>
        <v>OK</v>
      </c>
      <c r="H303" s="153" t="b">
        <v>1</v>
      </c>
    </row>
    <row r="304" spans="1:8" x14ac:dyDescent="0.3">
      <c r="A304" s="153" t="s">
        <v>2556</v>
      </c>
      <c r="B304" s="153" t="s">
        <v>2253</v>
      </c>
      <c r="C304" s="153" t="s">
        <v>2557</v>
      </c>
      <c r="D304" s="153">
        <v>0</v>
      </c>
      <c r="E304" s="153">
        <v>0</v>
      </c>
      <c r="F304" s="153">
        <f t="shared" si="8"/>
        <v>0</v>
      </c>
      <c r="G304" s="153" t="str">
        <f t="shared" si="9"/>
        <v>OK</v>
      </c>
      <c r="H304" s="153" t="b">
        <v>1</v>
      </c>
    </row>
    <row r="305" spans="1:8" x14ac:dyDescent="0.3">
      <c r="A305" s="153" t="s">
        <v>2558</v>
      </c>
      <c r="B305" s="153" t="s">
        <v>2253</v>
      </c>
      <c r="C305" s="153" t="s">
        <v>2559</v>
      </c>
      <c r="D305" s="153">
        <v>23</v>
      </c>
      <c r="E305" s="153">
        <v>23</v>
      </c>
      <c r="F305" s="153">
        <f t="shared" si="8"/>
        <v>0</v>
      </c>
      <c r="G305" s="153" t="str">
        <f t="shared" si="9"/>
        <v>OK</v>
      </c>
      <c r="H305" s="153" t="b">
        <v>1</v>
      </c>
    </row>
    <row r="306" spans="1:8" x14ac:dyDescent="0.3">
      <c r="A306" s="153" t="s">
        <v>2560</v>
      </c>
      <c r="B306" s="153" t="s">
        <v>2253</v>
      </c>
      <c r="C306" s="153" t="s">
        <v>2561</v>
      </c>
      <c r="D306" s="153">
        <v>10000</v>
      </c>
      <c r="E306" s="153">
        <v>10000</v>
      </c>
      <c r="F306" s="153">
        <f t="shared" si="8"/>
        <v>0</v>
      </c>
      <c r="G306" s="153" t="str">
        <f t="shared" si="9"/>
        <v>OK</v>
      </c>
      <c r="H306" s="153" t="b">
        <v>1</v>
      </c>
    </row>
    <row r="307" spans="1:8" x14ac:dyDescent="0.3">
      <c r="A307" s="153" t="s">
        <v>2562</v>
      </c>
      <c r="B307" s="153" t="s">
        <v>2253</v>
      </c>
      <c r="C307" s="153" t="s">
        <v>2563</v>
      </c>
      <c r="D307" s="153">
        <v>3</v>
      </c>
      <c r="E307" s="153">
        <v>3</v>
      </c>
      <c r="F307" s="153">
        <f t="shared" si="8"/>
        <v>0</v>
      </c>
      <c r="G307" s="153" t="str">
        <f t="shared" si="9"/>
        <v>OK</v>
      </c>
      <c r="H307" s="153" t="b">
        <v>1</v>
      </c>
    </row>
    <row r="308" spans="1:8" x14ac:dyDescent="0.3">
      <c r="A308" s="153" t="s">
        <v>1989</v>
      </c>
      <c r="B308" s="153" t="s">
        <v>2253</v>
      </c>
      <c r="C308" s="153" t="s">
        <v>1990</v>
      </c>
      <c r="D308" s="153">
        <v>3500</v>
      </c>
      <c r="E308" s="153">
        <v>3500</v>
      </c>
      <c r="F308" s="153">
        <f t="shared" si="8"/>
        <v>0</v>
      </c>
      <c r="G308" s="153" t="str">
        <f t="shared" si="9"/>
        <v>OK</v>
      </c>
      <c r="H308" s="153" t="b">
        <v>1</v>
      </c>
    </row>
    <row r="309" spans="1:8" x14ac:dyDescent="0.3">
      <c r="A309" s="153" t="s">
        <v>1991</v>
      </c>
      <c r="B309" s="153" t="s">
        <v>2253</v>
      </c>
      <c r="C309" s="153" t="s">
        <v>1992</v>
      </c>
      <c r="D309" s="153">
        <v>3500</v>
      </c>
      <c r="E309" s="153">
        <v>3500</v>
      </c>
      <c r="F309" s="153">
        <f t="shared" si="8"/>
        <v>0</v>
      </c>
      <c r="G309" s="153" t="str">
        <f t="shared" si="9"/>
        <v>OK</v>
      </c>
      <c r="H309" s="153" t="b">
        <v>1</v>
      </c>
    </row>
    <row r="310" spans="1:8" x14ac:dyDescent="0.3">
      <c r="A310" s="153" t="s">
        <v>1993</v>
      </c>
      <c r="B310" s="153" t="s">
        <v>2253</v>
      </c>
      <c r="C310" s="153" t="s">
        <v>1994</v>
      </c>
      <c r="D310" s="153">
        <v>43685.042291803278</v>
      </c>
      <c r="E310" s="153">
        <v>43685.042291803278</v>
      </c>
      <c r="F310" s="153">
        <f t="shared" si="8"/>
        <v>0</v>
      </c>
      <c r="G310" s="153" t="str">
        <f t="shared" si="9"/>
        <v>OK</v>
      </c>
      <c r="H310" s="153" t="b">
        <v>1</v>
      </c>
    </row>
    <row r="311" spans="1:8" x14ac:dyDescent="0.3">
      <c r="A311" s="153" t="s">
        <v>1995</v>
      </c>
      <c r="B311" s="153" t="s">
        <v>2253</v>
      </c>
      <c r="C311" s="153" t="s">
        <v>1996</v>
      </c>
      <c r="D311" s="153">
        <v>-40185.042291803278</v>
      </c>
      <c r="E311" s="153">
        <v>-40185.042291803278</v>
      </c>
      <c r="F311" s="153">
        <f t="shared" si="8"/>
        <v>0</v>
      </c>
      <c r="G311" s="153" t="str">
        <f t="shared" si="9"/>
        <v>OK</v>
      </c>
      <c r="H311" s="153" t="b">
        <v>1</v>
      </c>
    </row>
    <row r="312" spans="1:8" x14ac:dyDescent="0.3">
      <c r="A312" s="153" t="s">
        <v>1997</v>
      </c>
      <c r="B312" s="153" t="s">
        <v>2253</v>
      </c>
      <c r="C312" s="153" t="s">
        <v>1998</v>
      </c>
      <c r="D312" s="153">
        <v>64.125</v>
      </c>
      <c r="E312" s="153">
        <v>64.125</v>
      </c>
      <c r="F312" s="153">
        <f t="shared" si="8"/>
        <v>0</v>
      </c>
      <c r="G312" s="153" t="str">
        <f t="shared" si="9"/>
        <v>OK</v>
      </c>
      <c r="H312" s="153" t="b">
        <v>1</v>
      </c>
    </row>
    <row r="313" spans="1:8" x14ac:dyDescent="0.3">
      <c r="A313" s="153" t="s">
        <v>1999</v>
      </c>
      <c r="B313" s="153" t="s">
        <v>2253</v>
      </c>
      <c r="C313" s="153" t="s">
        <v>2000</v>
      </c>
      <c r="D313" s="153">
        <v>0</v>
      </c>
      <c r="E313" s="153">
        <v>0</v>
      </c>
      <c r="F313" s="153">
        <f t="shared" si="8"/>
        <v>0</v>
      </c>
      <c r="G313" s="153" t="str">
        <f t="shared" si="9"/>
        <v>OK</v>
      </c>
      <c r="H313" s="153" t="b">
        <v>1</v>
      </c>
    </row>
    <row r="314" spans="1:8" x14ac:dyDescent="0.3">
      <c r="A314" s="153" t="s">
        <v>2001</v>
      </c>
      <c r="B314" s="153" t="s">
        <v>2253</v>
      </c>
      <c r="C314" s="153" t="s">
        <v>2002</v>
      </c>
      <c r="D314" s="153">
        <v>43685.042291803278</v>
      </c>
      <c r="E314" s="153">
        <v>43685.042291803278</v>
      </c>
      <c r="F314" s="153">
        <f t="shared" si="8"/>
        <v>0</v>
      </c>
      <c r="G314" s="153" t="str">
        <f t="shared" si="9"/>
        <v>OK</v>
      </c>
      <c r="H314" s="153" t="b">
        <v>1</v>
      </c>
    </row>
    <row r="315" spans="1:8" x14ac:dyDescent="0.3">
      <c r="A315" s="153" t="s">
        <v>2003</v>
      </c>
      <c r="B315" s="153" t="s">
        <v>2253</v>
      </c>
      <c r="C315" s="153" t="s">
        <v>2004</v>
      </c>
      <c r="D315" s="153">
        <v>1000000</v>
      </c>
      <c r="E315" s="153">
        <v>1000000</v>
      </c>
      <c r="F315" s="153">
        <f t="shared" si="8"/>
        <v>0</v>
      </c>
      <c r="G315" s="153" t="str">
        <f t="shared" si="9"/>
        <v>OK</v>
      </c>
      <c r="H315" s="153" t="b">
        <v>1</v>
      </c>
    </row>
    <row r="316" spans="1:8" x14ac:dyDescent="0.3">
      <c r="A316" s="153" t="s">
        <v>2005</v>
      </c>
      <c r="B316" s="153" t="s">
        <v>2253</v>
      </c>
      <c r="C316" s="153" t="s">
        <v>2006</v>
      </c>
      <c r="D316" s="153">
        <v>3500</v>
      </c>
      <c r="E316" s="153">
        <v>3500</v>
      </c>
      <c r="F316" s="153">
        <f t="shared" si="8"/>
        <v>0</v>
      </c>
      <c r="G316" s="153" t="str">
        <f t="shared" si="9"/>
        <v>OK</v>
      </c>
      <c r="H316" s="153" t="b">
        <v>1</v>
      </c>
    </row>
    <row r="317" spans="1:8" x14ac:dyDescent="0.3">
      <c r="A317" s="153" t="s">
        <v>2007</v>
      </c>
      <c r="B317" s="153" t="s">
        <v>2253</v>
      </c>
      <c r="C317" s="153" t="s">
        <v>2008</v>
      </c>
      <c r="D317" s="153">
        <v>171929.36049180329</v>
      </c>
      <c r="E317" s="153">
        <v>171929.36049180329</v>
      </c>
      <c r="F317" s="153">
        <f t="shared" si="8"/>
        <v>0</v>
      </c>
      <c r="G317" s="153" t="str">
        <f t="shared" si="9"/>
        <v>OK</v>
      </c>
      <c r="H317" s="153" t="b">
        <v>1</v>
      </c>
    </row>
    <row r="318" spans="1:8" x14ac:dyDescent="0.3">
      <c r="A318" s="153" t="s">
        <v>2009</v>
      </c>
      <c r="B318" s="153" t="s">
        <v>2253</v>
      </c>
      <c r="C318" s="153" t="s">
        <v>2010</v>
      </c>
      <c r="D318" s="153">
        <v>831570.63950819673</v>
      </c>
      <c r="E318" s="153">
        <v>831570.63950819673</v>
      </c>
      <c r="F318" s="153">
        <f t="shared" si="8"/>
        <v>0</v>
      </c>
      <c r="G318" s="153" t="str">
        <f t="shared" si="9"/>
        <v>OK</v>
      </c>
      <c r="H318" s="153" t="b">
        <v>1</v>
      </c>
    </row>
    <row r="319" spans="1:8" x14ac:dyDescent="0.3">
      <c r="A319" s="153" t="s">
        <v>2011</v>
      </c>
      <c r="B319" s="153" t="s">
        <v>2253</v>
      </c>
      <c r="C319" s="153" t="s">
        <v>2012</v>
      </c>
      <c r="D319" s="153">
        <v>1000000</v>
      </c>
      <c r="E319" s="153">
        <v>1000000</v>
      </c>
      <c r="F319" s="153">
        <f t="shared" si="8"/>
        <v>0</v>
      </c>
      <c r="G319" s="153" t="str">
        <f t="shared" si="9"/>
        <v>OK</v>
      </c>
      <c r="H319" s="153" t="b">
        <v>1</v>
      </c>
    </row>
    <row r="320" spans="1:8" x14ac:dyDescent="0.3">
      <c r="A320" s="153" t="s">
        <v>2013</v>
      </c>
      <c r="B320" s="153" t="s">
        <v>2253</v>
      </c>
      <c r="C320" s="153" t="s">
        <v>2014</v>
      </c>
      <c r="D320" s="153">
        <v>3500</v>
      </c>
      <c r="E320" s="153">
        <v>3500</v>
      </c>
      <c r="F320" s="153">
        <f t="shared" si="8"/>
        <v>0</v>
      </c>
      <c r="G320" s="153" t="str">
        <f t="shared" si="9"/>
        <v>OK</v>
      </c>
      <c r="H320" s="153" t="b">
        <v>1</v>
      </c>
    </row>
    <row r="321" spans="1:8" x14ac:dyDescent="0.3">
      <c r="A321" s="153" t="s">
        <v>2015</v>
      </c>
      <c r="B321" s="153" t="s">
        <v>2253</v>
      </c>
      <c r="C321" s="153" t="s">
        <v>2016</v>
      </c>
      <c r="D321" s="153">
        <v>164066.36049180329</v>
      </c>
      <c r="E321" s="153">
        <v>164066.36049180329</v>
      </c>
      <c r="F321" s="153">
        <f t="shared" si="8"/>
        <v>0</v>
      </c>
      <c r="G321" s="153" t="str">
        <f t="shared" si="9"/>
        <v>OK</v>
      </c>
      <c r="H321" s="153" t="b">
        <v>1</v>
      </c>
    </row>
    <row r="322" spans="1:8" x14ac:dyDescent="0.3">
      <c r="A322" s="153" t="s">
        <v>2017</v>
      </c>
      <c r="B322" s="153" t="s">
        <v>2253</v>
      </c>
      <c r="C322" s="153" t="s">
        <v>2018</v>
      </c>
      <c r="D322" s="153">
        <v>7863</v>
      </c>
      <c r="E322" s="153">
        <v>7863</v>
      </c>
      <c r="F322" s="153">
        <f t="shared" ref="F322:F385" si="10">IF(NOT(H322),"",IF(AND(ISNUMBER(D322),ISNUMBER(E322)),E322-D322,IF(D322=E322,0,1)))</f>
        <v>0</v>
      </c>
      <c r="G322" s="153" t="str">
        <f t="shared" ref="G322:G385" si="11">IF(NOT(H322),"PENDIENTE SIDE",IF(IF(AND(ISNUMBER(D322),ISNUMBER(E322)),IF(MOD(D322,1)=0,D322=E322,ABS(D322-E322)&lt;=0.000000001*MAX(1,ABS(D322),ABS(E322))),D322=E322),"OK","DIFERENCIA"))</f>
        <v>OK</v>
      </c>
      <c r="H322" s="153" t="b">
        <v>1</v>
      </c>
    </row>
    <row r="323" spans="1:8" x14ac:dyDescent="0.3">
      <c r="A323" s="153" t="s">
        <v>2019</v>
      </c>
      <c r="B323" s="153" t="s">
        <v>2253</v>
      </c>
      <c r="C323" s="153" t="s">
        <v>2020</v>
      </c>
      <c r="D323" s="153">
        <v>0</v>
      </c>
      <c r="E323" s="153">
        <v>0</v>
      </c>
      <c r="F323" s="153">
        <f t="shared" si="10"/>
        <v>0</v>
      </c>
      <c r="G323" s="153" t="str">
        <f t="shared" si="11"/>
        <v>OK</v>
      </c>
      <c r="H323" s="153" t="b">
        <v>1</v>
      </c>
    </row>
    <row r="324" spans="1:8" x14ac:dyDescent="0.3">
      <c r="A324" s="153" t="s">
        <v>2021</v>
      </c>
      <c r="B324" s="153" t="s">
        <v>2253</v>
      </c>
      <c r="C324" s="153" t="s">
        <v>2022</v>
      </c>
      <c r="D324" s="153">
        <v>-160566.36049180329</v>
      </c>
      <c r="E324" s="153">
        <v>-160566.36049180329</v>
      </c>
      <c r="F324" s="153">
        <f t="shared" si="10"/>
        <v>0</v>
      </c>
      <c r="G324" s="153" t="str">
        <f t="shared" si="11"/>
        <v>OK</v>
      </c>
      <c r="H324" s="153" t="b">
        <v>1</v>
      </c>
    </row>
    <row r="325" spans="1:8" x14ac:dyDescent="0.3">
      <c r="A325" s="153" t="s">
        <v>2023</v>
      </c>
      <c r="B325" s="153" t="s">
        <v>2253</v>
      </c>
      <c r="C325" s="153" t="s">
        <v>2024</v>
      </c>
      <c r="D325" s="153">
        <v>-7863</v>
      </c>
      <c r="E325" s="153">
        <v>-7863</v>
      </c>
      <c r="F325" s="153">
        <f t="shared" si="10"/>
        <v>0</v>
      </c>
      <c r="G325" s="153" t="str">
        <f t="shared" si="11"/>
        <v>OK</v>
      </c>
      <c r="H325" s="153" t="b">
        <v>1</v>
      </c>
    </row>
    <row r="326" spans="1:8" x14ac:dyDescent="0.3">
      <c r="A326" s="153" t="s">
        <v>2025</v>
      </c>
      <c r="B326" s="153" t="s">
        <v>2253</v>
      </c>
      <c r="C326" s="153" t="s">
        <v>2026</v>
      </c>
      <c r="D326" s="153">
        <v>-168429.36049180329</v>
      </c>
      <c r="E326" s="153">
        <v>-168429.36049180329</v>
      </c>
      <c r="F326" s="153">
        <f t="shared" si="10"/>
        <v>0</v>
      </c>
      <c r="G326" s="153" t="str">
        <f t="shared" si="11"/>
        <v>OK</v>
      </c>
      <c r="H326" s="153" t="b">
        <v>1</v>
      </c>
    </row>
    <row r="327" spans="1:8" x14ac:dyDescent="0.3">
      <c r="A327" s="153" t="s">
        <v>2027</v>
      </c>
      <c r="B327" s="153" t="s">
        <v>2253</v>
      </c>
      <c r="C327" s="153" t="s">
        <v>2028</v>
      </c>
      <c r="D327" s="153">
        <v>831570.63950819673</v>
      </c>
      <c r="E327" s="153">
        <v>831570.63950819673</v>
      </c>
      <c r="F327" s="153">
        <f t="shared" si="10"/>
        <v>0</v>
      </c>
      <c r="G327" s="153" t="str">
        <f t="shared" si="11"/>
        <v>OK</v>
      </c>
      <c r="H327" s="153" t="b">
        <v>1</v>
      </c>
    </row>
    <row r="328" spans="1:8" x14ac:dyDescent="0.3">
      <c r="A328" s="153" t="s">
        <v>2029</v>
      </c>
      <c r="B328" s="153" t="s">
        <v>2253</v>
      </c>
      <c r="C328" s="153" t="s">
        <v>2030</v>
      </c>
      <c r="D328" s="153">
        <v>831570.63950819673</v>
      </c>
      <c r="E328" s="153">
        <v>831570.63950819673</v>
      </c>
      <c r="F328" s="153">
        <f t="shared" si="10"/>
        <v>0</v>
      </c>
      <c r="G328" s="153" t="str">
        <f t="shared" si="11"/>
        <v>OK</v>
      </c>
      <c r="H328" s="153" t="b">
        <v>1</v>
      </c>
    </row>
    <row r="329" spans="1:8" x14ac:dyDescent="0.3">
      <c r="A329" s="153" t="s">
        <v>2031</v>
      </c>
      <c r="B329" s="153" t="s">
        <v>2253</v>
      </c>
      <c r="C329" s="153" t="s">
        <v>2032</v>
      </c>
      <c r="D329" s="153">
        <v>7435.875</v>
      </c>
      <c r="E329" s="153">
        <v>7435.875</v>
      </c>
      <c r="F329" s="153">
        <f t="shared" si="10"/>
        <v>0</v>
      </c>
      <c r="G329" s="153" t="str">
        <f t="shared" si="11"/>
        <v>OK</v>
      </c>
      <c r="H329" s="153" t="b">
        <v>1</v>
      </c>
    </row>
    <row r="330" spans="1:8" x14ac:dyDescent="0.3">
      <c r="A330" s="153" t="s">
        <v>2033</v>
      </c>
      <c r="B330" s="153" t="s">
        <v>2253</v>
      </c>
      <c r="C330" s="153" t="s">
        <v>2034</v>
      </c>
      <c r="D330" s="153">
        <v>120445.44319999999</v>
      </c>
      <c r="E330" s="153">
        <v>120445.44319999999</v>
      </c>
      <c r="F330" s="153">
        <f t="shared" si="10"/>
        <v>0</v>
      </c>
      <c r="G330" s="153" t="str">
        <f t="shared" si="11"/>
        <v>OK</v>
      </c>
      <c r="H330" s="153" t="b">
        <v>1</v>
      </c>
    </row>
    <row r="331" spans="1:8" x14ac:dyDescent="0.3">
      <c r="A331" s="153" t="s">
        <v>2035</v>
      </c>
      <c r="B331" s="153" t="s">
        <v>2253</v>
      </c>
      <c r="C331" s="153" t="s">
        <v>2036</v>
      </c>
      <c r="D331" s="153">
        <v>959451.95770819671</v>
      </c>
      <c r="E331" s="153">
        <v>959451.95770819671</v>
      </c>
      <c r="F331" s="153">
        <f t="shared" si="10"/>
        <v>0</v>
      </c>
      <c r="G331" s="153" t="str">
        <f t="shared" si="11"/>
        <v>OK</v>
      </c>
      <c r="H331" s="153" t="b">
        <v>1</v>
      </c>
    </row>
    <row r="332" spans="1:8" x14ac:dyDescent="0.3">
      <c r="A332" s="153" t="s">
        <v>2037</v>
      </c>
      <c r="B332" s="153" t="s">
        <v>2253</v>
      </c>
      <c r="C332" s="153" t="s">
        <v>2038</v>
      </c>
      <c r="D332" s="153">
        <v>0</v>
      </c>
      <c r="E332" s="153">
        <v>0</v>
      </c>
      <c r="F332" s="153">
        <f t="shared" si="10"/>
        <v>0</v>
      </c>
      <c r="G332" s="153" t="str">
        <f t="shared" si="11"/>
        <v>OK</v>
      </c>
      <c r="H332" s="153" t="b">
        <v>1</v>
      </c>
    </row>
    <row r="333" spans="1:8" x14ac:dyDescent="0.3">
      <c r="A333" s="153" t="s">
        <v>2039</v>
      </c>
      <c r="B333" s="153" t="s">
        <v>2253</v>
      </c>
      <c r="C333" s="153" t="s">
        <v>2040</v>
      </c>
      <c r="D333" s="153">
        <v>959451.95770819671</v>
      </c>
      <c r="E333" s="153">
        <v>959451.95770819671</v>
      </c>
      <c r="F333" s="153">
        <f t="shared" si="10"/>
        <v>0</v>
      </c>
      <c r="G333" s="153" t="str">
        <f t="shared" si="11"/>
        <v>OK</v>
      </c>
      <c r="H333" s="153" t="b">
        <v>1</v>
      </c>
    </row>
    <row r="334" spans="1:8" x14ac:dyDescent="0.3">
      <c r="A334" s="153" t="s">
        <v>2041</v>
      </c>
      <c r="B334" s="153" t="s">
        <v>2253</v>
      </c>
      <c r="C334" s="153" t="s">
        <v>2042</v>
      </c>
      <c r="D334" s="153">
        <v>959451.95770819671</v>
      </c>
      <c r="E334" s="153">
        <v>959451.95770819671</v>
      </c>
      <c r="F334" s="153">
        <f t="shared" si="10"/>
        <v>0</v>
      </c>
      <c r="G334" s="153" t="str">
        <f t="shared" si="11"/>
        <v>OK</v>
      </c>
      <c r="H334" s="153" t="b">
        <v>1</v>
      </c>
    </row>
    <row r="335" spans="1:8" x14ac:dyDescent="0.3">
      <c r="A335" s="153" t="s">
        <v>2043</v>
      </c>
      <c r="B335" s="153" t="s">
        <v>2253</v>
      </c>
      <c r="C335" s="153" t="s">
        <v>2044</v>
      </c>
      <c r="D335" s="153">
        <v>0</v>
      </c>
      <c r="E335" s="153">
        <v>0</v>
      </c>
      <c r="F335" s="153">
        <f t="shared" si="10"/>
        <v>0</v>
      </c>
      <c r="G335" s="153" t="str">
        <f t="shared" si="11"/>
        <v>OK</v>
      </c>
      <c r="H335" s="153" t="b">
        <v>1</v>
      </c>
    </row>
    <row r="336" spans="1:8" x14ac:dyDescent="0.3">
      <c r="A336" s="153" t="s">
        <v>2045</v>
      </c>
      <c r="B336" s="153" t="s">
        <v>2253</v>
      </c>
      <c r="C336" s="153" t="s">
        <v>2046</v>
      </c>
      <c r="D336" s="153">
        <v>20</v>
      </c>
      <c r="E336" s="153">
        <v>20</v>
      </c>
      <c r="F336" s="153">
        <f t="shared" si="10"/>
        <v>0</v>
      </c>
      <c r="G336" s="153" t="str">
        <f t="shared" si="11"/>
        <v>OK</v>
      </c>
      <c r="H336" s="153" t="b">
        <v>1</v>
      </c>
    </row>
    <row r="337" spans="1:8" x14ac:dyDescent="0.3">
      <c r="A337" s="153" t="s">
        <v>2047</v>
      </c>
      <c r="B337" s="153" t="s">
        <v>2253</v>
      </c>
      <c r="C337" s="153" t="s">
        <v>2048</v>
      </c>
      <c r="D337" s="153">
        <v>0</v>
      </c>
      <c r="E337" s="153">
        <v>0</v>
      </c>
      <c r="F337" s="153">
        <f t="shared" si="10"/>
        <v>0</v>
      </c>
      <c r="G337" s="153" t="str">
        <f t="shared" si="11"/>
        <v>OK</v>
      </c>
      <c r="H337" s="153" t="b">
        <v>1</v>
      </c>
    </row>
    <row r="338" spans="1:8" x14ac:dyDescent="0.3">
      <c r="A338" s="153" t="s">
        <v>2049</v>
      </c>
      <c r="B338" s="153" t="s">
        <v>2253</v>
      </c>
      <c r="C338" s="153" t="s">
        <v>2050</v>
      </c>
      <c r="D338" s="153">
        <v>3</v>
      </c>
      <c r="E338" s="153">
        <v>3</v>
      </c>
      <c r="F338" s="153">
        <f t="shared" si="10"/>
        <v>0</v>
      </c>
      <c r="G338" s="153" t="str">
        <f t="shared" si="11"/>
        <v>OK</v>
      </c>
      <c r="H338" s="153" t="b">
        <v>1</v>
      </c>
    </row>
    <row r="339" spans="1:8" x14ac:dyDescent="0.3">
      <c r="A339" s="153" t="s">
        <v>2051</v>
      </c>
      <c r="B339" s="153" t="s">
        <v>2253</v>
      </c>
      <c r="C339" s="153" t="s">
        <v>2052</v>
      </c>
      <c r="D339" s="153">
        <v>0</v>
      </c>
      <c r="E339" s="153">
        <v>0</v>
      </c>
      <c r="F339" s="153">
        <f t="shared" si="10"/>
        <v>0</v>
      </c>
      <c r="G339" s="153" t="str">
        <f t="shared" si="11"/>
        <v>OK</v>
      </c>
      <c r="H339" s="153" t="b">
        <v>1</v>
      </c>
    </row>
    <row r="340" spans="1:8" x14ac:dyDescent="0.3">
      <c r="A340" s="153" t="s">
        <v>2053</v>
      </c>
      <c r="B340" s="153" t="s">
        <v>2253</v>
      </c>
      <c r="C340" s="153" t="s">
        <v>2054</v>
      </c>
      <c r="D340" s="153">
        <v>0</v>
      </c>
      <c r="E340" s="153">
        <v>0</v>
      </c>
      <c r="F340" s="153">
        <f t="shared" si="10"/>
        <v>0</v>
      </c>
      <c r="G340" s="153" t="str">
        <f t="shared" si="11"/>
        <v>OK</v>
      </c>
      <c r="H340" s="153" t="b">
        <v>1</v>
      </c>
    </row>
    <row r="341" spans="1:8" x14ac:dyDescent="0.3">
      <c r="A341" s="153" t="s">
        <v>2055</v>
      </c>
      <c r="B341" s="153" t="s">
        <v>2253</v>
      </c>
      <c r="C341" s="153" t="s">
        <v>2056</v>
      </c>
      <c r="D341" s="153">
        <v>162.5</v>
      </c>
      <c r="E341" s="153">
        <v>162.5</v>
      </c>
      <c r="F341" s="153">
        <f t="shared" si="10"/>
        <v>0</v>
      </c>
      <c r="G341" s="153" t="str">
        <f t="shared" si="11"/>
        <v>OK</v>
      </c>
      <c r="H341" s="153" t="b">
        <v>1</v>
      </c>
    </row>
    <row r="342" spans="1:8" x14ac:dyDescent="0.3">
      <c r="A342" s="153" t="s">
        <v>2057</v>
      </c>
      <c r="B342" s="153" t="s">
        <v>2253</v>
      </c>
      <c r="C342" s="153" t="s">
        <v>2058</v>
      </c>
      <c r="D342" s="153">
        <v>162.5</v>
      </c>
      <c r="E342" s="153">
        <v>162.5</v>
      </c>
      <c r="F342" s="153">
        <f t="shared" si="10"/>
        <v>0</v>
      </c>
      <c r="G342" s="153" t="str">
        <f t="shared" si="11"/>
        <v>OK</v>
      </c>
      <c r="H342" s="153" t="b">
        <v>1</v>
      </c>
    </row>
    <row r="343" spans="1:8" x14ac:dyDescent="0.3">
      <c r="A343" s="153" t="s">
        <v>2059</v>
      </c>
      <c r="B343" s="153" t="s">
        <v>2253</v>
      </c>
      <c r="C343" s="153" t="s">
        <v>2060</v>
      </c>
      <c r="D343" s="153">
        <v>13054.222352498649</v>
      </c>
      <c r="E343" s="153">
        <v>13054.222352498649</v>
      </c>
      <c r="F343" s="153">
        <f t="shared" si="10"/>
        <v>0</v>
      </c>
      <c r="G343" s="153" t="str">
        <f t="shared" si="11"/>
        <v>OK</v>
      </c>
      <c r="H343" s="153" t="b">
        <v>1</v>
      </c>
    </row>
    <row r="344" spans="1:8" x14ac:dyDescent="0.3">
      <c r="A344" s="153" t="s">
        <v>2061</v>
      </c>
      <c r="B344" s="153" t="s">
        <v>2253</v>
      </c>
      <c r="C344" s="153" t="s">
        <v>2062</v>
      </c>
      <c r="D344" s="153">
        <v>-12891.722352498649</v>
      </c>
      <c r="E344" s="153">
        <v>-12891.722352498649</v>
      </c>
      <c r="F344" s="153">
        <f t="shared" si="10"/>
        <v>0</v>
      </c>
      <c r="G344" s="153" t="str">
        <f t="shared" si="11"/>
        <v>OK</v>
      </c>
      <c r="H344" s="153" t="b">
        <v>1</v>
      </c>
    </row>
    <row r="345" spans="1:8" x14ac:dyDescent="0.3">
      <c r="A345" s="153" t="s">
        <v>2063</v>
      </c>
      <c r="B345" s="153" t="s">
        <v>2253</v>
      </c>
      <c r="C345" s="153" t="s">
        <v>2064</v>
      </c>
      <c r="D345" s="153">
        <v>64.125</v>
      </c>
      <c r="E345" s="153">
        <v>64.125</v>
      </c>
      <c r="F345" s="153">
        <f t="shared" si="10"/>
        <v>0</v>
      </c>
      <c r="G345" s="153" t="str">
        <f t="shared" si="11"/>
        <v>OK</v>
      </c>
      <c r="H345" s="153" t="b">
        <v>1</v>
      </c>
    </row>
    <row r="346" spans="1:8" x14ac:dyDescent="0.3">
      <c r="A346" s="153" t="s">
        <v>2065</v>
      </c>
      <c r="B346" s="153" t="s">
        <v>2253</v>
      </c>
      <c r="C346" s="153" t="s">
        <v>2066</v>
      </c>
      <c r="D346" s="153">
        <v>76.547352498655968</v>
      </c>
      <c r="E346" s="153">
        <v>76.547352498655968</v>
      </c>
      <c r="F346" s="153">
        <f t="shared" si="10"/>
        <v>0</v>
      </c>
      <c r="G346" s="153" t="str">
        <f t="shared" si="11"/>
        <v>OK</v>
      </c>
      <c r="H346" s="153" t="b">
        <v>1</v>
      </c>
    </row>
    <row r="347" spans="1:8" x14ac:dyDescent="0.3">
      <c r="A347" s="153" t="s">
        <v>2067</v>
      </c>
      <c r="B347" s="153" t="s">
        <v>2253</v>
      </c>
      <c r="C347" s="153" t="s">
        <v>2068</v>
      </c>
      <c r="D347" s="153">
        <v>12977.674999999999</v>
      </c>
      <c r="E347" s="153">
        <v>12977.674999999999</v>
      </c>
      <c r="F347" s="153">
        <f t="shared" si="10"/>
        <v>0</v>
      </c>
      <c r="G347" s="153" t="str">
        <f t="shared" si="11"/>
        <v>OK</v>
      </c>
      <c r="H347" s="153" t="b">
        <v>1</v>
      </c>
    </row>
    <row r="348" spans="1:8" x14ac:dyDescent="0.3">
      <c r="A348" s="153" t="s">
        <v>2069</v>
      </c>
      <c r="B348" s="153" t="s">
        <v>2253</v>
      </c>
      <c r="C348" s="153" t="s">
        <v>2070</v>
      </c>
      <c r="D348" s="153">
        <v>1000000</v>
      </c>
      <c r="E348" s="153">
        <v>1000000</v>
      </c>
      <c r="F348" s="153">
        <f t="shared" si="10"/>
        <v>0</v>
      </c>
      <c r="G348" s="153" t="str">
        <f t="shared" si="11"/>
        <v>OK</v>
      </c>
      <c r="H348" s="153" t="b">
        <v>1</v>
      </c>
    </row>
    <row r="349" spans="1:8" x14ac:dyDescent="0.3">
      <c r="A349" s="153" t="s">
        <v>2071</v>
      </c>
      <c r="B349" s="153" t="s">
        <v>2253</v>
      </c>
      <c r="C349" s="153" t="s">
        <v>2072</v>
      </c>
      <c r="D349" s="153">
        <v>5162.5</v>
      </c>
      <c r="E349" s="153">
        <v>5162.5</v>
      </c>
      <c r="F349" s="153">
        <f t="shared" si="10"/>
        <v>0</v>
      </c>
      <c r="G349" s="153" t="str">
        <f t="shared" si="11"/>
        <v>OK</v>
      </c>
      <c r="H349" s="153" t="b">
        <v>1</v>
      </c>
    </row>
    <row r="350" spans="1:8" x14ac:dyDescent="0.3">
      <c r="A350" s="153" t="s">
        <v>2073</v>
      </c>
      <c r="B350" s="153" t="s">
        <v>2253</v>
      </c>
      <c r="C350" s="153" t="s">
        <v>2074</v>
      </c>
      <c r="D350" s="153">
        <v>40959.697352498661</v>
      </c>
      <c r="E350" s="153">
        <v>40959.697352498661</v>
      </c>
      <c r="F350" s="153">
        <f t="shared" si="10"/>
        <v>0</v>
      </c>
      <c r="G350" s="153" t="str">
        <f t="shared" si="11"/>
        <v>OK</v>
      </c>
      <c r="H350" s="153" t="b">
        <v>1</v>
      </c>
    </row>
    <row r="351" spans="1:8" x14ac:dyDescent="0.3">
      <c r="A351" s="153" t="s">
        <v>2075</v>
      </c>
      <c r="B351" s="153" t="s">
        <v>2253</v>
      </c>
      <c r="C351" s="153" t="s">
        <v>2076</v>
      </c>
      <c r="D351" s="153">
        <v>964202.80264750135</v>
      </c>
      <c r="E351" s="153">
        <v>964202.80264750135</v>
      </c>
      <c r="F351" s="153">
        <f t="shared" si="10"/>
        <v>0</v>
      </c>
      <c r="G351" s="153" t="str">
        <f t="shared" si="11"/>
        <v>OK</v>
      </c>
      <c r="H351" s="153" t="b">
        <v>1</v>
      </c>
    </row>
    <row r="352" spans="1:8" x14ac:dyDescent="0.3">
      <c r="A352" s="153" t="s">
        <v>2077</v>
      </c>
      <c r="B352" s="153" t="s">
        <v>2253</v>
      </c>
      <c r="C352" s="153" t="s">
        <v>2078</v>
      </c>
      <c r="D352" s="153">
        <v>1000000</v>
      </c>
      <c r="E352" s="153">
        <v>1000000</v>
      </c>
      <c r="F352" s="153">
        <f t="shared" si="10"/>
        <v>0</v>
      </c>
      <c r="G352" s="153" t="str">
        <f t="shared" si="11"/>
        <v>OK</v>
      </c>
      <c r="H352" s="153" t="b">
        <v>1</v>
      </c>
    </row>
    <row r="353" spans="1:8" x14ac:dyDescent="0.3">
      <c r="A353" s="153" t="s">
        <v>2079</v>
      </c>
      <c r="B353" s="153" t="s">
        <v>2253</v>
      </c>
      <c r="C353" s="153" t="s">
        <v>2080</v>
      </c>
      <c r="D353" s="153">
        <v>162.5</v>
      </c>
      <c r="E353" s="153">
        <v>162.5</v>
      </c>
      <c r="F353" s="153">
        <f t="shared" si="10"/>
        <v>0</v>
      </c>
      <c r="G353" s="153" t="str">
        <f t="shared" si="11"/>
        <v>OK</v>
      </c>
      <c r="H353" s="153" t="b">
        <v>1</v>
      </c>
    </row>
    <row r="354" spans="1:8" x14ac:dyDescent="0.3">
      <c r="A354" s="153" t="s">
        <v>2081</v>
      </c>
      <c r="B354" s="153" t="s">
        <v>2253</v>
      </c>
      <c r="C354" s="153" t="s">
        <v>2082</v>
      </c>
      <c r="D354" s="153">
        <v>33096.697352498661</v>
      </c>
      <c r="E354" s="153">
        <v>33096.697352498661</v>
      </c>
      <c r="F354" s="153">
        <f t="shared" si="10"/>
        <v>0</v>
      </c>
      <c r="G354" s="153" t="str">
        <f t="shared" si="11"/>
        <v>OK</v>
      </c>
      <c r="H354" s="153" t="b">
        <v>1</v>
      </c>
    </row>
    <row r="355" spans="1:8" x14ac:dyDescent="0.3">
      <c r="A355" s="153" t="s">
        <v>2083</v>
      </c>
      <c r="B355" s="153" t="s">
        <v>2253</v>
      </c>
      <c r="C355" s="153" t="s">
        <v>2084</v>
      </c>
      <c r="D355" s="153">
        <v>7863</v>
      </c>
      <c r="E355" s="153">
        <v>7863</v>
      </c>
      <c r="F355" s="153">
        <f t="shared" si="10"/>
        <v>0</v>
      </c>
      <c r="G355" s="153" t="str">
        <f t="shared" si="11"/>
        <v>OK</v>
      </c>
      <c r="H355" s="153" t="b">
        <v>1</v>
      </c>
    </row>
    <row r="356" spans="1:8" x14ac:dyDescent="0.3">
      <c r="A356" s="153" t="s">
        <v>2085</v>
      </c>
      <c r="B356" s="153" t="s">
        <v>2253</v>
      </c>
      <c r="C356" s="153" t="s">
        <v>2086</v>
      </c>
      <c r="D356" s="153">
        <v>5000</v>
      </c>
      <c r="E356" s="153">
        <v>5000</v>
      </c>
      <c r="F356" s="153">
        <f t="shared" si="10"/>
        <v>0</v>
      </c>
      <c r="G356" s="153" t="str">
        <f t="shared" si="11"/>
        <v>OK</v>
      </c>
      <c r="H356" s="153" t="b">
        <v>1</v>
      </c>
    </row>
    <row r="357" spans="1:8" x14ac:dyDescent="0.3">
      <c r="A357" s="153" t="s">
        <v>2087</v>
      </c>
      <c r="B357" s="153" t="s">
        <v>2253</v>
      </c>
      <c r="C357" s="153" t="s">
        <v>2088</v>
      </c>
      <c r="D357" s="153">
        <v>-32934.197352498661</v>
      </c>
      <c r="E357" s="153">
        <v>-32934.197352498661</v>
      </c>
      <c r="F357" s="153">
        <f t="shared" si="10"/>
        <v>0</v>
      </c>
      <c r="G357" s="153" t="str">
        <f t="shared" si="11"/>
        <v>OK</v>
      </c>
      <c r="H357" s="153" t="b">
        <v>1</v>
      </c>
    </row>
    <row r="358" spans="1:8" x14ac:dyDescent="0.3">
      <c r="A358" s="153" t="s">
        <v>2089</v>
      </c>
      <c r="B358" s="153" t="s">
        <v>2253</v>
      </c>
      <c r="C358" s="153" t="s">
        <v>2090</v>
      </c>
      <c r="D358" s="153">
        <v>-7863</v>
      </c>
      <c r="E358" s="153">
        <v>-7863</v>
      </c>
      <c r="F358" s="153">
        <f t="shared" si="10"/>
        <v>0</v>
      </c>
      <c r="G358" s="153" t="str">
        <f t="shared" si="11"/>
        <v>OK</v>
      </c>
      <c r="H358" s="153" t="b">
        <v>1</v>
      </c>
    </row>
    <row r="359" spans="1:8" x14ac:dyDescent="0.3">
      <c r="A359" s="153" t="s">
        <v>2091</v>
      </c>
      <c r="B359" s="153" t="s">
        <v>2253</v>
      </c>
      <c r="C359" s="153" t="s">
        <v>2092</v>
      </c>
      <c r="D359" s="153">
        <v>-35797.197352498653</v>
      </c>
      <c r="E359" s="153">
        <v>-35797.197352498653</v>
      </c>
      <c r="F359" s="153">
        <f t="shared" si="10"/>
        <v>0</v>
      </c>
      <c r="G359" s="153" t="str">
        <f t="shared" si="11"/>
        <v>OK</v>
      </c>
      <c r="H359" s="153" t="b">
        <v>1</v>
      </c>
    </row>
    <row r="360" spans="1:8" x14ac:dyDescent="0.3">
      <c r="A360" s="153" t="s">
        <v>2093</v>
      </c>
      <c r="B360" s="153" t="s">
        <v>2253</v>
      </c>
      <c r="C360" s="153" t="s">
        <v>2094</v>
      </c>
      <c r="D360" s="153">
        <v>964202.80264750135</v>
      </c>
      <c r="E360" s="153">
        <v>964202.80264750135</v>
      </c>
      <c r="F360" s="153">
        <f t="shared" si="10"/>
        <v>0</v>
      </c>
      <c r="G360" s="153" t="str">
        <f t="shared" si="11"/>
        <v>OK</v>
      </c>
      <c r="H360" s="153" t="b">
        <v>1</v>
      </c>
    </row>
    <row r="361" spans="1:8" x14ac:dyDescent="0.3">
      <c r="A361" s="153" t="s">
        <v>2095</v>
      </c>
      <c r="B361" s="153" t="s">
        <v>2253</v>
      </c>
      <c r="C361" s="153" t="s">
        <v>2096</v>
      </c>
      <c r="D361" s="153">
        <v>964202.80264750135</v>
      </c>
      <c r="E361" s="153">
        <v>964202.80264750135</v>
      </c>
      <c r="F361" s="153">
        <f t="shared" si="10"/>
        <v>0</v>
      </c>
      <c r="G361" s="153" t="str">
        <f t="shared" si="11"/>
        <v>OK</v>
      </c>
      <c r="H361" s="153" t="b">
        <v>1</v>
      </c>
    </row>
    <row r="362" spans="1:8" x14ac:dyDescent="0.3">
      <c r="A362" s="153" t="s">
        <v>2097</v>
      </c>
      <c r="B362" s="153" t="s">
        <v>2253</v>
      </c>
      <c r="C362" s="153" t="s">
        <v>2098</v>
      </c>
      <c r="D362" s="153">
        <v>7435.875</v>
      </c>
      <c r="E362" s="153">
        <v>7435.875</v>
      </c>
      <c r="F362" s="153">
        <f t="shared" si="10"/>
        <v>0</v>
      </c>
      <c r="G362" s="153" t="str">
        <f t="shared" si="11"/>
        <v>OK</v>
      </c>
      <c r="H362" s="153" t="b">
        <v>1</v>
      </c>
    </row>
    <row r="363" spans="1:8" x14ac:dyDescent="0.3">
      <c r="A363" s="153" t="s">
        <v>2099</v>
      </c>
      <c r="B363" s="153" t="s">
        <v>2253</v>
      </c>
      <c r="C363" s="153" t="s">
        <v>2100</v>
      </c>
      <c r="D363" s="153">
        <v>20106.599999999999</v>
      </c>
      <c r="E363" s="153">
        <v>20106.599999999999</v>
      </c>
      <c r="F363" s="153">
        <f t="shared" si="10"/>
        <v>0</v>
      </c>
      <c r="G363" s="153" t="str">
        <f t="shared" si="11"/>
        <v>OK</v>
      </c>
      <c r="H363" s="153" t="b">
        <v>1</v>
      </c>
    </row>
    <row r="364" spans="1:8" x14ac:dyDescent="0.3">
      <c r="A364" s="153" t="s">
        <v>2101</v>
      </c>
      <c r="B364" s="153" t="s">
        <v>2253</v>
      </c>
      <c r="C364" s="153" t="s">
        <v>2102</v>
      </c>
      <c r="D364" s="153">
        <v>991745.27764750132</v>
      </c>
      <c r="E364" s="153">
        <v>991745.27764750132</v>
      </c>
      <c r="F364" s="153">
        <f t="shared" si="10"/>
        <v>0</v>
      </c>
      <c r="G364" s="153" t="str">
        <f t="shared" si="11"/>
        <v>OK</v>
      </c>
      <c r="H364" s="153" t="b">
        <v>1</v>
      </c>
    </row>
    <row r="365" spans="1:8" x14ac:dyDescent="0.3">
      <c r="A365" s="153" t="s">
        <v>2103</v>
      </c>
      <c r="B365" s="153" t="s">
        <v>2253</v>
      </c>
      <c r="C365" s="153" t="s">
        <v>2104</v>
      </c>
      <c r="D365" s="153">
        <v>5000</v>
      </c>
      <c r="E365" s="153">
        <v>5000</v>
      </c>
      <c r="F365" s="153">
        <f t="shared" si="10"/>
        <v>0</v>
      </c>
      <c r="G365" s="153" t="str">
        <f t="shared" si="11"/>
        <v>OK</v>
      </c>
      <c r="H365" s="153" t="b">
        <v>1</v>
      </c>
    </row>
    <row r="366" spans="1:8" x14ac:dyDescent="0.3">
      <c r="A366" s="153" t="s">
        <v>2105</v>
      </c>
      <c r="B366" s="153" t="s">
        <v>2253</v>
      </c>
      <c r="C366" s="153" t="s">
        <v>2106</v>
      </c>
      <c r="D366" s="153">
        <v>986745.27764750132</v>
      </c>
      <c r="E366" s="153">
        <v>986745.27764750132</v>
      </c>
      <c r="F366" s="153">
        <f t="shared" si="10"/>
        <v>0</v>
      </c>
      <c r="G366" s="153" t="str">
        <f t="shared" si="11"/>
        <v>OK</v>
      </c>
      <c r="H366" s="153" t="b">
        <v>1</v>
      </c>
    </row>
    <row r="367" spans="1:8" x14ac:dyDescent="0.3">
      <c r="A367" s="153" t="s">
        <v>2107</v>
      </c>
      <c r="B367" s="153" t="s">
        <v>2253</v>
      </c>
      <c r="C367" s="153" t="s">
        <v>2108</v>
      </c>
      <c r="D367" s="153">
        <v>991745.27764750132</v>
      </c>
      <c r="E367" s="153">
        <v>991745.27764750132</v>
      </c>
      <c r="F367" s="153">
        <f t="shared" si="10"/>
        <v>0</v>
      </c>
      <c r="G367" s="153" t="str">
        <f t="shared" si="11"/>
        <v>OK</v>
      </c>
      <c r="H367" s="153" t="b">
        <v>1</v>
      </c>
    </row>
    <row r="368" spans="1:8" x14ac:dyDescent="0.3">
      <c r="A368" s="153" t="s">
        <v>2109</v>
      </c>
      <c r="B368" s="153" t="s">
        <v>2253</v>
      </c>
      <c r="C368" s="153" t="s">
        <v>2110</v>
      </c>
      <c r="D368" s="153">
        <v>5000</v>
      </c>
      <c r="E368" s="153">
        <v>5000</v>
      </c>
      <c r="F368" s="153">
        <f t="shared" si="10"/>
        <v>0</v>
      </c>
      <c r="G368" s="153" t="str">
        <f t="shared" si="11"/>
        <v>OK</v>
      </c>
      <c r="H368" s="153" t="b">
        <v>1</v>
      </c>
    </row>
    <row r="369" spans="1:8" x14ac:dyDescent="0.3">
      <c r="A369" s="153" t="s">
        <v>2111</v>
      </c>
      <c r="B369" s="153" t="s">
        <v>2253</v>
      </c>
      <c r="C369" s="153" t="s">
        <v>2112</v>
      </c>
      <c r="D369" s="153">
        <v>20</v>
      </c>
      <c r="E369" s="153">
        <v>20</v>
      </c>
      <c r="F369" s="153">
        <f t="shared" si="10"/>
        <v>0</v>
      </c>
      <c r="G369" s="153" t="str">
        <f t="shared" si="11"/>
        <v>OK</v>
      </c>
      <c r="H369" s="153" t="b">
        <v>1</v>
      </c>
    </row>
    <row r="370" spans="1:8" x14ac:dyDescent="0.3">
      <c r="A370" s="153" t="s">
        <v>2113</v>
      </c>
      <c r="B370" s="153" t="s">
        <v>2253</v>
      </c>
      <c r="C370" s="153" t="s">
        <v>2114</v>
      </c>
      <c r="D370" s="153">
        <v>5000</v>
      </c>
      <c r="E370" s="153">
        <v>5000</v>
      </c>
      <c r="F370" s="153">
        <f t="shared" si="10"/>
        <v>0</v>
      </c>
      <c r="G370" s="153" t="str">
        <f t="shared" si="11"/>
        <v>OK</v>
      </c>
      <c r="H370" s="153" t="b">
        <v>1</v>
      </c>
    </row>
    <row r="371" spans="1:8" x14ac:dyDescent="0.3">
      <c r="A371" s="153" t="s">
        <v>2115</v>
      </c>
      <c r="B371" s="153" t="s">
        <v>2253</v>
      </c>
      <c r="C371" s="153" t="s">
        <v>2116</v>
      </c>
      <c r="D371" s="153">
        <v>3</v>
      </c>
      <c r="E371" s="153">
        <v>3</v>
      </c>
      <c r="F371" s="153">
        <f t="shared" si="10"/>
        <v>0</v>
      </c>
      <c r="G371" s="153" t="str">
        <f t="shared" si="11"/>
        <v>OK</v>
      </c>
      <c r="H371" s="153" t="b">
        <v>1</v>
      </c>
    </row>
    <row r="372" spans="1:8" x14ac:dyDescent="0.3">
      <c r="A372" s="153" t="s">
        <v>2117</v>
      </c>
      <c r="B372" s="153" t="s">
        <v>2253</v>
      </c>
      <c r="C372" s="153" t="s">
        <v>2118</v>
      </c>
      <c r="D372" s="153">
        <v>1.5309470499731191E-2</v>
      </c>
      <c r="E372" s="153">
        <v>1.5309470499731191E-2</v>
      </c>
      <c r="F372" s="153">
        <f t="shared" si="10"/>
        <v>0</v>
      </c>
      <c r="G372" s="153" t="str">
        <f t="shared" si="11"/>
        <v>OK</v>
      </c>
      <c r="H372" s="153" t="b">
        <v>1</v>
      </c>
    </row>
    <row r="373" spans="1:8" x14ac:dyDescent="0.3">
      <c r="A373" s="153" t="s">
        <v>2119</v>
      </c>
      <c r="B373" s="153" t="s">
        <v>2253</v>
      </c>
      <c r="C373" s="153" t="s">
        <v>2120</v>
      </c>
      <c r="D373" s="153">
        <v>76.547352498655968</v>
      </c>
      <c r="E373" s="153">
        <v>76.547352498655968</v>
      </c>
      <c r="F373" s="153">
        <f t="shared" si="10"/>
        <v>0</v>
      </c>
      <c r="G373" s="153" t="str">
        <f t="shared" si="11"/>
        <v>OK</v>
      </c>
      <c r="H373" s="153" t="b">
        <v>1</v>
      </c>
    </row>
    <row r="374" spans="1:8" x14ac:dyDescent="0.3">
      <c r="A374" s="153" t="s">
        <v>2564</v>
      </c>
      <c r="B374" s="153" t="s">
        <v>2253</v>
      </c>
      <c r="C374" s="153" t="s">
        <v>2122</v>
      </c>
      <c r="D374" s="153">
        <v>3500</v>
      </c>
      <c r="E374" s="153">
        <v>3500</v>
      </c>
      <c r="F374" s="153">
        <f t="shared" si="10"/>
        <v>0</v>
      </c>
      <c r="G374" s="153" t="str">
        <f t="shared" si="11"/>
        <v>OK</v>
      </c>
      <c r="H374" s="153" t="b">
        <v>1</v>
      </c>
    </row>
    <row r="375" spans="1:8" x14ac:dyDescent="0.3">
      <c r="A375" s="153" t="s">
        <v>2565</v>
      </c>
      <c r="B375" s="153" t="s">
        <v>2253</v>
      </c>
      <c r="C375" s="153" t="s">
        <v>2124</v>
      </c>
      <c r="D375" s="153">
        <v>3500</v>
      </c>
      <c r="E375" s="153">
        <v>3500</v>
      </c>
      <c r="F375" s="153">
        <f t="shared" si="10"/>
        <v>0</v>
      </c>
      <c r="G375" s="153" t="str">
        <f t="shared" si="11"/>
        <v>OK</v>
      </c>
      <c r="H375" s="153" t="b">
        <v>1</v>
      </c>
    </row>
    <row r="376" spans="1:8" x14ac:dyDescent="0.3">
      <c r="A376" s="153" t="s">
        <v>2566</v>
      </c>
      <c r="B376" s="153" t="s">
        <v>2253</v>
      </c>
      <c r="C376" s="153" t="s">
        <v>2126</v>
      </c>
      <c r="D376" s="153">
        <v>43909.042291803278</v>
      </c>
      <c r="E376" s="153">
        <v>43909.042291803278</v>
      </c>
      <c r="F376" s="153">
        <f t="shared" si="10"/>
        <v>0</v>
      </c>
      <c r="G376" s="153" t="str">
        <f t="shared" si="11"/>
        <v>OK</v>
      </c>
      <c r="H376" s="153" t="b">
        <v>1</v>
      </c>
    </row>
    <row r="377" spans="1:8" x14ac:dyDescent="0.3">
      <c r="A377" s="153" t="s">
        <v>2567</v>
      </c>
      <c r="B377" s="153" t="s">
        <v>2253</v>
      </c>
      <c r="C377" s="153" t="s">
        <v>2128</v>
      </c>
      <c r="D377" s="153">
        <v>-40409.042291803278</v>
      </c>
      <c r="E377" s="153">
        <v>-40409.042291803278</v>
      </c>
      <c r="F377" s="153">
        <f t="shared" si="10"/>
        <v>0</v>
      </c>
      <c r="G377" s="153" t="str">
        <f t="shared" si="11"/>
        <v>OK</v>
      </c>
      <c r="H377" s="153" t="b">
        <v>1</v>
      </c>
    </row>
    <row r="378" spans="1:8" x14ac:dyDescent="0.3">
      <c r="A378" s="153" t="s">
        <v>2568</v>
      </c>
      <c r="B378" s="153" t="s">
        <v>2253</v>
      </c>
      <c r="C378" s="153" t="s">
        <v>2130</v>
      </c>
      <c r="D378" s="153">
        <v>64.125</v>
      </c>
      <c r="E378" s="153">
        <v>64.125</v>
      </c>
      <c r="F378" s="153">
        <f t="shared" si="10"/>
        <v>0</v>
      </c>
      <c r="G378" s="153" t="str">
        <f t="shared" si="11"/>
        <v>OK</v>
      </c>
      <c r="H378" s="153" t="b">
        <v>1</v>
      </c>
    </row>
    <row r="379" spans="1:8" x14ac:dyDescent="0.3">
      <c r="A379" s="153" t="s">
        <v>2569</v>
      </c>
      <c r="B379" s="153" t="s">
        <v>2253</v>
      </c>
      <c r="C379" s="153" t="s">
        <v>2132</v>
      </c>
      <c r="D379" s="153">
        <v>0</v>
      </c>
      <c r="E379" s="153">
        <v>0</v>
      </c>
      <c r="F379" s="153">
        <f t="shared" si="10"/>
        <v>0</v>
      </c>
      <c r="G379" s="153" t="str">
        <f t="shared" si="11"/>
        <v>OK</v>
      </c>
      <c r="H379" s="153" t="b">
        <v>1</v>
      </c>
    </row>
    <row r="380" spans="1:8" x14ac:dyDescent="0.3">
      <c r="A380" s="153" t="s">
        <v>2570</v>
      </c>
      <c r="B380" s="153" t="s">
        <v>2253</v>
      </c>
      <c r="C380" s="153" t="s">
        <v>2134</v>
      </c>
      <c r="D380" s="153">
        <v>43909.042291803278</v>
      </c>
      <c r="E380" s="153">
        <v>43909.042291803278</v>
      </c>
      <c r="F380" s="153">
        <f t="shared" si="10"/>
        <v>0</v>
      </c>
      <c r="G380" s="153" t="str">
        <f t="shared" si="11"/>
        <v>OK</v>
      </c>
      <c r="H380" s="153" t="b">
        <v>1</v>
      </c>
    </row>
    <row r="381" spans="1:8" x14ac:dyDescent="0.3">
      <c r="A381" s="153" t="s">
        <v>2571</v>
      </c>
      <c r="B381" s="153" t="s">
        <v>2253</v>
      </c>
      <c r="C381" s="153" t="s">
        <v>2136</v>
      </c>
      <c r="D381" s="153">
        <v>831570.63950819673</v>
      </c>
      <c r="E381" s="153">
        <v>831570.63950819673</v>
      </c>
      <c r="F381" s="153">
        <f t="shared" si="10"/>
        <v>0</v>
      </c>
      <c r="G381" s="153" t="str">
        <f t="shared" si="11"/>
        <v>OK</v>
      </c>
      <c r="H381" s="153" t="b">
        <v>1</v>
      </c>
    </row>
    <row r="382" spans="1:8" x14ac:dyDescent="0.3">
      <c r="A382" s="153" t="s">
        <v>2572</v>
      </c>
      <c r="B382" s="153" t="s">
        <v>2253</v>
      </c>
      <c r="C382" s="153" t="s">
        <v>2138</v>
      </c>
      <c r="D382" s="153">
        <v>3500</v>
      </c>
      <c r="E382" s="153">
        <v>3500</v>
      </c>
      <c r="F382" s="153">
        <f t="shared" si="10"/>
        <v>0</v>
      </c>
      <c r="G382" s="153" t="str">
        <f t="shared" si="11"/>
        <v>OK</v>
      </c>
      <c r="H382" s="153" t="b">
        <v>1</v>
      </c>
    </row>
    <row r="383" spans="1:8" x14ac:dyDescent="0.3">
      <c r="A383" s="153" t="s">
        <v>2573</v>
      </c>
      <c r="B383" s="153" t="s">
        <v>2253</v>
      </c>
      <c r="C383" s="153" t="s">
        <v>2140</v>
      </c>
      <c r="D383" s="153">
        <v>164290.36049180329</v>
      </c>
      <c r="E383" s="153">
        <v>164290.36049180329</v>
      </c>
      <c r="F383" s="153">
        <f t="shared" si="10"/>
        <v>0</v>
      </c>
      <c r="G383" s="153" t="str">
        <f t="shared" si="11"/>
        <v>OK</v>
      </c>
      <c r="H383" s="153" t="b">
        <v>1</v>
      </c>
    </row>
    <row r="384" spans="1:8" x14ac:dyDescent="0.3">
      <c r="A384" s="153" t="s">
        <v>2574</v>
      </c>
      <c r="B384" s="153" t="s">
        <v>2253</v>
      </c>
      <c r="C384" s="153" t="s">
        <v>2142</v>
      </c>
      <c r="D384" s="153">
        <v>670780.27901639347</v>
      </c>
      <c r="E384" s="153">
        <v>670780.27901639347</v>
      </c>
      <c r="F384" s="153">
        <f t="shared" si="10"/>
        <v>0</v>
      </c>
      <c r="G384" s="153" t="str">
        <f t="shared" si="11"/>
        <v>OK</v>
      </c>
      <c r="H384" s="153" t="b">
        <v>1</v>
      </c>
    </row>
    <row r="385" spans="1:8" x14ac:dyDescent="0.3">
      <c r="A385" s="153" t="s">
        <v>2575</v>
      </c>
      <c r="B385" s="153" t="s">
        <v>2253</v>
      </c>
      <c r="C385" s="153" t="s">
        <v>2144</v>
      </c>
      <c r="D385" s="153">
        <v>831570.63950819673</v>
      </c>
      <c r="E385" s="153">
        <v>831570.63950819673</v>
      </c>
      <c r="F385" s="153">
        <f t="shared" si="10"/>
        <v>0</v>
      </c>
      <c r="G385" s="153" t="str">
        <f t="shared" si="11"/>
        <v>OK</v>
      </c>
      <c r="H385" s="153" t="b">
        <v>1</v>
      </c>
    </row>
    <row r="386" spans="1:8" x14ac:dyDescent="0.3">
      <c r="A386" s="153" t="s">
        <v>2576</v>
      </c>
      <c r="B386" s="153" t="s">
        <v>2253</v>
      </c>
      <c r="C386" s="153" t="s">
        <v>2146</v>
      </c>
      <c r="D386" s="153">
        <v>3500</v>
      </c>
      <c r="E386" s="153">
        <v>3500</v>
      </c>
      <c r="F386" s="153">
        <f t="shared" ref="F386:F449" si="12">IF(NOT(H386),"",IF(AND(ISNUMBER(D386),ISNUMBER(E386)),E386-D386,IF(D386=E386,0,1)))</f>
        <v>0</v>
      </c>
      <c r="G386" s="153" t="str">
        <f t="shared" ref="G386:G449" si="13">IF(NOT(H386),"PENDIENTE SIDE",IF(IF(AND(ISNUMBER(D386),ISNUMBER(E386)),IF(MOD(D386,1)=0,D386=E386,ABS(D386-E386)&lt;=0.000000001*MAX(1,ABS(D386),ABS(E386))),D386=E386),"OK","DIFERENCIA"))</f>
        <v>OK</v>
      </c>
      <c r="H386" s="153" t="b">
        <v>1</v>
      </c>
    </row>
    <row r="387" spans="1:8" x14ac:dyDescent="0.3">
      <c r="A387" s="153" t="s">
        <v>2577</v>
      </c>
      <c r="B387" s="153" t="s">
        <v>2253</v>
      </c>
      <c r="C387" s="153" t="s">
        <v>2148</v>
      </c>
      <c r="D387" s="153">
        <v>164290.36049180329</v>
      </c>
      <c r="E387" s="153">
        <v>164290.36049180329</v>
      </c>
      <c r="F387" s="153">
        <f t="shared" si="12"/>
        <v>0</v>
      </c>
      <c r="G387" s="153" t="str">
        <f t="shared" si="13"/>
        <v>OK</v>
      </c>
      <c r="H387" s="153" t="b">
        <v>1</v>
      </c>
    </row>
    <row r="388" spans="1:8" x14ac:dyDescent="0.3">
      <c r="A388" s="153" t="s">
        <v>2578</v>
      </c>
      <c r="B388" s="153" t="s">
        <v>2253</v>
      </c>
      <c r="C388" s="153" t="s">
        <v>2150</v>
      </c>
      <c r="D388" s="153">
        <v>0</v>
      </c>
      <c r="E388" s="153">
        <v>0</v>
      </c>
      <c r="F388" s="153">
        <f t="shared" si="12"/>
        <v>0</v>
      </c>
      <c r="G388" s="153" t="str">
        <f t="shared" si="13"/>
        <v>OK</v>
      </c>
      <c r="H388" s="153" t="b">
        <v>1</v>
      </c>
    </row>
    <row r="389" spans="1:8" x14ac:dyDescent="0.3">
      <c r="A389" s="153" t="s">
        <v>2579</v>
      </c>
      <c r="B389" s="153" t="s">
        <v>2253</v>
      </c>
      <c r="C389" s="153" t="s">
        <v>2152</v>
      </c>
      <c r="D389" s="153">
        <v>0</v>
      </c>
      <c r="E389" s="153">
        <v>0</v>
      </c>
      <c r="F389" s="153">
        <f t="shared" si="12"/>
        <v>0</v>
      </c>
      <c r="G389" s="153" t="str">
        <f t="shared" si="13"/>
        <v>OK</v>
      </c>
      <c r="H389" s="153" t="b">
        <v>1</v>
      </c>
    </row>
    <row r="390" spans="1:8" x14ac:dyDescent="0.3">
      <c r="A390" s="153" t="s">
        <v>2580</v>
      </c>
      <c r="B390" s="153" t="s">
        <v>2253</v>
      </c>
      <c r="C390" s="153" t="s">
        <v>2154</v>
      </c>
      <c r="D390" s="153">
        <v>-160790.36049180329</v>
      </c>
      <c r="E390" s="153">
        <v>-160790.36049180329</v>
      </c>
      <c r="F390" s="153">
        <f t="shared" si="12"/>
        <v>0</v>
      </c>
      <c r="G390" s="153" t="str">
        <f t="shared" si="13"/>
        <v>OK</v>
      </c>
      <c r="H390" s="153" t="b">
        <v>1</v>
      </c>
    </row>
    <row r="391" spans="1:8" x14ac:dyDescent="0.3">
      <c r="A391" s="153" t="s">
        <v>2581</v>
      </c>
      <c r="B391" s="153" t="s">
        <v>2253</v>
      </c>
      <c r="C391" s="153" t="s">
        <v>2156</v>
      </c>
      <c r="D391" s="153">
        <v>0</v>
      </c>
      <c r="E391" s="153">
        <v>0</v>
      </c>
      <c r="F391" s="153">
        <f t="shared" si="12"/>
        <v>0</v>
      </c>
      <c r="G391" s="153" t="str">
        <f t="shared" si="13"/>
        <v>OK</v>
      </c>
      <c r="H391" s="153" t="b">
        <v>1</v>
      </c>
    </row>
    <row r="392" spans="1:8" x14ac:dyDescent="0.3">
      <c r="A392" s="153" t="s">
        <v>2582</v>
      </c>
      <c r="B392" s="153" t="s">
        <v>2253</v>
      </c>
      <c r="C392" s="153" t="s">
        <v>2158</v>
      </c>
      <c r="D392" s="153">
        <v>-160790.36049180329</v>
      </c>
      <c r="E392" s="153">
        <v>-160790.36049180329</v>
      </c>
      <c r="F392" s="153">
        <f t="shared" si="12"/>
        <v>0</v>
      </c>
      <c r="G392" s="153" t="str">
        <f t="shared" si="13"/>
        <v>OK</v>
      </c>
      <c r="H392" s="153" t="b">
        <v>1</v>
      </c>
    </row>
    <row r="393" spans="1:8" x14ac:dyDescent="0.3">
      <c r="A393" s="153" t="s">
        <v>2583</v>
      </c>
      <c r="B393" s="153" t="s">
        <v>2253</v>
      </c>
      <c r="C393" s="153" t="s">
        <v>2160</v>
      </c>
      <c r="D393" s="153">
        <v>670780.27901639347</v>
      </c>
      <c r="E393" s="153">
        <v>670780.27901639347</v>
      </c>
      <c r="F393" s="153">
        <f t="shared" si="12"/>
        <v>0</v>
      </c>
      <c r="G393" s="153" t="str">
        <f t="shared" si="13"/>
        <v>OK</v>
      </c>
      <c r="H393" s="153" t="b">
        <v>1</v>
      </c>
    </row>
    <row r="394" spans="1:8" x14ac:dyDescent="0.3">
      <c r="A394" s="153" t="s">
        <v>2584</v>
      </c>
      <c r="B394" s="153" t="s">
        <v>2253</v>
      </c>
      <c r="C394" s="153" t="s">
        <v>2162</v>
      </c>
      <c r="D394" s="153">
        <v>670780.27901639347</v>
      </c>
      <c r="E394" s="153">
        <v>670780.27901639347</v>
      </c>
      <c r="F394" s="153">
        <f t="shared" si="12"/>
        <v>0</v>
      </c>
      <c r="G394" s="153" t="str">
        <f t="shared" si="13"/>
        <v>OK</v>
      </c>
      <c r="H394" s="153" t="b">
        <v>1</v>
      </c>
    </row>
    <row r="395" spans="1:8" x14ac:dyDescent="0.3">
      <c r="A395" s="153" t="s">
        <v>2585</v>
      </c>
      <c r="B395" s="153" t="s">
        <v>2253</v>
      </c>
      <c r="C395" s="153" t="s">
        <v>2164</v>
      </c>
      <c r="D395" s="153">
        <v>7371.75</v>
      </c>
      <c r="E395" s="153">
        <v>7371.75</v>
      </c>
      <c r="F395" s="153">
        <f t="shared" si="12"/>
        <v>0</v>
      </c>
      <c r="G395" s="153" t="str">
        <f t="shared" si="13"/>
        <v>OK</v>
      </c>
      <c r="H395" s="153" t="b">
        <v>1</v>
      </c>
    </row>
    <row r="396" spans="1:8" x14ac:dyDescent="0.3">
      <c r="A396" s="153" t="s">
        <v>2586</v>
      </c>
      <c r="B396" s="153" t="s">
        <v>2253</v>
      </c>
      <c r="C396" s="153" t="s">
        <v>2166</v>
      </c>
      <c r="D396" s="153">
        <v>240890.88639999999</v>
      </c>
      <c r="E396" s="153">
        <v>240890.88639999999</v>
      </c>
      <c r="F396" s="153">
        <f t="shared" si="12"/>
        <v>0</v>
      </c>
      <c r="G396" s="153" t="str">
        <f t="shared" si="13"/>
        <v>OK</v>
      </c>
      <c r="H396" s="153" t="b">
        <v>1</v>
      </c>
    </row>
    <row r="397" spans="1:8" x14ac:dyDescent="0.3">
      <c r="A397" s="153" t="s">
        <v>2587</v>
      </c>
      <c r="B397" s="153" t="s">
        <v>2253</v>
      </c>
      <c r="C397" s="153" t="s">
        <v>2168</v>
      </c>
      <c r="D397" s="153">
        <v>919042.91541639343</v>
      </c>
      <c r="E397" s="153">
        <v>919042.91541639343</v>
      </c>
      <c r="F397" s="153">
        <f t="shared" si="12"/>
        <v>0</v>
      </c>
      <c r="G397" s="153" t="str">
        <f t="shared" si="13"/>
        <v>OK</v>
      </c>
      <c r="H397" s="153" t="b">
        <v>1</v>
      </c>
    </row>
    <row r="398" spans="1:8" x14ac:dyDescent="0.3">
      <c r="A398" s="153" t="s">
        <v>2588</v>
      </c>
      <c r="B398" s="153" t="s">
        <v>2253</v>
      </c>
      <c r="C398" s="153" t="s">
        <v>2170</v>
      </c>
      <c r="D398" s="153">
        <v>0</v>
      </c>
      <c r="E398" s="153">
        <v>0</v>
      </c>
      <c r="F398" s="153">
        <f t="shared" si="12"/>
        <v>0</v>
      </c>
      <c r="G398" s="153" t="str">
        <f t="shared" si="13"/>
        <v>OK</v>
      </c>
      <c r="H398" s="153" t="b">
        <v>1</v>
      </c>
    </row>
    <row r="399" spans="1:8" x14ac:dyDescent="0.3">
      <c r="A399" s="153" t="s">
        <v>2589</v>
      </c>
      <c r="B399" s="153" t="s">
        <v>2253</v>
      </c>
      <c r="C399" s="153" t="s">
        <v>2172</v>
      </c>
      <c r="D399" s="153">
        <v>919042.91541639343</v>
      </c>
      <c r="E399" s="153">
        <v>919042.91541639343</v>
      </c>
      <c r="F399" s="153">
        <f t="shared" si="12"/>
        <v>0</v>
      </c>
      <c r="G399" s="153" t="str">
        <f t="shared" si="13"/>
        <v>OK</v>
      </c>
      <c r="H399" s="153" t="b">
        <v>1</v>
      </c>
    </row>
    <row r="400" spans="1:8" x14ac:dyDescent="0.3">
      <c r="A400" s="153" t="s">
        <v>2590</v>
      </c>
      <c r="B400" s="153" t="s">
        <v>2253</v>
      </c>
      <c r="C400" s="153" t="s">
        <v>2174</v>
      </c>
      <c r="D400" s="153">
        <v>919042.91541639343</v>
      </c>
      <c r="E400" s="153">
        <v>919042.91541639343</v>
      </c>
      <c r="F400" s="153">
        <f t="shared" si="12"/>
        <v>0</v>
      </c>
      <c r="G400" s="153" t="str">
        <f t="shared" si="13"/>
        <v>OK</v>
      </c>
      <c r="H400" s="153" t="b">
        <v>1</v>
      </c>
    </row>
    <row r="401" spans="1:8" x14ac:dyDescent="0.3">
      <c r="A401" s="153" t="s">
        <v>2591</v>
      </c>
      <c r="B401" s="153" t="s">
        <v>2253</v>
      </c>
      <c r="C401" s="153" t="s">
        <v>2176</v>
      </c>
      <c r="D401" s="153">
        <v>0</v>
      </c>
      <c r="E401" s="153">
        <v>0</v>
      </c>
      <c r="F401" s="153">
        <f t="shared" si="12"/>
        <v>0</v>
      </c>
      <c r="G401" s="153" t="str">
        <f t="shared" si="13"/>
        <v>OK</v>
      </c>
      <c r="H401" s="153" t="b">
        <v>1</v>
      </c>
    </row>
    <row r="402" spans="1:8" x14ac:dyDescent="0.3">
      <c r="A402" s="153" t="s">
        <v>2592</v>
      </c>
      <c r="B402" s="153" t="s">
        <v>2253</v>
      </c>
      <c r="C402" s="153" t="s">
        <v>2178</v>
      </c>
      <c r="D402" s="153">
        <v>23</v>
      </c>
      <c r="E402" s="153">
        <v>23</v>
      </c>
      <c r="F402" s="153">
        <f t="shared" si="12"/>
        <v>0</v>
      </c>
      <c r="G402" s="153" t="str">
        <f t="shared" si="13"/>
        <v>OK</v>
      </c>
      <c r="H402" s="153" t="b">
        <v>1</v>
      </c>
    </row>
    <row r="403" spans="1:8" x14ac:dyDescent="0.3">
      <c r="A403" s="153" t="s">
        <v>2593</v>
      </c>
      <c r="B403" s="153" t="s">
        <v>2253</v>
      </c>
      <c r="C403" s="153" t="s">
        <v>2180</v>
      </c>
      <c r="D403" s="153">
        <v>0</v>
      </c>
      <c r="E403" s="153">
        <v>0</v>
      </c>
      <c r="F403" s="153">
        <f t="shared" si="12"/>
        <v>0</v>
      </c>
      <c r="G403" s="153" t="str">
        <f t="shared" si="13"/>
        <v>OK</v>
      </c>
      <c r="H403" s="153" t="b">
        <v>1</v>
      </c>
    </row>
    <row r="404" spans="1:8" x14ac:dyDescent="0.3">
      <c r="A404" s="153" t="s">
        <v>2594</v>
      </c>
      <c r="B404" s="153" t="s">
        <v>2253</v>
      </c>
      <c r="C404" s="153" t="s">
        <v>2182</v>
      </c>
      <c r="D404" s="153">
        <v>3</v>
      </c>
      <c r="E404" s="153">
        <v>3</v>
      </c>
      <c r="F404" s="153">
        <f t="shared" si="12"/>
        <v>0</v>
      </c>
      <c r="G404" s="153" t="str">
        <f t="shared" si="13"/>
        <v>OK</v>
      </c>
      <c r="H404" s="153" t="b">
        <v>1</v>
      </c>
    </row>
    <row r="405" spans="1:8" x14ac:dyDescent="0.3">
      <c r="A405" s="153" t="s">
        <v>2595</v>
      </c>
      <c r="B405" s="153" t="s">
        <v>2253</v>
      </c>
      <c r="C405" s="153" t="s">
        <v>2184</v>
      </c>
      <c r="D405" s="153">
        <v>0</v>
      </c>
      <c r="E405" s="153">
        <v>0</v>
      </c>
      <c r="F405" s="153">
        <f t="shared" si="12"/>
        <v>0</v>
      </c>
      <c r="G405" s="153" t="str">
        <f t="shared" si="13"/>
        <v>OK</v>
      </c>
      <c r="H405" s="153" t="b">
        <v>1</v>
      </c>
    </row>
    <row r="406" spans="1:8" x14ac:dyDescent="0.3">
      <c r="A406" s="153" t="s">
        <v>2596</v>
      </c>
      <c r="B406" s="153" t="s">
        <v>2253</v>
      </c>
      <c r="C406" s="153" t="s">
        <v>2186</v>
      </c>
      <c r="D406" s="153">
        <v>0</v>
      </c>
      <c r="E406" s="153">
        <v>0</v>
      </c>
      <c r="F406" s="153">
        <f t="shared" si="12"/>
        <v>0</v>
      </c>
      <c r="G406" s="153" t="str">
        <f t="shared" si="13"/>
        <v>OK</v>
      </c>
      <c r="H406" s="153" t="b">
        <v>1</v>
      </c>
    </row>
    <row r="407" spans="1:8" x14ac:dyDescent="0.3">
      <c r="A407" s="153" t="s">
        <v>2597</v>
      </c>
      <c r="B407" s="153" t="s">
        <v>2253</v>
      </c>
      <c r="C407" s="153" t="s">
        <v>2188</v>
      </c>
      <c r="D407" s="153">
        <v>0</v>
      </c>
      <c r="E407" s="153">
        <v>0</v>
      </c>
      <c r="F407" s="153">
        <f t="shared" si="12"/>
        <v>0</v>
      </c>
      <c r="G407" s="153" t="str">
        <f t="shared" si="13"/>
        <v>OK</v>
      </c>
      <c r="H407" s="153" t="b">
        <v>1</v>
      </c>
    </row>
    <row r="408" spans="1:8" x14ac:dyDescent="0.3">
      <c r="A408" s="153" t="s">
        <v>2598</v>
      </c>
      <c r="B408" s="153" t="s">
        <v>2253</v>
      </c>
      <c r="C408" s="153" t="s">
        <v>2190</v>
      </c>
      <c r="D408" s="153">
        <v>0</v>
      </c>
      <c r="E408" s="153">
        <v>0</v>
      </c>
      <c r="F408" s="153">
        <f t="shared" si="12"/>
        <v>0</v>
      </c>
      <c r="G408" s="153" t="str">
        <f t="shared" si="13"/>
        <v>OK</v>
      </c>
      <c r="H408" s="153" t="b">
        <v>1</v>
      </c>
    </row>
    <row r="409" spans="1:8" x14ac:dyDescent="0.3">
      <c r="A409" s="153" t="s">
        <v>2599</v>
      </c>
      <c r="B409" s="153" t="s">
        <v>2253</v>
      </c>
      <c r="C409" s="153" t="s">
        <v>2192</v>
      </c>
      <c r="D409" s="153">
        <v>13281.226561359559</v>
      </c>
      <c r="E409" s="153">
        <v>13281.226561359559</v>
      </c>
      <c r="F409" s="153">
        <f t="shared" si="12"/>
        <v>0</v>
      </c>
      <c r="G409" s="153" t="str">
        <f t="shared" si="13"/>
        <v>OK</v>
      </c>
      <c r="H409" s="153" t="b">
        <v>1</v>
      </c>
    </row>
    <row r="410" spans="1:8" x14ac:dyDescent="0.3">
      <c r="A410" s="153" t="s">
        <v>2600</v>
      </c>
      <c r="B410" s="153" t="s">
        <v>2253</v>
      </c>
      <c r="C410" s="153" t="s">
        <v>2194</v>
      </c>
      <c r="D410" s="153">
        <v>-13281.226561359559</v>
      </c>
      <c r="E410" s="153">
        <v>-13281.226561359559</v>
      </c>
      <c r="F410" s="153">
        <f t="shared" si="12"/>
        <v>0</v>
      </c>
      <c r="G410" s="153" t="str">
        <f t="shared" si="13"/>
        <v>OK</v>
      </c>
      <c r="H410" s="153" t="b">
        <v>1</v>
      </c>
    </row>
    <row r="411" spans="1:8" x14ac:dyDescent="0.3">
      <c r="A411" s="153" t="s">
        <v>2601</v>
      </c>
      <c r="B411" s="153" t="s">
        <v>2253</v>
      </c>
      <c r="C411" s="153" t="s">
        <v>2196</v>
      </c>
      <c r="D411" s="153">
        <v>64.125</v>
      </c>
      <c r="E411" s="153">
        <v>64.125</v>
      </c>
      <c r="F411" s="153">
        <f t="shared" si="12"/>
        <v>0</v>
      </c>
      <c r="G411" s="153" t="str">
        <f t="shared" si="13"/>
        <v>OK</v>
      </c>
      <c r="H411" s="153" t="b">
        <v>1</v>
      </c>
    </row>
    <row r="412" spans="1:8" x14ac:dyDescent="0.3">
      <c r="A412" s="153" t="s">
        <v>2602</v>
      </c>
      <c r="B412" s="153" t="s">
        <v>2253</v>
      </c>
      <c r="C412" s="153" t="s">
        <v>2198</v>
      </c>
      <c r="D412" s="153">
        <v>163.55156135956389</v>
      </c>
      <c r="E412" s="153">
        <v>163.55156135956389</v>
      </c>
      <c r="F412" s="153">
        <f t="shared" si="12"/>
        <v>0</v>
      </c>
      <c r="G412" s="153" t="str">
        <f t="shared" si="13"/>
        <v>OK</v>
      </c>
      <c r="H412" s="153" t="b">
        <v>1</v>
      </c>
    </row>
    <row r="413" spans="1:8" x14ac:dyDescent="0.3">
      <c r="A413" s="153" t="s">
        <v>2603</v>
      </c>
      <c r="B413" s="153" t="s">
        <v>2253</v>
      </c>
      <c r="C413" s="153" t="s">
        <v>2200</v>
      </c>
      <c r="D413" s="153">
        <v>13117.674999999999</v>
      </c>
      <c r="E413" s="153">
        <v>13117.674999999999</v>
      </c>
      <c r="F413" s="153">
        <f t="shared" si="12"/>
        <v>0</v>
      </c>
      <c r="G413" s="153" t="str">
        <f t="shared" si="13"/>
        <v>OK</v>
      </c>
      <c r="H413" s="153" t="b">
        <v>1</v>
      </c>
    </row>
    <row r="414" spans="1:8" x14ac:dyDescent="0.3">
      <c r="A414" s="153" t="s">
        <v>2604</v>
      </c>
      <c r="B414" s="153" t="s">
        <v>2253</v>
      </c>
      <c r="C414" s="153" t="s">
        <v>2202</v>
      </c>
      <c r="D414" s="153">
        <v>964202.80264750135</v>
      </c>
      <c r="E414" s="153">
        <v>964202.80264750135</v>
      </c>
      <c r="F414" s="153">
        <f t="shared" si="12"/>
        <v>0</v>
      </c>
      <c r="G414" s="153" t="str">
        <f t="shared" si="13"/>
        <v>OK</v>
      </c>
      <c r="H414" s="153" t="b">
        <v>1</v>
      </c>
    </row>
    <row r="415" spans="1:8" x14ac:dyDescent="0.3">
      <c r="A415" s="153" t="s">
        <v>2605</v>
      </c>
      <c r="B415" s="153" t="s">
        <v>2253</v>
      </c>
      <c r="C415" s="153" t="s">
        <v>2204</v>
      </c>
      <c r="D415" s="153">
        <v>5000</v>
      </c>
      <c r="E415" s="153">
        <v>5000</v>
      </c>
      <c r="F415" s="153">
        <f t="shared" si="12"/>
        <v>0</v>
      </c>
      <c r="G415" s="153" t="str">
        <f t="shared" si="13"/>
        <v>OK</v>
      </c>
      <c r="H415" s="153" t="b">
        <v>1</v>
      </c>
    </row>
    <row r="416" spans="1:8" x14ac:dyDescent="0.3">
      <c r="A416" s="153" t="s">
        <v>2606</v>
      </c>
      <c r="B416" s="153" t="s">
        <v>2253</v>
      </c>
      <c r="C416" s="153" t="s">
        <v>2206</v>
      </c>
      <c r="D416" s="153">
        <v>33323.701561359558</v>
      </c>
      <c r="E416" s="153">
        <v>33323.701561359558</v>
      </c>
      <c r="F416" s="153">
        <f t="shared" si="12"/>
        <v>0</v>
      </c>
      <c r="G416" s="153" t="str">
        <f t="shared" si="13"/>
        <v>OK</v>
      </c>
      <c r="H416" s="153" t="b">
        <v>1</v>
      </c>
    </row>
    <row r="417" spans="1:8" x14ac:dyDescent="0.3">
      <c r="A417" s="153" t="s">
        <v>2607</v>
      </c>
      <c r="B417" s="153" t="s">
        <v>2253</v>
      </c>
      <c r="C417" s="153" t="s">
        <v>2208</v>
      </c>
      <c r="D417" s="153">
        <v>935879.10108614177</v>
      </c>
      <c r="E417" s="153">
        <v>935879.10108614177</v>
      </c>
      <c r="F417" s="153">
        <f t="shared" si="12"/>
        <v>0</v>
      </c>
      <c r="G417" s="153" t="str">
        <f t="shared" si="13"/>
        <v>OK</v>
      </c>
      <c r="H417" s="153" t="b">
        <v>1</v>
      </c>
    </row>
    <row r="418" spans="1:8" x14ac:dyDescent="0.3">
      <c r="A418" s="153" t="s">
        <v>2608</v>
      </c>
      <c r="B418" s="153" t="s">
        <v>2253</v>
      </c>
      <c r="C418" s="153" t="s">
        <v>2210</v>
      </c>
      <c r="D418" s="153">
        <v>964202.80264750135</v>
      </c>
      <c r="E418" s="153">
        <v>964202.80264750135</v>
      </c>
      <c r="F418" s="153">
        <f t="shared" si="12"/>
        <v>0</v>
      </c>
      <c r="G418" s="153" t="str">
        <f t="shared" si="13"/>
        <v>OK</v>
      </c>
      <c r="H418" s="153" t="b">
        <v>1</v>
      </c>
    </row>
    <row r="419" spans="1:8" x14ac:dyDescent="0.3">
      <c r="A419" s="153" t="s">
        <v>2609</v>
      </c>
      <c r="B419" s="153" t="s">
        <v>2253</v>
      </c>
      <c r="C419" s="153" t="s">
        <v>2212</v>
      </c>
      <c r="D419" s="153">
        <v>0</v>
      </c>
      <c r="E419" s="153">
        <v>0</v>
      </c>
      <c r="F419" s="153">
        <f t="shared" si="12"/>
        <v>0</v>
      </c>
      <c r="G419" s="153" t="str">
        <f t="shared" si="13"/>
        <v>OK</v>
      </c>
      <c r="H419" s="153" t="b">
        <v>1</v>
      </c>
    </row>
    <row r="420" spans="1:8" x14ac:dyDescent="0.3">
      <c r="A420" s="153" t="s">
        <v>2610</v>
      </c>
      <c r="B420" s="153" t="s">
        <v>2253</v>
      </c>
      <c r="C420" s="153" t="s">
        <v>2214</v>
      </c>
      <c r="D420" s="153">
        <v>33323.701561359558</v>
      </c>
      <c r="E420" s="153">
        <v>33323.701561359558</v>
      </c>
      <c r="F420" s="153">
        <f t="shared" si="12"/>
        <v>0</v>
      </c>
      <c r="G420" s="153" t="str">
        <f t="shared" si="13"/>
        <v>OK</v>
      </c>
      <c r="H420" s="153" t="b">
        <v>1</v>
      </c>
    </row>
    <row r="421" spans="1:8" x14ac:dyDescent="0.3">
      <c r="A421" s="153" t="s">
        <v>2611</v>
      </c>
      <c r="B421" s="153" t="s">
        <v>2253</v>
      </c>
      <c r="C421" s="153" t="s">
        <v>2216</v>
      </c>
      <c r="D421" s="153">
        <v>0</v>
      </c>
      <c r="E421" s="153">
        <v>0</v>
      </c>
      <c r="F421" s="153">
        <f t="shared" si="12"/>
        <v>0</v>
      </c>
      <c r="G421" s="153" t="str">
        <f t="shared" si="13"/>
        <v>OK</v>
      </c>
      <c r="H421" s="153" t="b">
        <v>1</v>
      </c>
    </row>
    <row r="422" spans="1:8" x14ac:dyDescent="0.3">
      <c r="A422" s="153" t="s">
        <v>2612</v>
      </c>
      <c r="B422" s="153" t="s">
        <v>2253</v>
      </c>
      <c r="C422" s="153" t="s">
        <v>2218</v>
      </c>
      <c r="D422" s="153">
        <v>5000</v>
      </c>
      <c r="E422" s="153">
        <v>5000</v>
      </c>
      <c r="F422" s="153">
        <f t="shared" si="12"/>
        <v>0</v>
      </c>
      <c r="G422" s="153" t="str">
        <f t="shared" si="13"/>
        <v>OK</v>
      </c>
      <c r="H422" s="153" t="b">
        <v>1</v>
      </c>
    </row>
    <row r="423" spans="1:8" x14ac:dyDescent="0.3">
      <c r="A423" s="153" t="s">
        <v>2613</v>
      </c>
      <c r="B423" s="153" t="s">
        <v>2253</v>
      </c>
      <c r="C423" s="153" t="s">
        <v>2220</v>
      </c>
      <c r="D423" s="153">
        <v>-33323.701561359558</v>
      </c>
      <c r="E423" s="153">
        <v>-33323.701561359558</v>
      </c>
      <c r="F423" s="153">
        <f t="shared" si="12"/>
        <v>0</v>
      </c>
      <c r="G423" s="153" t="str">
        <f t="shared" si="13"/>
        <v>OK</v>
      </c>
      <c r="H423" s="153" t="b">
        <v>1</v>
      </c>
    </row>
    <row r="424" spans="1:8" x14ac:dyDescent="0.3">
      <c r="A424" s="153" t="s">
        <v>2614</v>
      </c>
      <c r="B424" s="153" t="s">
        <v>2253</v>
      </c>
      <c r="C424" s="153" t="s">
        <v>2222</v>
      </c>
      <c r="D424" s="153">
        <v>0</v>
      </c>
      <c r="E424" s="153">
        <v>0</v>
      </c>
      <c r="F424" s="153">
        <f t="shared" si="12"/>
        <v>0</v>
      </c>
      <c r="G424" s="153" t="str">
        <f t="shared" si="13"/>
        <v>OK</v>
      </c>
      <c r="H424" s="153" t="b">
        <v>1</v>
      </c>
    </row>
    <row r="425" spans="1:8" x14ac:dyDescent="0.3">
      <c r="A425" s="153" t="s">
        <v>2615</v>
      </c>
      <c r="B425" s="153" t="s">
        <v>2253</v>
      </c>
      <c r="C425" s="153" t="s">
        <v>2224</v>
      </c>
      <c r="D425" s="153">
        <v>-28323.701561359569</v>
      </c>
      <c r="E425" s="153">
        <v>-28323.701561359569</v>
      </c>
      <c r="F425" s="153">
        <f t="shared" si="12"/>
        <v>0</v>
      </c>
      <c r="G425" s="153" t="str">
        <f t="shared" si="13"/>
        <v>OK</v>
      </c>
      <c r="H425" s="153" t="b">
        <v>1</v>
      </c>
    </row>
    <row r="426" spans="1:8" x14ac:dyDescent="0.3">
      <c r="A426" s="153" t="s">
        <v>2616</v>
      </c>
      <c r="B426" s="153" t="s">
        <v>2253</v>
      </c>
      <c r="C426" s="153" t="s">
        <v>2226</v>
      </c>
      <c r="D426" s="153">
        <v>935879.10108614177</v>
      </c>
      <c r="E426" s="153">
        <v>935879.10108614177</v>
      </c>
      <c r="F426" s="153">
        <f t="shared" si="12"/>
        <v>0</v>
      </c>
      <c r="G426" s="153" t="str">
        <f t="shared" si="13"/>
        <v>OK</v>
      </c>
      <c r="H426" s="153" t="b">
        <v>1</v>
      </c>
    </row>
    <row r="427" spans="1:8" x14ac:dyDescent="0.3">
      <c r="A427" s="153" t="s">
        <v>2617</v>
      </c>
      <c r="B427" s="153" t="s">
        <v>2253</v>
      </c>
      <c r="C427" s="153" t="s">
        <v>2228</v>
      </c>
      <c r="D427" s="153">
        <v>935879.10108614177</v>
      </c>
      <c r="E427" s="153">
        <v>935879.10108614177</v>
      </c>
      <c r="F427" s="153">
        <f t="shared" si="12"/>
        <v>0</v>
      </c>
      <c r="G427" s="153" t="str">
        <f t="shared" si="13"/>
        <v>OK</v>
      </c>
      <c r="H427" s="153" t="b">
        <v>1</v>
      </c>
    </row>
    <row r="428" spans="1:8" x14ac:dyDescent="0.3">
      <c r="A428" s="153" t="s">
        <v>2618</v>
      </c>
      <c r="B428" s="153" t="s">
        <v>2253</v>
      </c>
      <c r="C428" s="153" t="s">
        <v>2230</v>
      </c>
      <c r="D428" s="153">
        <v>7371.75</v>
      </c>
      <c r="E428" s="153">
        <v>7371.75</v>
      </c>
      <c r="F428" s="153">
        <f t="shared" si="12"/>
        <v>0</v>
      </c>
      <c r="G428" s="153" t="str">
        <f t="shared" si="13"/>
        <v>OK</v>
      </c>
      <c r="H428" s="153" t="b">
        <v>1</v>
      </c>
    </row>
    <row r="429" spans="1:8" x14ac:dyDescent="0.3">
      <c r="A429" s="153" t="s">
        <v>2619</v>
      </c>
      <c r="B429" s="153" t="s">
        <v>2253</v>
      </c>
      <c r="C429" s="153" t="s">
        <v>2232</v>
      </c>
      <c r="D429" s="153">
        <v>40213.199999999997</v>
      </c>
      <c r="E429" s="153">
        <v>40213.199999999997</v>
      </c>
      <c r="F429" s="153">
        <f t="shared" si="12"/>
        <v>0</v>
      </c>
      <c r="G429" s="153" t="str">
        <f t="shared" si="13"/>
        <v>OK</v>
      </c>
      <c r="H429" s="153" t="b">
        <v>1</v>
      </c>
    </row>
    <row r="430" spans="1:8" x14ac:dyDescent="0.3">
      <c r="A430" s="153" t="s">
        <v>2620</v>
      </c>
      <c r="B430" s="153" t="s">
        <v>2253</v>
      </c>
      <c r="C430" s="153" t="s">
        <v>2234</v>
      </c>
      <c r="D430" s="153">
        <v>983464.05108614173</v>
      </c>
      <c r="E430" s="153">
        <v>983464.05108614173</v>
      </c>
      <c r="F430" s="153">
        <f t="shared" si="12"/>
        <v>0</v>
      </c>
      <c r="G430" s="153" t="str">
        <f t="shared" si="13"/>
        <v>OK</v>
      </c>
      <c r="H430" s="153" t="b">
        <v>1</v>
      </c>
    </row>
    <row r="431" spans="1:8" x14ac:dyDescent="0.3">
      <c r="A431" s="153" t="s">
        <v>2621</v>
      </c>
      <c r="B431" s="153" t="s">
        <v>2253</v>
      </c>
      <c r="C431" s="153" t="s">
        <v>2236</v>
      </c>
      <c r="D431" s="153">
        <v>10000</v>
      </c>
      <c r="E431" s="153">
        <v>10000</v>
      </c>
      <c r="F431" s="153">
        <f t="shared" si="12"/>
        <v>0</v>
      </c>
      <c r="G431" s="153" t="str">
        <f t="shared" si="13"/>
        <v>OK</v>
      </c>
      <c r="H431" s="153" t="b">
        <v>1</v>
      </c>
    </row>
    <row r="432" spans="1:8" x14ac:dyDescent="0.3">
      <c r="A432" s="153" t="s">
        <v>2622</v>
      </c>
      <c r="B432" s="153" t="s">
        <v>2253</v>
      </c>
      <c r="C432" s="153" t="s">
        <v>2238</v>
      </c>
      <c r="D432" s="153">
        <v>973464.05108614173</v>
      </c>
      <c r="E432" s="153">
        <v>973464.05108614173</v>
      </c>
      <c r="F432" s="153">
        <f t="shared" si="12"/>
        <v>0</v>
      </c>
      <c r="G432" s="153" t="str">
        <f t="shared" si="13"/>
        <v>OK</v>
      </c>
      <c r="H432" s="153" t="b">
        <v>1</v>
      </c>
    </row>
    <row r="433" spans="1:8" x14ac:dyDescent="0.3">
      <c r="A433" s="153" t="s">
        <v>2623</v>
      </c>
      <c r="B433" s="153" t="s">
        <v>2253</v>
      </c>
      <c r="C433" s="153" t="s">
        <v>2240</v>
      </c>
      <c r="D433" s="153">
        <v>983464.05108614173</v>
      </c>
      <c r="E433" s="153">
        <v>983464.05108614173</v>
      </c>
      <c r="F433" s="153">
        <f t="shared" si="12"/>
        <v>0</v>
      </c>
      <c r="G433" s="153" t="str">
        <f t="shared" si="13"/>
        <v>OK</v>
      </c>
      <c r="H433" s="153" t="b">
        <v>1</v>
      </c>
    </row>
    <row r="434" spans="1:8" x14ac:dyDescent="0.3">
      <c r="A434" s="153" t="s">
        <v>2624</v>
      </c>
      <c r="B434" s="153" t="s">
        <v>2253</v>
      </c>
      <c r="C434" s="153" t="s">
        <v>2242</v>
      </c>
      <c r="D434" s="153">
        <v>5000</v>
      </c>
      <c r="E434" s="153">
        <v>5000</v>
      </c>
      <c r="F434" s="153">
        <f t="shared" si="12"/>
        <v>0</v>
      </c>
      <c r="G434" s="153" t="str">
        <f t="shared" si="13"/>
        <v>OK</v>
      </c>
      <c r="H434" s="153" t="b">
        <v>1</v>
      </c>
    </row>
    <row r="435" spans="1:8" x14ac:dyDescent="0.3">
      <c r="A435" s="153" t="s">
        <v>2625</v>
      </c>
      <c r="B435" s="153" t="s">
        <v>2253</v>
      </c>
      <c r="C435" s="153" t="s">
        <v>2244</v>
      </c>
      <c r="D435" s="153">
        <v>23</v>
      </c>
      <c r="E435" s="153">
        <v>23</v>
      </c>
      <c r="F435" s="153">
        <f t="shared" si="12"/>
        <v>0</v>
      </c>
      <c r="G435" s="153" t="str">
        <f t="shared" si="13"/>
        <v>OK</v>
      </c>
      <c r="H435" s="153" t="b">
        <v>1</v>
      </c>
    </row>
    <row r="436" spans="1:8" x14ac:dyDescent="0.3">
      <c r="A436" s="153" t="s">
        <v>2626</v>
      </c>
      <c r="B436" s="153" t="s">
        <v>2253</v>
      </c>
      <c r="C436" s="153" t="s">
        <v>2246</v>
      </c>
      <c r="D436" s="153">
        <v>10000</v>
      </c>
      <c r="E436" s="153">
        <v>10000</v>
      </c>
      <c r="F436" s="153">
        <f t="shared" si="12"/>
        <v>0</v>
      </c>
      <c r="G436" s="153" t="str">
        <f t="shared" si="13"/>
        <v>OK</v>
      </c>
      <c r="H436" s="153" t="b">
        <v>1</v>
      </c>
    </row>
    <row r="437" spans="1:8" x14ac:dyDescent="0.3">
      <c r="A437" s="153" t="s">
        <v>2627</v>
      </c>
      <c r="B437" s="153" t="s">
        <v>2253</v>
      </c>
      <c r="C437" s="153" t="s">
        <v>2248</v>
      </c>
      <c r="D437" s="153">
        <v>3</v>
      </c>
      <c r="E437" s="153">
        <v>3</v>
      </c>
      <c r="F437" s="153">
        <f t="shared" si="12"/>
        <v>0</v>
      </c>
      <c r="G437" s="153" t="str">
        <f t="shared" si="13"/>
        <v>OK</v>
      </c>
      <c r="H437" s="153" t="b">
        <v>1</v>
      </c>
    </row>
    <row r="438" spans="1:8" x14ac:dyDescent="0.3">
      <c r="A438" s="153" t="s">
        <v>2628</v>
      </c>
      <c r="B438" s="153" t="s">
        <v>2253</v>
      </c>
      <c r="C438" s="153" t="s">
        <v>2250</v>
      </c>
      <c r="D438" s="153">
        <v>1.6355156135956391E-2</v>
      </c>
      <c r="E438" s="153">
        <v>1.6355156135956391E-2</v>
      </c>
      <c r="F438" s="153">
        <f t="shared" si="12"/>
        <v>0</v>
      </c>
      <c r="G438" s="153" t="str">
        <f t="shared" si="13"/>
        <v>OK</v>
      </c>
      <c r="H438" s="153" t="b">
        <v>1</v>
      </c>
    </row>
    <row r="439" spans="1:8" x14ac:dyDescent="0.3">
      <c r="A439" s="153" t="s">
        <v>2629</v>
      </c>
      <c r="B439" s="153" t="s">
        <v>2253</v>
      </c>
      <c r="C439" s="153" t="s">
        <v>2252</v>
      </c>
      <c r="D439" s="153">
        <v>163.55156135956389</v>
      </c>
      <c r="E439" s="153">
        <v>163.55156135956389</v>
      </c>
      <c r="F439" s="153">
        <f t="shared" si="12"/>
        <v>0</v>
      </c>
      <c r="G439" s="153" t="str">
        <f t="shared" si="13"/>
        <v>OK</v>
      </c>
      <c r="H439" s="153" t="b">
        <v>1</v>
      </c>
    </row>
    <row r="440" spans="1:8" x14ac:dyDescent="0.3">
      <c r="A440" s="153" t="s">
        <v>2630</v>
      </c>
      <c r="B440" s="153" t="s">
        <v>2253</v>
      </c>
      <c r="C440" s="153" t="s">
        <v>2631</v>
      </c>
      <c r="D440" s="153">
        <v>2800</v>
      </c>
      <c r="E440" s="153">
        <v>2800</v>
      </c>
      <c r="F440" s="153">
        <f t="shared" si="12"/>
        <v>0</v>
      </c>
      <c r="G440" s="153" t="str">
        <f t="shared" si="13"/>
        <v>OK</v>
      </c>
      <c r="H440" s="153" t="b">
        <v>1</v>
      </c>
    </row>
    <row r="441" spans="1:8" x14ac:dyDescent="0.3">
      <c r="A441" s="153" t="s">
        <v>2632</v>
      </c>
      <c r="B441" s="153" t="s">
        <v>2253</v>
      </c>
      <c r="C441" s="153" t="s">
        <v>2633</v>
      </c>
      <c r="D441" s="153">
        <v>2800</v>
      </c>
      <c r="E441" s="153">
        <v>2800</v>
      </c>
      <c r="F441" s="153">
        <f t="shared" si="12"/>
        <v>0</v>
      </c>
      <c r="G441" s="153" t="str">
        <f t="shared" si="13"/>
        <v>OK</v>
      </c>
      <c r="H441" s="153" t="b">
        <v>1</v>
      </c>
    </row>
    <row r="442" spans="1:8" x14ac:dyDescent="0.3">
      <c r="A442" s="153" t="s">
        <v>2634</v>
      </c>
      <c r="B442" s="153" t="s">
        <v>2253</v>
      </c>
      <c r="C442" s="153" t="s">
        <v>2635</v>
      </c>
      <c r="D442" s="153">
        <v>44137.042291803278</v>
      </c>
      <c r="E442" s="153">
        <v>44137.042291803278</v>
      </c>
      <c r="F442" s="153">
        <f t="shared" si="12"/>
        <v>0</v>
      </c>
      <c r="G442" s="153" t="str">
        <f t="shared" si="13"/>
        <v>OK</v>
      </c>
      <c r="H442" s="153" t="b">
        <v>1</v>
      </c>
    </row>
    <row r="443" spans="1:8" x14ac:dyDescent="0.3">
      <c r="A443" s="153" t="s">
        <v>2636</v>
      </c>
      <c r="B443" s="153" t="s">
        <v>2253</v>
      </c>
      <c r="C443" s="153" t="s">
        <v>2637</v>
      </c>
      <c r="D443" s="153">
        <v>-41337.042291803278</v>
      </c>
      <c r="E443" s="153">
        <v>-41337.042291803278</v>
      </c>
      <c r="F443" s="153">
        <f t="shared" si="12"/>
        <v>0</v>
      </c>
      <c r="G443" s="153" t="str">
        <f t="shared" si="13"/>
        <v>OK</v>
      </c>
      <c r="H443" s="153" t="b">
        <v>1</v>
      </c>
    </row>
    <row r="444" spans="1:8" x14ac:dyDescent="0.3">
      <c r="A444" s="153" t="s">
        <v>2638</v>
      </c>
      <c r="B444" s="153" t="s">
        <v>2253</v>
      </c>
      <c r="C444" s="153" t="s">
        <v>2639</v>
      </c>
      <c r="D444" s="153">
        <v>64.125</v>
      </c>
      <c r="E444" s="153">
        <v>64.125</v>
      </c>
      <c r="F444" s="153">
        <f t="shared" si="12"/>
        <v>0</v>
      </c>
      <c r="G444" s="153" t="str">
        <f t="shared" si="13"/>
        <v>OK</v>
      </c>
      <c r="H444" s="153" t="b">
        <v>1</v>
      </c>
    </row>
    <row r="445" spans="1:8" x14ac:dyDescent="0.3">
      <c r="A445" s="153" t="s">
        <v>2640</v>
      </c>
      <c r="B445" s="153" t="s">
        <v>2253</v>
      </c>
      <c r="C445" s="153" t="s">
        <v>2641</v>
      </c>
      <c r="D445" s="153">
        <v>0</v>
      </c>
      <c r="E445" s="153">
        <v>0</v>
      </c>
      <c r="F445" s="153">
        <f t="shared" si="12"/>
        <v>0</v>
      </c>
      <c r="G445" s="153" t="str">
        <f t="shared" si="13"/>
        <v>OK</v>
      </c>
      <c r="H445" s="153" t="b">
        <v>1</v>
      </c>
    </row>
    <row r="446" spans="1:8" x14ac:dyDescent="0.3">
      <c r="A446" s="153" t="s">
        <v>2642</v>
      </c>
      <c r="B446" s="153" t="s">
        <v>2253</v>
      </c>
      <c r="C446" s="153" t="s">
        <v>2643</v>
      </c>
      <c r="D446" s="153">
        <v>44137.042291803278</v>
      </c>
      <c r="E446" s="153">
        <v>44137.042291803278</v>
      </c>
      <c r="F446" s="153">
        <f t="shared" si="12"/>
        <v>0</v>
      </c>
      <c r="G446" s="153" t="str">
        <f t="shared" si="13"/>
        <v>OK</v>
      </c>
      <c r="H446" s="153" t="b">
        <v>1</v>
      </c>
    </row>
    <row r="447" spans="1:8" x14ac:dyDescent="0.3">
      <c r="A447" s="153" t="s">
        <v>2644</v>
      </c>
      <c r="B447" s="153" t="s">
        <v>2253</v>
      </c>
      <c r="C447" s="153" t="s">
        <v>2645</v>
      </c>
      <c r="D447" s="153">
        <v>670780.27901639347</v>
      </c>
      <c r="E447" s="153">
        <v>670780.27901639347</v>
      </c>
      <c r="F447" s="153">
        <f t="shared" si="12"/>
        <v>0</v>
      </c>
      <c r="G447" s="153" t="str">
        <f t="shared" si="13"/>
        <v>OK</v>
      </c>
      <c r="H447" s="153" t="b">
        <v>1</v>
      </c>
    </row>
    <row r="448" spans="1:8" x14ac:dyDescent="0.3">
      <c r="A448" s="153" t="s">
        <v>2646</v>
      </c>
      <c r="B448" s="153" t="s">
        <v>2253</v>
      </c>
      <c r="C448" s="153" t="s">
        <v>2647</v>
      </c>
      <c r="D448" s="153">
        <v>2800</v>
      </c>
      <c r="E448" s="153">
        <v>2800</v>
      </c>
      <c r="F448" s="153">
        <f t="shared" si="12"/>
        <v>0</v>
      </c>
      <c r="G448" s="153" t="str">
        <f t="shared" si="13"/>
        <v>OK</v>
      </c>
      <c r="H448" s="153" t="b">
        <v>1</v>
      </c>
    </row>
    <row r="449" spans="1:8" x14ac:dyDescent="0.3">
      <c r="A449" s="153" t="s">
        <v>2648</v>
      </c>
      <c r="B449" s="153" t="s">
        <v>2253</v>
      </c>
      <c r="C449" s="153" t="s">
        <v>2649</v>
      </c>
      <c r="D449" s="153">
        <v>164518.36049180329</v>
      </c>
      <c r="E449" s="153">
        <v>164518.36049180329</v>
      </c>
      <c r="F449" s="153">
        <f t="shared" si="12"/>
        <v>0</v>
      </c>
      <c r="G449" s="153" t="str">
        <f t="shared" si="13"/>
        <v>OK</v>
      </c>
      <c r="H449" s="153" t="b">
        <v>1</v>
      </c>
    </row>
    <row r="450" spans="1:8" x14ac:dyDescent="0.3">
      <c r="A450" s="153" t="s">
        <v>2650</v>
      </c>
      <c r="B450" s="153" t="s">
        <v>2253</v>
      </c>
      <c r="C450" s="153" t="s">
        <v>2651</v>
      </c>
      <c r="D450" s="153">
        <v>509061.9185245902</v>
      </c>
      <c r="E450" s="153">
        <v>509061.9185245902</v>
      </c>
      <c r="F450" s="153">
        <f t="shared" ref="F450:F513" si="14">IF(NOT(H450),"",IF(AND(ISNUMBER(D450),ISNUMBER(E450)),E450-D450,IF(D450=E450,0,1)))</f>
        <v>0</v>
      </c>
      <c r="G450" s="153" t="str">
        <f t="shared" ref="G450:G513" si="15">IF(NOT(H450),"PENDIENTE SIDE",IF(IF(AND(ISNUMBER(D450),ISNUMBER(E450)),IF(MOD(D450,1)=0,D450=E450,ABS(D450-E450)&lt;=0.000000001*MAX(1,ABS(D450),ABS(E450))),D450=E450),"OK","DIFERENCIA"))</f>
        <v>OK</v>
      </c>
      <c r="H450" s="153" t="b">
        <v>1</v>
      </c>
    </row>
    <row r="451" spans="1:8" x14ac:dyDescent="0.3">
      <c r="A451" s="153" t="s">
        <v>2652</v>
      </c>
      <c r="B451" s="153" t="s">
        <v>2253</v>
      </c>
      <c r="C451" s="153" t="s">
        <v>2653</v>
      </c>
      <c r="D451" s="153">
        <v>670780.27901639347</v>
      </c>
      <c r="E451" s="153">
        <v>670780.27901639347</v>
      </c>
      <c r="F451" s="153">
        <f t="shared" si="14"/>
        <v>0</v>
      </c>
      <c r="G451" s="153" t="str">
        <f t="shared" si="15"/>
        <v>OK</v>
      </c>
      <c r="H451" s="153" t="b">
        <v>1</v>
      </c>
    </row>
    <row r="452" spans="1:8" x14ac:dyDescent="0.3">
      <c r="A452" s="153" t="s">
        <v>2654</v>
      </c>
      <c r="B452" s="153" t="s">
        <v>2253</v>
      </c>
      <c r="C452" s="153" t="s">
        <v>2655</v>
      </c>
      <c r="D452" s="153">
        <v>2800</v>
      </c>
      <c r="E452" s="153">
        <v>2800</v>
      </c>
      <c r="F452" s="153">
        <f t="shared" si="14"/>
        <v>0</v>
      </c>
      <c r="G452" s="153" t="str">
        <f t="shared" si="15"/>
        <v>OK</v>
      </c>
      <c r="H452" s="153" t="b">
        <v>1</v>
      </c>
    </row>
    <row r="453" spans="1:8" x14ac:dyDescent="0.3">
      <c r="A453" s="153" t="s">
        <v>2656</v>
      </c>
      <c r="B453" s="153" t="s">
        <v>2253</v>
      </c>
      <c r="C453" s="153" t="s">
        <v>2657</v>
      </c>
      <c r="D453" s="153">
        <v>164518.36049180329</v>
      </c>
      <c r="E453" s="153">
        <v>164518.36049180329</v>
      </c>
      <c r="F453" s="153">
        <f t="shared" si="14"/>
        <v>0</v>
      </c>
      <c r="G453" s="153" t="str">
        <f t="shared" si="15"/>
        <v>OK</v>
      </c>
      <c r="H453" s="153" t="b">
        <v>1</v>
      </c>
    </row>
    <row r="454" spans="1:8" x14ac:dyDescent="0.3">
      <c r="A454" s="153" t="s">
        <v>2658</v>
      </c>
      <c r="B454" s="153" t="s">
        <v>2253</v>
      </c>
      <c r="C454" s="153" t="s">
        <v>2659</v>
      </c>
      <c r="D454" s="153">
        <v>0</v>
      </c>
      <c r="E454" s="153">
        <v>0</v>
      </c>
      <c r="F454" s="153">
        <f t="shared" si="14"/>
        <v>0</v>
      </c>
      <c r="G454" s="153" t="str">
        <f t="shared" si="15"/>
        <v>OK</v>
      </c>
      <c r="H454" s="153" t="b">
        <v>1</v>
      </c>
    </row>
    <row r="455" spans="1:8" x14ac:dyDescent="0.3">
      <c r="A455" s="153" t="s">
        <v>2660</v>
      </c>
      <c r="B455" s="153" t="s">
        <v>2253</v>
      </c>
      <c r="C455" s="153" t="s">
        <v>2661</v>
      </c>
      <c r="D455" s="153">
        <v>0</v>
      </c>
      <c r="E455" s="153">
        <v>0</v>
      </c>
      <c r="F455" s="153">
        <f t="shared" si="14"/>
        <v>0</v>
      </c>
      <c r="G455" s="153" t="str">
        <f t="shared" si="15"/>
        <v>OK</v>
      </c>
      <c r="H455" s="153" t="b">
        <v>1</v>
      </c>
    </row>
    <row r="456" spans="1:8" x14ac:dyDescent="0.3">
      <c r="A456" s="153" t="s">
        <v>2662</v>
      </c>
      <c r="B456" s="153" t="s">
        <v>2253</v>
      </c>
      <c r="C456" s="153" t="s">
        <v>2663</v>
      </c>
      <c r="D456" s="153">
        <v>-161718.36049180329</v>
      </c>
      <c r="E456" s="153">
        <v>-161718.36049180329</v>
      </c>
      <c r="F456" s="153">
        <f t="shared" si="14"/>
        <v>0</v>
      </c>
      <c r="G456" s="153" t="str">
        <f t="shared" si="15"/>
        <v>OK</v>
      </c>
      <c r="H456" s="153" t="b">
        <v>1</v>
      </c>
    </row>
    <row r="457" spans="1:8" x14ac:dyDescent="0.3">
      <c r="A457" s="153" t="s">
        <v>2664</v>
      </c>
      <c r="B457" s="153" t="s">
        <v>2253</v>
      </c>
      <c r="C457" s="153" t="s">
        <v>2665</v>
      </c>
      <c r="D457" s="153">
        <v>0</v>
      </c>
      <c r="E457" s="153">
        <v>0</v>
      </c>
      <c r="F457" s="153">
        <f t="shared" si="14"/>
        <v>0</v>
      </c>
      <c r="G457" s="153" t="str">
        <f t="shared" si="15"/>
        <v>OK</v>
      </c>
      <c r="H457" s="153" t="b">
        <v>1</v>
      </c>
    </row>
    <row r="458" spans="1:8" x14ac:dyDescent="0.3">
      <c r="A458" s="153" t="s">
        <v>2666</v>
      </c>
      <c r="B458" s="153" t="s">
        <v>2253</v>
      </c>
      <c r="C458" s="153" t="s">
        <v>2667</v>
      </c>
      <c r="D458" s="153">
        <v>-161718.36049180329</v>
      </c>
      <c r="E458" s="153">
        <v>-161718.36049180329</v>
      </c>
      <c r="F458" s="153">
        <f t="shared" si="14"/>
        <v>0</v>
      </c>
      <c r="G458" s="153" t="str">
        <f t="shared" si="15"/>
        <v>OK</v>
      </c>
      <c r="H458" s="153" t="b">
        <v>1</v>
      </c>
    </row>
    <row r="459" spans="1:8" x14ac:dyDescent="0.3">
      <c r="A459" s="153" t="s">
        <v>2668</v>
      </c>
      <c r="B459" s="153" t="s">
        <v>2253</v>
      </c>
      <c r="C459" s="153" t="s">
        <v>2669</v>
      </c>
      <c r="D459" s="153">
        <v>509061.9185245902</v>
      </c>
      <c r="E459" s="153">
        <v>509061.9185245902</v>
      </c>
      <c r="F459" s="153">
        <f t="shared" si="14"/>
        <v>0</v>
      </c>
      <c r="G459" s="153" t="str">
        <f t="shared" si="15"/>
        <v>OK</v>
      </c>
      <c r="H459" s="153" t="b">
        <v>1</v>
      </c>
    </row>
    <row r="460" spans="1:8" x14ac:dyDescent="0.3">
      <c r="A460" s="153" t="s">
        <v>2670</v>
      </c>
      <c r="B460" s="153" t="s">
        <v>2253</v>
      </c>
      <c r="C460" s="153" t="s">
        <v>2671</v>
      </c>
      <c r="D460" s="153">
        <v>509061.9185245902</v>
      </c>
      <c r="E460" s="153">
        <v>509061.9185245902</v>
      </c>
      <c r="F460" s="153">
        <f t="shared" si="14"/>
        <v>0</v>
      </c>
      <c r="G460" s="153" t="str">
        <f t="shared" si="15"/>
        <v>OK</v>
      </c>
      <c r="H460" s="153" t="b">
        <v>1</v>
      </c>
    </row>
    <row r="461" spans="1:8" x14ac:dyDescent="0.3">
      <c r="A461" s="153" t="s">
        <v>2672</v>
      </c>
      <c r="B461" s="153" t="s">
        <v>2253</v>
      </c>
      <c r="C461" s="153" t="s">
        <v>2673</v>
      </c>
      <c r="D461" s="153">
        <v>7307.625</v>
      </c>
      <c r="E461" s="153">
        <v>7307.625</v>
      </c>
      <c r="F461" s="153">
        <f t="shared" si="14"/>
        <v>0</v>
      </c>
      <c r="G461" s="153" t="str">
        <f t="shared" si="15"/>
        <v>OK</v>
      </c>
      <c r="H461" s="153" t="b">
        <v>1</v>
      </c>
    </row>
    <row r="462" spans="1:8" x14ac:dyDescent="0.3">
      <c r="A462" s="153" t="s">
        <v>2674</v>
      </c>
      <c r="B462" s="153" t="s">
        <v>2253</v>
      </c>
      <c r="C462" s="153" t="s">
        <v>2675</v>
      </c>
      <c r="D462" s="153">
        <v>361336.3296</v>
      </c>
      <c r="E462" s="153">
        <v>361336.3296</v>
      </c>
      <c r="F462" s="153">
        <f t="shared" si="14"/>
        <v>0</v>
      </c>
      <c r="G462" s="153" t="str">
        <f t="shared" si="15"/>
        <v>OK</v>
      </c>
      <c r="H462" s="153" t="b">
        <v>1</v>
      </c>
    </row>
    <row r="463" spans="1:8" x14ac:dyDescent="0.3">
      <c r="A463" s="153" t="s">
        <v>2676</v>
      </c>
      <c r="B463" s="153" t="s">
        <v>2253</v>
      </c>
      <c r="C463" s="153" t="s">
        <v>2677</v>
      </c>
      <c r="D463" s="153">
        <v>877705.87312459014</v>
      </c>
      <c r="E463" s="153">
        <v>877705.87312459014</v>
      </c>
      <c r="F463" s="153">
        <f t="shared" si="14"/>
        <v>0</v>
      </c>
      <c r="G463" s="153" t="str">
        <f t="shared" si="15"/>
        <v>OK</v>
      </c>
      <c r="H463" s="153" t="b">
        <v>1</v>
      </c>
    </row>
    <row r="464" spans="1:8" x14ac:dyDescent="0.3">
      <c r="A464" s="153" t="s">
        <v>2678</v>
      </c>
      <c r="B464" s="153" t="s">
        <v>2253</v>
      </c>
      <c r="C464" s="153" t="s">
        <v>2679</v>
      </c>
      <c r="D464" s="153">
        <v>0</v>
      </c>
      <c r="E464" s="153">
        <v>0</v>
      </c>
      <c r="F464" s="153">
        <f t="shared" si="14"/>
        <v>0</v>
      </c>
      <c r="G464" s="153" t="str">
        <f t="shared" si="15"/>
        <v>OK</v>
      </c>
      <c r="H464" s="153" t="b">
        <v>1</v>
      </c>
    </row>
    <row r="465" spans="1:8" x14ac:dyDescent="0.3">
      <c r="A465" s="153" t="s">
        <v>2680</v>
      </c>
      <c r="B465" s="153" t="s">
        <v>2253</v>
      </c>
      <c r="C465" s="153" t="s">
        <v>2681</v>
      </c>
      <c r="D465" s="153">
        <v>877705.87312459014</v>
      </c>
      <c r="E465" s="153">
        <v>877705.87312459014</v>
      </c>
      <c r="F465" s="153">
        <f t="shared" si="14"/>
        <v>0</v>
      </c>
      <c r="G465" s="153" t="str">
        <f t="shared" si="15"/>
        <v>OK</v>
      </c>
      <c r="H465" s="153" t="b">
        <v>1</v>
      </c>
    </row>
    <row r="466" spans="1:8" x14ac:dyDescent="0.3">
      <c r="A466" s="153" t="s">
        <v>2682</v>
      </c>
      <c r="B466" s="153" t="s">
        <v>2253</v>
      </c>
      <c r="C466" s="153" t="s">
        <v>2683</v>
      </c>
      <c r="D466" s="153">
        <v>877705.87312459014</v>
      </c>
      <c r="E466" s="153">
        <v>877705.87312459014</v>
      </c>
      <c r="F466" s="153">
        <f t="shared" si="14"/>
        <v>0</v>
      </c>
      <c r="G466" s="153" t="str">
        <f t="shared" si="15"/>
        <v>OK</v>
      </c>
      <c r="H466" s="153" t="b">
        <v>1</v>
      </c>
    </row>
    <row r="467" spans="1:8" x14ac:dyDescent="0.3">
      <c r="A467" s="153" t="s">
        <v>2684</v>
      </c>
      <c r="B467" s="153" t="s">
        <v>2253</v>
      </c>
      <c r="C467" s="153" t="s">
        <v>2685</v>
      </c>
      <c r="D467" s="153">
        <v>0</v>
      </c>
      <c r="E467" s="153">
        <v>0</v>
      </c>
      <c r="F467" s="153">
        <f t="shared" si="14"/>
        <v>0</v>
      </c>
      <c r="G467" s="153" t="str">
        <f t="shared" si="15"/>
        <v>OK</v>
      </c>
      <c r="H467" s="153" t="b">
        <v>1</v>
      </c>
    </row>
    <row r="468" spans="1:8" x14ac:dyDescent="0.3">
      <c r="A468" s="153" t="s">
        <v>2686</v>
      </c>
      <c r="B468" s="153" t="s">
        <v>2253</v>
      </c>
      <c r="C468" s="153" t="s">
        <v>2687</v>
      </c>
      <c r="D468" s="153">
        <v>23</v>
      </c>
      <c r="E468" s="153">
        <v>23</v>
      </c>
      <c r="F468" s="153">
        <f t="shared" si="14"/>
        <v>0</v>
      </c>
      <c r="G468" s="153" t="str">
        <f t="shared" si="15"/>
        <v>OK</v>
      </c>
      <c r="H468" s="153" t="b">
        <v>1</v>
      </c>
    </row>
    <row r="469" spans="1:8" x14ac:dyDescent="0.3">
      <c r="A469" s="153" t="s">
        <v>2688</v>
      </c>
      <c r="B469" s="153" t="s">
        <v>2253</v>
      </c>
      <c r="C469" s="153" t="s">
        <v>2689</v>
      </c>
      <c r="D469" s="153">
        <v>0</v>
      </c>
      <c r="E469" s="153">
        <v>0</v>
      </c>
      <c r="F469" s="153">
        <f t="shared" si="14"/>
        <v>0</v>
      </c>
      <c r="G469" s="153" t="str">
        <f t="shared" si="15"/>
        <v>OK</v>
      </c>
      <c r="H469" s="153" t="b">
        <v>1</v>
      </c>
    </row>
    <row r="470" spans="1:8" x14ac:dyDescent="0.3">
      <c r="A470" s="153" t="s">
        <v>2690</v>
      </c>
      <c r="B470" s="153" t="s">
        <v>2253</v>
      </c>
      <c r="C470" s="153" t="s">
        <v>2691</v>
      </c>
      <c r="D470" s="153">
        <v>3</v>
      </c>
      <c r="E470" s="153">
        <v>3</v>
      </c>
      <c r="F470" s="153">
        <f t="shared" si="14"/>
        <v>0</v>
      </c>
      <c r="G470" s="153" t="str">
        <f t="shared" si="15"/>
        <v>OK</v>
      </c>
      <c r="H470" s="153" t="b">
        <v>1</v>
      </c>
    </row>
    <row r="471" spans="1:8" x14ac:dyDescent="0.3">
      <c r="A471" s="153" t="s">
        <v>2692</v>
      </c>
      <c r="B471" s="153" t="s">
        <v>2253</v>
      </c>
      <c r="C471" s="153" t="s">
        <v>2693</v>
      </c>
      <c r="D471" s="153">
        <v>0</v>
      </c>
      <c r="E471" s="153">
        <v>0</v>
      </c>
      <c r="F471" s="153">
        <f t="shared" si="14"/>
        <v>0</v>
      </c>
      <c r="G471" s="153" t="str">
        <f t="shared" si="15"/>
        <v>OK</v>
      </c>
      <c r="H471" s="153" t="b">
        <v>1</v>
      </c>
    </row>
    <row r="472" spans="1:8" x14ac:dyDescent="0.3">
      <c r="A472" s="153" t="s">
        <v>2694</v>
      </c>
      <c r="B472" s="153" t="s">
        <v>2253</v>
      </c>
      <c r="C472" s="153" t="s">
        <v>2695</v>
      </c>
      <c r="D472" s="153">
        <v>0</v>
      </c>
      <c r="E472" s="153">
        <v>0</v>
      </c>
      <c r="F472" s="153">
        <f t="shared" si="14"/>
        <v>0</v>
      </c>
      <c r="G472" s="153" t="str">
        <f t="shared" si="15"/>
        <v>OK</v>
      </c>
      <c r="H472" s="153" t="b">
        <v>1</v>
      </c>
    </row>
    <row r="473" spans="1:8" x14ac:dyDescent="0.3">
      <c r="A473" s="153" t="s">
        <v>2696</v>
      </c>
      <c r="B473" s="153" t="s">
        <v>2253</v>
      </c>
      <c r="C473" s="153" t="s">
        <v>2697</v>
      </c>
      <c r="D473" s="153">
        <v>162.5</v>
      </c>
      <c r="E473" s="153">
        <v>162.5</v>
      </c>
      <c r="F473" s="153">
        <f t="shared" si="14"/>
        <v>0</v>
      </c>
      <c r="G473" s="153" t="str">
        <f t="shared" si="15"/>
        <v>OK</v>
      </c>
      <c r="H473" s="153" t="b">
        <v>1</v>
      </c>
    </row>
    <row r="474" spans="1:8" x14ac:dyDescent="0.3">
      <c r="A474" s="153" t="s">
        <v>2698</v>
      </c>
      <c r="B474" s="153" t="s">
        <v>2253</v>
      </c>
      <c r="C474" s="153" t="s">
        <v>2699</v>
      </c>
      <c r="D474" s="153">
        <v>162.5</v>
      </c>
      <c r="E474" s="153">
        <v>162.5</v>
      </c>
      <c r="F474" s="153">
        <f t="shared" si="14"/>
        <v>0</v>
      </c>
      <c r="G474" s="153" t="str">
        <f t="shared" si="15"/>
        <v>OK</v>
      </c>
      <c r="H474" s="153" t="b">
        <v>1</v>
      </c>
    </row>
    <row r="475" spans="1:8" x14ac:dyDescent="0.3">
      <c r="A475" s="153" t="s">
        <v>2700</v>
      </c>
      <c r="B475" s="153" t="s">
        <v>2253</v>
      </c>
      <c r="C475" s="153" t="s">
        <v>2701</v>
      </c>
      <c r="D475" s="153">
        <v>9819.6465613595628</v>
      </c>
      <c r="E475" s="153">
        <v>9819.6465613595628</v>
      </c>
      <c r="F475" s="153">
        <f t="shared" si="14"/>
        <v>0</v>
      </c>
      <c r="G475" s="153" t="str">
        <f t="shared" si="15"/>
        <v>OK</v>
      </c>
      <c r="H475" s="153" t="b">
        <v>1</v>
      </c>
    </row>
    <row r="476" spans="1:8" x14ac:dyDescent="0.3">
      <c r="A476" s="153" t="s">
        <v>2702</v>
      </c>
      <c r="B476" s="153" t="s">
        <v>2253</v>
      </c>
      <c r="C476" s="153" t="s">
        <v>2703</v>
      </c>
      <c r="D476" s="153">
        <v>-9657.1465613595628</v>
      </c>
      <c r="E476" s="153">
        <v>-9657.1465613595628</v>
      </c>
      <c r="F476" s="153">
        <f t="shared" si="14"/>
        <v>0</v>
      </c>
      <c r="G476" s="153" t="str">
        <f t="shared" si="15"/>
        <v>OK</v>
      </c>
      <c r="H476" s="153" t="b">
        <v>1</v>
      </c>
    </row>
    <row r="477" spans="1:8" x14ac:dyDescent="0.3">
      <c r="A477" s="153" t="s">
        <v>2704</v>
      </c>
      <c r="B477" s="153" t="s">
        <v>2253</v>
      </c>
      <c r="C477" s="153" t="s">
        <v>2705</v>
      </c>
      <c r="D477" s="153">
        <v>64.125</v>
      </c>
      <c r="E477" s="153">
        <v>64.125</v>
      </c>
      <c r="F477" s="153">
        <f t="shared" si="14"/>
        <v>0</v>
      </c>
      <c r="G477" s="153" t="str">
        <f t="shared" si="15"/>
        <v>OK</v>
      </c>
      <c r="H477" s="153" t="b">
        <v>1</v>
      </c>
    </row>
    <row r="478" spans="1:8" x14ac:dyDescent="0.3">
      <c r="A478" s="153" t="s">
        <v>2706</v>
      </c>
      <c r="B478" s="153" t="s">
        <v>2253</v>
      </c>
      <c r="C478" s="153" t="s">
        <v>2707</v>
      </c>
      <c r="D478" s="153">
        <v>163.55156135956389</v>
      </c>
      <c r="E478" s="153">
        <v>163.55156135956389</v>
      </c>
      <c r="F478" s="153">
        <f t="shared" si="14"/>
        <v>0</v>
      </c>
      <c r="G478" s="153" t="str">
        <f t="shared" si="15"/>
        <v>OK</v>
      </c>
      <c r="H478" s="153" t="b">
        <v>1</v>
      </c>
    </row>
    <row r="479" spans="1:8" x14ac:dyDescent="0.3">
      <c r="A479" s="153" t="s">
        <v>2708</v>
      </c>
      <c r="B479" s="153" t="s">
        <v>2253</v>
      </c>
      <c r="C479" s="153" t="s">
        <v>2709</v>
      </c>
      <c r="D479" s="153">
        <v>9656.0949999999993</v>
      </c>
      <c r="E479" s="153">
        <v>9656.0949999999993</v>
      </c>
      <c r="F479" s="153">
        <f t="shared" si="14"/>
        <v>0</v>
      </c>
      <c r="G479" s="153" t="str">
        <f t="shared" si="15"/>
        <v>OK</v>
      </c>
      <c r="H479" s="153" t="b">
        <v>1</v>
      </c>
    </row>
    <row r="480" spans="1:8" x14ac:dyDescent="0.3">
      <c r="A480" s="153" t="s">
        <v>2710</v>
      </c>
      <c r="B480" s="153" t="s">
        <v>2253</v>
      </c>
      <c r="C480" s="153" t="s">
        <v>2711</v>
      </c>
      <c r="D480" s="153">
        <v>935879.10108614177</v>
      </c>
      <c r="E480" s="153">
        <v>935879.10108614177</v>
      </c>
      <c r="F480" s="153">
        <f t="shared" si="14"/>
        <v>0</v>
      </c>
      <c r="G480" s="153" t="str">
        <f t="shared" si="15"/>
        <v>OK</v>
      </c>
      <c r="H480" s="153" t="b">
        <v>1</v>
      </c>
    </row>
    <row r="481" spans="1:8" x14ac:dyDescent="0.3">
      <c r="A481" s="153" t="s">
        <v>2712</v>
      </c>
      <c r="B481" s="153" t="s">
        <v>2253</v>
      </c>
      <c r="C481" s="153" t="s">
        <v>2713</v>
      </c>
      <c r="D481" s="153">
        <v>162.5</v>
      </c>
      <c r="E481" s="153">
        <v>162.5</v>
      </c>
      <c r="F481" s="153">
        <f t="shared" si="14"/>
        <v>0</v>
      </c>
      <c r="G481" s="153" t="str">
        <f t="shared" si="15"/>
        <v>OK</v>
      </c>
      <c r="H481" s="153" t="b">
        <v>1</v>
      </c>
    </row>
    <row r="482" spans="1:8" x14ac:dyDescent="0.3">
      <c r="A482" s="153" t="s">
        <v>2714</v>
      </c>
      <c r="B482" s="153" t="s">
        <v>2253</v>
      </c>
      <c r="C482" s="153" t="s">
        <v>2715</v>
      </c>
      <c r="D482" s="153">
        <v>9755.5215613595628</v>
      </c>
      <c r="E482" s="153">
        <v>9755.5215613595628</v>
      </c>
      <c r="F482" s="153">
        <f t="shared" si="14"/>
        <v>0</v>
      </c>
      <c r="G482" s="153" t="str">
        <f t="shared" si="15"/>
        <v>OK</v>
      </c>
      <c r="H482" s="153" t="b">
        <v>1</v>
      </c>
    </row>
    <row r="483" spans="1:8" x14ac:dyDescent="0.3">
      <c r="A483" s="153" t="s">
        <v>2716</v>
      </c>
      <c r="B483" s="153" t="s">
        <v>2253</v>
      </c>
      <c r="C483" s="153" t="s">
        <v>2717</v>
      </c>
      <c r="D483" s="153">
        <v>926286.07952478225</v>
      </c>
      <c r="E483" s="153">
        <v>926286.07952478225</v>
      </c>
      <c r="F483" s="153">
        <f t="shared" si="14"/>
        <v>0</v>
      </c>
      <c r="G483" s="153" t="str">
        <f t="shared" si="15"/>
        <v>OK</v>
      </c>
      <c r="H483" s="153" t="b">
        <v>1</v>
      </c>
    </row>
    <row r="484" spans="1:8" x14ac:dyDescent="0.3">
      <c r="A484" s="153" t="s">
        <v>2718</v>
      </c>
      <c r="B484" s="153" t="s">
        <v>2253</v>
      </c>
      <c r="C484" s="153" t="s">
        <v>2719</v>
      </c>
      <c r="D484" s="153">
        <v>935879.10108614177</v>
      </c>
      <c r="E484" s="153">
        <v>935879.10108614177</v>
      </c>
      <c r="F484" s="153">
        <f t="shared" si="14"/>
        <v>0</v>
      </c>
      <c r="G484" s="153" t="str">
        <f t="shared" si="15"/>
        <v>OK</v>
      </c>
      <c r="H484" s="153" t="b">
        <v>1</v>
      </c>
    </row>
    <row r="485" spans="1:8" x14ac:dyDescent="0.3">
      <c r="A485" s="153" t="s">
        <v>2720</v>
      </c>
      <c r="B485" s="153" t="s">
        <v>2253</v>
      </c>
      <c r="C485" s="153" t="s">
        <v>2721</v>
      </c>
      <c r="D485" s="153">
        <v>162.5</v>
      </c>
      <c r="E485" s="153">
        <v>162.5</v>
      </c>
      <c r="F485" s="153">
        <f t="shared" si="14"/>
        <v>0</v>
      </c>
      <c r="G485" s="153" t="str">
        <f t="shared" si="15"/>
        <v>OK</v>
      </c>
      <c r="H485" s="153" t="b">
        <v>1</v>
      </c>
    </row>
    <row r="486" spans="1:8" x14ac:dyDescent="0.3">
      <c r="A486" s="153" t="s">
        <v>2722</v>
      </c>
      <c r="B486" s="153" t="s">
        <v>2253</v>
      </c>
      <c r="C486" s="153" t="s">
        <v>2723</v>
      </c>
      <c r="D486" s="153">
        <v>9755.5215613595628</v>
      </c>
      <c r="E486" s="153">
        <v>9755.5215613595628</v>
      </c>
      <c r="F486" s="153">
        <f t="shared" si="14"/>
        <v>0</v>
      </c>
      <c r="G486" s="153" t="str">
        <f t="shared" si="15"/>
        <v>OK</v>
      </c>
      <c r="H486" s="153" t="b">
        <v>1</v>
      </c>
    </row>
    <row r="487" spans="1:8" x14ac:dyDescent="0.3">
      <c r="A487" s="153" t="s">
        <v>2724</v>
      </c>
      <c r="B487" s="153" t="s">
        <v>2253</v>
      </c>
      <c r="C487" s="153" t="s">
        <v>2725</v>
      </c>
      <c r="D487" s="153">
        <v>0</v>
      </c>
      <c r="E487" s="153">
        <v>0</v>
      </c>
      <c r="F487" s="153">
        <f t="shared" si="14"/>
        <v>0</v>
      </c>
      <c r="G487" s="153" t="str">
        <f t="shared" si="15"/>
        <v>OK</v>
      </c>
      <c r="H487" s="153" t="b">
        <v>1</v>
      </c>
    </row>
    <row r="488" spans="1:8" x14ac:dyDescent="0.3">
      <c r="A488" s="153" t="s">
        <v>2726</v>
      </c>
      <c r="B488" s="153" t="s">
        <v>2253</v>
      </c>
      <c r="C488" s="153" t="s">
        <v>2727</v>
      </c>
      <c r="D488" s="153">
        <v>0</v>
      </c>
      <c r="E488" s="153">
        <v>0</v>
      </c>
      <c r="F488" s="153">
        <f t="shared" si="14"/>
        <v>0</v>
      </c>
      <c r="G488" s="153" t="str">
        <f t="shared" si="15"/>
        <v>OK</v>
      </c>
      <c r="H488" s="153" t="b">
        <v>1</v>
      </c>
    </row>
    <row r="489" spans="1:8" x14ac:dyDescent="0.3">
      <c r="A489" s="153" t="s">
        <v>2728</v>
      </c>
      <c r="B489" s="153" t="s">
        <v>2253</v>
      </c>
      <c r="C489" s="153" t="s">
        <v>2729</v>
      </c>
      <c r="D489" s="153">
        <v>-9593.0215613595628</v>
      </c>
      <c r="E489" s="153">
        <v>-9593.0215613595628</v>
      </c>
      <c r="F489" s="153">
        <f t="shared" si="14"/>
        <v>0</v>
      </c>
      <c r="G489" s="153" t="str">
        <f t="shared" si="15"/>
        <v>OK</v>
      </c>
      <c r="H489" s="153" t="b">
        <v>1</v>
      </c>
    </row>
    <row r="490" spans="1:8" x14ac:dyDescent="0.3">
      <c r="A490" s="153" t="s">
        <v>2730</v>
      </c>
      <c r="B490" s="153" t="s">
        <v>2253</v>
      </c>
      <c r="C490" s="153" t="s">
        <v>2731</v>
      </c>
      <c r="D490" s="153">
        <v>0</v>
      </c>
      <c r="E490" s="153">
        <v>0</v>
      </c>
      <c r="F490" s="153">
        <f t="shared" si="14"/>
        <v>0</v>
      </c>
      <c r="G490" s="153" t="str">
        <f t="shared" si="15"/>
        <v>OK</v>
      </c>
      <c r="H490" s="153" t="b">
        <v>1</v>
      </c>
    </row>
    <row r="491" spans="1:8" x14ac:dyDescent="0.3">
      <c r="A491" s="153" t="s">
        <v>2732</v>
      </c>
      <c r="B491" s="153" t="s">
        <v>2253</v>
      </c>
      <c r="C491" s="153" t="s">
        <v>2733</v>
      </c>
      <c r="D491" s="153">
        <v>-9593.021561359521</v>
      </c>
      <c r="E491" s="153">
        <v>-9593.021561359521</v>
      </c>
      <c r="F491" s="153">
        <f t="shared" si="14"/>
        <v>0</v>
      </c>
      <c r="G491" s="153" t="str">
        <f t="shared" si="15"/>
        <v>OK</v>
      </c>
      <c r="H491" s="153" t="b">
        <v>1</v>
      </c>
    </row>
    <row r="492" spans="1:8" x14ac:dyDescent="0.3">
      <c r="A492" s="153" t="s">
        <v>2734</v>
      </c>
      <c r="B492" s="153" t="s">
        <v>2253</v>
      </c>
      <c r="C492" s="153" t="s">
        <v>2735</v>
      </c>
      <c r="D492" s="153">
        <v>926286.07952478225</v>
      </c>
      <c r="E492" s="153">
        <v>926286.07952478225</v>
      </c>
      <c r="F492" s="153">
        <f t="shared" si="14"/>
        <v>0</v>
      </c>
      <c r="G492" s="153" t="str">
        <f t="shared" si="15"/>
        <v>OK</v>
      </c>
      <c r="H492" s="153" t="b">
        <v>1</v>
      </c>
    </row>
    <row r="493" spans="1:8" x14ac:dyDescent="0.3">
      <c r="A493" s="153" t="s">
        <v>2736</v>
      </c>
      <c r="B493" s="153" t="s">
        <v>2253</v>
      </c>
      <c r="C493" s="153" t="s">
        <v>2737</v>
      </c>
      <c r="D493" s="153">
        <v>926286.07952478225</v>
      </c>
      <c r="E493" s="153">
        <v>926286.07952478225</v>
      </c>
      <c r="F493" s="153">
        <f t="shared" si="14"/>
        <v>0</v>
      </c>
      <c r="G493" s="153" t="str">
        <f t="shared" si="15"/>
        <v>OK</v>
      </c>
      <c r="H493" s="153" t="b">
        <v>1</v>
      </c>
    </row>
    <row r="494" spans="1:8" x14ac:dyDescent="0.3">
      <c r="A494" s="153" t="s">
        <v>2738</v>
      </c>
      <c r="B494" s="153" t="s">
        <v>2253</v>
      </c>
      <c r="C494" s="153" t="s">
        <v>2739</v>
      </c>
      <c r="D494" s="153">
        <v>7307.625</v>
      </c>
      <c r="E494" s="153">
        <v>7307.625</v>
      </c>
      <c r="F494" s="153">
        <f t="shared" si="14"/>
        <v>0</v>
      </c>
      <c r="G494" s="153" t="str">
        <f t="shared" si="15"/>
        <v>OK</v>
      </c>
      <c r="H494" s="153" t="b">
        <v>1</v>
      </c>
    </row>
    <row r="495" spans="1:8" x14ac:dyDescent="0.3">
      <c r="A495" s="153" t="s">
        <v>2740</v>
      </c>
      <c r="B495" s="153" t="s">
        <v>2253</v>
      </c>
      <c r="C495" s="153" t="s">
        <v>2741</v>
      </c>
      <c r="D495" s="153">
        <v>40213.199999999997</v>
      </c>
      <c r="E495" s="153">
        <v>40213.199999999997</v>
      </c>
      <c r="F495" s="153">
        <f t="shared" si="14"/>
        <v>0</v>
      </c>
      <c r="G495" s="153" t="str">
        <f t="shared" si="15"/>
        <v>OK</v>
      </c>
      <c r="H495" s="153" t="b">
        <v>1</v>
      </c>
    </row>
    <row r="496" spans="1:8" x14ac:dyDescent="0.3">
      <c r="A496" s="153" t="s">
        <v>2742</v>
      </c>
      <c r="B496" s="153" t="s">
        <v>2253</v>
      </c>
      <c r="C496" s="153" t="s">
        <v>2743</v>
      </c>
      <c r="D496" s="153">
        <v>973806.90452478221</v>
      </c>
      <c r="E496" s="153">
        <v>973806.90452478221</v>
      </c>
      <c r="F496" s="153">
        <f t="shared" si="14"/>
        <v>0</v>
      </c>
      <c r="G496" s="153" t="str">
        <f t="shared" si="15"/>
        <v>OK</v>
      </c>
      <c r="H496" s="153" t="b">
        <v>1</v>
      </c>
    </row>
    <row r="497" spans="1:8" x14ac:dyDescent="0.3">
      <c r="A497" s="153" t="s">
        <v>2744</v>
      </c>
      <c r="B497" s="153" t="s">
        <v>2253</v>
      </c>
      <c r="C497" s="153" t="s">
        <v>2745</v>
      </c>
      <c r="D497" s="153">
        <v>10000</v>
      </c>
      <c r="E497" s="153">
        <v>10000</v>
      </c>
      <c r="F497" s="153">
        <f t="shared" si="14"/>
        <v>0</v>
      </c>
      <c r="G497" s="153" t="str">
        <f t="shared" si="15"/>
        <v>OK</v>
      </c>
      <c r="H497" s="153" t="b">
        <v>1</v>
      </c>
    </row>
    <row r="498" spans="1:8" x14ac:dyDescent="0.3">
      <c r="A498" s="153" t="s">
        <v>2746</v>
      </c>
      <c r="B498" s="153" t="s">
        <v>2253</v>
      </c>
      <c r="C498" s="153" t="s">
        <v>2747</v>
      </c>
      <c r="D498" s="153">
        <v>963806.90452478221</v>
      </c>
      <c r="E498" s="153">
        <v>963806.90452478221</v>
      </c>
      <c r="F498" s="153">
        <f t="shared" si="14"/>
        <v>0</v>
      </c>
      <c r="G498" s="153" t="str">
        <f t="shared" si="15"/>
        <v>OK</v>
      </c>
      <c r="H498" s="153" t="b">
        <v>1</v>
      </c>
    </row>
    <row r="499" spans="1:8" x14ac:dyDescent="0.3">
      <c r="A499" s="153" t="s">
        <v>2748</v>
      </c>
      <c r="B499" s="153" t="s">
        <v>2253</v>
      </c>
      <c r="C499" s="153" t="s">
        <v>2749</v>
      </c>
      <c r="D499" s="153">
        <v>973806.90452478221</v>
      </c>
      <c r="E499" s="153">
        <v>973806.90452478221</v>
      </c>
      <c r="F499" s="153">
        <f t="shared" si="14"/>
        <v>0</v>
      </c>
      <c r="G499" s="153" t="str">
        <f t="shared" si="15"/>
        <v>OK</v>
      </c>
      <c r="H499" s="153" t="b">
        <v>1</v>
      </c>
    </row>
    <row r="500" spans="1:8" x14ac:dyDescent="0.3">
      <c r="A500" s="153" t="s">
        <v>2750</v>
      </c>
      <c r="B500" s="153" t="s">
        <v>2253</v>
      </c>
      <c r="C500" s="153" t="s">
        <v>2751</v>
      </c>
      <c r="D500" s="153">
        <v>0</v>
      </c>
      <c r="E500" s="153">
        <v>0</v>
      </c>
      <c r="F500" s="153">
        <f t="shared" si="14"/>
        <v>0</v>
      </c>
      <c r="G500" s="153" t="str">
        <f t="shared" si="15"/>
        <v>OK</v>
      </c>
      <c r="H500" s="153" t="b">
        <v>1</v>
      </c>
    </row>
    <row r="501" spans="1:8" x14ac:dyDescent="0.3">
      <c r="A501" s="153" t="s">
        <v>2752</v>
      </c>
      <c r="B501" s="153" t="s">
        <v>2253</v>
      </c>
      <c r="C501" s="153" t="s">
        <v>2753</v>
      </c>
      <c r="D501" s="153">
        <v>23</v>
      </c>
      <c r="E501" s="153">
        <v>23</v>
      </c>
      <c r="F501" s="153">
        <f t="shared" si="14"/>
        <v>0</v>
      </c>
      <c r="G501" s="153" t="str">
        <f t="shared" si="15"/>
        <v>OK</v>
      </c>
      <c r="H501" s="153" t="b">
        <v>1</v>
      </c>
    </row>
    <row r="502" spans="1:8" x14ac:dyDescent="0.3">
      <c r="A502" s="153" t="s">
        <v>2754</v>
      </c>
      <c r="B502" s="153" t="s">
        <v>2253</v>
      </c>
      <c r="C502" s="153" t="s">
        <v>2755</v>
      </c>
      <c r="D502" s="153">
        <v>10000</v>
      </c>
      <c r="E502" s="153">
        <v>10000</v>
      </c>
      <c r="F502" s="153">
        <f t="shared" si="14"/>
        <v>0</v>
      </c>
      <c r="G502" s="153" t="str">
        <f t="shared" si="15"/>
        <v>OK</v>
      </c>
      <c r="H502" s="153" t="b">
        <v>1</v>
      </c>
    </row>
    <row r="503" spans="1:8" x14ac:dyDescent="0.3">
      <c r="A503" s="153" t="s">
        <v>2756</v>
      </c>
      <c r="B503" s="153" t="s">
        <v>2253</v>
      </c>
      <c r="C503" s="153" t="s">
        <v>2757</v>
      </c>
      <c r="D503" s="153">
        <v>3</v>
      </c>
      <c r="E503" s="153">
        <v>3</v>
      </c>
      <c r="F503" s="153">
        <f t="shared" si="14"/>
        <v>0</v>
      </c>
      <c r="G503" s="153" t="str">
        <f t="shared" si="15"/>
        <v>OK</v>
      </c>
      <c r="H503" s="153" t="b">
        <v>1</v>
      </c>
    </row>
    <row r="504" spans="1:8" x14ac:dyDescent="0.3">
      <c r="A504" s="153" t="s">
        <v>2758</v>
      </c>
      <c r="B504" s="153" t="s">
        <v>2253</v>
      </c>
      <c r="C504" s="153" t="s">
        <v>2759</v>
      </c>
      <c r="D504" s="153">
        <v>1.6355156135956391E-2</v>
      </c>
      <c r="E504" s="153">
        <v>1.6355156135956391E-2</v>
      </c>
      <c r="F504" s="153">
        <f t="shared" si="14"/>
        <v>0</v>
      </c>
      <c r="G504" s="153" t="str">
        <f t="shared" si="15"/>
        <v>OK</v>
      </c>
      <c r="H504" s="153" t="b">
        <v>1</v>
      </c>
    </row>
    <row r="505" spans="1:8" x14ac:dyDescent="0.3">
      <c r="A505" s="153" t="s">
        <v>2760</v>
      </c>
      <c r="B505" s="153" t="s">
        <v>2253</v>
      </c>
      <c r="C505" s="153" t="s">
        <v>2761</v>
      </c>
      <c r="D505" s="153">
        <v>163.55156135956389</v>
      </c>
      <c r="E505" s="153">
        <v>163.55156135956389</v>
      </c>
      <c r="F505" s="153">
        <f t="shared" si="14"/>
        <v>0</v>
      </c>
      <c r="G505" s="153" t="str">
        <f t="shared" si="15"/>
        <v>OK</v>
      </c>
      <c r="H505" s="153" t="b">
        <v>1</v>
      </c>
    </row>
  </sheetData>
  <autoFilter ref="A1:H505" xr:uid="{00000000-0009-0000-0000-00000F000000}"/>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1009"/>
  <sheetViews>
    <sheetView workbookViewId="0">
      <pane xSplit="3" ySplit="1" topLeftCell="D2" activePane="bottomRight" state="frozen"/>
      <selection pane="topRight"/>
      <selection pane="bottomLeft"/>
      <selection pane="bottomRight"/>
    </sheetView>
  </sheetViews>
  <sheetFormatPr baseColWidth="10" defaultColWidth="8.88671875" defaultRowHeight="14.4" x14ac:dyDescent="0.3"/>
  <cols>
    <col min="1" max="1" width="42" customWidth="1"/>
    <col min="2" max="2" width="28" customWidth="1"/>
    <col min="3" max="3" width="14" customWidth="1"/>
    <col min="4" max="5" width="24" customWidth="1"/>
    <col min="6" max="6" width="20" customWidth="1"/>
    <col min="7" max="7" width="22" customWidth="1"/>
  </cols>
  <sheetData>
    <row r="1" spans="1:8" x14ac:dyDescent="0.3">
      <c r="A1" s="154" t="s">
        <v>653</v>
      </c>
      <c r="B1" s="154" t="s">
        <v>654</v>
      </c>
      <c r="C1" s="154" t="s">
        <v>655</v>
      </c>
      <c r="D1" s="154" t="s">
        <v>656</v>
      </c>
      <c r="E1" s="154" t="s">
        <v>657</v>
      </c>
      <c r="F1" s="154" t="s">
        <v>658</v>
      </c>
      <c r="G1" s="154" t="s">
        <v>659</v>
      </c>
      <c r="H1" s="154" t="s">
        <v>660</v>
      </c>
    </row>
    <row r="2" spans="1:8" x14ac:dyDescent="0.3">
      <c r="A2" s="153" t="s">
        <v>1351</v>
      </c>
      <c r="B2" s="153" t="s">
        <v>2762</v>
      </c>
      <c r="C2" s="153" t="s">
        <v>1353</v>
      </c>
      <c r="D2" s="153">
        <v>4</v>
      </c>
      <c r="E2" s="153">
        <v>4</v>
      </c>
      <c r="F2" s="153">
        <f t="shared" ref="F2:F65" si="0">IF(NOT(H2),"",IF(AND(ISNUMBER(D2),ISNUMBER(E2)),E2-D2,IF(D2=E2,0,1)))</f>
        <v>0</v>
      </c>
      <c r="G2" s="153" t="str">
        <f t="shared" ref="G2:G65" si="1">IF(NOT(H2),"PENDIENTE SIDE",IF(IF(AND(ISNUMBER(D2),ISNUMBER(E2)),IF(MOD(D2,1)=0,D2=E2,ABS(D2-E2)&lt;=0.000000001*MAX(1,ABS(D2),ABS(E2))),D2=E2),"OK","DIFERENCIA"))</f>
        <v>OK</v>
      </c>
      <c r="H2" s="153" t="b">
        <v>1</v>
      </c>
    </row>
    <row r="3" spans="1:8" x14ac:dyDescent="0.3">
      <c r="A3" s="153" t="s">
        <v>1354</v>
      </c>
      <c r="B3" s="153" t="s">
        <v>2762</v>
      </c>
      <c r="C3" s="153" t="s">
        <v>1355</v>
      </c>
      <c r="D3" s="153">
        <v>14</v>
      </c>
      <c r="E3" s="153">
        <v>14</v>
      </c>
      <c r="F3" s="153">
        <f t="shared" si="0"/>
        <v>0</v>
      </c>
      <c r="G3" s="153" t="str">
        <f t="shared" si="1"/>
        <v>OK</v>
      </c>
      <c r="H3" s="153" t="b">
        <v>1</v>
      </c>
    </row>
    <row r="4" spans="1:8" x14ac:dyDescent="0.3">
      <c r="A4" s="153" t="s">
        <v>1356</v>
      </c>
      <c r="B4" s="153" t="s">
        <v>2762</v>
      </c>
      <c r="C4" s="153" t="s">
        <v>1357</v>
      </c>
      <c r="D4" s="153">
        <v>5</v>
      </c>
      <c r="E4" s="153">
        <v>5</v>
      </c>
      <c r="F4" s="153">
        <f t="shared" si="0"/>
        <v>0</v>
      </c>
      <c r="G4" s="153" t="str">
        <f t="shared" si="1"/>
        <v>OK</v>
      </c>
      <c r="H4" s="153" t="b">
        <v>1</v>
      </c>
    </row>
    <row r="5" spans="1:8" x14ac:dyDescent="0.3">
      <c r="A5" s="153" t="s">
        <v>1358</v>
      </c>
      <c r="B5" s="153" t="s">
        <v>2762</v>
      </c>
      <c r="C5" s="153" t="s">
        <v>1359</v>
      </c>
      <c r="D5" s="153">
        <v>0</v>
      </c>
      <c r="E5" s="153">
        <v>0</v>
      </c>
      <c r="F5" s="153">
        <f t="shared" si="0"/>
        <v>0</v>
      </c>
      <c r="G5" s="153" t="str">
        <f t="shared" si="1"/>
        <v>OK</v>
      </c>
      <c r="H5" s="153" t="b">
        <v>1</v>
      </c>
    </row>
    <row r="6" spans="1:8" x14ac:dyDescent="0.3">
      <c r="A6" s="153" t="s">
        <v>1360</v>
      </c>
      <c r="B6" s="153" t="s">
        <v>2762</v>
      </c>
      <c r="C6" s="153" t="s">
        <v>1361</v>
      </c>
      <c r="D6" s="153">
        <v>5</v>
      </c>
      <c r="E6" s="153">
        <v>5</v>
      </c>
      <c r="F6" s="153">
        <f t="shared" si="0"/>
        <v>0</v>
      </c>
      <c r="G6" s="153" t="str">
        <f t="shared" si="1"/>
        <v>OK</v>
      </c>
      <c r="H6" s="153" t="b">
        <v>1</v>
      </c>
    </row>
    <row r="7" spans="1:8" x14ac:dyDescent="0.3">
      <c r="A7" s="153" t="s">
        <v>1362</v>
      </c>
      <c r="B7" s="153" t="s">
        <v>2762</v>
      </c>
      <c r="C7" s="153" t="s">
        <v>1363</v>
      </c>
      <c r="D7" s="153">
        <v>120</v>
      </c>
      <c r="E7" s="153">
        <v>120</v>
      </c>
      <c r="F7" s="153">
        <f t="shared" si="0"/>
        <v>0</v>
      </c>
      <c r="G7" s="153" t="str">
        <f t="shared" si="1"/>
        <v>OK</v>
      </c>
      <c r="H7" s="153" t="b">
        <v>1</v>
      </c>
    </row>
    <row r="8" spans="1:8" x14ac:dyDescent="0.3">
      <c r="A8" s="153" t="s">
        <v>1364</v>
      </c>
      <c r="B8" s="153" t="s">
        <v>2762</v>
      </c>
      <c r="C8" s="153" t="s">
        <v>1365</v>
      </c>
      <c r="D8" s="153">
        <v>0.94000000000000006</v>
      </c>
      <c r="E8" s="153">
        <v>0.94000000000000006</v>
      </c>
      <c r="F8" s="153">
        <f t="shared" si="0"/>
        <v>0</v>
      </c>
      <c r="G8" s="153" t="str">
        <f t="shared" si="1"/>
        <v>OK</v>
      </c>
      <c r="H8" s="153" t="b">
        <v>1</v>
      </c>
    </row>
    <row r="9" spans="1:8" x14ac:dyDescent="0.3">
      <c r="A9" s="153" t="s">
        <v>1366</v>
      </c>
      <c r="B9" s="153" t="s">
        <v>2762</v>
      </c>
      <c r="C9" s="153" t="s">
        <v>1367</v>
      </c>
      <c r="D9" s="153">
        <v>113</v>
      </c>
      <c r="E9" s="153">
        <v>113</v>
      </c>
      <c r="F9" s="153">
        <f t="shared" si="0"/>
        <v>0</v>
      </c>
      <c r="G9" s="153" t="str">
        <f t="shared" si="1"/>
        <v>OK</v>
      </c>
      <c r="H9" s="153" t="b">
        <v>1</v>
      </c>
    </row>
    <row r="10" spans="1:8" x14ac:dyDescent="0.3">
      <c r="A10" s="153" t="s">
        <v>1368</v>
      </c>
      <c r="B10" s="153" t="s">
        <v>2762</v>
      </c>
      <c r="C10" s="153" t="s">
        <v>1369</v>
      </c>
      <c r="D10" s="153">
        <v>113</v>
      </c>
      <c r="E10" s="153">
        <v>113</v>
      </c>
      <c r="F10" s="153">
        <f t="shared" si="0"/>
        <v>0</v>
      </c>
      <c r="G10" s="153" t="str">
        <f t="shared" si="1"/>
        <v>OK</v>
      </c>
      <c r="H10" s="153" t="b">
        <v>1</v>
      </c>
    </row>
    <row r="11" spans="1:8" x14ac:dyDescent="0.3">
      <c r="A11" s="153" t="s">
        <v>1370</v>
      </c>
      <c r="B11" s="153" t="s">
        <v>2762</v>
      </c>
      <c r="C11" s="153" t="s">
        <v>1371</v>
      </c>
      <c r="D11" s="153">
        <v>33.9</v>
      </c>
      <c r="E11" s="153">
        <v>33.9</v>
      </c>
      <c r="F11" s="153">
        <f t="shared" si="0"/>
        <v>0</v>
      </c>
      <c r="G11" s="153" t="str">
        <f t="shared" si="1"/>
        <v>OK</v>
      </c>
      <c r="H11" s="153" t="b">
        <v>1</v>
      </c>
    </row>
    <row r="12" spans="1:8" x14ac:dyDescent="0.3">
      <c r="A12" s="153" t="s">
        <v>1372</v>
      </c>
      <c r="B12" s="153" t="s">
        <v>2762</v>
      </c>
      <c r="C12" s="153" t="s">
        <v>1373</v>
      </c>
      <c r="D12" s="153">
        <v>113</v>
      </c>
      <c r="E12" s="153">
        <v>113</v>
      </c>
      <c r="F12" s="153">
        <f t="shared" si="0"/>
        <v>0</v>
      </c>
      <c r="G12" s="153" t="str">
        <f t="shared" si="1"/>
        <v>OK</v>
      </c>
      <c r="H12" s="153" t="b">
        <v>1</v>
      </c>
    </row>
    <row r="13" spans="1:8" x14ac:dyDescent="0.3">
      <c r="A13" s="153" t="s">
        <v>1374</v>
      </c>
      <c r="B13" s="153" t="s">
        <v>2762</v>
      </c>
      <c r="C13" s="153" t="s">
        <v>1375</v>
      </c>
      <c r="D13" s="153">
        <v>678</v>
      </c>
      <c r="E13" s="153">
        <v>678</v>
      </c>
      <c r="F13" s="153">
        <f t="shared" si="0"/>
        <v>0</v>
      </c>
      <c r="G13" s="153" t="str">
        <f t="shared" si="1"/>
        <v>OK</v>
      </c>
      <c r="H13" s="153" t="b">
        <v>1</v>
      </c>
    </row>
    <row r="14" spans="1:8" x14ac:dyDescent="0.3">
      <c r="A14" s="153" t="s">
        <v>1376</v>
      </c>
      <c r="B14" s="153" t="s">
        <v>2762</v>
      </c>
      <c r="C14" s="153" t="s">
        <v>1377</v>
      </c>
      <c r="D14" s="153">
        <v>11106.32</v>
      </c>
      <c r="E14" s="153">
        <v>11106.32</v>
      </c>
      <c r="F14" s="153">
        <f t="shared" si="0"/>
        <v>0</v>
      </c>
      <c r="G14" s="153" t="str">
        <f t="shared" si="1"/>
        <v>OK</v>
      </c>
      <c r="H14" s="153" t="b">
        <v>1</v>
      </c>
    </row>
    <row r="15" spans="1:8" x14ac:dyDescent="0.3">
      <c r="A15" s="153" t="s">
        <v>1378</v>
      </c>
      <c r="B15" s="153" t="s">
        <v>2762</v>
      </c>
      <c r="C15" s="153" t="s">
        <v>1379</v>
      </c>
      <c r="D15" s="153">
        <v>2322.372836</v>
      </c>
      <c r="E15" s="153">
        <v>2322.372836</v>
      </c>
      <c r="F15" s="153">
        <f t="shared" si="0"/>
        <v>0</v>
      </c>
      <c r="G15" s="153" t="str">
        <f t="shared" si="1"/>
        <v>OK</v>
      </c>
      <c r="H15" s="153" t="b">
        <v>1</v>
      </c>
    </row>
    <row r="16" spans="1:8" x14ac:dyDescent="0.3">
      <c r="A16" s="153" t="s">
        <v>1380</v>
      </c>
      <c r="B16" s="153" t="s">
        <v>2762</v>
      </c>
      <c r="C16" s="153" t="s">
        <v>1381</v>
      </c>
      <c r="D16" s="153">
        <v>31.25</v>
      </c>
      <c r="E16" s="153">
        <v>31.25</v>
      </c>
      <c r="F16" s="153">
        <f t="shared" si="0"/>
        <v>0</v>
      </c>
      <c r="G16" s="153" t="str">
        <f t="shared" si="1"/>
        <v>OK</v>
      </c>
      <c r="H16" s="153" t="b">
        <v>1</v>
      </c>
    </row>
    <row r="17" spans="1:8" x14ac:dyDescent="0.3">
      <c r="A17" s="153" t="s">
        <v>1382</v>
      </c>
      <c r="B17" s="153" t="s">
        <v>2762</v>
      </c>
      <c r="C17" s="153" t="s">
        <v>1383</v>
      </c>
      <c r="D17" s="153">
        <v>64.125</v>
      </c>
      <c r="E17" s="153">
        <v>64.125</v>
      </c>
      <c r="F17" s="153">
        <f t="shared" si="0"/>
        <v>0</v>
      </c>
      <c r="G17" s="153" t="str">
        <f t="shared" si="1"/>
        <v>OK</v>
      </c>
      <c r="H17" s="153" t="b">
        <v>1</v>
      </c>
    </row>
    <row r="18" spans="1:8" x14ac:dyDescent="0.3">
      <c r="A18" s="153" t="s">
        <v>1384</v>
      </c>
      <c r="B18" s="153" t="s">
        <v>2762</v>
      </c>
      <c r="C18" s="153" t="s">
        <v>1385</v>
      </c>
      <c r="D18" s="153">
        <v>0</v>
      </c>
      <c r="E18" s="153">
        <v>0</v>
      </c>
      <c r="F18" s="153">
        <f t="shared" si="0"/>
        <v>0</v>
      </c>
      <c r="G18" s="153" t="str">
        <f t="shared" si="1"/>
        <v>OK</v>
      </c>
      <c r="H18" s="153" t="b">
        <v>1</v>
      </c>
    </row>
    <row r="19" spans="1:8" x14ac:dyDescent="0.3">
      <c r="A19" s="153" t="s">
        <v>1386</v>
      </c>
      <c r="B19" s="153" t="s">
        <v>2762</v>
      </c>
      <c r="C19" s="153" t="s">
        <v>1387</v>
      </c>
      <c r="D19" s="153">
        <v>0</v>
      </c>
      <c r="E19" s="153">
        <v>0</v>
      </c>
      <c r="F19" s="153">
        <f t="shared" si="0"/>
        <v>0</v>
      </c>
      <c r="G19" s="153" t="str">
        <f t="shared" si="1"/>
        <v>OK</v>
      </c>
      <c r="H19" s="153" t="b">
        <v>1</v>
      </c>
    </row>
    <row r="20" spans="1:8" x14ac:dyDescent="0.3">
      <c r="A20" s="153" t="s">
        <v>1388</v>
      </c>
      <c r="B20" s="153" t="s">
        <v>2762</v>
      </c>
      <c r="C20" s="153" t="s">
        <v>1391</v>
      </c>
      <c r="D20" s="153">
        <v>38</v>
      </c>
      <c r="E20" s="153">
        <v>38</v>
      </c>
      <c r="F20" s="153">
        <f t="shared" si="0"/>
        <v>0</v>
      </c>
      <c r="G20" s="153" t="str">
        <f t="shared" si="1"/>
        <v>OK</v>
      </c>
      <c r="H20" s="153" t="b">
        <v>1</v>
      </c>
    </row>
    <row r="21" spans="1:8" x14ac:dyDescent="0.3">
      <c r="A21" s="153" t="s">
        <v>1390</v>
      </c>
      <c r="B21" s="153" t="s">
        <v>2762</v>
      </c>
      <c r="C21" s="153" t="s">
        <v>1393</v>
      </c>
      <c r="D21" s="153">
        <v>38</v>
      </c>
      <c r="E21" s="153">
        <v>38</v>
      </c>
      <c r="F21" s="153">
        <f t="shared" si="0"/>
        <v>0</v>
      </c>
      <c r="G21" s="153" t="str">
        <f t="shared" si="1"/>
        <v>OK</v>
      </c>
      <c r="H21" s="153" t="b">
        <v>1</v>
      </c>
    </row>
    <row r="22" spans="1:8" x14ac:dyDescent="0.3">
      <c r="A22" s="153" t="s">
        <v>1392</v>
      </c>
      <c r="B22" s="153" t="s">
        <v>2762</v>
      </c>
      <c r="C22" s="153" t="s">
        <v>1395</v>
      </c>
      <c r="D22" s="153">
        <v>38</v>
      </c>
      <c r="E22" s="153">
        <v>38</v>
      </c>
      <c r="F22" s="153">
        <f t="shared" si="0"/>
        <v>0</v>
      </c>
      <c r="G22" s="153" t="str">
        <f t="shared" si="1"/>
        <v>OK</v>
      </c>
      <c r="H22" s="153" t="b">
        <v>1</v>
      </c>
    </row>
    <row r="23" spans="1:8" x14ac:dyDescent="0.3">
      <c r="A23" s="153" t="s">
        <v>1394</v>
      </c>
      <c r="B23" s="153" t="s">
        <v>2762</v>
      </c>
      <c r="C23" s="153" t="s">
        <v>1397</v>
      </c>
      <c r="D23" s="153">
        <v>1520</v>
      </c>
      <c r="E23" s="153">
        <v>1520</v>
      </c>
      <c r="F23" s="153">
        <f t="shared" si="0"/>
        <v>0</v>
      </c>
      <c r="G23" s="153" t="str">
        <f t="shared" si="1"/>
        <v>OK</v>
      </c>
      <c r="H23" s="153" t="b">
        <v>1</v>
      </c>
    </row>
    <row r="24" spans="1:8" x14ac:dyDescent="0.3">
      <c r="A24" s="153" t="s">
        <v>1396</v>
      </c>
      <c r="B24" s="153" t="s">
        <v>2762</v>
      </c>
      <c r="C24" s="153" t="s">
        <v>2254</v>
      </c>
      <c r="D24" s="153">
        <v>75</v>
      </c>
      <c r="E24" s="153">
        <v>75</v>
      </c>
      <c r="F24" s="153">
        <f t="shared" si="0"/>
        <v>0</v>
      </c>
      <c r="G24" s="153" t="str">
        <f t="shared" si="1"/>
        <v>OK</v>
      </c>
      <c r="H24" s="153" t="b">
        <v>1</v>
      </c>
    </row>
    <row r="25" spans="1:8" x14ac:dyDescent="0.3">
      <c r="A25" s="153" t="s">
        <v>1398</v>
      </c>
      <c r="B25" s="153" t="s">
        <v>2762</v>
      </c>
      <c r="C25" s="153" t="s">
        <v>1399</v>
      </c>
      <c r="D25" s="153">
        <v>150</v>
      </c>
      <c r="E25" s="153">
        <v>150</v>
      </c>
      <c r="F25" s="153">
        <f t="shared" si="0"/>
        <v>0</v>
      </c>
      <c r="G25" s="153" t="str">
        <f t="shared" si="1"/>
        <v>OK</v>
      </c>
      <c r="H25" s="153" t="b">
        <v>1</v>
      </c>
    </row>
    <row r="26" spans="1:8" x14ac:dyDescent="0.3">
      <c r="A26" s="153" t="s">
        <v>1400</v>
      </c>
      <c r="B26" s="153" t="s">
        <v>2762</v>
      </c>
      <c r="C26" s="153" t="s">
        <v>1401</v>
      </c>
      <c r="D26" s="153">
        <v>2137.7208849557519</v>
      </c>
      <c r="E26" s="153">
        <v>2137.7208849557519</v>
      </c>
      <c r="F26" s="153">
        <f t="shared" si="0"/>
        <v>0</v>
      </c>
      <c r="G26" s="153" t="str">
        <f t="shared" si="1"/>
        <v>OK</v>
      </c>
      <c r="H26" s="153" t="b">
        <v>1</v>
      </c>
    </row>
    <row r="27" spans="1:8" x14ac:dyDescent="0.3">
      <c r="A27" s="153" t="s">
        <v>1402</v>
      </c>
      <c r="B27" s="153" t="s">
        <v>2762</v>
      </c>
      <c r="C27" s="153" t="s">
        <v>1403</v>
      </c>
      <c r="D27" s="153">
        <v>0</v>
      </c>
      <c r="E27" s="153">
        <v>0</v>
      </c>
      <c r="F27" s="153">
        <f t="shared" si="0"/>
        <v>0</v>
      </c>
      <c r="G27" s="153" t="str">
        <f t="shared" si="1"/>
        <v>OK</v>
      </c>
      <c r="H27" s="153" t="b">
        <v>1</v>
      </c>
    </row>
    <row r="28" spans="1:8" x14ac:dyDescent="0.3">
      <c r="A28" s="153" t="s">
        <v>1404</v>
      </c>
      <c r="B28" s="153" t="s">
        <v>2762</v>
      </c>
      <c r="C28" s="153" t="s">
        <v>1405</v>
      </c>
      <c r="D28" s="153">
        <v>1500</v>
      </c>
      <c r="E28" s="153">
        <v>1500</v>
      </c>
      <c r="F28" s="153">
        <f t="shared" si="0"/>
        <v>0</v>
      </c>
      <c r="G28" s="153" t="str">
        <f t="shared" si="1"/>
        <v>OK</v>
      </c>
      <c r="H28" s="153" t="b">
        <v>1</v>
      </c>
    </row>
    <row r="29" spans="1:8" x14ac:dyDescent="0.3">
      <c r="A29" s="153" t="s">
        <v>1406</v>
      </c>
      <c r="B29" s="153" t="s">
        <v>2762</v>
      </c>
      <c r="C29" s="153" t="s">
        <v>1407</v>
      </c>
      <c r="D29" s="153">
        <v>17311.788720955748</v>
      </c>
      <c r="E29" s="153">
        <v>17311.788720955748</v>
      </c>
      <c r="F29" s="153">
        <f t="shared" si="0"/>
        <v>0</v>
      </c>
      <c r="G29" s="153" t="str">
        <f t="shared" si="1"/>
        <v>OK</v>
      </c>
      <c r="H29" s="153" t="b">
        <v>1</v>
      </c>
    </row>
    <row r="30" spans="1:8" x14ac:dyDescent="0.3">
      <c r="A30" s="153" t="s">
        <v>1408</v>
      </c>
      <c r="B30" s="153" t="s">
        <v>2762</v>
      </c>
      <c r="C30" s="153" t="s">
        <v>1409</v>
      </c>
      <c r="D30" s="153">
        <v>-15791.78872095575</v>
      </c>
      <c r="E30" s="153">
        <v>-15791.78872095575</v>
      </c>
      <c r="F30" s="153">
        <f t="shared" si="0"/>
        <v>0</v>
      </c>
      <c r="G30" s="153" t="str">
        <f t="shared" si="1"/>
        <v>OK</v>
      </c>
      <c r="H30" s="153" t="b">
        <v>1</v>
      </c>
    </row>
    <row r="31" spans="1:8" x14ac:dyDescent="0.3">
      <c r="A31" s="153" t="s">
        <v>1410</v>
      </c>
      <c r="B31" s="153" t="s">
        <v>2762</v>
      </c>
      <c r="C31" s="153" t="s">
        <v>1411</v>
      </c>
      <c r="D31" s="153">
        <v>0</v>
      </c>
      <c r="E31" s="153">
        <v>0</v>
      </c>
      <c r="F31" s="153">
        <f t="shared" si="0"/>
        <v>0</v>
      </c>
      <c r="G31" s="153" t="str">
        <f t="shared" si="1"/>
        <v>OK</v>
      </c>
      <c r="H31" s="153" t="b">
        <v>1</v>
      </c>
    </row>
    <row r="32" spans="1:8" x14ac:dyDescent="0.3">
      <c r="A32" s="153" t="s">
        <v>1412</v>
      </c>
      <c r="B32" s="153" t="s">
        <v>2762</v>
      </c>
      <c r="C32" s="153" t="s">
        <v>1413</v>
      </c>
      <c r="D32" s="153">
        <v>3</v>
      </c>
      <c r="E32" s="153">
        <v>3</v>
      </c>
      <c r="F32" s="153">
        <f t="shared" si="0"/>
        <v>0</v>
      </c>
      <c r="G32" s="153" t="str">
        <f t="shared" si="1"/>
        <v>OK</v>
      </c>
      <c r="H32" s="153" t="b">
        <v>1</v>
      </c>
    </row>
    <row r="33" spans="1:8" x14ac:dyDescent="0.3">
      <c r="A33" s="153" t="s">
        <v>1414</v>
      </c>
      <c r="B33" s="153" t="s">
        <v>2762</v>
      </c>
      <c r="C33" s="153" t="s">
        <v>1415</v>
      </c>
      <c r="D33" s="153">
        <v>266.10000000000002</v>
      </c>
      <c r="E33" s="153">
        <v>266.10000000000002</v>
      </c>
      <c r="F33" s="153">
        <f t="shared" si="0"/>
        <v>0</v>
      </c>
      <c r="G33" s="153" t="str">
        <f t="shared" si="1"/>
        <v>OK</v>
      </c>
      <c r="H33" s="153" t="b">
        <v>1</v>
      </c>
    </row>
    <row r="34" spans="1:8" x14ac:dyDescent="0.3">
      <c r="A34" s="153" t="s">
        <v>1416</v>
      </c>
      <c r="B34" s="153" t="s">
        <v>2762</v>
      </c>
      <c r="C34" s="153" t="s">
        <v>1417</v>
      </c>
      <c r="D34" s="153">
        <v>0</v>
      </c>
      <c r="E34" s="153">
        <v>0</v>
      </c>
      <c r="F34" s="153">
        <f t="shared" si="0"/>
        <v>0</v>
      </c>
      <c r="G34" s="153" t="str">
        <f t="shared" si="1"/>
        <v>OK</v>
      </c>
      <c r="H34" s="153" t="b">
        <v>1</v>
      </c>
    </row>
    <row r="35" spans="1:8" x14ac:dyDescent="0.3">
      <c r="A35" s="153" t="s">
        <v>1418</v>
      </c>
      <c r="B35" s="153" t="s">
        <v>2762</v>
      </c>
      <c r="C35" s="153" t="s">
        <v>1419</v>
      </c>
      <c r="D35" s="153">
        <v>0</v>
      </c>
      <c r="E35" s="153">
        <v>0</v>
      </c>
      <c r="F35" s="153">
        <f t="shared" si="0"/>
        <v>0</v>
      </c>
      <c r="G35" s="153" t="str">
        <f t="shared" si="1"/>
        <v>OK</v>
      </c>
      <c r="H35" s="153" t="b">
        <v>1</v>
      </c>
    </row>
    <row r="36" spans="1:8" x14ac:dyDescent="0.3">
      <c r="A36" s="153" t="s">
        <v>1420</v>
      </c>
      <c r="B36" s="153" t="s">
        <v>2762</v>
      </c>
      <c r="C36" s="153" t="s">
        <v>1421</v>
      </c>
      <c r="D36" s="153">
        <v>887</v>
      </c>
      <c r="E36" s="153">
        <v>887</v>
      </c>
      <c r="F36" s="153">
        <f t="shared" si="0"/>
        <v>0</v>
      </c>
      <c r="G36" s="153" t="str">
        <f t="shared" si="1"/>
        <v>OK</v>
      </c>
      <c r="H36" s="153" t="b">
        <v>1</v>
      </c>
    </row>
    <row r="37" spans="1:8" x14ac:dyDescent="0.3">
      <c r="A37" s="153" t="s">
        <v>1422</v>
      </c>
      <c r="B37" s="153" t="s">
        <v>2762</v>
      </c>
      <c r="C37" s="153" t="s">
        <v>1423</v>
      </c>
      <c r="D37" s="153">
        <v>0</v>
      </c>
      <c r="E37" s="153">
        <v>0</v>
      </c>
      <c r="F37" s="153">
        <f t="shared" si="0"/>
        <v>0</v>
      </c>
      <c r="G37" s="153" t="str">
        <f t="shared" si="1"/>
        <v>OK</v>
      </c>
      <c r="H37" s="153" t="b">
        <v>1</v>
      </c>
    </row>
    <row r="38" spans="1:8" x14ac:dyDescent="0.3">
      <c r="A38" s="153" t="s">
        <v>1424</v>
      </c>
      <c r="B38" s="153" t="s">
        <v>2762</v>
      </c>
      <c r="C38" s="153" t="s">
        <v>1425</v>
      </c>
      <c r="D38" s="153">
        <v>5322</v>
      </c>
      <c r="E38" s="153">
        <v>5322</v>
      </c>
      <c r="F38" s="153">
        <f t="shared" si="0"/>
        <v>0</v>
      </c>
      <c r="G38" s="153" t="str">
        <f t="shared" si="1"/>
        <v>OK</v>
      </c>
      <c r="H38" s="153" t="b">
        <v>1</v>
      </c>
    </row>
    <row r="39" spans="1:8" x14ac:dyDescent="0.3">
      <c r="A39" s="153" t="s">
        <v>1426</v>
      </c>
      <c r="B39" s="153" t="s">
        <v>2762</v>
      </c>
      <c r="C39" s="153" t="s">
        <v>1427</v>
      </c>
      <c r="D39" s="153">
        <v>0</v>
      </c>
      <c r="E39" s="153">
        <v>0</v>
      </c>
      <c r="F39" s="153">
        <f t="shared" si="0"/>
        <v>0</v>
      </c>
      <c r="G39" s="153" t="str">
        <f t="shared" si="1"/>
        <v>OK</v>
      </c>
      <c r="H39" s="153" t="b">
        <v>1</v>
      </c>
    </row>
    <row r="40" spans="1:8" x14ac:dyDescent="0.3">
      <c r="A40" s="153" t="s">
        <v>1428</v>
      </c>
      <c r="B40" s="153" t="s">
        <v>2762</v>
      </c>
      <c r="C40" s="153" t="s">
        <v>1429</v>
      </c>
      <c r="D40" s="153">
        <v>0</v>
      </c>
      <c r="E40" s="153">
        <v>0</v>
      </c>
      <c r="F40" s="153">
        <f t="shared" si="0"/>
        <v>0</v>
      </c>
      <c r="G40" s="153" t="str">
        <f t="shared" si="1"/>
        <v>OK</v>
      </c>
      <c r="H40" s="153" t="b">
        <v>1</v>
      </c>
    </row>
    <row r="41" spans="1:8" x14ac:dyDescent="0.3">
      <c r="A41" s="153" t="s">
        <v>1430</v>
      </c>
      <c r="B41" s="153" t="s">
        <v>2762</v>
      </c>
      <c r="C41" s="153" t="s">
        <v>1431</v>
      </c>
      <c r="D41" s="153" t="b">
        <v>0</v>
      </c>
      <c r="E41" s="153" t="b">
        <v>0</v>
      </c>
      <c r="F41" s="153">
        <f t="shared" si="0"/>
        <v>0</v>
      </c>
      <c r="G41" s="153" t="str">
        <f t="shared" si="1"/>
        <v>OK</v>
      </c>
      <c r="H41" s="153" t="b">
        <v>1</v>
      </c>
    </row>
    <row r="42" spans="1:8" x14ac:dyDescent="0.3">
      <c r="A42" s="153" t="s">
        <v>1432</v>
      </c>
      <c r="B42" s="153" t="s">
        <v>2762</v>
      </c>
      <c r="C42" s="153" t="s">
        <v>1433</v>
      </c>
      <c r="D42" s="153" t="b">
        <v>0</v>
      </c>
      <c r="E42" s="153" t="b">
        <v>0</v>
      </c>
      <c r="F42" s="153">
        <f t="shared" si="0"/>
        <v>0</v>
      </c>
      <c r="G42" s="153" t="str">
        <f t="shared" si="1"/>
        <v>OK</v>
      </c>
      <c r="H42" s="153" t="b">
        <v>1</v>
      </c>
    </row>
    <row r="43" spans="1:8" x14ac:dyDescent="0.3">
      <c r="A43" s="153" t="s">
        <v>1434</v>
      </c>
      <c r="B43" s="153" t="s">
        <v>2762</v>
      </c>
      <c r="C43" s="153" t="s">
        <v>1435</v>
      </c>
      <c r="D43" s="153" t="b">
        <v>0</v>
      </c>
      <c r="E43" s="153" t="b">
        <v>0</v>
      </c>
      <c r="F43" s="153">
        <f t="shared" si="0"/>
        <v>0</v>
      </c>
      <c r="G43" s="153" t="str">
        <f t="shared" si="1"/>
        <v>OK</v>
      </c>
      <c r="H43" s="153" t="b">
        <v>1</v>
      </c>
    </row>
    <row r="44" spans="1:8" x14ac:dyDescent="0.3">
      <c r="A44" s="153" t="s">
        <v>1436</v>
      </c>
      <c r="B44" s="153" t="s">
        <v>2762</v>
      </c>
      <c r="C44" s="153" t="s">
        <v>1437</v>
      </c>
      <c r="D44" s="153" t="b">
        <v>0</v>
      </c>
      <c r="E44" s="153" t="b">
        <v>0</v>
      </c>
      <c r="F44" s="153">
        <f t="shared" si="0"/>
        <v>0</v>
      </c>
      <c r="G44" s="153" t="str">
        <f t="shared" si="1"/>
        <v>OK</v>
      </c>
      <c r="H44" s="153" t="b">
        <v>1</v>
      </c>
    </row>
    <row r="45" spans="1:8" x14ac:dyDescent="0.3">
      <c r="A45" s="153" t="s">
        <v>1438</v>
      </c>
      <c r="B45" s="153" t="s">
        <v>2762</v>
      </c>
      <c r="C45" s="153" t="s">
        <v>1439</v>
      </c>
      <c r="D45" s="153" t="b">
        <v>1</v>
      </c>
      <c r="E45" s="153" t="b">
        <v>1</v>
      </c>
      <c r="F45" s="153">
        <f t="shared" si="0"/>
        <v>0</v>
      </c>
      <c r="G45" s="153" t="str">
        <f t="shared" si="1"/>
        <v>OK</v>
      </c>
      <c r="H45" s="153" t="b">
        <v>1</v>
      </c>
    </row>
    <row r="46" spans="1:8" x14ac:dyDescent="0.3">
      <c r="A46" s="153" t="s">
        <v>1440</v>
      </c>
      <c r="B46" s="153" t="s">
        <v>2762</v>
      </c>
      <c r="C46" s="153" t="s">
        <v>1441</v>
      </c>
      <c r="D46" s="153" t="b">
        <v>1</v>
      </c>
      <c r="E46" s="153" t="b">
        <v>1</v>
      </c>
      <c r="F46" s="153">
        <f t="shared" si="0"/>
        <v>0</v>
      </c>
      <c r="G46" s="153" t="str">
        <f t="shared" si="1"/>
        <v>OK</v>
      </c>
      <c r="H46" s="153" t="b">
        <v>1</v>
      </c>
    </row>
    <row r="47" spans="1:8" x14ac:dyDescent="0.3">
      <c r="A47" s="153" t="s">
        <v>1442</v>
      </c>
      <c r="B47" s="153" t="s">
        <v>2762</v>
      </c>
      <c r="C47" s="153" t="s">
        <v>1443</v>
      </c>
      <c r="D47" s="153" t="b">
        <v>1</v>
      </c>
      <c r="E47" s="153" t="b">
        <v>1</v>
      </c>
      <c r="F47" s="153">
        <f t="shared" si="0"/>
        <v>0</v>
      </c>
      <c r="G47" s="153" t="str">
        <f t="shared" si="1"/>
        <v>OK</v>
      </c>
      <c r="H47" s="153" t="b">
        <v>1</v>
      </c>
    </row>
    <row r="48" spans="1:8" x14ac:dyDescent="0.3">
      <c r="A48" s="153" t="s">
        <v>1444</v>
      </c>
      <c r="B48" s="153" t="s">
        <v>2762</v>
      </c>
      <c r="C48" s="153" t="s">
        <v>1445</v>
      </c>
      <c r="D48" s="153" t="b">
        <v>0</v>
      </c>
      <c r="E48" s="153" t="b">
        <v>0</v>
      </c>
      <c r="F48" s="153">
        <f t="shared" si="0"/>
        <v>0</v>
      </c>
      <c r="G48" s="153" t="str">
        <f t="shared" si="1"/>
        <v>OK</v>
      </c>
      <c r="H48" s="153" t="b">
        <v>1</v>
      </c>
    </row>
    <row r="49" spans="1:8" x14ac:dyDescent="0.3">
      <c r="A49" s="153" t="s">
        <v>1446</v>
      </c>
      <c r="B49" s="153" t="s">
        <v>2762</v>
      </c>
      <c r="C49" s="153" t="s">
        <v>1447</v>
      </c>
      <c r="D49" s="153">
        <v>0</v>
      </c>
      <c r="E49" s="153">
        <v>0</v>
      </c>
      <c r="F49" s="153">
        <f t="shared" si="0"/>
        <v>0</v>
      </c>
      <c r="G49" s="153" t="str">
        <f t="shared" si="1"/>
        <v>OK</v>
      </c>
      <c r="H49" s="153" t="b">
        <v>1</v>
      </c>
    </row>
    <row r="50" spans="1:8" x14ac:dyDescent="0.3">
      <c r="A50" s="153" t="s">
        <v>1448</v>
      </c>
      <c r="B50" s="153" t="s">
        <v>2762</v>
      </c>
      <c r="C50" s="153" t="s">
        <v>1449</v>
      </c>
      <c r="D50" s="153">
        <v>20</v>
      </c>
      <c r="E50" s="153">
        <v>20</v>
      </c>
      <c r="F50" s="153">
        <f t="shared" si="0"/>
        <v>0</v>
      </c>
      <c r="G50" s="153" t="str">
        <f t="shared" si="1"/>
        <v>OK</v>
      </c>
      <c r="H50" s="153" t="b">
        <v>1</v>
      </c>
    </row>
    <row r="51" spans="1:8" x14ac:dyDescent="0.3">
      <c r="A51" s="153" t="s">
        <v>1450</v>
      </c>
      <c r="B51" s="153" t="s">
        <v>2762</v>
      </c>
      <c r="C51" s="153" t="s">
        <v>1451</v>
      </c>
      <c r="D51" s="153">
        <v>0</v>
      </c>
      <c r="E51" s="153">
        <v>0</v>
      </c>
      <c r="F51" s="153">
        <f t="shared" si="0"/>
        <v>0</v>
      </c>
      <c r="G51" s="153" t="str">
        <f t="shared" si="1"/>
        <v>OK</v>
      </c>
      <c r="H51" s="153" t="b">
        <v>1</v>
      </c>
    </row>
    <row r="52" spans="1:8" x14ac:dyDescent="0.3">
      <c r="A52" s="153" t="s">
        <v>1452</v>
      </c>
      <c r="B52" s="153" t="s">
        <v>2762</v>
      </c>
      <c r="C52" s="153" t="s">
        <v>1453</v>
      </c>
      <c r="D52" s="153">
        <v>3</v>
      </c>
      <c r="E52" s="153">
        <v>3</v>
      </c>
      <c r="F52" s="153">
        <f t="shared" si="0"/>
        <v>0</v>
      </c>
      <c r="G52" s="153" t="str">
        <f t="shared" si="1"/>
        <v>OK</v>
      </c>
      <c r="H52" s="153" t="b">
        <v>1</v>
      </c>
    </row>
    <row r="53" spans="1:8" x14ac:dyDescent="0.3">
      <c r="A53" s="153" t="s">
        <v>1454</v>
      </c>
      <c r="B53" s="153" t="s">
        <v>2762</v>
      </c>
      <c r="C53" s="153" t="s">
        <v>1455</v>
      </c>
      <c r="D53" s="153">
        <v>7</v>
      </c>
      <c r="E53" s="153">
        <v>7</v>
      </c>
      <c r="F53" s="153">
        <f t="shared" si="0"/>
        <v>0</v>
      </c>
      <c r="G53" s="153" t="str">
        <f t="shared" si="1"/>
        <v>OK</v>
      </c>
      <c r="H53" s="153" t="b">
        <v>1</v>
      </c>
    </row>
    <row r="54" spans="1:8" x14ac:dyDescent="0.3">
      <c r="A54" s="153" t="s">
        <v>1456</v>
      </c>
      <c r="B54" s="153" t="s">
        <v>2762</v>
      </c>
      <c r="C54" s="153" t="s">
        <v>1457</v>
      </c>
      <c r="D54" s="153">
        <v>18</v>
      </c>
      <c r="E54" s="153">
        <v>18</v>
      </c>
      <c r="F54" s="153">
        <f t="shared" si="0"/>
        <v>0</v>
      </c>
      <c r="G54" s="153" t="str">
        <f t="shared" si="1"/>
        <v>OK</v>
      </c>
      <c r="H54" s="153" t="b">
        <v>1</v>
      </c>
    </row>
    <row r="55" spans="1:8" x14ac:dyDescent="0.3">
      <c r="A55" s="153" t="s">
        <v>1458</v>
      </c>
      <c r="B55" s="153" t="s">
        <v>2762</v>
      </c>
      <c r="C55" s="153" t="s">
        <v>1459</v>
      </c>
      <c r="D55" s="153">
        <v>8</v>
      </c>
      <c r="E55" s="153">
        <v>8</v>
      </c>
      <c r="F55" s="153">
        <f t="shared" si="0"/>
        <v>0</v>
      </c>
      <c r="G55" s="153" t="str">
        <f t="shared" si="1"/>
        <v>OK</v>
      </c>
      <c r="H55" s="153" t="b">
        <v>1</v>
      </c>
    </row>
    <row r="56" spans="1:8" x14ac:dyDescent="0.3">
      <c r="A56" s="153" t="s">
        <v>1460</v>
      </c>
      <c r="B56" s="153" t="s">
        <v>2762</v>
      </c>
      <c r="C56" s="153" t="s">
        <v>1461</v>
      </c>
      <c r="D56" s="153">
        <v>-2</v>
      </c>
      <c r="E56" s="153">
        <v>-2</v>
      </c>
      <c r="F56" s="153">
        <f t="shared" si="0"/>
        <v>0</v>
      </c>
      <c r="G56" s="153" t="str">
        <f t="shared" si="1"/>
        <v>OK</v>
      </c>
      <c r="H56" s="153" t="b">
        <v>1</v>
      </c>
    </row>
    <row r="57" spans="1:8" x14ac:dyDescent="0.3">
      <c r="A57" s="153" t="s">
        <v>1462</v>
      </c>
      <c r="B57" s="153" t="s">
        <v>2762</v>
      </c>
      <c r="C57" s="153" t="s">
        <v>1463</v>
      </c>
      <c r="D57" s="153">
        <v>5</v>
      </c>
      <c r="E57" s="153">
        <v>5</v>
      </c>
      <c r="F57" s="153">
        <f t="shared" si="0"/>
        <v>0</v>
      </c>
      <c r="G57" s="153" t="str">
        <f t="shared" si="1"/>
        <v>OK</v>
      </c>
      <c r="H57" s="153" t="b">
        <v>1</v>
      </c>
    </row>
    <row r="58" spans="1:8" x14ac:dyDescent="0.3">
      <c r="A58" s="153" t="s">
        <v>1464</v>
      </c>
      <c r="B58" s="153" t="s">
        <v>2762</v>
      </c>
      <c r="C58" s="153" t="s">
        <v>1465</v>
      </c>
      <c r="D58" s="153">
        <v>129.6</v>
      </c>
      <c r="E58" s="153">
        <v>129.6</v>
      </c>
      <c r="F58" s="153">
        <f t="shared" si="0"/>
        <v>0</v>
      </c>
      <c r="G58" s="153" t="str">
        <f t="shared" si="1"/>
        <v>OK</v>
      </c>
      <c r="H58" s="153" t="b">
        <v>1</v>
      </c>
    </row>
    <row r="59" spans="1:8" x14ac:dyDescent="0.3">
      <c r="A59" s="153" t="s">
        <v>1466</v>
      </c>
      <c r="B59" s="153" t="s">
        <v>2762</v>
      </c>
      <c r="C59" s="153" t="s">
        <v>1467</v>
      </c>
      <c r="D59" s="153">
        <v>0.94000000000000006</v>
      </c>
      <c r="E59" s="153">
        <v>0.94000000000000006</v>
      </c>
      <c r="F59" s="153">
        <f t="shared" si="0"/>
        <v>0</v>
      </c>
      <c r="G59" s="153" t="str">
        <f t="shared" si="1"/>
        <v>OK</v>
      </c>
      <c r="H59" s="153" t="b">
        <v>1</v>
      </c>
    </row>
    <row r="60" spans="1:8" x14ac:dyDescent="0.3">
      <c r="A60" s="153" t="s">
        <v>1468</v>
      </c>
      <c r="B60" s="153" t="s">
        <v>2762</v>
      </c>
      <c r="C60" s="153" t="s">
        <v>1469</v>
      </c>
      <c r="D60" s="153">
        <v>122</v>
      </c>
      <c r="E60" s="153">
        <v>122</v>
      </c>
      <c r="F60" s="153">
        <f t="shared" si="0"/>
        <v>0</v>
      </c>
      <c r="G60" s="153" t="str">
        <f t="shared" si="1"/>
        <v>OK</v>
      </c>
      <c r="H60" s="153" t="b">
        <v>1</v>
      </c>
    </row>
    <row r="61" spans="1:8" x14ac:dyDescent="0.3">
      <c r="A61" s="153" t="s">
        <v>1470</v>
      </c>
      <c r="B61" s="153" t="s">
        <v>2762</v>
      </c>
      <c r="C61" s="153" t="s">
        <v>1471</v>
      </c>
      <c r="D61" s="153">
        <v>122</v>
      </c>
      <c r="E61" s="153">
        <v>122</v>
      </c>
      <c r="F61" s="153">
        <f t="shared" si="0"/>
        <v>0</v>
      </c>
      <c r="G61" s="153" t="str">
        <f t="shared" si="1"/>
        <v>OK</v>
      </c>
      <c r="H61" s="153" t="b">
        <v>1</v>
      </c>
    </row>
    <row r="62" spans="1:8" x14ac:dyDescent="0.3">
      <c r="A62" s="153" t="s">
        <v>1472</v>
      </c>
      <c r="B62" s="153" t="s">
        <v>2762</v>
      </c>
      <c r="C62" s="153" t="s">
        <v>1473</v>
      </c>
      <c r="D62" s="153">
        <v>48.8</v>
      </c>
      <c r="E62" s="153">
        <v>48.8</v>
      </c>
      <c r="F62" s="153">
        <f t="shared" si="0"/>
        <v>0</v>
      </c>
      <c r="G62" s="153" t="str">
        <f t="shared" si="1"/>
        <v>OK</v>
      </c>
      <c r="H62" s="153" t="b">
        <v>1</v>
      </c>
    </row>
    <row r="63" spans="1:8" x14ac:dyDescent="0.3">
      <c r="A63" s="153" t="s">
        <v>1474</v>
      </c>
      <c r="B63" s="153" t="s">
        <v>2762</v>
      </c>
      <c r="C63" s="153" t="s">
        <v>1475</v>
      </c>
      <c r="D63" s="153">
        <v>122</v>
      </c>
      <c r="E63" s="153">
        <v>122</v>
      </c>
      <c r="F63" s="153">
        <f t="shared" si="0"/>
        <v>0</v>
      </c>
      <c r="G63" s="153" t="str">
        <f t="shared" si="1"/>
        <v>OK</v>
      </c>
      <c r="H63" s="153" t="b">
        <v>1</v>
      </c>
    </row>
    <row r="64" spans="1:8" x14ac:dyDescent="0.3">
      <c r="A64" s="153" t="s">
        <v>1476</v>
      </c>
      <c r="B64" s="153" t="s">
        <v>2762</v>
      </c>
      <c r="C64" s="153" t="s">
        <v>1477</v>
      </c>
      <c r="D64" s="153">
        <v>854</v>
      </c>
      <c r="E64" s="153">
        <v>854</v>
      </c>
      <c r="F64" s="153">
        <f t="shared" si="0"/>
        <v>0</v>
      </c>
      <c r="G64" s="153" t="str">
        <f t="shared" si="1"/>
        <v>OK</v>
      </c>
      <c r="H64" s="153" t="b">
        <v>1</v>
      </c>
    </row>
    <row r="65" spans="1:8" x14ac:dyDescent="0.3">
      <c r="A65" s="153" t="s">
        <v>1478</v>
      </c>
      <c r="B65" s="153" t="s">
        <v>2762</v>
      </c>
      <c r="C65" s="153" t="s">
        <v>1479</v>
      </c>
      <c r="D65" s="153">
        <v>11106.32</v>
      </c>
      <c r="E65" s="153">
        <v>11106.32</v>
      </c>
      <c r="F65" s="153">
        <f t="shared" si="0"/>
        <v>0</v>
      </c>
      <c r="G65" s="153" t="str">
        <f t="shared" si="1"/>
        <v>OK</v>
      </c>
      <c r="H65" s="153" t="b">
        <v>1</v>
      </c>
    </row>
    <row r="66" spans="1:8" x14ac:dyDescent="0.3">
      <c r="A66" s="153" t="s">
        <v>1480</v>
      </c>
      <c r="B66" s="153" t="s">
        <v>2762</v>
      </c>
      <c r="C66" s="153" t="s">
        <v>1481</v>
      </c>
      <c r="D66" s="153">
        <v>5443.6399999999994</v>
      </c>
      <c r="E66" s="153">
        <v>5443.6399999999994</v>
      </c>
      <c r="F66" s="153">
        <f t="shared" ref="F66:F129" si="2">IF(NOT(H66),"",IF(AND(ISNUMBER(D66),ISNUMBER(E66)),E66-D66,IF(D66=E66,0,1)))</f>
        <v>0</v>
      </c>
      <c r="G66" s="153" t="str">
        <f t="shared" ref="G66:G129" si="3">IF(NOT(H66),"PENDIENTE SIDE",IF(IF(AND(ISNUMBER(D66),ISNUMBER(E66)),IF(MOD(D66,1)=0,D66=E66,ABS(D66-E66)&lt;=0.000000001*MAX(1,ABS(D66),ABS(E66))),D66=E66),"OK","DIFERENCIA"))</f>
        <v>OK</v>
      </c>
      <c r="H66" s="153" t="b">
        <v>1</v>
      </c>
    </row>
    <row r="67" spans="1:8" x14ac:dyDescent="0.3">
      <c r="A67" s="153" t="s">
        <v>1482</v>
      </c>
      <c r="B67" s="153" t="s">
        <v>2762</v>
      </c>
      <c r="C67" s="153" t="s">
        <v>1483</v>
      </c>
      <c r="D67" s="153">
        <v>31.25</v>
      </c>
      <c r="E67" s="153">
        <v>31.25</v>
      </c>
      <c r="F67" s="153">
        <f t="shared" si="2"/>
        <v>0</v>
      </c>
      <c r="G67" s="153" t="str">
        <f t="shared" si="3"/>
        <v>OK</v>
      </c>
      <c r="H67" s="153" t="b">
        <v>1</v>
      </c>
    </row>
    <row r="68" spans="1:8" x14ac:dyDescent="0.3">
      <c r="A68" s="153" t="s">
        <v>1484</v>
      </c>
      <c r="B68" s="153" t="s">
        <v>2762</v>
      </c>
      <c r="C68" s="153" t="s">
        <v>1485</v>
      </c>
      <c r="D68" s="153">
        <v>8.692499999999999</v>
      </c>
      <c r="E68" s="153">
        <v>8.692499999999999</v>
      </c>
      <c r="F68" s="153">
        <f t="shared" si="2"/>
        <v>0</v>
      </c>
      <c r="G68" s="153" t="str">
        <f t="shared" si="3"/>
        <v>OK</v>
      </c>
      <c r="H68" s="153" t="b">
        <v>1</v>
      </c>
    </row>
    <row r="69" spans="1:8" x14ac:dyDescent="0.3">
      <c r="A69" s="153" t="s">
        <v>1486</v>
      </c>
      <c r="B69" s="153" t="s">
        <v>2762</v>
      </c>
      <c r="C69" s="153" t="s">
        <v>1487</v>
      </c>
      <c r="D69" s="153">
        <v>0</v>
      </c>
      <c r="E69" s="153">
        <v>0</v>
      </c>
      <c r="F69" s="153">
        <f t="shared" si="2"/>
        <v>0</v>
      </c>
      <c r="G69" s="153" t="str">
        <f t="shared" si="3"/>
        <v>OK</v>
      </c>
      <c r="H69" s="153" t="b">
        <v>1</v>
      </c>
    </row>
    <row r="70" spans="1:8" x14ac:dyDescent="0.3">
      <c r="A70" s="153" t="s">
        <v>1488</v>
      </c>
      <c r="B70" s="153" t="s">
        <v>2762</v>
      </c>
      <c r="C70" s="153" t="s">
        <v>1489</v>
      </c>
      <c r="D70" s="153">
        <v>0</v>
      </c>
      <c r="E70" s="153">
        <v>0</v>
      </c>
      <c r="F70" s="153">
        <f t="shared" si="2"/>
        <v>0</v>
      </c>
      <c r="G70" s="153" t="str">
        <f t="shared" si="3"/>
        <v>OK</v>
      </c>
      <c r="H70" s="153" t="b">
        <v>1</v>
      </c>
    </row>
    <row r="71" spans="1:8" x14ac:dyDescent="0.3">
      <c r="A71" s="153" t="s">
        <v>1490</v>
      </c>
      <c r="B71" s="153" t="s">
        <v>2762</v>
      </c>
      <c r="C71" s="153" t="s">
        <v>1493</v>
      </c>
      <c r="D71" s="153">
        <v>40</v>
      </c>
      <c r="E71" s="153">
        <v>40</v>
      </c>
      <c r="F71" s="153">
        <f t="shared" si="2"/>
        <v>0</v>
      </c>
      <c r="G71" s="153" t="str">
        <f t="shared" si="3"/>
        <v>OK</v>
      </c>
      <c r="H71" s="153" t="b">
        <v>1</v>
      </c>
    </row>
    <row r="72" spans="1:8" x14ac:dyDescent="0.3">
      <c r="A72" s="153" t="s">
        <v>1492</v>
      </c>
      <c r="B72" s="153" t="s">
        <v>2762</v>
      </c>
      <c r="C72" s="153" t="s">
        <v>1495</v>
      </c>
      <c r="D72" s="153">
        <v>44</v>
      </c>
      <c r="E72" s="153">
        <v>44</v>
      </c>
      <c r="F72" s="153">
        <f t="shared" si="2"/>
        <v>0</v>
      </c>
      <c r="G72" s="153" t="str">
        <f t="shared" si="3"/>
        <v>OK</v>
      </c>
      <c r="H72" s="153" t="b">
        <v>1</v>
      </c>
    </row>
    <row r="73" spans="1:8" x14ac:dyDescent="0.3">
      <c r="A73" s="153" t="s">
        <v>1494</v>
      </c>
      <c r="B73" s="153" t="s">
        <v>2762</v>
      </c>
      <c r="C73" s="153" t="s">
        <v>1497</v>
      </c>
      <c r="D73" s="153">
        <v>44</v>
      </c>
      <c r="E73" s="153">
        <v>44</v>
      </c>
      <c r="F73" s="153">
        <f t="shared" si="2"/>
        <v>0</v>
      </c>
      <c r="G73" s="153" t="str">
        <f t="shared" si="3"/>
        <v>OK</v>
      </c>
      <c r="H73" s="153" t="b">
        <v>1</v>
      </c>
    </row>
    <row r="74" spans="1:8" x14ac:dyDescent="0.3">
      <c r="A74" s="153" t="s">
        <v>1496</v>
      </c>
      <c r="B74" s="153" t="s">
        <v>2762</v>
      </c>
      <c r="C74" s="153" t="s">
        <v>1499</v>
      </c>
      <c r="D74" s="153">
        <v>4840</v>
      </c>
      <c r="E74" s="153">
        <v>4840</v>
      </c>
      <c r="F74" s="153">
        <f t="shared" si="2"/>
        <v>0</v>
      </c>
      <c r="G74" s="153" t="str">
        <f t="shared" si="3"/>
        <v>OK</v>
      </c>
      <c r="H74" s="153" t="b">
        <v>1</v>
      </c>
    </row>
    <row r="75" spans="1:8" x14ac:dyDescent="0.3">
      <c r="A75" s="153" t="s">
        <v>1498</v>
      </c>
      <c r="B75" s="153" t="s">
        <v>2762</v>
      </c>
      <c r="C75" s="153" t="s">
        <v>2255</v>
      </c>
      <c r="D75" s="153">
        <v>78</v>
      </c>
      <c r="E75" s="153">
        <v>78</v>
      </c>
      <c r="F75" s="153">
        <f t="shared" si="2"/>
        <v>0</v>
      </c>
      <c r="G75" s="153" t="str">
        <f t="shared" si="3"/>
        <v>OK</v>
      </c>
      <c r="H75" s="153" t="b">
        <v>1</v>
      </c>
    </row>
    <row r="76" spans="1:8" x14ac:dyDescent="0.3">
      <c r="A76" s="153" t="s">
        <v>1500</v>
      </c>
      <c r="B76" s="153" t="s">
        <v>2762</v>
      </c>
      <c r="C76" s="153" t="s">
        <v>1501</v>
      </c>
      <c r="D76" s="153">
        <v>156</v>
      </c>
      <c r="E76" s="153">
        <v>156</v>
      </c>
      <c r="F76" s="153">
        <f t="shared" si="2"/>
        <v>0</v>
      </c>
      <c r="G76" s="153" t="str">
        <f t="shared" si="3"/>
        <v>OK</v>
      </c>
      <c r="H76" s="153" t="b">
        <v>1</v>
      </c>
    </row>
    <row r="77" spans="1:8" x14ac:dyDescent="0.3">
      <c r="A77" s="153" t="s">
        <v>1502</v>
      </c>
      <c r="B77" s="153" t="s">
        <v>2762</v>
      </c>
      <c r="C77" s="153" t="s">
        <v>1503</v>
      </c>
      <c r="D77" s="153">
        <v>1775.190491803279</v>
      </c>
      <c r="E77" s="153">
        <v>1775.190491803279</v>
      </c>
      <c r="F77" s="153">
        <f t="shared" si="2"/>
        <v>0</v>
      </c>
      <c r="G77" s="153" t="str">
        <f t="shared" si="3"/>
        <v>OK</v>
      </c>
      <c r="H77" s="153" t="b">
        <v>1</v>
      </c>
    </row>
    <row r="78" spans="1:8" x14ac:dyDescent="0.3">
      <c r="A78" s="153" t="s">
        <v>1504</v>
      </c>
      <c r="B78" s="153" t="s">
        <v>2762</v>
      </c>
      <c r="C78" s="153" t="s">
        <v>1505</v>
      </c>
      <c r="D78" s="153">
        <v>0</v>
      </c>
      <c r="E78" s="153">
        <v>0</v>
      </c>
      <c r="F78" s="153">
        <f t="shared" si="2"/>
        <v>0</v>
      </c>
      <c r="G78" s="153" t="str">
        <f t="shared" si="3"/>
        <v>OK</v>
      </c>
      <c r="H78" s="153" t="b">
        <v>1</v>
      </c>
    </row>
    <row r="79" spans="1:8" x14ac:dyDescent="0.3">
      <c r="A79" s="153" t="s">
        <v>1506</v>
      </c>
      <c r="B79" s="153" t="s">
        <v>2762</v>
      </c>
      <c r="C79" s="153" t="s">
        <v>1507</v>
      </c>
      <c r="D79" s="153">
        <v>14500</v>
      </c>
      <c r="E79" s="153">
        <v>14500</v>
      </c>
      <c r="F79" s="153">
        <f t="shared" si="2"/>
        <v>0</v>
      </c>
      <c r="G79" s="153" t="str">
        <f t="shared" si="3"/>
        <v>OK</v>
      </c>
      <c r="H79" s="153" t="b">
        <v>1</v>
      </c>
    </row>
    <row r="80" spans="1:8" x14ac:dyDescent="0.3">
      <c r="A80" s="153" t="s">
        <v>1508</v>
      </c>
      <c r="B80" s="153" t="s">
        <v>2762</v>
      </c>
      <c r="C80" s="153" t="s">
        <v>1509</v>
      </c>
      <c r="D80" s="153">
        <v>33021.092991803278</v>
      </c>
      <c r="E80" s="153">
        <v>33021.092991803278</v>
      </c>
      <c r="F80" s="153">
        <f t="shared" si="2"/>
        <v>0</v>
      </c>
      <c r="G80" s="153" t="str">
        <f t="shared" si="3"/>
        <v>OK</v>
      </c>
      <c r="H80" s="153" t="b">
        <v>1</v>
      </c>
    </row>
    <row r="81" spans="1:8" x14ac:dyDescent="0.3">
      <c r="A81" s="153" t="s">
        <v>1510</v>
      </c>
      <c r="B81" s="153" t="s">
        <v>2762</v>
      </c>
      <c r="C81" s="153" t="s">
        <v>1511</v>
      </c>
      <c r="D81" s="153">
        <v>-28181.092991803282</v>
      </c>
      <c r="E81" s="153">
        <v>-28181.092991803282</v>
      </c>
      <c r="F81" s="153">
        <f t="shared" si="2"/>
        <v>0</v>
      </c>
      <c r="G81" s="153" t="str">
        <f t="shared" si="3"/>
        <v>OK</v>
      </c>
      <c r="H81" s="153" t="b">
        <v>1</v>
      </c>
    </row>
    <row r="82" spans="1:8" x14ac:dyDescent="0.3">
      <c r="A82" s="153" t="s">
        <v>1512</v>
      </c>
      <c r="B82" s="153" t="s">
        <v>2762</v>
      </c>
      <c r="C82" s="153" t="s">
        <v>1513</v>
      </c>
      <c r="D82" s="153">
        <v>0</v>
      </c>
      <c r="E82" s="153">
        <v>0</v>
      </c>
      <c r="F82" s="153">
        <f t="shared" si="2"/>
        <v>0</v>
      </c>
      <c r="G82" s="153" t="str">
        <f t="shared" si="3"/>
        <v>OK</v>
      </c>
      <c r="H82" s="153" t="b">
        <v>1</v>
      </c>
    </row>
    <row r="83" spans="1:8" x14ac:dyDescent="0.3">
      <c r="A83" s="153" t="s">
        <v>1514</v>
      </c>
      <c r="B83" s="153" t="s">
        <v>2762</v>
      </c>
      <c r="C83" s="153" t="s">
        <v>1515</v>
      </c>
      <c r="D83" s="153">
        <v>3</v>
      </c>
      <c r="E83" s="153">
        <v>3</v>
      </c>
      <c r="F83" s="153">
        <f t="shared" si="2"/>
        <v>0</v>
      </c>
      <c r="G83" s="153" t="str">
        <f t="shared" si="3"/>
        <v>OK</v>
      </c>
      <c r="H83" s="153" t="b">
        <v>1</v>
      </c>
    </row>
    <row r="84" spans="1:8" x14ac:dyDescent="0.3">
      <c r="A84" s="153" t="s">
        <v>1516</v>
      </c>
      <c r="B84" s="153" t="s">
        <v>2762</v>
      </c>
      <c r="C84" s="153" t="s">
        <v>1517</v>
      </c>
      <c r="D84" s="153">
        <v>0</v>
      </c>
      <c r="E84" s="153">
        <v>0</v>
      </c>
      <c r="F84" s="153">
        <f t="shared" si="2"/>
        <v>0</v>
      </c>
      <c r="G84" s="153" t="str">
        <f t="shared" si="3"/>
        <v>OK</v>
      </c>
      <c r="H84" s="153" t="b">
        <v>1</v>
      </c>
    </row>
    <row r="85" spans="1:8" x14ac:dyDescent="0.3">
      <c r="A85" s="153" t="s">
        <v>1518</v>
      </c>
      <c r="B85" s="153" t="s">
        <v>2762</v>
      </c>
      <c r="C85" s="153" t="s">
        <v>1519</v>
      </c>
      <c r="D85" s="153">
        <v>251.2</v>
      </c>
      <c r="E85" s="153">
        <v>251.2</v>
      </c>
      <c r="F85" s="153">
        <f t="shared" si="2"/>
        <v>0</v>
      </c>
      <c r="G85" s="153" t="str">
        <f t="shared" si="3"/>
        <v>OK</v>
      </c>
      <c r="H85" s="153" t="b">
        <v>1</v>
      </c>
    </row>
    <row r="86" spans="1:8" x14ac:dyDescent="0.3">
      <c r="A86" s="153" t="s">
        <v>1520</v>
      </c>
      <c r="B86" s="153" t="s">
        <v>2762</v>
      </c>
      <c r="C86" s="153" t="s">
        <v>1521</v>
      </c>
      <c r="D86" s="153">
        <v>0</v>
      </c>
      <c r="E86" s="153">
        <v>0</v>
      </c>
      <c r="F86" s="153">
        <f t="shared" si="2"/>
        <v>0</v>
      </c>
      <c r="G86" s="153" t="str">
        <f t="shared" si="3"/>
        <v>OK</v>
      </c>
      <c r="H86" s="153" t="b">
        <v>1</v>
      </c>
    </row>
    <row r="87" spans="1:8" x14ac:dyDescent="0.3">
      <c r="A87" s="153" t="s">
        <v>1522</v>
      </c>
      <c r="B87" s="153" t="s">
        <v>2762</v>
      </c>
      <c r="C87" s="153" t="s">
        <v>1523</v>
      </c>
      <c r="D87" s="153">
        <v>878</v>
      </c>
      <c r="E87" s="153">
        <v>878</v>
      </c>
      <c r="F87" s="153">
        <f t="shared" si="2"/>
        <v>0</v>
      </c>
      <c r="G87" s="153" t="str">
        <f t="shared" si="3"/>
        <v>OK</v>
      </c>
      <c r="H87" s="153" t="b">
        <v>1</v>
      </c>
    </row>
    <row r="88" spans="1:8" x14ac:dyDescent="0.3">
      <c r="A88" s="153" t="s">
        <v>1524</v>
      </c>
      <c r="B88" s="153" t="s">
        <v>2762</v>
      </c>
      <c r="C88" s="153" t="s">
        <v>1525</v>
      </c>
      <c r="D88" s="153">
        <v>0</v>
      </c>
      <c r="E88" s="153">
        <v>0</v>
      </c>
      <c r="F88" s="153">
        <f t="shared" si="2"/>
        <v>0</v>
      </c>
      <c r="G88" s="153" t="str">
        <f t="shared" si="3"/>
        <v>OK</v>
      </c>
      <c r="H88" s="153" t="b">
        <v>1</v>
      </c>
    </row>
    <row r="89" spans="1:8" x14ac:dyDescent="0.3">
      <c r="A89" s="153" t="s">
        <v>1526</v>
      </c>
      <c r="B89" s="153" t="s">
        <v>2762</v>
      </c>
      <c r="C89" s="153" t="s">
        <v>1527</v>
      </c>
      <c r="D89" s="153">
        <v>0</v>
      </c>
      <c r="E89" s="153">
        <v>0</v>
      </c>
      <c r="F89" s="153">
        <f t="shared" si="2"/>
        <v>0</v>
      </c>
      <c r="G89" s="153" t="str">
        <f t="shared" si="3"/>
        <v>OK</v>
      </c>
      <c r="H89" s="153" t="b">
        <v>1</v>
      </c>
    </row>
    <row r="90" spans="1:8" x14ac:dyDescent="0.3">
      <c r="A90" s="153" t="s">
        <v>1528</v>
      </c>
      <c r="B90" s="153" t="s">
        <v>2762</v>
      </c>
      <c r="C90" s="153" t="s">
        <v>1529</v>
      </c>
      <c r="D90" s="153">
        <v>5146</v>
      </c>
      <c r="E90" s="153">
        <v>5146</v>
      </c>
      <c r="F90" s="153">
        <f t="shared" si="2"/>
        <v>0</v>
      </c>
      <c r="G90" s="153" t="str">
        <f t="shared" si="3"/>
        <v>OK</v>
      </c>
      <c r="H90" s="153" t="b">
        <v>1</v>
      </c>
    </row>
    <row r="91" spans="1:8" x14ac:dyDescent="0.3">
      <c r="A91" s="153" t="s">
        <v>1530</v>
      </c>
      <c r="B91" s="153" t="s">
        <v>2762</v>
      </c>
      <c r="C91" s="153" t="s">
        <v>1531</v>
      </c>
      <c r="D91" s="153">
        <v>0</v>
      </c>
      <c r="E91" s="153">
        <v>0</v>
      </c>
      <c r="F91" s="153">
        <f t="shared" si="2"/>
        <v>0</v>
      </c>
      <c r="G91" s="153" t="str">
        <f t="shared" si="3"/>
        <v>OK</v>
      </c>
      <c r="H91" s="153" t="b">
        <v>1</v>
      </c>
    </row>
    <row r="92" spans="1:8" x14ac:dyDescent="0.3">
      <c r="A92" s="153" t="s">
        <v>1532</v>
      </c>
      <c r="B92" s="153" t="s">
        <v>2762</v>
      </c>
      <c r="C92" s="153" t="s">
        <v>1533</v>
      </c>
      <c r="D92" s="153" t="b">
        <v>0</v>
      </c>
      <c r="E92" s="153" t="b">
        <v>0</v>
      </c>
      <c r="F92" s="153">
        <f t="shared" si="2"/>
        <v>0</v>
      </c>
      <c r="G92" s="153" t="str">
        <f t="shared" si="3"/>
        <v>OK</v>
      </c>
      <c r="H92" s="153" t="b">
        <v>1</v>
      </c>
    </row>
    <row r="93" spans="1:8" x14ac:dyDescent="0.3">
      <c r="A93" s="153" t="s">
        <v>1534</v>
      </c>
      <c r="B93" s="153" t="s">
        <v>2762</v>
      </c>
      <c r="C93" s="153" t="s">
        <v>1535</v>
      </c>
      <c r="D93" s="153" t="b">
        <v>0</v>
      </c>
      <c r="E93" s="153" t="b">
        <v>0</v>
      </c>
      <c r="F93" s="153">
        <f t="shared" si="2"/>
        <v>0</v>
      </c>
      <c r="G93" s="153" t="str">
        <f t="shared" si="3"/>
        <v>OK</v>
      </c>
      <c r="H93" s="153" t="b">
        <v>1</v>
      </c>
    </row>
    <row r="94" spans="1:8" x14ac:dyDescent="0.3">
      <c r="A94" s="153" t="s">
        <v>1536</v>
      </c>
      <c r="B94" s="153" t="s">
        <v>2762</v>
      </c>
      <c r="C94" s="153" t="s">
        <v>1537</v>
      </c>
      <c r="D94" s="153" t="b">
        <v>0</v>
      </c>
      <c r="E94" s="153" t="b">
        <v>0</v>
      </c>
      <c r="F94" s="153">
        <f t="shared" si="2"/>
        <v>0</v>
      </c>
      <c r="G94" s="153" t="str">
        <f t="shared" si="3"/>
        <v>OK</v>
      </c>
      <c r="H94" s="153" t="b">
        <v>1</v>
      </c>
    </row>
    <row r="95" spans="1:8" x14ac:dyDescent="0.3">
      <c r="A95" s="153" t="s">
        <v>1538</v>
      </c>
      <c r="B95" s="153" t="s">
        <v>2762</v>
      </c>
      <c r="C95" s="153" t="s">
        <v>1539</v>
      </c>
      <c r="D95" s="153" t="b">
        <v>0</v>
      </c>
      <c r="E95" s="153" t="b">
        <v>0</v>
      </c>
      <c r="F95" s="153">
        <f t="shared" si="2"/>
        <v>0</v>
      </c>
      <c r="G95" s="153" t="str">
        <f t="shared" si="3"/>
        <v>OK</v>
      </c>
      <c r="H95" s="153" t="b">
        <v>1</v>
      </c>
    </row>
    <row r="96" spans="1:8" x14ac:dyDescent="0.3">
      <c r="A96" s="153" t="s">
        <v>1540</v>
      </c>
      <c r="B96" s="153" t="s">
        <v>2762</v>
      </c>
      <c r="C96" s="153" t="s">
        <v>1541</v>
      </c>
      <c r="D96" s="153" t="b">
        <v>1</v>
      </c>
      <c r="E96" s="153" t="b">
        <v>1</v>
      </c>
      <c r="F96" s="153">
        <f t="shared" si="2"/>
        <v>0</v>
      </c>
      <c r="G96" s="153" t="str">
        <f t="shared" si="3"/>
        <v>OK</v>
      </c>
      <c r="H96" s="153" t="b">
        <v>1</v>
      </c>
    </row>
    <row r="97" spans="1:8" x14ac:dyDescent="0.3">
      <c r="A97" s="153" t="s">
        <v>1542</v>
      </c>
      <c r="B97" s="153" t="s">
        <v>2762</v>
      </c>
      <c r="C97" s="153" t="s">
        <v>1543</v>
      </c>
      <c r="D97" s="153" t="b">
        <v>1</v>
      </c>
      <c r="E97" s="153" t="b">
        <v>1</v>
      </c>
      <c r="F97" s="153">
        <f t="shared" si="2"/>
        <v>0</v>
      </c>
      <c r="G97" s="153" t="str">
        <f t="shared" si="3"/>
        <v>OK</v>
      </c>
      <c r="H97" s="153" t="b">
        <v>1</v>
      </c>
    </row>
    <row r="98" spans="1:8" x14ac:dyDescent="0.3">
      <c r="A98" s="153" t="s">
        <v>1544</v>
      </c>
      <c r="B98" s="153" t="s">
        <v>2762</v>
      </c>
      <c r="C98" s="153" t="s">
        <v>1545</v>
      </c>
      <c r="D98" s="153" t="b">
        <v>1</v>
      </c>
      <c r="E98" s="153" t="b">
        <v>1</v>
      </c>
      <c r="F98" s="153">
        <f t="shared" si="2"/>
        <v>0</v>
      </c>
      <c r="G98" s="153" t="str">
        <f t="shared" si="3"/>
        <v>OK</v>
      </c>
      <c r="H98" s="153" t="b">
        <v>1</v>
      </c>
    </row>
    <row r="99" spans="1:8" x14ac:dyDescent="0.3">
      <c r="A99" s="153" t="s">
        <v>1546</v>
      </c>
      <c r="B99" s="153" t="s">
        <v>2762</v>
      </c>
      <c r="C99" s="153" t="s">
        <v>1547</v>
      </c>
      <c r="D99" s="153" t="b">
        <v>0</v>
      </c>
      <c r="E99" s="153" t="b">
        <v>0</v>
      </c>
      <c r="F99" s="153">
        <f t="shared" si="2"/>
        <v>0</v>
      </c>
      <c r="G99" s="153" t="str">
        <f t="shared" si="3"/>
        <v>OK</v>
      </c>
      <c r="H99" s="153" t="b">
        <v>1</v>
      </c>
    </row>
    <row r="100" spans="1:8" x14ac:dyDescent="0.3">
      <c r="A100" s="153" t="s">
        <v>1548</v>
      </c>
      <c r="B100" s="153" t="s">
        <v>2762</v>
      </c>
      <c r="C100" s="153" t="s">
        <v>1549</v>
      </c>
      <c r="D100" s="153">
        <v>0</v>
      </c>
      <c r="E100" s="153">
        <v>0</v>
      </c>
      <c r="F100" s="153">
        <f t="shared" si="2"/>
        <v>0</v>
      </c>
      <c r="G100" s="153" t="str">
        <f t="shared" si="3"/>
        <v>OK</v>
      </c>
      <c r="H100" s="153" t="b">
        <v>1</v>
      </c>
    </row>
    <row r="101" spans="1:8" x14ac:dyDescent="0.3">
      <c r="A101" s="153" t="s">
        <v>1550</v>
      </c>
      <c r="B101" s="153" t="s">
        <v>2762</v>
      </c>
      <c r="C101" s="153" t="s">
        <v>1551</v>
      </c>
      <c r="D101" s="153">
        <v>20</v>
      </c>
      <c r="E101" s="153">
        <v>20</v>
      </c>
      <c r="F101" s="153">
        <f t="shared" si="2"/>
        <v>0</v>
      </c>
      <c r="G101" s="153" t="str">
        <f t="shared" si="3"/>
        <v>OK</v>
      </c>
      <c r="H101" s="153" t="b">
        <v>1</v>
      </c>
    </row>
    <row r="102" spans="1:8" x14ac:dyDescent="0.3">
      <c r="A102" s="153" t="s">
        <v>1552</v>
      </c>
      <c r="B102" s="153" t="s">
        <v>2762</v>
      </c>
      <c r="C102" s="153" t="s">
        <v>1553</v>
      </c>
      <c r="D102" s="153">
        <v>0</v>
      </c>
      <c r="E102" s="153">
        <v>0</v>
      </c>
      <c r="F102" s="153">
        <f t="shared" si="2"/>
        <v>0</v>
      </c>
      <c r="G102" s="153" t="str">
        <f t="shared" si="3"/>
        <v>OK</v>
      </c>
      <c r="H102" s="153" t="b">
        <v>1</v>
      </c>
    </row>
    <row r="103" spans="1:8" x14ac:dyDescent="0.3">
      <c r="A103" s="153" t="s">
        <v>1554</v>
      </c>
      <c r="B103" s="153" t="s">
        <v>2762</v>
      </c>
      <c r="C103" s="153" t="s">
        <v>1555</v>
      </c>
      <c r="D103" s="153">
        <v>3</v>
      </c>
      <c r="E103" s="153">
        <v>3</v>
      </c>
      <c r="F103" s="153">
        <f t="shared" si="2"/>
        <v>0</v>
      </c>
      <c r="G103" s="153" t="str">
        <f t="shared" si="3"/>
        <v>OK</v>
      </c>
      <c r="H103" s="153" t="b">
        <v>1</v>
      </c>
    </row>
    <row r="104" spans="1:8" x14ac:dyDescent="0.3">
      <c r="A104" s="153" t="s">
        <v>1556</v>
      </c>
      <c r="B104" s="153" t="s">
        <v>2762</v>
      </c>
      <c r="C104" s="153" t="s">
        <v>1557</v>
      </c>
      <c r="D104" s="153">
        <v>12</v>
      </c>
      <c r="E104" s="153">
        <v>12</v>
      </c>
      <c r="F104" s="153">
        <f t="shared" si="2"/>
        <v>0</v>
      </c>
      <c r="G104" s="153" t="str">
        <f t="shared" si="3"/>
        <v>OK</v>
      </c>
      <c r="H104" s="153" t="b">
        <v>1</v>
      </c>
    </row>
    <row r="105" spans="1:8" x14ac:dyDescent="0.3">
      <c r="A105" s="153" t="s">
        <v>1558</v>
      </c>
      <c r="B105" s="153" t="s">
        <v>2762</v>
      </c>
      <c r="C105" s="153" t="s">
        <v>1559</v>
      </c>
      <c r="D105" s="153">
        <v>17</v>
      </c>
      <c r="E105" s="153">
        <v>17</v>
      </c>
      <c r="F105" s="153">
        <f t="shared" si="2"/>
        <v>0</v>
      </c>
      <c r="G105" s="153" t="str">
        <f t="shared" si="3"/>
        <v>OK</v>
      </c>
      <c r="H105" s="153" t="b">
        <v>1</v>
      </c>
    </row>
    <row r="106" spans="1:8" x14ac:dyDescent="0.3">
      <c r="A106" s="153" t="s">
        <v>1560</v>
      </c>
      <c r="B106" s="153" t="s">
        <v>2762</v>
      </c>
      <c r="C106" s="153" t="s">
        <v>1561</v>
      </c>
      <c r="D106" s="153">
        <v>12</v>
      </c>
      <c r="E106" s="153">
        <v>12</v>
      </c>
      <c r="F106" s="153">
        <f t="shared" si="2"/>
        <v>0</v>
      </c>
      <c r="G106" s="153" t="str">
        <f t="shared" si="3"/>
        <v>OK</v>
      </c>
      <c r="H106" s="153" t="b">
        <v>1</v>
      </c>
    </row>
    <row r="107" spans="1:8" x14ac:dyDescent="0.3">
      <c r="A107" s="153" t="s">
        <v>1562</v>
      </c>
      <c r="B107" s="153" t="s">
        <v>2762</v>
      </c>
      <c r="C107" s="153" t="s">
        <v>1563</v>
      </c>
      <c r="D107" s="153">
        <v>-5</v>
      </c>
      <c r="E107" s="153">
        <v>-5</v>
      </c>
      <c r="F107" s="153">
        <f t="shared" si="2"/>
        <v>0</v>
      </c>
      <c r="G107" s="153" t="str">
        <f t="shared" si="3"/>
        <v>OK</v>
      </c>
      <c r="H107" s="153" t="b">
        <v>1</v>
      </c>
    </row>
    <row r="108" spans="1:8" x14ac:dyDescent="0.3">
      <c r="A108" s="153" t="s">
        <v>1564</v>
      </c>
      <c r="B108" s="153" t="s">
        <v>2762</v>
      </c>
      <c r="C108" s="153" t="s">
        <v>1565</v>
      </c>
      <c r="D108" s="153">
        <v>5</v>
      </c>
      <c r="E108" s="153">
        <v>5</v>
      </c>
      <c r="F108" s="153">
        <f t="shared" si="2"/>
        <v>0</v>
      </c>
      <c r="G108" s="153" t="str">
        <f t="shared" si="3"/>
        <v>OK</v>
      </c>
      <c r="H108" s="153" t="b">
        <v>1</v>
      </c>
    </row>
    <row r="109" spans="1:8" x14ac:dyDescent="0.3">
      <c r="A109" s="153" t="s">
        <v>1566</v>
      </c>
      <c r="B109" s="153" t="s">
        <v>2762</v>
      </c>
      <c r="C109" s="153" t="s">
        <v>1567</v>
      </c>
      <c r="D109" s="153">
        <v>129.6</v>
      </c>
      <c r="E109" s="153">
        <v>129.6</v>
      </c>
      <c r="F109" s="153">
        <f t="shared" si="2"/>
        <v>0</v>
      </c>
      <c r="G109" s="153" t="str">
        <f t="shared" si="3"/>
        <v>OK</v>
      </c>
      <c r="H109" s="153" t="b">
        <v>1</v>
      </c>
    </row>
    <row r="110" spans="1:8" x14ac:dyDescent="0.3">
      <c r="A110" s="153" t="s">
        <v>1568</v>
      </c>
      <c r="B110" s="153" t="s">
        <v>2762</v>
      </c>
      <c r="C110" s="153" t="s">
        <v>1569</v>
      </c>
      <c r="D110" s="153">
        <v>0.94000000000000006</v>
      </c>
      <c r="E110" s="153">
        <v>0.94000000000000006</v>
      </c>
      <c r="F110" s="153">
        <f t="shared" si="2"/>
        <v>0</v>
      </c>
      <c r="G110" s="153" t="str">
        <f t="shared" si="3"/>
        <v>OK</v>
      </c>
      <c r="H110" s="153" t="b">
        <v>1</v>
      </c>
    </row>
    <row r="111" spans="1:8" x14ac:dyDescent="0.3">
      <c r="A111" s="153" t="s">
        <v>1570</v>
      </c>
      <c r="B111" s="153" t="s">
        <v>2762</v>
      </c>
      <c r="C111" s="153" t="s">
        <v>1571</v>
      </c>
      <c r="D111" s="153">
        <v>122</v>
      </c>
      <c r="E111" s="153">
        <v>122</v>
      </c>
      <c r="F111" s="153">
        <f t="shared" si="2"/>
        <v>0</v>
      </c>
      <c r="G111" s="153" t="str">
        <f t="shared" si="3"/>
        <v>OK</v>
      </c>
      <c r="H111" s="153" t="b">
        <v>1</v>
      </c>
    </row>
    <row r="112" spans="1:8" x14ac:dyDescent="0.3">
      <c r="A112" s="153" t="s">
        <v>1572</v>
      </c>
      <c r="B112" s="153" t="s">
        <v>2762</v>
      </c>
      <c r="C112" s="153" t="s">
        <v>1573</v>
      </c>
      <c r="D112" s="153">
        <v>122</v>
      </c>
      <c r="E112" s="153">
        <v>122</v>
      </c>
      <c r="F112" s="153">
        <f t="shared" si="2"/>
        <v>0</v>
      </c>
      <c r="G112" s="153" t="str">
        <f t="shared" si="3"/>
        <v>OK</v>
      </c>
      <c r="H112" s="153" t="b">
        <v>1</v>
      </c>
    </row>
    <row r="113" spans="1:8" x14ac:dyDescent="0.3">
      <c r="A113" s="153" t="s">
        <v>1574</v>
      </c>
      <c r="B113" s="153" t="s">
        <v>2762</v>
      </c>
      <c r="C113" s="153" t="s">
        <v>1575</v>
      </c>
      <c r="D113" s="153">
        <v>85.399999999999991</v>
      </c>
      <c r="E113" s="153">
        <v>85.4</v>
      </c>
      <c r="F113" s="153">
        <f t="shared" si="2"/>
        <v>1.4210854715202004E-14</v>
      </c>
      <c r="G113" s="153" t="str">
        <f t="shared" si="3"/>
        <v>OK</v>
      </c>
      <c r="H113" s="153" t="b">
        <v>1</v>
      </c>
    </row>
    <row r="114" spans="1:8" x14ac:dyDescent="0.3">
      <c r="A114" s="153" t="s">
        <v>1576</v>
      </c>
      <c r="B114" s="153" t="s">
        <v>2762</v>
      </c>
      <c r="C114" s="153" t="s">
        <v>1577</v>
      </c>
      <c r="D114" s="153">
        <v>122</v>
      </c>
      <c r="E114" s="153">
        <v>122</v>
      </c>
      <c r="F114" s="153">
        <f t="shared" si="2"/>
        <v>0</v>
      </c>
      <c r="G114" s="153" t="str">
        <f t="shared" si="3"/>
        <v>OK</v>
      </c>
      <c r="H114" s="153" t="b">
        <v>1</v>
      </c>
    </row>
    <row r="115" spans="1:8" x14ac:dyDescent="0.3">
      <c r="A115" s="153" t="s">
        <v>1578</v>
      </c>
      <c r="B115" s="153" t="s">
        <v>2762</v>
      </c>
      <c r="C115" s="153" t="s">
        <v>1579</v>
      </c>
      <c r="D115" s="153">
        <v>1586</v>
      </c>
      <c r="E115" s="153">
        <v>1586</v>
      </c>
      <c r="F115" s="153">
        <f t="shared" si="2"/>
        <v>0</v>
      </c>
      <c r="G115" s="153" t="str">
        <f t="shared" si="3"/>
        <v>OK</v>
      </c>
      <c r="H115" s="153" t="b">
        <v>1</v>
      </c>
    </row>
    <row r="116" spans="1:8" x14ac:dyDescent="0.3">
      <c r="A116" s="153" t="s">
        <v>1580</v>
      </c>
      <c r="B116" s="153" t="s">
        <v>2762</v>
      </c>
      <c r="C116" s="153" t="s">
        <v>1581</v>
      </c>
      <c r="D116" s="153">
        <v>11979.153846153849</v>
      </c>
      <c r="E116" s="153">
        <v>11979.153846153849</v>
      </c>
      <c r="F116" s="153">
        <f t="shared" si="2"/>
        <v>0</v>
      </c>
      <c r="G116" s="153" t="str">
        <f t="shared" si="3"/>
        <v>OK</v>
      </c>
      <c r="H116" s="153" t="b">
        <v>1</v>
      </c>
    </row>
    <row r="117" spans="1:8" x14ac:dyDescent="0.3">
      <c r="A117" s="153" t="s">
        <v>1582</v>
      </c>
      <c r="B117" s="153" t="s">
        <v>2762</v>
      </c>
      <c r="C117" s="153" t="s">
        <v>1583</v>
      </c>
      <c r="D117" s="153">
        <v>16984.156800000001</v>
      </c>
      <c r="E117" s="153">
        <v>16984.156800000001</v>
      </c>
      <c r="F117" s="153">
        <f t="shared" si="2"/>
        <v>0</v>
      </c>
      <c r="G117" s="153" t="str">
        <f t="shared" si="3"/>
        <v>OK</v>
      </c>
      <c r="H117" s="153" t="b">
        <v>1</v>
      </c>
    </row>
    <row r="118" spans="1:8" x14ac:dyDescent="0.3">
      <c r="A118" s="153" t="s">
        <v>1584</v>
      </c>
      <c r="B118" s="153" t="s">
        <v>2762</v>
      </c>
      <c r="C118" s="153" t="s">
        <v>1585</v>
      </c>
      <c r="D118" s="153">
        <v>50</v>
      </c>
      <c r="E118" s="153">
        <v>50</v>
      </c>
      <c r="F118" s="153">
        <f t="shared" si="2"/>
        <v>0</v>
      </c>
      <c r="G118" s="153" t="str">
        <f t="shared" si="3"/>
        <v>OK</v>
      </c>
      <c r="H118" s="153" t="b">
        <v>1</v>
      </c>
    </row>
    <row r="119" spans="1:8" x14ac:dyDescent="0.3">
      <c r="A119" s="153" t="s">
        <v>1586</v>
      </c>
      <c r="B119" s="153" t="s">
        <v>2762</v>
      </c>
      <c r="C119" s="153" t="s">
        <v>1587</v>
      </c>
      <c r="D119" s="153">
        <v>109.3181818181818</v>
      </c>
      <c r="E119" s="153">
        <v>109.3181818181818</v>
      </c>
      <c r="F119" s="153">
        <f t="shared" si="2"/>
        <v>0</v>
      </c>
      <c r="G119" s="153" t="str">
        <f t="shared" si="3"/>
        <v>OK</v>
      </c>
      <c r="H119" s="153" t="b">
        <v>1</v>
      </c>
    </row>
    <row r="120" spans="1:8" x14ac:dyDescent="0.3">
      <c r="A120" s="153" t="s">
        <v>1588</v>
      </c>
      <c r="B120" s="153" t="s">
        <v>2762</v>
      </c>
      <c r="C120" s="153" t="s">
        <v>1589</v>
      </c>
      <c r="D120" s="153">
        <v>20</v>
      </c>
      <c r="E120" s="153">
        <v>20</v>
      </c>
      <c r="F120" s="153">
        <f t="shared" si="2"/>
        <v>0</v>
      </c>
      <c r="G120" s="153" t="str">
        <f t="shared" si="3"/>
        <v>OK</v>
      </c>
      <c r="H120" s="153" t="b">
        <v>1</v>
      </c>
    </row>
    <row r="121" spans="1:8" x14ac:dyDescent="0.3">
      <c r="A121" s="153" t="s">
        <v>1590</v>
      </c>
      <c r="B121" s="153" t="s">
        <v>2762</v>
      </c>
      <c r="C121" s="153" t="s">
        <v>1591</v>
      </c>
      <c r="D121" s="153">
        <v>22</v>
      </c>
      <c r="E121" s="153">
        <v>22</v>
      </c>
      <c r="F121" s="153">
        <f t="shared" si="2"/>
        <v>0</v>
      </c>
      <c r="G121" s="153" t="str">
        <f t="shared" si="3"/>
        <v>OK</v>
      </c>
      <c r="H121" s="153" t="b">
        <v>1</v>
      </c>
    </row>
    <row r="122" spans="1:8" x14ac:dyDescent="0.3">
      <c r="A122" s="153" t="s">
        <v>1592</v>
      </c>
      <c r="B122" s="153" t="s">
        <v>2762</v>
      </c>
      <c r="C122" s="153" t="s">
        <v>1595</v>
      </c>
      <c r="D122" s="153">
        <v>40</v>
      </c>
      <c r="E122" s="153">
        <v>40</v>
      </c>
      <c r="F122" s="153">
        <f t="shared" si="2"/>
        <v>0</v>
      </c>
      <c r="G122" s="153" t="str">
        <f t="shared" si="3"/>
        <v>OK</v>
      </c>
      <c r="H122" s="153" t="b">
        <v>1</v>
      </c>
    </row>
    <row r="123" spans="1:8" x14ac:dyDescent="0.3">
      <c r="A123" s="153" t="s">
        <v>1594</v>
      </c>
      <c r="B123" s="153" t="s">
        <v>2762</v>
      </c>
      <c r="C123" s="153" t="s">
        <v>1597</v>
      </c>
      <c r="D123" s="153">
        <v>44</v>
      </c>
      <c r="E123" s="153">
        <v>44</v>
      </c>
      <c r="F123" s="153">
        <f t="shared" si="2"/>
        <v>0</v>
      </c>
      <c r="G123" s="153" t="str">
        <f t="shared" si="3"/>
        <v>OK</v>
      </c>
      <c r="H123" s="153" t="b">
        <v>1</v>
      </c>
    </row>
    <row r="124" spans="1:8" x14ac:dyDescent="0.3">
      <c r="A124" s="153" t="s">
        <v>1596</v>
      </c>
      <c r="B124" s="153" t="s">
        <v>2762</v>
      </c>
      <c r="C124" s="153" t="s">
        <v>1599</v>
      </c>
      <c r="D124" s="153">
        <v>44</v>
      </c>
      <c r="E124" s="153">
        <v>44</v>
      </c>
      <c r="F124" s="153">
        <f t="shared" si="2"/>
        <v>0</v>
      </c>
      <c r="G124" s="153" t="str">
        <f t="shared" si="3"/>
        <v>OK</v>
      </c>
      <c r="H124" s="153" t="b">
        <v>1</v>
      </c>
    </row>
    <row r="125" spans="1:8" x14ac:dyDescent="0.3">
      <c r="A125" s="153" t="s">
        <v>1598</v>
      </c>
      <c r="B125" s="153" t="s">
        <v>2762</v>
      </c>
      <c r="C125" s="153" t="s">
        <v>1601</v>
      </c>
      <c r="D125" s="153">
        <v>16016</v>
      </c>
      <c r="E125" s="153">
        <v>16016</v>
      </c>
      <c r="F125" s="153">
        <f t="shared" si="2"/>
        <v>0</v>
      </c>
      <c r="G125" s="153" t="str">
        <f t="shared" si="3"/>
        <v>OK</v>
      </c>
      <c r="H125" s="153" t="b">
        <v>1</v>
      </c>
    </row>
    <row r="126" spans="1:8" x14ac:dyDescent="0.3">
      <c r="A126" s="153" t="s">
        <v>1600</v>
      </c>
      <c r="B126" s="153" t="s">
        <v>2762</v>
      </c>
      <c r="C126" s="153" t="s">
        <v>2279</v>
      </c>
      <c r="D126" s="153">
        <v>78</v>
      </c>
      <c r="E126" s="153">
        <v>78</v>
      </c>
      <c r="F126" s="153">
        <f t="shared" si="2"/>
        <v>0</v>
      </c>
      <c r="G126" s="153" t="str">
        <f t="shared" si="3"/>
        <v>OK</v>
      </c>
      <c r="H126" s="153" t="b">
        <v>1</v>
      </c>
    </row>
    <row r="127" spans="1:8" x14ac:dyDescent="0.3">
      <c r="A127" s="153" t="s">
        <v>1602</v>
      </c>
      <c r="B127" s="153" t="s">
        <v>2762</v>
      </c>
      <c r="C127" s="153" t="s">
        <v>1603</v>
      </c>
      <c r="D127" s="153">
        <v>156</v>
      </c>
      <c r="E127" s="153">
        <v>156</v>
      </c>
      <c r="F127" s="153">
        <f t="shared" si="2"/>
        <v>0</v>
      </c>
      <c r="G127" s="153" t="str">
        <f t="shared" si="3"/>
        <v>OK</v>
      </c>
      <c r="H127" s="153" t="b">
        <v>1</v>
      </c>
    </row>
    <row r="128" spans="1:8" x14ac:dyDescent="0.3">
      <c r="A128" s="153" t="s">
        <v>1604</v>
      </c>
      <c r="B128" s="153" t="s">
        <v>2762</v>
      </c>
      <c r="C128" s="153" t="s">
        <v>1605</v>
      </c>
      <c r="D128" s="153">
        <v>1914.700819672131</v>
      </c>
      <c r="E128" s="153">
        <v>1914.700819672131</v>
      </c>
      <c r="F128" s="153">
        <f t="shared" si="2"/>
        <v>0</v>
      </c>
      <c r="G128" s="153" t="str">
        <f t="shared" si="3"/>
        <v>OK</v>
      </c>
      <c r="H128" s="153" t="b">
        <v>1</v>
      </c>
    </row>
    <row r="129" spans="1:8" x14ac:dyDescent="0.3">
      <c r="A129" s="153" t="s">
        <v>1606</v>
      </c>
      <c r="B129" s="153" t="s">
        <v>2762</v>
      </c>
      <c r="C129" s="153" t="s">
        <v>1607</v>
      </c>
      <c r="D129" s="153">
        <v>440</v>
      </c>
      <c r="E129" s="153">
        <v>440</v>
      </c>
      <c r="F129" s="153">
        <f t="shared" si="2"/>
        <v>0</v>
      </c>
      <c r="G129" s="153" t="str">
        <f t="shared" si="3"/>
        <v>OK</v>
      </c>
      <c r="H129" s="153" t="b">
        <v>1</v>
      </c>
    </row>
    <row r="130" spans="1:8" x14ac:dyDescent="0.3">
      <c r="A130" s="153" t="s">
        <v>1608</v>
      </c>
      <c r="B130" s="153" t="s">
        <v>2762</v>
      </c>
      <c r="C130" s="153" t="s">
        <v>1609</v>
      </c>
      <c r="D130" s="153">
        <v>13500</v>
      </c>
      <c r="E130" s="153">
        <v>13500</v>
      </c>
      <c r="F130" s="153">
        <f t="shared" ref="F130:F193" si="4">IF(NOT(H130),"",IF(AND(ISNUMBER(D130),ISNUMBER(E130)),E130-D130,IF(D130=E130,0,1)))</f>
        <v>0</v>
      </c>
      <c r="G130" s="153" t="str">
        <f t="shared" ref="G130:G193" si="5">IF(NOT(H130),"PENDIENTE SIDE",IF(IF(AND(ISNUMBER(D130),ISNUMBER(E130)),IF(MOD(D130,1)=0,D130=E130,ABS(D130-E130)&lt;=0.000000001*MAX(1,ABS(D130),ABS(E130))),D130=E130),"OK","DIFERENCIA"))</f>
        <v>OK</v>
      </c>
      <c r="H130" s="153" t="b">
        <v>1</v>
      </c>
    </row>
    <row r="131" spans="1:8" x14ac:dyDescent="0.3">
      <c r="A131" s="153" t="s">
        <v>1610</v>
      </c>
      <c r="B131" s="153" t="s">
        <v>2762</v>
      </c>
      <c r="C131" s="153" t="s">
        <v>1611</v>
      </c>
      <c r="D131" s="153">
        <v>45133.329647644161</v>
      </c>
      <c r="E131" s="153">
        <v>45133.329647644161</v>
      </c>
      <c r="F131" s="153">
        <f t="shared" si="4"/>
        <v>0</v>
      </c>
      <c r="G131" s="153" t="str">
        <f t="shared" si="5"/>
        <v>OK</v>
      </c>
      <c r="H131" s="153" t="b">
        <v>1</v>
      </c>
    </row>
    <row r="132" spans="1:8" x14ac:dyDescent="0.3">
      <c r="A132" s="153" t="s">
        <v>1612</v>
      </c>
      <c r="B132" s="153" t="s">
        <v>2762</v>
      </c>
      <c r="C132" s="153" t="s">
        <v>1613</v>
      </c>
      <c r="D132" s="153">
        <v>-29117.329647644161</v>
      </c>
      <c r="E132" s="153">
        <v>-29117.329647644161</v>
      </c>
      <c r="F132" s="153">
        <f t="shared" si="4"/>
        <v>0</v>
      </c>
      <c r="G132" s="153" t="str">
        <f t="shared" si="5"/>
        <v>OK</v>
      </c>
      <c r="H132" s="153" t="b">
        <v>1</v>
      </c>
    </row>
    <row r="133" spans="1:8" x14ac:dyDescent="0.3">
      <c r="A133" s="153" t="s">
        <v>1614</v>
      </c>
      <c r="B133" s="153" t="s">
        <v>2762</v>
      </c>
      <c r="C133" s="153" t="s">
        <v>1615</v>
      </c>
      <c r="D133" s="153">
        <v>0</v>
      </c>
      <c r="E133" s="153">
        <v>0</v>
      </c>
      <c r="F133" s="153">
        <f t="shared" si="4"/>
        <v>0</v>
      </c>
      <c r="G133" s="153" t="str">
        <f t="shared" si="5"/>
        <v>OK</v>
      </c>
      <c r="H133" s="153" t="b">
        <v>1</v>
      </c>
    </row>
    <row r="134" spans="1:8" x14ac:dyDescent="0.3">
      <c r="A134" s="153" t="s">
        <v>1616</v>
      </c>
      <c r="B134" s="153" t="s">
        <v>2762</v>
      </c>
      <c r="C134" s="153" t="s">
        <v>1617</v>
      </c>
      <c r="D134" s="153">
        <v>3</v>
      </c>
      <c r="E134" s="153">
        <v>3</v>
      </c>
      <c r="F134" s="153">
        <f t="shared" si="4"/>
        <v>0</v>
      </c>
      <c r="G134" s="153" t="str">
        <f t="shared" si="5"/>
        <v>OK</v>
      </c>
      <c r="H134" s="153" t="b">
        <v>1</v>
      </c>
    </row>
    <row r="135" spans="1:8" x14ac:dyDescent="0.3">
      <c r="A135" s="153" t="s">
        <v>1618</v>
      </c>
      <c r="B135" s="153" t="s">
        <v>2762</v>
      </c>
      <c r="C135" s="153" t="s">
        <v>1619</v>
      </c>
      <c r="D135" s="153">
        <v>0</v>
      </c>
      <c r="E135" s="153">
        <v>0</v>
      </c>
      <c r="F135" s="153">
        <f t="shared" si="4"/>
        <v>0</v>
      </c>
      <c r="G135" s="153" t="str">
        <f t="shared" si="5"/>
        <v>OK</v>
      </c>
      <c r="H135" s="153" t="b">
        <v>1</v>
      </c>
    </row>
    <row r="136" spans="1:8" x14ac:dyDescent="0.3">
      <c r="A136" s="153" t="s">
        <v>1620</v>
      </c>
      <c r="B136" s="153" t="s">
        <v>2762</v>
      </c>
      <c r="C136" s="153" t="s">
        <v>1621</v>
      </c>
      <c r="D136" s="153">
        <v>0</v>
      </c>
      <c r="E136" s="153">
        <v>0</v>
      </c>
      <c r="F136" s="153">
        <f t="shared" si="4"/>
        <v>0</v>
      </c>
      <c r="G136" s="153" t="str">
        <f t="shared" si="5"/>
        <v>OK</v>
      </c>
      <c r="H136" s="153" t="b">
        <v>1</v>
      </c>
    </row>
    <row r="137" spans="1:8" x14ac:dyDescent="0.3">
      <c r="A137" s="153" t="s">
        <v>1622</v>
      </c>
      <c r="B137" s="153" t="s">
        <v>2762</v>
      </c>
      <c r="C137" s="153" t="s">
        <v>1623</v>
      </c>
      <c r="D137" s="153">
        <v>214.6</v>
      </c>
      <c r="E137" s="153">
        <v>214.6</v>
      </c>
      <c r="F137" s="153">
        <f t="shared" si="4"/>
        <v>0</v>
      </c>
      <c r="G137" s="153" t="str">
        <f t="shared" si="5"/>
        <v>OK</v>
      </c>
      <c r="H137" s="153" t="b">
        <v>1</v>
      </c>
    </row>
    <row r="138" spans="1:8" x14ac:dyDescent="0.3">
      <c r="A138" s="153" t="s">
        <v>1624</v>
      </c>
      <c r="B138" s="153" t="s">
        <v>2762</v>
      </c>
      <c r="C138" s="153" t="s">
        <v>1625</v>
      </c>
      <c r="D138" s="153">
        <v>0</v>
      </c>
      <c r="E138" s="153">
        <v>0</v>
      </c>
      <c r="F138" s="153">
        <f t="shared" si="4"/>
        <v>0</v>
      </c>
      <c r="G138" s="153" t="str">
        <f t="shared" si="5"/>
        <v>OK</v>
      </c>
      <c r="H138" s="153" t="b">
        <v>1</v>
      </c>
    </row>
    <row r="139" spans="1:8" x14ac:dyDescent="0.3">
      <c r="A139" s="153" t="s">
        <v>1626</v>
      </c>
      <c r="B139" s="153" t="s">
        <v>2762</v>
      </c>
      <c r="C139" s="153" t="s">
        <v>1627</v>
      </c>
      <c r="D139" s="153">
        <v>878</v>
      </c>
      <c r="E139" s="153">
        <v>878</v>
      </c>
      <c r="F139" s="153">
        <f t="shared" si="4"/>
        <v>0</v>
      </c>
      <c r="G139" s="153" t="str">
        <f t="shared" si="5"/>
        <v>OK</v>
      </c>
      <c r="H139" s="153" t="b">
        <v>1</v>
      </c>
    </row>
    <row r="140" spans="1:8" x14ac:dyDescent="0.3">
      <c r="A140" s="153" t="s">
        <v>1628</v>
      </c>
      <c r="B140" s="153" t="s">
        <v>2762</v>
      </c>
      <c r="C140" s="153" t="s">
        <v>1629</v>
      </c>
      <c r="D140" s="153">
        <v>0</v>
      </c>
      <c r="E140" s="153">
        <v>0</v>
      </c>
      <c r="F140" s="153">
        <f t="shared" si="4"/>
        <v>0</v>
      </c>
      <c r="G140" s="153" t="str">
        <f t="shared" si="5"/>
        <v>OK</v>
      </c>
      <c r="H140" s="153" t="b">
        <v>1</v>
      </c>
    </row>
    <row r="141" spans="1:8" x14ac:dyDescent="0.3">
      <c r="A141" s="153" t="s">
        <v>1630</v>
      </c>
      <c r="B141" s="153" t="s">
        <v>2762</v>
      </c>
      <c r="C141" s="153" t="s">
        <v>1631</v>
      </c>
      <c r="D141" s="153">
        <v>0</v>
      </c>
      <c r="E141" s="153">
        <v>0</v>
      </c>
      <c r="F141" s="153">
        <f t="shared" si="4"/>
        <v>0</v>
      </c>
      <c r="G141" s="153" t="str">
        <f t="shared" si="5"/>
        <v>OK</v>
      </c>
      <c r="H141" s="153" t="b">
        <v>1</v>
      </c>
    </row>
    <row r="142" spans="1:8" x14ac:dyDescent="0.3">
      <c r="A142" s="153" t="s">
        <v>1632</v>
      </c>
      <c r="B142" s="153" t="s">
        <v>2762</v>
      </c>
      <c r="C142" s="153" t="s">
        <v>1633</v>
      </c>
      <c r="D142" s="153">
        <v>4414</v>
      </c>
      <c r="E142" s="153">
        <v>4414</v>
      </c>
      <c r="F142" s="153">
        <f t="shared" si="4"/>
        <v>0</v>
      </c>
      <c r="G142" s="153" t="str">
        <f t="shared" si="5"/>
        <v>OK</v>
      </c>
      <c r="H142" s="153" t="b">
        <v>1</v>
      </c>
    </row>
    <row r="143" spans="1:8" x14ac:dyDescent="0.3">
      <c r="A143" s="153" t="s">
        <v>1634</v>
      </c>
      <c r="B143" s="153" t="s">
        <v>2762</v>
      </c>
      <c r="C143" s="153" t="s">
        <v>1635</v>
      </c>
      <c r="D143" s="153" t="b">
        <v>0</v>
      </c>
      <c r="E143" s="153" t="b">
        <v>0</v>
      </c>
      <c r="F143" s="153">
        <f t="shared" si="4"/>
        <v>0</v>
      </c>
      <c r="G143" s="153" t="str">
        <f t="shared" si="5"/>
        <v>OK</v>
      </c>
      <c r="H143" s="153" t="b">
        <v>1</v>
      </c>
    </row>
    <row r="144" spans="1:8" x14ac:dyDescent="0.3">
      <c r="A144" s="153" t="s">
        <v>1636</v>
      </c>
      <c r="B144" s="153" t="s">
        <v>2762</v>
      </c>
      <c r="C144" s="153" t="s">
        <v>1637</v>
      </c>
      <c r="D144" s="153" t="b">
        <v>1</v>
      </c>
      <c r="E144" s="153" t="b">
        <v>1</v>
      </c>
      <c r="F144" s="153">
        <f t="shared" si="4"/>
        <v>0</v>
      </c>
      <c r="G144" s="153" t="str">
        <f t="shared" si="5"/>
        <v>OK</v>
      </c>
      <c r="H144" s="153" t="b">
        <v>1</v>
      </c>
    </row>
    <row r="145" spans="1:8" x14ac:dyDescent="0.3">
      <c r="A145" s="153" t="s">
        <v>1638</v>
      </c>
      <c r="B145" s="153" t="s">
        <v>2762</v>
      </c>
      <c r="C145" s="153" t="s">
        <v>1639</v>
      </c>
      <c r="D145" s="153" t="b">
        <v>0</v>
      </c>
      <c r="E145" s="153" t="b">
        <v>0</v>
      </c>
      <c r="F145" s="153">
        <f t="shared" si="4"/>
        <v>0</v>
      </c>
      <c r="G145" s="153" t="str">
        <f t="shared" si="5"/>
        <v>OK</v>
      </c>
      <c r="H145" s="153" t="b">
        <v>1</v>
      </c>
    </row>
    <row r="146" spans="1:8" x14ac:dyDescent="0.3">
      <c r="A146" s="153" t="s">
        <v>1640</v>
      </c>
      <c r="B146" s="153" t="s">
        <v>2762</v>
      </c>
      <c r="C146" s="153" t="s">
        <v>1641</v>
      </c>
      <c r="D146" s="153" t="b">
        <v>0</v>
      </c>
      <c r="E146" s="153" t="b">
        <v>0</v>
      </c>
      <c r="F146" s="153">
        <f t="shared" si="4"/>
        <v>0</v>
      </c>
      <c r="G146" s="153" t="str">
        <f t="shared" si="5"/>
        <v>OK</v>
      </c>
      <c r="H146" s="153" t="b">
        <v>1</v>
      </c>
    </row>
    <row r="147" spans="1:8" x14ac:dyDescent="0.3">
      <c r="A147" s="153" t="s">
        <v>1642</v>
      </c>
      <c r="B147" s="153" t="s">
        <v>2762</v>
      </c>
      <c r="C147" s="153" t="s">
        <v>1643</v>
      </c>
      <c r="D147" s="153" t="b">
        <v>1</v>
      </c>
      <c r="E147" s="153" t="b">
        <v>1</v>
      </c>
      <c r="F147" s="153">
        <f t="shared" si="4"/>
        <v>0</v>
      </c>
      <c r="G147" s="153" t="str">
        <f t="shared" si="5"/>
        <v>OK</v>
      </c>
      <c r="H147" s="153" t="b">
        <v>1</v>
      </c>
    </row>
    <row r="148" spans="1:8" x14ac:dyDescent="0.3">
      <c r="A148" s="153" t="s">
        <v>1644</v>
      </c>
      <c r="B148" s="153" t="s">
        <v>2762</v>
      </c>
      <c r="C148" s="153" t="s">
        <v>1645</v>
      </c>
      <c r="D148" s="153" t="b">
        <v>1</v>
      </c>
      <c r="E148" s="153" t="b">
        <v>1</v>
      </c>
      <c r="F148" s="153">
        <f t="shared" si="4"/>
        <v>0</v>
      </c>
      <c r="G148" s="153" t="str">
        <f t="shared" si="5"/>
        <v>OK</v>
      </c>
      <c r="H148" s="153" t="b">
        <v>1</v>
      </c>
    </row>
    <row r="149" spans="1:8" x14ac:dyDescent="0.3">
      <c r="A149" s="153" t="s">
        <v>1646</v>
      </c>
      <c r="B149" s="153" t="s">
        <v>2762</v>
      </c>
      <c r="C149" s="153" t="s">
        <v>1647</v>
      </c>
      <c r="D149" s="153" t="b">
        <v>1</v>
      </c>
      <c r="E149" s="153" t="b">
        <v>1</v>
      </c>
      <c r="F149" s="153">
        <f t="shared" si="4"/>
        <v>0</v>
      </c>
      <c r="G149" s="153" t="str">
        <f t="shared" si="5"/>
        <v>OK</v>
      </c>
      <c r="H149" s="153" t="b">
        <v>1</v>
      </c>
    </row>
    <row r="150" spans="1:8" x14ac:dyDescent="0.3">
      <c r="A150" s="153" t="s">
        <v>1648</v>
      </c>
      <c r="B150" s="153" t="s">
        <v>2762</v>
      </c>
      <c r="C150" s="153" t="s">
        <v>1649</v>
      </c>
      <c r="D150" s="153" t="b">
        <v>0</v>
      </c>
      <c r="E150" s="153" t="b">
        <v>0</v>
      </c>
      <c r="F150" s="153">
        <f t="shared" si="4"/>
        <v>0</v>
      </c>
      <c r="G150" s="153" t="str">
        <f t="shared" si="5"/>
        <v>OK</v>
      </c>
      <c r="H150" s="153" t="b">
        <v>1</v>
      </c>
    </row>
    <row r="151" spans="1:8" x14ac:dyDescent="0.3">
      <c r="A151" s="153" t="s">
        <v>1650</v>
      </c>
      <c r="B151" s="153" t="s">
        <v>2762</v>
      </c>
      <c r="C151" s="153" t="s">
        <v>1651</v>
      </c>
      <c r="D151" s="153">
        <v>0</v>
      </c>
      <c r="E151" s="153">
        <v>0</v>
      </c>
      <c r="F151" s="153">
        <f t="shared" si="4"/>
        <v>0</v>
      </c>
      <c r="G151" s="153" t="str">
        <f t="shared" si="5"/>
        <v>OK</v>
      </c>
      <c r="H151" s="153" t="b">
        <v>1</v>
      </c>
    </row>
    <row r="152" spans="1:8" x14ac:dyDescent="0.3">
      <c r="A152" s="153" t="s">
        <v>1652</v>
      </c>
      <c r="B152" s="153" t="s">
        <v>2762</v>
      </c>
      <c r="C152" s="153" t="s">
        <v>1653</v>
      </c>
      <c r="D152" s="153">
        <v>20</v>
      </c>
      <c r="E152" s="153">
        <v>20</v>
      </c>
      <c r="F152" s="153">
        <f t="shared" si="4"/>
        <v>0</v>
      </c>
      <c r="G152" s="153" t="str">
        <f t="shared" si="5"/>
        <v>OK</v>
      </c>
      <c r="H152" s="153" t="b">
        <v>1</v>
      </c>
    </row>
    <row r="153" spans="1:8" x14ac:dyDescent="0.3">
      <c r="A153" s="153" t="s">
        <v>1654</v>
      </c>
      <c r="B153" s="153" t="s">
        <v>2762</v>
      </c>
      <c r="C153" s="153" t="s">
        <v>1655</v>
      </c>
      <c r="D153" s="153">
        <v>0</v>
      </c>
      <c r="E153" s="153">
        <v>0</v>
      </c>
      <c r="F153" s="153">
        <f t="shared" si="4"/>
        <v>0</v>
      </c>
      <c r="G153" s="153" t="str">
        <f t="shared" si="5"/>
        <v>OK</v>
      </c>
      <c r="H153" s="153" t="b">
        <v>1</v>
      </c>
    </row>
    <row r="154" spans="1:8" x14ac:dyDescent="0.3">
      <c r="A154" s="153" t="s">
        <v>1656</v>
      </c>
      <c r="B154" s="153" t="s">
        <v>2762</v>
      </c>
      <c r="C154" s="153" t="s">
        <v>1657</v>
      </c>
      <c r="D154" s="153">
        <v>3</v>
      </c>
      <c r="E154" s="153">
        <v>3</v>
      </c>
      <c r="F154" s="153">
        <f t="shared" si="4"/>
        <v>0</v>
      </c>
      <c r="G154" s="153" t="str">
        <f t="shared" si="5"/>
        <v>OK</v>
      </c>
      <c r="H154" s="153" t="b">
        <v>1</v>
      </c>
    </row>
    <row r="155" spans="1:8" x14ac:dyDescent="0.3">
      <c r="A155" s="153" t="s">
        <v>1658</v>
      </c>
      <c r="B155" s="153" t="s">
        <v>2762</v>
      </c>
      <c r="C155" s="153" t="s">
        <v>1659</v>
      </c>
      <c r="D155" s="153">
        <v>4</v>
      </c>
      <c r="E155" s="153">
        <v>4</v>
      </c>
      <c r="F155" s="153">
        <f t="shared" si="4"/>
        <v>0</v>
      </c>
      <c r="G155" s="153" t="str">
        <f t="shared" si="5"/>
        <v>OK</v>
      </c>
      <c r="H155" s="153" t="b">
        <v>1</v>
      </c>
    </row>
    <row r="156" spans="1:8" x14ac:dyDescent="0.3">
      <c r="A156" s="153" t="s">
        <v>1660</v>
      </c>
      <c r="B156" s="153" t="s">
        <v>2762</v>
      </c>
      <c r="C156" s="153" t="s">
        <v>1661</v>
      </c>
      <c r="D156" s="153">
        <v>17</v>
      </c>
      <c r="E156" s="153">
        <v>17</v>
      </c>
      <c r="F156" s="153">
        <f t="shared" si="4"/>
        <v>0</v>
      </c>
      <c r="G156" s="153" t="str">
        <f t="shared" si="5"/>
        <v>OK</v>
      </c>
      <c r="H156" s="153" t="b">
        <v>1</v>
      </c>
    </row>
    <row r="157" spans="1:8" x14ac:dyDescent="0.3">
      <c r="A157" s="153" t="s">
        <v>1662</v>
      </c>
      <c r="B157" s="153" t="s">
        <v>2762</v>
      </c>
      <c r="C157" s="153" t="s">
        <v>1663</v>
      </c>
      <c r="D157" s="153">
        <v>9</v>
      </c>
      <c r="E157" s="153">
        <v>9</v>
      </c>
      <c r="F157" s="153">
        <f t="shared" si="4"/>
        <v>0</v>
      </c>
      <c r="G157" s="153" t="str">
        <f t="shared" si="5"/>
        <v>OK</v>
      </c>
      <c r="H157" s="153" t="b">
        <v>1</v>
      </c>
    </row>
    <row r="158" spans="1:8" x14ac:dyDescent="0.3">
      <c r="A158" s="153" t="s">
        <v>1664</v>
      </c>
      <c r="B158" s="153" t="s">
        <v>2762</v>
      </c>
      <c r="C158" s="153" t="s">
        <v>1665</v>
      </c>
      <c r="D158" s="153">
        <v>-3</v>
      </c>
      <c r="E158" s="153">
        <v>-3</v>
      </c>
      <c r="F158" s="153">
        <f t="shared" si="4"/>
        <v>0</v>
      </c>
      <c r="G158" s="153" t="str">
        <f t="shared" si="5"/>
        <v>OK</v>
      </c>
      <c r="H158" s="153" t="b">
        <v>1</v>
      </c>
    </row>
    <row r="159" spans="1:8" x14ac:dyDescent="0.3">
      <c r="A159" s="153" t="s">
        <v>1666</v>
      </c>
      <c r="B159" s="153" t="s">
        <v>2762</v>
      </c>
      <c r="C159" s="153" t="s">
        <v>1667</v>
      </c>
      <c r="D159" s="153">
        <v>5</v>
      </c>
      <c r="E159" s="153">
        <v>5</v>
      </c>
      <c r="F159" s="153">
        <f t="shared" si="4"/>
        <v>0</v>
      </c>
      <c r="G159" s="153" t="str">
        <f t="shared" si="5"/>
        <v>OK</v>
      </c>
      <c r="H159" s="153" t="b">
        <v>1</v>
      </c>
    </row>
    <row r="160" spans="1:8" x14ac:dyDescent="0.3">
      <c r="A160" s="153" t="s">
        <v>1668</v>
      </c>
      <c r="B160" s="153" t="s">
        <v>2762</v>
      </c>
      <c r="C160" s="153" t="s">
        <v>1669</v>
      </c>
      <c r="D160" s="153">
        <v>129.6</v>
      </c>
      <c r="E160" s="153">
        <v>129.6</v>
      </c>
      <c r="F160" s="153">
        <f t="shared" si="4"/>
        <v>0</v>
      </c>
      <c r="G160" s="153" t="str">
        <f t="shared" si="5"/>
        <v>OK</v>
      </c>
      <c r="H160" s="153" t="b">
        <v>1</v>
      </c>
    </row>
    <row r="161" spans="1:8" x14ac:dyDescent="0.3">
      <c r="A161" s="153" t="s">
        <v>1670</v>
      </c>
      <c r="B161" s="153" t="s">
        <v>2762</v>
      </c>
      <c r="C161" s="153" t="s">
        <v>1671</v>
      </c>
      <c r="D161" s="153">
        <v>0.94000000000000006</v>
      </c>
      <c r="E161" s="153">
        <v>0.94000000000000006</v>
      </c>
      <c r="F161" s="153">
        <f t="shared" si="4"/>
        <v>0</v>
      </c>
      <c r="G161" s="153" t="str">
        <f t="shared" si="5"/>
        <v>OK</v>
      </c>
      <c r="H161" s="153" t="b">
        <v>1</v>
      </c>
    </row>
    <row r="162" spans="1:8" x14ac:dyDescent="0.3">
      <c r="A162" s="153" t="s">
        <v>1672</v>
      </c>
      <c r="B162" s="153" t="s">
        <v>2762</v>
      </c>
      <c r="C162" s="153" t="s">
        <v>1673</v>
      </c>
      <c r="D162" s="153">
        <v>122</v>
      </c>
      <c r="E162" s="153">
        <v>122</v>
      </c>
      <c r="F162" s="153">
        <f t="shared" si="4"/>
        <v>0</v>
      </c>
      <c r="G162" s="153" t="str">
        <f t="shared" si="5"/>
        <v>OK</v>
      </c>
      <c r="H162" s="153" t="b">
        <v>1</v>
      </c>
    </row>
    <row r="163" spans="1:8" x14ac:dyDescent="0.3">
      <c r="A163" s="153" t="s">
        <v>1674</v>
      </c>
      <c r="B163" s="153" t="s">
        <v>2762</v>
      </c>
      <c r="C163" s="153" t="s">
        <v>1675</v>
      </c>
      <c r="D163" s="153">
        <v>122</v>
      </c>
      <c r="E163" s="153">
        <v>122</v>
      </c>
      <c r="F163" s="153">
        <f t="shared" si="4"/>
        <v>0</v>
      </c>
      <c r="G163" s="153" t="str">
        <f t="shared" si="5"/>
        <v>OK</v>
      </c>
      <c r="H163" s="153" t="b">
        <v>1</v>
      </c>
    </row>
    <row r="164" spans="1:8" x14ac:dyDescent="0.3">
      <c r="A164" s="153" t="s">
        <v>1676</v>
      </c>
      <c r="B164" s="153" t="s">
        <v>2762</v>
      </c>
      <c r="C164" s="153" t="s">
        <v>1677</v>
      </c>
      <c r="D164" s="153">
        <v>36.6</v>
      </c>
      <c r="E164" s="153">
        <v>36.6</v>
      </c>
      <c r="F164" s="153">
        <f t="shared" si="4"/>
        <v>0</v>
      </c>
      <c r="G164" s="153" t="str">
        <f t="shared" si="5"/>
        <v>OK</v>
      </c>
      <c r="H164" s="153" t="b">
        <v>1</v>
      </c>
    </row>
    <row r="165" spans="1:8" x14ac:dyDescent="0.3">
      <c r="A165" s="153" t="s">
        <v>1678</v>
      </c>
      <c r="B165" s="153" t="s">
        <v>2762</v>
      </c>
      <c r="C165" s="153" t="s">
        <v>1679</v>
      </c>
      <c r="D165" s="153">
        <v>122</v>
      </c>
      <c r="E165" s="153">
        <v>122</v>
      </c>
      <c r="F165" s="153">
        <f t="shared" si="4"/>
        <v>0</v>
      </c>
      <c r="G165" s="153" t="str">
        <f t="shared" si="5"/>
        <v>OK</v>
      </c>
      <c r="H165" s="153" t="b">
        <v>1</v>
      </c>
    </row>
    <row r="166" spans="1:8" x14ac:dyDescent="0.3">
      <c r="A166" s="153" t="s">
        <v>1680</v>
      </c>
      <c r="B166" s="153" t="s">
        <v>2762</v>
      </c>
      <c r="C166" s="153" t="s">
        <v>1681</v>
      </c>
      <c r="D166" s="153">
        <v>732</v>
      </c>
      <c r="E166" s="153">
        <v>732</v>
      </c>
      <c r="F166" s="153">
        <f t="shared" si="4"/>
        <v>0</v>
      </c>
      <c r="G166" s="153" t="str">
        <f t="shared" si="5"/>
        <v>OK</v>
      </c>
      <c r="H166" s="153" t="b">
        <v>1</v>
      </c>
    </row>
    <row r="167" spans="1:8" x14ac:dyDescent="0.3">
      <c r="A167" s="153" t="s">
        <v>1682</v>
      </c>
      <c r="B167" s="153" t="s">
        <v>2762</v>
      </c>
      <c r="C167" s="153" t="s">
        <v>1683</v>
      </c>
      <c r="D167" s="153">
        <v>11106.32</v>
      </c>
      <c r="E167" s="153">
        <v>11106.32</v>
      </c>
      <c r="F167" s="153">
        <f t="shared" si="4"/>
        <v>0</v>
      </c>
      <c r="G167" s="153" t="str">
        <f t="shared" si="5"/>
        <v>OK</v>
      </c>
      <c r="H167" s="153" t="b">
        <v>1</v>
      </c>
    </row>
    <row r="168" spans="1:8" x14ac:dyDescent="0.3">
      <c r="A168" s="153" t="s">
        <v>1684</v>
      </c>
      <c r="B168" s="153" t="s">
        <v>2762</v>
      </c>
      <c r="C168" s="153" t="s">
        <v>1685</v>
      </c>
      <c r="D168" s="153">
        <v>2558.5108</v>
      </c>
      <c r="E168" s="153">
        <v>2558.5108</v>
      </c>
      <c r="F168" s="153">
        <f t="shared" si="4"/>
        <v>0</v>
      </c>
      <c r="G168" s="153" t="str">
        <f t="shared" si="5"/>
        <v>OK</v>
      </c>
      <c r="H168" s="153" t="b">
        <v>1</v>
      </c>
    </row>
    <row r="169" spans="1:8" x14ac:dyDescent="0.3">
      <c r="A169" s="153" t="s">
        <v>1686</v>
      </c>
      <c r="B169" s="153" t="s">
        <v>2762</v>
      </c>
      <c r="C169" s="153" t="s">
        <v>1687</v>
      </c>
      <c r="D169" s="153">
        <v>31.25</v>
      </c>
      <c r="E169" s="153">
        <v>31.25</v>
      </c>
      <c r="F169" s="153">
        <f t="shared" si="4"/>
        <v>0</v>
      </c>
      <c r="G169" s="153" t="str">
        <f t="shared" si="5"/>
        <v>OK</v>
      </c>
      <c r="H169" s="153" t="b">
        <v>1</v>
      </c>
    </row>
    <row r="170" spans="1:8" x14ac:dyDescent="0.3">
      <c r="A170" s="153" t="s">
        <v>1688</v>
      </c>
      <c r="B170" s="153" t="s">
        <v>2762</v>
      </c>
      <c r="C170" s="153" t="s">
        <v>1689</v>
      </c>
      <c r="D170" s="153">
        <v>64.125</v>
      </c>
      <c r="E170" s="153">
        <v>64.125</v>
      </c>
      <c r="F170" s="153">
        <f t="shared" si="4"/>
        <v>0</v>
      </c>
      <c r="G170" s="153" t="str">
        <f t="shared" si="5"/>
        <v>OK</v>
      </c>
      <c r="H170" s="153" t="b">
        <v>1</v>
      </c>
    </row>
    <row r="171" spans="1:8" x14ac:dyDescent="0.3">
      <c r="A171" s="153" t="s">
        <v>1690</v>
      </c>
      <c r="B171" s="153" t="s">
        <v>2762</v>
      </c>
      <c r="C171" s="153" t="s">
        <v>1691</v>
      </c>
      <c r="D171" s="153">
        <v>0</v>
      </c>
      <c r="E171" s="153">
        <v>0</v>
      </c>
      <c r="F171" s="153">
        <f t="shared" si="4"/>
        <v>0</v>
      </c>
      <c r="G171" s="153" t="str">
        <f t="shared" si="5"/>
        <v>OK</v>
      </c>
      <c r="H171" s="153" t="b">
        <v>1</v>
      </c>
    </row>
    <row r="172" spans="1:8" x14ac:dyDescent="0.3">
      <c r="A172" s="153" t="s">
        <v>1692</v>
      </c>
      <c r="B172" s="153" t="s">
        <v>2762</v>
      </c>
      <c r="C172" s="153" t="s">
        <v>1693</v>
      </c>
      <c r="D172" s="153">
        <v>0</v>
      </c>
      <c r="E172" s="153">
        <v>0</v>
      </c>
      <c r="F172" s="153">
        <f t="shared" si="4"/>
        <v>0</v>
      </c>
      <c r="G172" s="153" t="str">
        <f t="shared" si="5"/>
        <v>OK</v>
      </c>
      <c r="H172" s="153" t="b">
        <v>1</v>
      </c>
    </row>
    <row r="173" spans="1:8" x14ac:dyDescent="0.3">
      <c r="A173" s="153" t="s">
        <v>1694</v>
      </c>
      <c r="B173" s="153" t="s">
        <v>2762</v>
      </c>
      <c r="C173" s="153" t="s">
        <v>1697</v>
      </c>
      <c r="D173" s="153">
        <v>2</v>
      </c>
      <c r="E173" s="153">
        <v>2</v>
      </c>
      <c r="F173" s="153">
        <f t="shared" si="4"/>
        <v>0</v>
      </c>
      <c r="G173" s="153" t="str">
        <f t="shared" si="5"/>
        <v>OK</v>
      </c>
      <c r="H173" s="153" t="b">
        <v>1</v>
      </c>
    </row>
    <row r="174" spans="1:8" x14ac:dyDescent="0.3">
      <c r="A174" s="153" t="s">
        <v>1696</v>
      </c>
      <c r="B174" s="153" t="s">
        <v>2762</v>
      </c>
      <c r="C174" s="153" t="s">
        <v>1699</v>
      </c>
      <c r="D174" s="153">
        <v>2</v>
      </c>
      <c r="E174" s="153">
        <v>2</v>
      </c>
      <c r="F174" s="153">
        <f t="shared" si="4"/>
        <v>0</v>
      </c>
      <c r="G174" s="153" t="str">
        <f t="shared" si="5"/>
        <v>OK</v>
      </c>
      <c r="H174" s="153" t="b">
        <v>1</v>
      </c>
    </row>
    <row r="175" spans="1:8" x14ac:dyDescent="0.3">
      <c r="A175" s="153" t="s">
        <v>1698</v>
      </c>
      <c r="B175" s="153" t="s">
        <v>2762</v>
      </c>
      <c r="C175" s="153" t="s">
        <v>1701</v>
      </c>
      <c r="D175" s="153">
        <v>2</v>
      </c>
      <c r="E175" s="153">
        <v>2</v>
      </c>
      <c r="F175" s="153">
        <f t="shared" si="4"/>
        <v>0</v>
      </c>
      <c r="G175" s="153" t="str">
        <f t="shared" si="5"/>
        <v>OK</v>
      </c>
      <c r="H175" s="153" t="b">
        <v>1</v>
      </c>
    </row>
    <row r="176" spans="1:8" x14ac:dyDescent="0.3">
      <c r="A176" s="153" t="s">
        <v>1700</v>
      </c>
      <c r="B176" s="153" t="s">
        <v>2762</v>
      </c>
      <c r="C176" s="153" t="s">
        <v>1703</v>
      </c>
      <c r="D176" s="153">
        <v>90</v>
      </c>
      <c r="E176" s="153">
        <v>90</v>
      </c>
      <c r="F176" s="153">
        <f t="shared" si="4"/>
        <v>0</v>
      </c>
      <c r="G176" s="153" t="str">
        <f t="shared" si="5"/>
        <v>OK</v>
      </c>
      <c r="H176" s="153" t="b">
        <v>1</v>
      </c>
    </row>
    <row r="177" spans="1:8" x14ac:dyDescent="0.3">
      <c r="A177" s="153" t="s">
        <v>1702</v>
      </c>
      <c r="B177" s="153" t="s">
        <v>2762</v>
      </c>
      <c r="C177" s="153" t="s">
        <v>2331</v>
      </c>
      <c r="D177" s="153">
        <v>120</v>
      </c>
      <c r="E177" s="153">
        <v>120</v>
      </c>
      <c r="F177" s="153">
        <f t="shared" si="4"/>
        <v>0</v>
      </c>
      <c r="G177" s="153" t="str">
        <f t="shared" si="5"/>
        <v>OK</v>
      </c>
      <c r="H177" s="153" t="b">
        <v>1</v>
      </c>
    </row>
    <row r="178" spans="1:8" x14ac:dyDescent="0.3">
      <c r="A178" s="153" t="s">
        <v>1704</v>
      </c>
      <c r="B178" s="153" t="s">
        <v>2762</v>
      </c>
      <c r="C178" s="153" t="s">
        <v>1705</v>
      </c>
      <c r="D178" s="153">
        <v>240</v>
      </c>
      <c r="E178" s="153">
        <v>240</v>
      </c>
      <c r="F178" s="153">
        <f t="shared" si="4"/>
        <v>0</v>
      </c>
      <c r="G178" s="153" t="str">
        <f t="shared" si="5"/>
        <v>OK</v>
      </c>
      <c r="H178" s="153" t="b">
        <v>1</v>
      </c>
    </row>
    <row r="179" spans="1:8" x14ac:dyDescent="0.3">
      <c r="A179" s="153" t="s">
        <v>1706</v>
      </c>
      <c r="B179" s="153" t="s">
        <v>2762</v>
      </c>
      <c r="C179" s="153" t="s">
        <v>1707</v>
      </c>
      <c r="D179" s="153">
        <v>1775.190491803279</v>
      </c>
      <c r="E179" s="153">
        <v>1775.190491803279</v>
      </c>
      <c r="F179" s="153">
        <f t="shared" si="4"/>
        <v>0</v>
      </c>
      <c r="G179" s="153" t="str">
        <f t="shared" si="5"/>
        <v>OK</v>
      </c>
      <c r="H179" s="153" t="b">
        <v>1</v>
      </c>
    </row>
    <row r="180" spans="1:8" x14ac:dyDescent="0.3">
      <c r="A180" s="153" t="s">
        <v>1708</v>
      </c>
      <c r="B180" s="153" t="s">
        <v>2762</v>
      </c>
      <c r="C180" s="153" t="s">
        <v>1709</v>
      </c>
      <c r="D180" s="153">
        <v>10</v>
      </c>
      <c r="E180" s="153">
        <v>10</v>
      </c>
      <c r="F180" s="153">
        <f t="shared" si="4"/>
        <v>0</v>
      </c>
      <c r="G180" s="153" t="str">
        <f t="shared" si="5"/>
        <v>OK</v>
      </c>
      <c r="H180" s="153" t="b">
        <v>1</v>
      </c>
    </row>
    <row r="181" spans="1:8" x14ac:dyDescent="0.3">
      <c r="A181" s="153" t="s">
        <v>1710</v>
      </c>
      <c r="B181" s="153" t="s">
        <v>2762</v>
      </c>
      <c r="C181" s="153" t="s">
        <v>1711</v>
      </c>
      <c r="D181" s="153">
        <v>13500</v>
      </c>
      <c r="E181" s="153">
        <v>13500</v>
      </c>
      <c r="F181" s="153">
        <f t="shared" si="4"/>
        <v>0</v>
      </c>
      <c r="G181" s="153" t="str">
        <f t="shared" si="5"/>
        <v>OK</v>
      </c>
      <c r="H181" s="153" t="b">
        <v>1</v>
      </c>
    </row>
    <row r="182" spans="1:8" x14ac:dyDescent="0.3">
      <c r="A182" s="153" t="s">
        <v>1712</v>
      </c>
      <c r="B182" s="153" t="s">
        <v>2762</v>
      </c>
      <c r="C182" s="153" t="s">
        <v>1713</v>
      </c>
      <c r="D182" s="153">
        <v>29285.396291803281</v>
      </c>
      <c r="E182" s="153">
        <v>29285.396291803281</v>
      </c>
      <c r="F182" s="153">
        <f t="shared" si="4"/>
        <v>0</v>
      </c>
      <c r="G182" s="153" t="str">
        <f t="shared" si="5"/>
        <v>OK</v>
      </c>
      <c r="H182" s="153" t="b">
        <v>1</v>
      </c>
    </row>
    <row r="183" spans="1:8" x14ac:dyDescent="0.3">
      <c r="A183" s="153" t="s">
        <v>1714</v>
      </c>
      <c r="B183" s="153" t="s">
        <v>2762</v>
      </c>
      <c r="C183" s="153" t="s">
        <v>1715</v>
      </c>
      <c r="D183" s="153">
        <v>-29195.396291803281</v>
      </c>
      <c r="E183" s="153">
        <v>-29195.396291803281</v>
      </c>
      <c r="F183" s="153">
        <f t="shared" si="4"/>
        <v>0</v>
      </c>
      <c r="G183" s="153" t="str">
        <f t="shared" si="5"/>
        <v>OK</v>
      </c>
      <c r="H183" s="153" t="b">
        <v>1</v>
      </c>
    </row>
    <row r="184" spans="1:8" x14ac:dyDescent="0.3">
      <c r="A184" s="153" t="s">
        <v>1716</v>
      </c>
      <c r="B184" s="153" t="s">
        <v>2762</v>
      </c>
      <c r="C184" s="153" t="s">
        <v>1717</v>
      </c>
      <c r="D184" s="153">
        <v>0</v>
      </c>
      <c r="E184" s="153">
        <v>0</v>
      </c>
      <c r="F184" s="153">
        <f t="shared" si="4"/>
        <v>0</v>
      </c>
      <c r="G184" s="153" t="str">
        <f t="shared" si="5"/>
        <v>OK</v>
      </c>
      <c r="H184" s="153" t="b">
        <v>1</v>
      </c>
    </row>
    <row r="185" spans="1:8" x14ac:dyDescent="0.3">
      <c r="A185" s="153" t="s">
        <v>1718</v>
      </c>
      <c r="B185" s="153" t="s">
        <v>2762</v>
      </c>
      <c r="C185" s="153" t="s">
        <v>1719</v>
      </c>
      <c r="D185" s="153">
        <v>3</v>
      </c>
      <c r="E185" s="153">
        <v>3</v>
      </c>
      <c r="F185" s="153">
        <f t="shared" si="4"/>
        <v>0</v>
      </c>
      <c r="G185" s="153" t="str">
        <f t="shared" si="5"/>
        <v>OK</v>
      </c>
      <c r="H185" s="153" t="b">
        <v>1</v>
      </c>
    </row>
    <row r="186" spans="1:8" x14ac:dyDescent="0.3">
      <c r="A186" s="153" t="s">
        <v>1720</v>
      </c>
      <c r="B186" s="153" t="s">
        <v>2762</v>
      </c>
      <c r="C186" s="153" t="s">
        <v>1721</v>
      </c>
      <c r="D186" s="153">
        <v>263.39999999999998</v>
      </c>
      <c r="E186" s="153">
        <v>263.39999999999998</v>
      </c>
      <c r="F186" s="153">
        <f t="shared" si="4"/>
        <v>0</v>
      </c>
      <c r="G186" s="153" t="str">
        <f t="shared" si="5"/>
        <v>OK</v>
      </c>
      <c r="H186" s="153" t="b">
        <v>1</v>
      </c>
    </row>
    <row r="187" spans="1:8" x14ac:dyDescent="0.3">
      <c r="A187" s="153" t="s">
        <v>1722</v>
      </c>
      <c r="B187" s="153" t="s">
        <v>2762</v>
      </c>
      <c r="C187" s="153" t="s">
        <v>1723</v>
      </c>
      <c r="D187" s="153">
        <v>0</v>
      </c>
      <c r="E187" s="153">
        <v>0</v>
      </c>
      <c r="F187" s="153">
        <f t="shared" si="4"/>
        <v>0</v>
      </c>
      <c r="G187" s="153" t="str">
        <f t="shared" si="5"/>
        <v>OK</v>
      </c>
      <c r="H187" s="153" t="b">
        <v>1</v>
      </c>
    </row>
    <row r="188" spans="1:8" x14ac:dyDescent="0.3">
      <c r="A188" s="153" t="s">
        <v>1724</v>
      </c>
      <c r="B188" s="153" t="s">
        <v>2762</v>
      </c>
      <c r="C188" s="153" t="s">
        <v>1725</v>
      </c>
      <c r="D188" s="153">
        <v>0</v>
      </c>
      <c r="E188" s="153">
        <v>0</v>
      </c>
      <c r="F188" s="153">
        <f t="shared" si="4"/>
        <v>0</v>
      </c>
      <c r="G188" s="153" t="str">
        <f t="shared" si="5"/>
        <v>OK</v>
      </c>
      <c r="H188" s="153" t="b">
        <v>1</v>
      </c>
    </row>
    <row r="189" spans="1:8" x14ac:dyDescent="0.3">
      <c r="A189" s="153" t="s">
        <v>1726</v>
      </c>
      <c r="B189" s="153" t="s">
        <v>2762</v>
      </c>
      <c r="C189" s="153" t="s">
        <v>1727</v>
      </c>
      <c r="D189" s="153">
        <v>878</v>
      </c>
      <c r="E189" s="153">
        <v>878</v>
      </c>
      <c r="F189" s="153">
        <f t="shared" si="4"/>
        <v>0</v>
      </c>
      <c r="G189" s="153" t="str">
        <f t="shared" si="5"/>
        <v>OK</v>
      </c>
      <c r="H189" s="153" t="b">
        <v>1</v>
      </c>
    </row>
    <row r="190" spans="1:8" x14ac:dyDescent="0.3">
      <c r="A190" s="153" t="s">
        <v>1728</v>
      </c>
      <c r="B190" s="153" t="s">
        <v>2762</v>
      </c>
      <c r="C190" s="153" t="s">
        <v>1729</v>
      </c>
      <c r="D190" s="153">
        <v>0</v>
      </c>
      <c r="E190" s="153">
        <v>0</v>
      </c>
      <c r="F190" s="153">
        <f t="shared" si="4"/>
        <v>0</v>
      </c>
      <c r="G190" s="153" t="str">
        <f t="shared" si="5"/>
        <v>OK</v>
      </c>
      <c r="H190" s="153" t="b">
        <v>1</v>
      </c>
    </row>
    <row r="191" spans="1:8" x14ac:dyDescent="0.3">
      <c r="A191" s="153" t="s">
        <v>1730</v>
      </c>
      <c r="B191" s="153" t="s">
        <v>2762</v>
      </c>
      <c r="C191" s="153" t="s">
        <v>1731</v>
      </c>
      <c r="D191" s="153">
        <v>5268</v>
      </c>
      <c r="E191" s="153">
        <v>5268</v>
      </c>
      <c r="F191" s="153">
        <f t="shared" si="4"/>
        <v>0</v>
      </c>
      <c r="G191" s="153" t="str">
        <f t="shared" si="5"/>
        <v>OK</v>
      </c>
      <c r="H191" s="153" t="b">
        <v>1</v>
      </c>
    </row>
    <row r="192" spans="1:8" x14ac:dyDescent="0.3">
      <c r="A192" s="153" t="s">
        <v>1732</v>
      </c>
      <c r="B192" s="153" t="s">
        <v>2762</v>
      </c>
      <c r="C192" s="153" t="s">
        <v>1733</v>
      </c>
      <c r="D192" s="153">
        <v>0</v>
      </c>
      <c r="E192" s="153">
        <v>0</v>
      </c>
      <c r="F192" s="153">
        <f t="shared" si="4"/>
        <v>0</v>
      </c>
      <c r="G192" s="153" t="str">
        <f t="shared" si="5"/>
        <v>OK</v>
      </c>
      <c r="H192" s="153" t="b">
        <v>1</v>
      </c>
    </row>
    <row r="193" spans="1:8" x14ac:dyDescent="0.3">
      <c r="A193" s="153" t="s">
        <v>1734</v>
      </c>
      <c r="B193" s="153" t="s">
        <v>2762</v>
      </c>
      <c r="C193" s="153" t="s">
        <v>1735</v>
      </c>
      <c r="D193" s="153">
        <v>0</v>
      </c>
      <c r="E193" s="153">
        <v>0</v>
      </c>
      <c r="F193" s="153">
        <f t="shared" si="4"/>
        <v>0</v>
      </c>
      <c r="G193" s="153" t="str">
        <f t="shared" si="5"/>
        <v>OK</v>
      </c>
      <c r="H193" s="153" t="b">
        <v>1</v>
      </c>
    </row>
    <row r="194" spans="1:8" x14ac:dyDescent="0.3">
      <c r="A194" s="153" t="s">
        <v>1736</v>
      </c>
      <c r="B194" s="153" t="s">
        <v>2762</v>
      </c>
      <c r="C194" s="153" t="s">
        <v>1737</v>
      </c>
      <c r="D194" s="153" t="b">
        <v>0</v>
      </c>
      <c r="E194" s="153" t="b">
        <v>0</v>
      </c>
      <c r="F194" s="153">
        <f t="shared" ref="F194:F257" si="6">IF(NOT(H194),"",IF(AND(ISNUMBER(D194),ISNUMBER(E194)),E194-D194,IF(D194=E194,0,1)))</f>
        <v>0</v>
      </c>
      <c r="G194" s="153" t="str">
        <f t="shared" ref="G194:G257" si="7">IF(NOT(H194),"PENDIENTE SIDE",IF(IF(AND(ISNUMBER(D194),ISNUMBER(E194)),IF(MOD(D194,1)=0,D194=E194,ABS(D194-E194)&lt;=0.000000001*MAX(1,ABS(D194),ABS(E194))),D194=E194),"OK","DIFERENCIA"))</f>
        <v>OK</v>
      </c>
      <c r="H194" s="153" t="b">
        <v>1</v>
      </c>
    </row>
    <row r="195" spans="1:8" x14ac:dyDescent="0.3">
      <c r="A195" s="153" t="s">
        <v>1738</v>
      </c>
      <c r="B195" s="153" t="s">
        <v>2762</v>
      </c>
      <c r="C195" s="153" t="s">
        <v>1739</v>
      </c>
      <c r="D195" s="153" t="b">
        <v>0</v>
      </c>
      <c r="E195" s="153" t="b">
        <v>0</v>
      </c>
      <c r="F195" s="153">
        <f t="shared" si="6"/>
        <v>0</v>
      </c>
      <c r="G195" s="153" t="str">
        <f t="shared" si="7"/>
        <v>OK</v>
      </c>
      <c r="H195" s="153" t="b">
        <v>1</v>
      </c>
    </row>
    <row r="196" spans="1:8" x14ac:dyDescent="0.3">
      <c r="A196" s="153" t="s">
        <v>1740</v>
      </c>
      <c r="B196" s="153" t="s">
        <v>2762</v>
      </c>
      <c r="C196" s="153" t="s">
        <v>1741</v>
      </c>
      <c r="D196" s="153" t="b">
        <v>0</v>
      </c>
      <c r="E196" s="153" t="b">
        <v>0</v>
      </c>
      <c r="F196" s="153">
        <f t="shared" si="6"/>
        <v>0</v>
      </c>
      <c r="G196" s="153" t="str">
        <f t="shared" si="7"/>
        <v>OK</v>
      </c>
      <c r="H196" s="153" t="b">
        <v>1</v>
      </c>
    </row>
    <row r="197" spans="1:8" x14ac:dyDescent="0.3">
      <c r="A197" s="153" t="s">
        <v>1742</v>
      </c>
      <c r="B197" s="153" t="s">
        <v>2762</v>
      </c>
      <c r="C197" s="153" t="s">
        <v>1743</v>
      </c>
      <c r="D197" s="153" t="b">
        <v>0</v>
      </c>
      <c r="E197" s="153" t="b">
        <v>0</v>
      </c>
      <c r="F197" s="153">
        <f t="shared" si="6"/>
        <v>0</v>
      </c>
      <c r="G197" s="153" t="str">
        <f t="shared" si="7"/>
        <v>OK</v>
      </c>
      <c r="H197" s="153" t="b">
        <v>1</v>
      </c>
    </row>
    <row r="198" spans="1:8" x14ac:dyDescent="0.3">
      <c r="A198" s="153" t="s">
        <v>1744</v>
      </c>
      <c r="B198" s="153" t="s">
        <v>2762</v>
      </c>
      <c r="C198" s="153" t="s">
        <v>1745</v>
      </c>
      <c r="D198" s="153" t="b">
        <v>1</v>
      </c>
      <c r="E198" s="153" t="b">
        <v>1</v>
      </c>
      <c r="F198" s="153">
        <f t="shared" si="6"/>
        <v>0</v>
      </c>
      <c r="G198" s="153" t="str">
        <f t="shared" si="7"/>
        <v>OK</v>
      </c>
      <c r="H198" s="153" t="b">
        <v>1</v>
      </c>
    </row>
    <row r="199" spans="1:8" x14ac:dyDescent="0.3">
      <c r="A199" s="153" t="s">
        <v>1746</v>
      </c>
      <c r="B199" s="153" t="s">
        <v>2762</v>
      </c>
      <c r="C199" s="153" t="s">
        <v>1747</v>
      </c>
      <c r="D199" s="153" t="b">
        <v>1</v>
      </c>
      <c r="E199" s="153" t="b">
        <v>1</v>
      </c>
      <c r="F199" s="153">
        <f t="shared" si="6"/>
        <v>0</v>
      </c>
      <c r="G199" s="153" t="str">
        <f t="shared" si="7"/>
        <v>OK</v>
      </c>
      <c r="H199" s="153" t="b">
        <v>1</v>
      </c>
    </row>
    <row r="200" spans="1:8" x14ac:dyDescent="0.3">
      <c r="A200" s="153" t="s">
        <v>1748</v>
      </c>
      <c r="B200" s="153" t="s">
        <v>2762</v>
      </c>
      <c r="C200" s="153" t="s">
        <v>1749</v>
      </c>
      <c r="D200" s="153" t="b">
        <v>1</v>
      </c>
      <c r="E200" s="153" t="b">
        <v>1</v>
      </c>
      <c r="F200" s="153">
        <f t="shared" si="6"/>
        <v>0</v>
      </c>
      <c r="G200" s="153" t="str">
        <f t="shared" si="7"/>
        <v>OK</v>
      </c>
      <c r="H200" s="153" t="b">
        <v>1</v>
      </c>
    </row>
    <row r="201" spans="1:8" x14ac:dyDescent="0.3">
      <c r="A201" s="153" t="s">
        <v>1750</v>
      </c>
      <c r="B201" s="153" t="s">
        <v>2762</v>
      </c>
      <c r="C201" s="153" t="s">
        <v>1751</v>
      </c>
      <c r="D201" s="153" t="b">
        <v>0</v>
      </c>
      <c r="E201" s="153" t="b">
        <v>0</v>
      </c>
      <c r="F201" s="153">
        <f t="shared" si="6"/>
        <v>0</v>
      </c>
      <c r="G201" s="153" t="str">
        <f t="shared" si="7"/>
        <v>OK</v>
      </c>
      <c r="H201" s="153" t="b">
        <v>1</v>
      </c>
    </row>
    <row r="202" spans="1:8" x14ac:dyDescent="0.3">
      <c r="A202" s="153" t="s">
        <v>1752</v>
      </c>
      <c r="B202" s="153" t="s">
        <v>2762</v>
      </c>
      <c r="C202" s="153" t="s">
        <v>1753</v>
      </c>
      <c r="D202" s="153">
        <v>0</v>
      </c>
      <c r="E202" s="153">
        <v>0</v>
      </c>
      <c r="F202" s="153">
        <f t="shared" si="6"/>
        <v>0</v>
      </c>
      <c r="G202" s="153" t="str">
        <f t="shared" si="7"/>
        <v>OK</v>
      </c>
      <c r="H202" s="153" t="b">
        <v>1</v>
      </c>
    </row>
    <row r="203" spans="1:8" x14ac:dyDescent="0.3">
      <c r="A203" s="153" t="s">
        <v>1754</v>
      </c>
      <c r="B203" s="153" t="s">
        <v>2762</v>
      </c>
      <c r="C203" s="153" t="s">
        <v>1755</v>
      </c>
      <c r="D203" s="153">
        <v>20</v>
      </c>
      <c r="E203" s="153">
        <v>20</v>
      </c>
      <c r="F203" s="153">
        <f t="shared" si="6"/>
        <v>0</v>
      </c>
      <c r="G203" s="153" t="str">
        <f t="shared" si="7"/>
        <v>OK</v>
      </c>
      <c r="H203" s="153" t="b">
        <v>1</v>
      </c>
    </row>
    <row r="204" spans="1:8" x14ac:dyDescent="0.3">
      <c r="A204" s="153" t="s">
        <v>1756</v>
      </c>
      <c r="B204" s="153" t="s">
        <v>2762</v>
      </c>
      <c r="C204" s="153" t="s">
        <v>1757</v>
      </c>
      <c r="D204" s="153">
        <v>0</v>
      </c>
      <c r="E204" s="153">
        <v>0</v>
      </c>
      <c r="F204" s="153">
        <f t="shared" si="6"/>
        <v>0</v>
      </c>
      <c r="G204" s="153" t="str">
        <f t="shared" si="7"/>
        <v>OK</v>
      </c>
      <c r="H204" s="153" t="b">
        <v>1</v>
      </c>
    </row>
    <row r="205" spans="1:8" x14ac:dyDescent="0.3">
      <c r="A205" s="153" t="s">
        <v>1758</v>
      </c>
      <c r="B205" s="153" t="s">
        <v>2762</v>
      </c>
      <c r="C205" s="153" t="s">
        <v>1759</v>
      </c>
      <c r="D205" s="153">
        <v>3</v>
      </c>
      <c r="E205" s="153">
        <v>3</v>
      </c>
      <c r="F205" s="153">
        <f t="shared" si="6"/>
        <v>0</v>
      </c>
      <c r="G205" s="153" t="str">
        <f t="shared" si="7"/>
        <v>OK</v>
      </c>
      <c r="H205" s="153" t="b">
        <v>1</v>
      </c>
    </row>
    <row r="206" spans="1:8" x14ac:dyDescent="0.3">
      <c r="A206" s="153" t="s">
        <v>2256</v>
      </c>
      <c r="B206" s="153" t="s">
        <v>2762</v>
      </c>
      <c r="C206" s="153" t="s">
        <v>2361</v>
      </c>
      <c r="D206" s="153">
        <v>4</v>
      </c>
      <c r="E206" s="153">
        <v>4</v>
      </c>
      <c r="F206" s="153">
        <f t="shared" si="6"/>
        <v>0</v>
      </c>
      <c r="G206" s="153" t="str">
        <f t="shared" si="7"/>
        <v>OK</v>
      </c>
      <c r="H206" s="153" t="b">
        <v>1</v>
      </c>
    </row>
    <row r="207" spans="1:8" x14ac:dyDescent="0.3">
      <c r="A207" s="153" t="s">
        <v>2257</v>
      </c>
      <c r="B207" s="153" t="s">
        <v>2762</v>
      </c>
      <c r="C207" s="153" t="s">
        <v>2363</v>
      </c>
      <c r="D207" s="153">
        <v>14</v>
      </c>
      <c r="E207" s="153">
        <v>14</v>
      </c>
      <c r="F207" s="153">
        <f t="shared" si="6"/>
        <v>0</v>
      </c>
      <c r="G207" s="153" t="str">
        <f t="shared" si="7"/>
        <v>OK</v>
      </c>
      <c r="H207" s="153" t="b">
        <v>1</v>
      </c>
    </row>
    <row r="208" spans="1:8" x14ac:dyDescent="0.3">
      <c r="A208" s="153" t="s">
        <v>2258</v>
      </c>
      <c r="B208" s="153" t="s">
        <v>2762</v>
      </c>
      <c r="C208" s="153" t="s">
        <v>2365</v>
      </c>
      <c r="D208" s="153">
        <v>5</v>
      </c>
      <c r="E208" s="153">
        <v>5</v>
      </c>
      <c r="F208" s="153">
        <f t="shared" si="6"/>
        <v>0</v>
      </c>
      <c r="G208" s="153" t="str">
        <f t="shared" si="7"/>
        <v>OK</v>
      </c>
      <c r="H208" s="153" t="b">
        <v>1</v>
      </c>
    </row>
    <row r="209" spans="1:8" x14ac:dyDescent="0.3">
      <c r="A209" s="153" t="s">
        <v>2259</v>
      </c>
      <c r="B209" s="153" t="s">
        <v>2762</v>
      </c>
      <c r="C209" s="153" t="s">
        <v>2367</v>
      </c>
      <c r="D209" s="153">
        <v>0</v>
      </c>
      <c r="E209" s="153">
        <v>0</v>
      </c>
      <c r="F209" s="153">
        <f t="shared" si="6"/>
        <v>0</v>
      </c>
      <c r="G209" s="153" t="str">
        <f t="shared" si="7"/>
        <v>OK</v>
      </c>
      <c r="H209" s="153" t="b">
        <v>1</v>
      </c>
    </row>
    <row r="210" spans="1:8" x14ac:dyDescent="0.3">
      <c r="A210" s="153" t="s">
        <v>2260</v>
      </c>
      <c r="B210" s="153" t="s">
        <v>2762</v>
      </c>
      <c r="C210" s="153" t="s">
        <v>2369</v>
      </c>
      <c r="D210" s="153">
        <v>5</v>
      </c>
      <c r="E210" s="153">
        <v>5</v>
      </c>
      <c r="F210" s="153">
        <f t="shared" si="6"/>
        <v>0</v>
      </c>
      <c r="G210" s="153" t="str">
        <f t="shared" si="7"/>
        <v>OK</v>
      </c>
      <c r="H210" s="153" t="b">
        <v>1</v>
      </c>
    </row>
    <row r="211" spans="1:8" x14ac:dyDescent="0.3">
      <c r="A211" s="153" t="s">
        <v>2261</v>
      </c>
      <c r="B211" s="153" t="s">
        <v>2762</v>
      </c>
      <c r="C211" s="153" t="s">
        <v>2371</v>
      </c>
      <c r="D211" s="153">
        <v>120</v>
      </c>
      <c r="E211" s="153">
        <v>120</v>
      </c>
      <c r="F211" s="153">
        <f t="shared" si="6"/>
        <v>0</v>
      </c>
      <c r="G211" s="153" t="str">
        <f t="shared" si="7"/>
        <v>OK</v>
      </c>
      <c r="H211" s="153" t="b">
        <v>1</v>
      </c>
    </row>
    <row r="212" spans="1:8" x14ac:dyDescent="0.3">
      <c r="A212" s="153" t="s">
        <v>2262</v>
      </c>
      <c r="B212" s="153" t="s">
        <v>2762</v>
      </c>
      <c r="C212" s="153" t="s">
        <v>2373</v>
      </c>
      <c r="D212" s="153">
        <v>0.94000000000000006</v>
      </c>
      <c r="E212" s="153">
        <v>0.94000000000000006</v>
      </c>
      <c r="F212" s="153">
        <f t="shared" si="6"/>
        <v>0</v>
      </c>
      <c r="G212" s="153" t="str">
        <f t="shared" si="7"/>
        <v>OK</v>
      </c>
      <c r="H212" s="153" t="b">
        <v>1</v>
      </c>
    </row>
    <row r="213" spans="1:8" x14ac:dyDescent="0.3">
      <c r="A213" s="153" t="s">
        <v>2263</v>
      </c>
      <c r="B213" s="153" t="s">
        <v>2762</v>
      </c>
      <c r="C213" s="153" t="s">
        <v>2375</v>
      </c>
      <c r="D213" s="153">
        <v>113</v>
      </c>
      <c r="E213" s="153">
        <v>113</v>
      </c>
      <c r="F213" s="153">
        <f t="shared" si="6"/>
        <v>0</v>
      </c>
      <c r="G213" s="153" t="str">
        <f t="shared" si="7"/>
        <v>OK</v>
      </c>
      <c r="H213" s="153" t="b">
        <v>1</v>
      </c>
    </row>
    <row r="214" spans="1:8" x14ac:dyDescent="0.3">
      <c r="A214" s="153" t="s">
        <v>2264</v>
      </c>
      <c r="B214" s="153" t="s">
        <v>2762</v>
      </c>
      <c r="C214" s="153" t="s">
        <v>2377</v>
      </c>
      <c r="D214" s="153">
        <v>113</v>
      </c>
      <c r="E214" s="153">
        <v>113</v>
      </c>
      <c r="F214" s="153">
        <f t="shared" si="6"/>
        <v>0</v>
      </c>
      <c r="G214" s="153" t="str">
        <f t="shared" si="7"/>
        <v>OK</v>
      </c>
      <c r="H214" s="153" t="b">
        <v>1</v>
      </c>
    </row>
    <row r="215" spans="1:8" x14ac:dyDescent="0.3">
      <c r="A215" s="153" t="s">
        <v>2265</v>
      </c>
      <c r="B215" s="153" t="s">
        <v>2762</v>
      </c>
      <c r="C215" s="153" t="s">
        <v>2379</v>
      </c>
      <c r="D215" s="153">
        <v>33.9</v>
      </c>
      <c r="E215" s="153">
        <v>33.9</v>
      </c>
      <c r="F215" s="153">
        <f t="shared" si="6"/>
        <v>0</v>
      </c>
      <c r="G215" s="153" t="str">
        <f t="shared" si="7"/>
        <v>OK</v>
      </c>
      <c r="H215" s="153" t="b">
        <v>1</v>
      </c>
    </row>
    <row r="216" spans="1:8" x14ac:dyDescent="0.3">
      <c r="A216" s="153" t="s">
        <v>2266</v>
      </c>
      <c r="B216" s="153" t="s">
        <v>2762</v>
      </c>
      <c r="C216" s="153" t="s">
        <v>2381</v>
      </c>
      <c r="D216" s="153">
        <v>113</v>
      </c>
      <c r="E216" s="153">
        <v>113</v>
      </c>
      <c r="F216" s="153">
        <f t="shared" si="6"/>
        <v>0</v>
      </c>
      <c r="G216" s="153" t="str">
        <f t="shared" si="7"/>
        <v>OK</v>
      </c>
      <c r="H216" s="153" t="b">
        <v>1</v>
      </c>
    </row>
    <row r="217" spans="1:8" x14ac:dyDescent="0.3">
      <c r="A217" s="153" t="s">
        <v>2267</v>
      </c>
      <c r="B217" s="153" t="s">
        <v>2762</v>
      </c>
      <c r="C217" s="153" t="s">
        <v>2383</v>
      </c>
      <c r="D217" s="153">
        <v>678</v>
      </c>
      <c r="E217" s="153">
        <v>678</v>
      </c>
      <c r="F217" s="153">
        <f t="shared" si="6"/>
        <v>0</v>
      </c>
      <c r="G217" s="153" t="str">
        <f t="shared" si="7"/>
        <v>OK</v>
      </c>
      <c r="H217" s="153" t="b">
        <v>1</v>
      </c>
    </row>
    <row r="218" spans="1:8" x14ac:dyDescent="0.3">
      <c r="A218" s="153" t="s">
        <v>2268</v>
      </c>
      <c r="B218" s="153" t="s">
        <v>2762</v>
      </c>
      <c r="C218" s="153" t="s">
        <v>2385</v>
      </c>
      <c r="D218" s="153">
        <v>11106.32</v>
      </c>
      <c r="E218" s="153">
        <v>11106.32</v>
      </c>
      <c r="F218" s="153">
        <f t="shared" si="6"/>
        <v>0</v>
      </c>
      <c r="G218" s="153" t="str">
        <f t="shared" si="7"/>
        <v>OK</v>
      </c>
      <c r="H218" s="153" t="b">
        <v>1</v>
      </c>
    </row>
    <row r="219" spans="1:8" x14ac:dyDescent="0.3">
      <c r="A219" s="153" t="s">
        <v>2269</v>
      </c>
      <c r="B219" s="153" t="s">
        <v>2762</v>
      </c>
      <c r="C219" s="153" t="s">
        <v>2387</v>
      </c>
      <c r="D219" s="153">
        <v>2322.372836</v>
      </c>
      <c r="E219" s="153">
        <v>2322.372836</v>
      </c>
      <c r="F219" s="153">
        <f t="shared" si="6"/>
        <v>0</v>
      </c>
      <c r="G219" s="153" t="str">
        <f t="shared" si="7"/>
        <v>OK</v>
      </c>
      <c r="H219" s="153" t="b">
        <v>1</v>
      </c>
    </row>
    <row r="220" spans="1:8" x14ac:dyDescent="0.3">
      <c r="A220" s="153" t="s">
        <v>2270</v>
      </c>
      <c r="B220" s="153" t="s">
        <v>2762</v>
      </c>
      <c r="C220" s="153" t="s">
        <v>2389</v>
      </c>
      <c r="D220" s="153">
        <v>31.25</v>
      </c>
      <c r="E220" s="153">
        <v>31.25</v>
      </c>
      <c r="F220" s="153">
        <f t="shared" si="6"/>
        <v>0</v>
      </c>
      <c r="G220" s="153" t="str">
        <f t="shared" si="7"/>
        <v>OK</v>
      </c>
      <c r="H220" s="153" t="b">
        <v>1</v>
      </c>
    </row>
    <row r="221" spans="1:8" x14ac:dyDescent="0.3">
      <c r="A221" s="153" t="s">
        <v>2271</v>
      </c>
      <c r="B221" s="153" t="s">
        <v>2762</v>
      </c>
      <c r="C221" s="153" t="s">
        <v>2391</v>
      </c>
      <c r="D221" s="153">
        <v>64.125</v>
      </c>
      <c r="E221" s="153">
        <v>64.125</v>
      </c>
      <c r="F221" s="153">
        <f t="shared" si="6"/>
        <v>0</v>
      </c>
      <c r="G221" s="153" t="str">
        <f t="shared" si="7"/>
        <v>OK</v>
      </c>
      <c r="H221" s="153" t="b">
        <v>1</v>
      </c>
    </row>
    <row r="222" spans="1:8" x14ac:dyDescent="0.3">
      <c r="A222" s="153" t="s">
        <v>2272</v>
      </c>
      <c r="B222" s="153" t="s">
        <v>2762</v>
      </c>
      <c r="C222" s="153" t="s">
        <v>2393</v>
      </c>
      <c r="D222" s="153">
        <v>0</v>
      </c>
      <c r="E222" s="153">
        <v>0</v>
      </c>
      <c r="F222" s="153">
        <f t="shared" si="6"/>
        <v>0</v>
      </c>
      <c r="G222" s="153" t="str">
        <f t="shared" si="7"/>
        <v>OK</v>
      </c>
      <c r="H222" s="153" t="b">
        <v>1</v>
      </c>
    </row>
    <row r="223" spans="1:8" x14ac:dyDescent="0.3">
      <c r="A223" s="153" t="s">
        <v>2273</v>
      </c>
      <c r="B223" s="153" t="s">
        <v>2762</v>
      </c>
      <c r="C223" s="153" t="s">
        <v>2395</v>
      </c>
      <c r="D223" s="153">
        <v>0</v>
      </c>
      <c r="E223" s="153">
        <v>0</v>
      </c>
      <c r="F223" s="153">
        <f t="shared" si="6"/>
        <v>0</v>
      </c>
      <c r="G223" s="153" t="str">
        <f t="shared" si="7"/>
        <v>OK</v>
      </c>
      <c r="H223" s="153" t="b">
        <v>1</v>
      </c>
    </row>
    <row r="224" spans="1:8" x14ac:dyDescent="0.3">
      <c r="A224" s="153" t="s">
        <v>2274</v>
      </c>
      <c r="B224" s="153" t="s">
        <v>2762</v>
      </c>
      <c r="C224" s="153" t="s">
        <v>2397</v>
      </c>
      <c r="D224" s="153">
        <v>38</v>
      </c>
      <c r="E224" s="153">
        <v>38</v>
      </c>
      <c r="F224" s="153">
        <f t="shared" si="6"/>
        <v>0</v>
      </c>
      <c r="G224" s="153" t="str">
        <f t="shared" si="7"/>
        <v>OK</v>
      </c>
      <c r="H224" s="153" t="b">
        <v>1</v>
      </c>
    </row>
    <row r="225" spans="1:8" x14ac:dyDescent="0.3">
      <c r="A225" s="153" t="s">
        <v>2275</v>
      </c>
      <c r="B225" s="153" t="s">
        <v>2762</v>
      </c>
      <c r="C225" s="153" t="s">
        <v>2399</v>
      </c>
      <c r="D225" s="153">
        <v>38</v>
      </c>
      <c r="E225" s="153">
        <v>38</v>
      </c>
      <c r="F225" s="153">
        <f t="shared" si="6"/>
        <v>0</v>
      </c>
      <c r="G225" s="153" t="str">
        <f t="shared" si="7"/>
        <v>OK</v>
      </c>
      <c r="H225" s="153" t="b">
        <v>1</v>
      </c>
    </row>
    <row r="226" spans="1:8" x14ac:dyDescent="0.3">
      <c r="A226" s="153" t="s">
        <v>2276</v>
      </c>
      <c r="B226" s="153" t="s">
        <v>2762</v>
      </c>
      <c r="C226" s="153" t="s">
        <v>2401</v>
      </c>
      <c r="D226" s="153">
        <v>38</v>
      </c>
      <c r="E226" s="153">
        <v>38</v>
      </c>
      <c r="F226" s="153">
        <f t="shared" si="6"/>
        <v>0</v>
      </c>
      <c r="G226" s="153" t="str">
        <f t="shared" si="7"/>
        <v>OK</v>
      </c>
      <c r="H226" s="153" t="b">
        <v>1</v>
      </c>
    </row>
    <row r="227" spans="1:8" x14ac:dyDescent="0.3">
      <c r="A227" s="153" t="s">
        <v>2277</v>
      </c>
      <c r="B227" s="153" t="s">
        <v>2762</v>
      </c>
      <c r="C227" s="153" t="s">
        <v>2403</v>
      </c>
      <c r="D227" s="153">
        <v>1520</v>
      </c>
      <c r="E227" s="153">
        <v>1520</v>
      </c>
      <c r="F227" s="153">
        <f t="shared" si="6"/>
        <v>0</v>
      </c>
      <c r="G227" s="153" t="str">
        <f t="shared" si="7"/>
        <v>OK</v>
      </c>
      <c r="H227" s="153" t="b">
        <v>1</v>
      </c>
    </row>
    <row r="228" spans="1:8" x14ac:dyDescent="0.3">
      <c r="A228" s="153" t="s">
        <v>2278</v>
      </c>
      <c r="B228" s="153" t="s">
        <v>2762</v>
      </c>
      <c r="C228" s="153" t="s">
        <v>2405</v>
      </c>
      <c r="D228" s="153">
        <v>150</v>
      </c>
      <c r="E228" s="153">
        <v>150</v>
      </c>
      <c r="F228" s="153">
        <f t="shared" si="6"/>
        <v>0</v>
      </c>
      <c r="G228" s="153" t="str">
        <f t="shared" si="7"/>
        <v>OK</v>
      </c>
      <c r="H228" s="153" t="b">
        <v>1</v>
      </c>
    </row>
    <row r="229" spans="1:8" x14ac:dyDescent="0.3">
      <c r="A229" s="153" t="s">
        <v>2280</v>
      </c>
      <c r="B229" s="153" t="s">
        <v>2762</v>
      </c>
      <c r="C229" s="153" t="s">
        <v>2407</v>
      </c>
      <c r="D229" s="153">
        <v>300</v>
      </c>
      <c r="E229" s="153">
        <v>300</v>
      </c>
      <c r="F229" s="153">
        <f t="shared" si="6"/>
        <v>0</v>
      </c>
      <c r="G229" s="153" t="str">
        <f t="shared" si="7"/>
        <v>OK</v>
      </c>
      <c r="H229" s="153" t="b">
        <v>1</v>
      </c>
    </row>
    <row r="230" spans="1:8" x14ac:dyDescent="0.3">
      <c r="A230" s="153" t="s">
        <v>2281</v>
      </c>
      <c r="B230" s="153" t="s">
        <v>2762</v>
      </c>
      <c r="C230" s="153" t="s">
        <v>2409</v>
      </c>
      <c r="D230" s="153">
        <v>2137.7208849557519</v>
      </c>
      <c r="E230" s="153">
        <v>2137.7208849557519</v>
      </c>
      <c r="F230" s="153">
        <f t="shared" si="6"/>
        <v>0</v>
      </c>
      <c r="G230" s="153" t="str">
        <f t="shared" si="7"/>
        <v>OK</v>
      </c>
      <c r="H230" s="153" t="b">
        <v>1</v>
      </c>
    </row>
    <row r="231" spans="1:8" x14ac:dyDescent="0.3">
      <c r="A231" s="153" t="s">
        <v>2282</v>
      </c>
      <c r="B231" s="153" t="s">
        <v>2762</v>
      </c>
      <c r="C231" s="153" t="s">
        <v>2411</v>
      </c>
      <c r="D231" s="153">
        <v>0</v>
      </c>
      <c r="E231" s="153">
        <v>0</v>
      </c>
      <c r="F231" s="153">
        <f t="shared" si="6"/>
        <v>0</v>
      </c>
      <c r="G231" s="153" t="str">
        <f t="shared" si="7"/>
        <v>OK</v>
      </c>
      <c r="H231" s="153" t="b">
        <v>1</v>
      </c>
    </row>
    <row r="232" spans="1:8" x14ac:dyDescent="0.3">
      <c r="A232" s="153" t="s">
        <v>2283</v>
      </c>
      <c r="B232" s="153" t="s">
        <v>2762</v>
      </c>
      <c r="C232" s="153" t="s">
        <v>2413</v>
      </c>
      <c r="D232" s="153">
        <v>1500</v>
      </c>
      <c r="E232" s="153">
        <v>1500</v>
      </c>
      <c r="F232" s="153">
        <f t="shared" si="6"/>
        <v>0</v>
      </c>
      <c r="G232" s="153" t="str">
        <f t="shared" si="7"/>
        <v>OK</v>
      </c>
      <c r="H232" s="153" t="b">
        <v>1</v>
      </c>
    </row>
    <row r="233" spans="1:8" x14ac:dyDescent="0.3">
      <c r="A233" s="153" t="s">
        <v>2284</v>
      </c>
      <c r="B233" s="153" t="s">
        <v>2762</v>
      </c>
      <c r="C233" s="153" t="s">
        <v>2415</v>
      </c>
      <c r="D233" s="153">
        <v>17461.788720955748</v>
      </c>
      <c r="E233" s="153">
        <v>17461.788720955748</v>
      </c>
      <c r="F233" s="153">
        <f t="shared" si="6"/>
        <v>0</v>
      </c>
      <c r="G233" s="153" t="str">
        <f t="shared" si="7"/>
        <v>OK</v>
      </c>
      <c r="H233" s="153" t="b">
        <v>1</v>
      </c>
    </row>
    <row r="234" spans="1:8" x14ac:dyDescent="0.3">
      <c r="A234" s="153" t="s">
        <v>2285</v>
      </c>
      <c r="B234" s="153" t="s">
        <v>2762</v>
      </c>
      <c r="C234" s="153" t="s">
        <v>2417</v>
      </c>
      <c r="D234" s="153">
        <v>-15941.78872095575</v>
      </c>
      <c r="E234" s="153">
        <v>-15941.78872095575</v>
      </c>
      <c r="F234" s="153">
        <f t="shared" si="6"/>
        <v>0</v>
      </c>
      <c r="G234" s="153" t="str">
        <f t="shared" si="7"/>
        <v>OK</v>
      </c>
      <c r="H234" s="153" t="b">
        <v>1</v>
      </c>
    </row>
    <row r="235" spans="1:8" x14ac:dyDescent="0.3">
      <c r="A235" s="153" t="s">
        <v>2286</v>
      </c>
      <c r="B235" s="153" t="s">
        <v>2762</v>
      </c>
      <c r="C235" s="153" t="s">
        <v>2419</v>
      </c>
      <c r="D235" s="153">
        <v>0</v>
      </c>
      <c r="E235" s="153">
        <v>0</v>
      </c>
      <c r="F235" s="153">
        <f t="shared" si="6"/>
        <v>0</v>
      </c>
      <c r="G235" s="153" t="str">
        <f t="shared" si="7"/>
        <v>OK</v>
      </c>
      <c r="H235" s="153" t="b">
        <v>1</v>
      </c>
    </row>
    <row r="236" spans="1:8" x14ac:dyDescent="0.3">
      <c r="A236" s="153" t="s">
        <v>2287</v>
      </c>
      <c r="B236" s="153" t="s">
        <v>2762</v>
      </c>
      <c r="C236" s="153" t="s">
        <v>2421</v>
      </c>
      <c r="D236" s="153">
        <v>3</v>
      </c>
      <c r="E236" s="153">
        <v>3</v>
      </c>
      <c r="F236" s="153">
        <f t="shared" si="6"/>
        <v>0</v>
      </c>
      <c r="G236" s="153" t="str">
        <f t="shared" si="7"/>
        <v>OK</v>
      </c>
      <c r="H236" s="153" t="b">
        <v>1</v>
      </c>
    </row>
    <row r="237" spans="1:8" x14ac:dyDescent="0.3">
      <c r="A237" s="153" t="s">
        <v>2288</v>
      </c>
      <c r="B237" s="153" t="s">
        <v>2762</v>
      </c>
      <c r="C237" s="153" t="s">
        <v>2423</v>
      </c>
      <c r="D237" s="153">
        <v>532.20000000000005</v>
      </c>
      <c r="E237" s="153">
        <v>532.20000000000005</v>
      </c>
      <c r="F237" s="153">
        <f t="shared" si="6"/>
        <v>0</v>
      </c>
      <c r="G237" s="153" t="str">
        <f t="shared" si="7"/>
        <v>OK</v>
      </c>
      <c r="H237" s="153" t="b">
        <v>1</v>
      </c>
    </row>
    <row r="238" spans="1:8" x14ac:dyDescent="0.3">
      <c r="A238" s="153" t="s">
        <v>2289</v>
      </c>
      <c r="B238" s="153" t="s">
        <v>2762</v>
      </c>
      <c r="C238" s="153" t="s">
        <v>2425</v>
      </c>
      <c r="D238" s="153">
        <v>0</v>
      </c>
      <c r="E238" s="153">
        <v>0</v>
      </c>
      <c r="F238" s="153">
        <f t="shared" si="6"/>
        <v>0</v>
      </c>
      <c r="G238" s="153" t="str">
        <f t="shared" si="7"/>
        <v>OK</v>
      </c>
      <c r="H238" s="153" t="b">
        <v>1</v>
      </c>
    </row>
    <row r="239" spans="1:8" x14ac:dyDescent="0.3">
      <c r="A239" s="153" t="s">
        <v>2290</v>
      </c>
      <c r="B239" s="153" t="s">
        <v>2762</v>
      </c>
      <c r="C239" s="153" t="s">
        <v>2427</v>
      </c>
      <c r="D239" s="153">
        <v>0</v>
      </c>
      <c r="E239" s="153">
        <v>0</v>
      </c>
      <c r="F239" s="153">
        <f t="shared" si="6"/>
        <v>0</v>
      </c>
      <c r="G239" s="153" t="str">
        <f t="shared" si="7"/>
        <v>OK</v>
      </c>
      <c r="H239" s="153" t="b">
        <v>1</v>
      </c>
    </row>
    <row r="240" spans="1:8" x14ac:dyDescent="0.3">
      <c r="A240" s="153" t="s">
        <v>2291</v>
      </c>
      <c r="B240" s="153" t="s">
        <v>2762</v>
      </c>
      <c r="C240" s="153" t="s">
        <v>2429</v>
      </c>
      <c r="D240" s="153">
        <v>1774</v>
      </c>
      <c r="E240" s="153">
        <v>1774</v>
      </c>
      <c r="F240" s="153">
        <f t="shared" si="6"/>
        <v>0</v>
      </c>
      <c r="G240" s="153" t="str">
        <f t="shared" si="7"/>
        <v>OK</v>
      </c>
      <c r="H240" s="153" t="b">
        <v>1</v>
      </c>
    </row>
    <row r="241" spans="1:8" x14ac:dyDescent="0.3">
      <c r="A241" s="153" t="s">
        <v>2292</v>
      </c>
      <c r="B241" s="153" t="s">
        <v>2762</v>
      </c>
      <c r="C241" s="153" t="s">
        <v>2431</v>
      </c>
      <c r="D241" s="153">
        <v>0</v>
      </c>
      <c r="E241" s="153">
        <v>0</v>
      </c>
      <c r="F241" s="153">
        <f t="shared" si="6"/>
        <v>0</v>
      </c>
      <c r="G241" s="153" t="str">
        <f t="shared" si="7"/>
        <v>OK</v>
      </c>
      <c r="H241" s="153" t="b">
        <v>1</v>
      </c>
    </row>
    <row r="242" spans="1:8" x14ac:dyDescent="0.3">
      <c r="A242" s="153" t="s">
        <v>2293</v>
      </c>
      <c r="B242" s="153" t="s">
        <v>2762</v>
      </c>
      <c r="C242" s="153" t="s">
        <v>2433</v>
      </c>
      <c r="D242" s="153">
        <v>10644</v>
      </c>
      <c r="E242" s="153">
        <v>10644</v>
      </c>
      <c r="F242" s="153">
        <f t="shared" si="6"/>
        <v>0</v>
      </c>
      <c r="G242" s="153" t="str">
        <f t="shared" si="7"/>
        <v>OK</v>
      </c>
      <c r="H242" s="153" t="b">
        <v>1</v>
      </c>
    </row>
    <row r="243" spans="1:8" x14ac:dyDescent="0.3">
      <c r="A243" s="153" t="s">
        <v>2294</v>
      </c>
      <c r="B243" s="153" t="s">
        <v>2762</v>
      </c>
      <c r="C243" s="153" t="s">
        <v>2435</v>
      </c>
      <c r="D243" s="153">
        <v>0</v>
      </c>
      <c r="E243" s="153">
        <v>0</v>
      </c>
      <c r="F243" s="153">
        <f t="shared" si="6"/>
        <v>0</v>
      </c>
      <c r="G243" s="153" t="str">
        <f t="shared" si="7"/>
        <v>OK</v>
      </c>
      <c r="H243" s="153" t="b">
        <v>1</v>
      </c>
    </row>
    <row r="244" spans="1:8" x14ac:dyDescent="0.3">
      <c r="A244" s="153" t="s">
        <v>2295</v>
      </c>
      <c r="B244" s="153" t="s">
        <v>2762</v>
      </c>
      <c r="C244" s="153" t="s">
        <v>2437</v>
      </c>
      <c r="D244" s="153">
        <v>0</v>
      </c>
      <c r="E244" s="153">
        <v>0</v>
      </c>
      <c r="F244" s="153">
        <f t="shared" si="6"/>
        <v>0</v>
      </c>
      <c r="G244" s="153" t="str">
        <f t="shared" si="7"/>
        <v>OK</v>
      </c>
      <c r="H244" s="153" t="b">
        <v>1</v>
      </c>
    </row>
    <row r="245" spans="1:8" x14ac:dyDescent="0.3">
      <c r="A245" s="153" t="s">
        <v>2296</v>
      </c>
      <c r="B245" s="153" t="s">
        <v>2762</v>
      </c>
      <c r="C245" s="153" t="s">
        <v>2439</v>
      </c>
      <c r="D245" s="153" t="b">
        <v>0</v>
      </c>
      <c r="E245" s="153" t="b">
        <v>0</v>
      </c>
      <c r="F245" s="153">
        <f t="shared" si="6"/>
        <v>0</v>
      </c>
      <c r="G245" s="153" t="str">
        <f t="shared" si="7"/>
        <v>OK</v>
      </c>
      <c r="H245" s="153" t="b">
        <v>1</v>
      </c>
    </row>
    <row r="246" spans="1:8" x14ac:dyDescent="0.3">
      <c r="A246" s="153" t="s">
        <v>2297</v>
      </c>
      <c r="B246" s="153" t="s">
        <v>2762</v>
      </c>
      <c r="C246" s="153" t="s">
        <v>2441</v>
      </c>
      <c r="D246" s="153" t="b">
        <v>0</v>
      </c>
      <c r="E246" s="153" t="b">
        <v>0</v>
      </c>
      <c r="F246" s="153">
        <f t="shared" si="6"/>
        <v>0</v>
      </c>
      <c r="G246" s="153" t="str">
        <f t="shared" si="7"/>
        <v>OK</v>
      </c>
      <c r="H246" s="153" t="b">
        <v>1</v>
      </c>
    </row>
    <row r="247" spans="1:8" x14ac:dyDescent="0.3">
      <c r="A247" s="153" t="s">
        <v>2298</v>
      </c>
      <c r="B247" s="153" t="s">
        <v>2762</v>
      </c>
      <c r="C247" s="153" t="s">
        <v>2443</v>
      </c>
      <c r="D247" s="153" t="b">
        <v>0</v>
      </c>
      <c r="E247" s="153" t="b">
        <v>0</v>
      </c>
      <c r="F247" s="153">
        <f t="shared" si="6"/>
        <v>0</v>
      </c>
      <c r="G247" s="153" t="str">
        <f t="shared" si="7"/>
        <v>OK</v>
      </c>
      <c r="H247" s="153" t="b">
        <v>1</v>
      </c>
    </row>
    <row r="248" spans="1:8" x14ac:dyDescent="0.3">
      <c r="A248" s="153" t="s">
        <v>2299</v>
      </c>
      <c r="B248" s="153" t="s">
        <v>2762</v>
      </c>
      <c r="C248" s="153" t="s">
        <v>2445</v>
      </c>
      <c r="D248" s="153" t="b">
        <v>0</v>
      </c>
      <c r="E248" s="153" t="b">
        <v>0</v>
      </c>
      <c r="F248" s="153">
        <f t="shared" si="6"/>
        <v>0</v>
      </c>
      <c r="G248" s="153" t="str">
        <f t="shared" si="7"/>
        <v>OK</v>
      </c>
      <c r="H248" s="153" t="b">
        <v>1</v>
      </c>
    </row>
    <row r="249" spans="1:8" x14ac:dyDescent="0.3">
      <c r="A249" s="153" t="s">
        <v>2300</v>
      </c>
      <c r="B249" s="153" t="s">
        <v>2762</v>
      </c>
      <c r="C249" s="153" t="s">
        <v>2447</v>
      </c>
      <c r="D249" s="153" t="b">
        <v>1</v>
      </c>
      <c r="E249" s="153" t="b">
        <v>1</v>
      </c>
      <c r="F249" s="153">
        <f t="shared" si="6"/>
        <v>0</v>
      </c>
      <c r="G249" s="153" t="str">
        <f t="shared" si="7"/>
        <v>OK</v>
      </c>
      <c r="H249" s="153" t="b">
        <v>1</v>
      </c>
    </row>
    <row r="250" spans="1:8" x14ac:dyDescent="0.3">
      <c r="A250" s="153" t="s">
        <v>2301</v>
      </c>
      <c r="B250" s="153" t="s">
        <v>2762</v>
      </c>
      <c r="C250" s="153" t="s">
        <v>2449</v>
      </c>
      <c r="D250" s="153" t="b">
        <v>1</v>
      </c>
      <c r="E250" s="153" t="b">
        <v>1</v>
      </c>
      <c r="F250" s="153">
        <f t="shared" si="6"/>
        <v>0</v>
      </c>
      <c r="G250" s="153" t="str">
        <f t="shared" si="7"/>
        <v>OK</v>
      </c>
      <c r="H250" s="153" t="b">
        <v>1</v>
      </c>
    </row>
    <row r="251" spans="1:8" x14ac:dyDescent="0.3">
      <c r="A251" s="153" t="s">
        <v>2302</v>
      </c>
      <c r="B251" s="153" t="s">
        <v>2762</v>
      </c>
      <c r="C251" s="153" t="s">
        <v>2451</v>
      </c>
      <c r="D251" s="153" t="b">
        <v>1</v>
      </c>
      <c r="E251" s="153" t="b">
        <v>1</v>
      </c>
      <c r="F251" s="153">
        <f t="shared" si="6"/>
        <v>0</v>
      </c>
      <c r="G251" s="153" t="str">
        <f t="shared" si="7"/>
        <v>OK</v>
      </c>
      <c r="H251" s="153" t="b">
        <v>1</v>
      </c>
    </row>
    <row r="252" spans="1:8" x14ac:dyDescent="0.3">
      <c r="A252" s="153" t="s">
        <v>2303</v>
      </c>
      <c r="B252" s="153" t="s">
        <v>2762</v>
      </c>
      <c r="C252" s="153" t="s">
        <v>2453</v>
      </c>
      <c r="D252" s="153" t="b">
        <v>0</v>
      </c>
      <c r="E252" s="153" t="b">
        <v>0</v>
      </c>
      <c r="F252" s="153">
        <f t="shared" si="6"/>
        <v>0</v>
      </c>
      <c r="G252" s="153" t="str">
        <f t="shared" si="7"/>
        <v>OK</v>
      </c>
      <c r="H252" s="153" t="b">
        <v>1</v>
      </c>
    </row>
    <row r="253" spans="1:8" x14ac:dyDescent="0.3">
      <c r="A253" s="153" t="s">
        <v>2304</v>
      </c>
      <c r="B253" s="153" t="s">
        <v>2762</v>
      </c>
      <c r="C253" s="153" t="s">
        <v>2455</v>
      </c>
      <c r="D253" s="153">
        <v>0</v>
      </c>
      <c r="E253" s="153">
        <v>0</v>
      </c>
      <c r="F253" s="153">
        <f t="shared" si="6"/>
        <v>0</v>
      </c>
      <c r="G253" s="153" t="str">
        <f t="shared" si="7"/>
        <v>OK</v>
      </c>
      <c r="H253" s="153" t="b">
        <v>1</v>
      </c>
    </row>
    <row r="254" spans="1:8" x14ac:dyDescent="0.3">
      <c r="A254" s="153" t="s">
        <v>2305</v>
      </c>
      <c r="B254" s="153" t="s">
        <v>2762</v>
      </c>
      <c r="C254" s="153" t="s">
        <v>2457</v>
      </c>
      <c r="D254" s="153">
        <v>23</v>
      </c>
      <c r="E254" s="153">
        <v>23</v>
      </c>
      <c r="F254" s="153">
        <f t="shared" si="6"/>
        <v>0</v>
      </c>
      <c r="G254" s="153" t="str">
        <f t="shared" si="7"/>
        <v>OK</v>
      </c>
      <c r="H254" s="153" t="b">
        <v>1</v>
      </c>
    </row>
    <row r="255" spans="1:8" x14ac:dyDescent="0.3">
      <c r="A255" s="153" t="s">
        <v>2306</v>
      </c>
      <c r="B255" s="153" t="s">
        <v>2762</v>
      </c>
      <c r="C255" s="153" t="s">
        <v>2459</v>
      </c>
      <c r="D255" s="153">
        <v>0</v>
      </c>
      <c r="E255" s="153">
        <v>0</v>
      </c>
      <c r="F255" s="153">
        <f t="shared" si="6"/>
        <v>0</v>
      </c>
      <c r="G255" s="153" t="str">
        <f t="shared" si="7"/>
        <v>OK</v>
      </c>
      <c r="H255" s="153" t="b">
        <v>1</v>
      </c>
    </row>
    <row r="256" spans="1:8" x14ac:dyDescent="0.3">
      <c r="A256" s="153" t="s">
        <v>2307</v>
      </c>
      <c r="B256" s="153" t="s">
        <v>2762</v>
      </c>
      <c r="C256" s="153" t="s">
        <v>2461</v>
      </c>
      <c r="D256" s="153">
        <v>3</v>
      </c>
      <c r="E256" s="153">
        <v>3</v>
      </c>
      <c r="F256" s="153">
        <f t="shared" si="6"/>
        <v>0</v>
      </c>
      <c r="G256" s="153" t="str">
        <f t="shared" si="7"/>
        <v>OK</v>
      </c>
      <c r="H256" s="153" t="b">
        <v>1</v>
      </c>
    </row>
    <row r="257" spans="1:8" x14ac:dyDescent="0.3">
      <c r="A257" s="153" t="s">
        <v>2308</v>
      </c>
      <c r="B257" s="153" t="s">
        <v>2762</v>
      </c>
      <c r="C257" s="153" t="s">
        <v>2463</v>
      </c>
      <c r="D257" s="153">
        <v>7</v>
      </c>
      <c r="E257" s="153">
        <v>7</v>
      </c>
      <c r="F257" s="153">
        <f t="shared" si="6"/>
        <v>0</v>
      </c>
      <c r="G257" s="153" t="str">
        <f t="shared" si="7"/>
        <v>OK</v>
      </c>
      <c r="H257" s="153" t="b">
        <v>1</v>
      </c>
    </row>
    <row r="258" spans="1:8" x14ac:dyDescent="0.3">
      <c r="A258" s="153" t="s">
        <v>2309</v>
      </c>
      <c r="B258" s="153" t="s">
        <v>2762</v>
      </c>
      <c r="C258" s="153" t="s">
        <v>2465</v>
      </c>
      <c r="D258" s="153">
        <v>18</v>
      </c>
      <c r="E258" s="153">
        <v>18</v>
      </c>
      <c r="F258" s="153">
        <f t="shared" ref="F258:F321" si="8">IF(NOT(H258),"",IF(AND(ISNUMBER(D258),ISNUMBER(E258)),E258-D258,IF(D258=E258,0,1)))</f>
        <v>0</v>
      </c>
      <c r="G258" s="153" t="str">
        <f t="shared" ref="G258:G321" si="9">IF(NOT(H258),"PENDIENTE SIDE",IF(IF(AND(ISNUMBER(D258),ISNUMBER(E258)),IF(MOD(D258,1)=0,D258=E258,ABS(D258-E258)&lt;=0.000000001*MAX(1,ABS(D258),ABS(E258))),D258=E258),"OK","DIFERENCIA"))</f>
        <v>OK</v>
      </c>
      <c r="H258" s="153" t="b">
        <v>1</v>
      </c>
    </row>
    <row r="259" spans="1:8" x14ac:dyDescent="0.3">
      <c r="A259" s="153" t="s">
        <v>2310</v>
      </c>
      <c r="B259" s="153" t="s">
        <v>2762</v>
      </c>
      <c r="C259" s="153" t="s">
        <v>2467</v>
      </c>
      <c r="D259" s="153">
        <v>8</v>
      </c>
      <c r="E259" s="153">
        <v>8</v>
      </c>
      <c r="F259" s="153">
        <f t="shared" si="8"/>
        <v>0</v>
      </c>
      <c r="G259" s="153" t="str">
        <f t="shared" si="9"/>
        <v>OK</v>
      </c>
      <c r="H259" s="153" t="b">
        <v>1</v>
      </c>
    </row>
    <row r="260" spans="1:8" x14ac:dyDescent="0.3">
      <c r="A260" s="153" t="s">
        <v>2311</v>
      </c>
      <c r="B260" s="153" t="s">
        <v>2762</v>
      </c>
      <c r="C260" s="153" t="s">
        <v>2469</v>
      </c>
      <c r="D260" s="153">
        <v>-2</v>
      </c>
      <c r="E260" s="153">
        <v>-2</v>
      </c>
      <c r="F260" s="153">
        <f t="shared" si="8"/>
        <v>0</v>
      </c>
      <c r="G260" s="153" t="str">
        <f t="shared" si="9"/>
        <v>OK</v>
      </c>
      <c r="H260" s="153" t="b">
        <v>1</v>
      </c>
    </row>
    <row r="261" spans="1:8" x14ac:dyDescent="0.3">
      <c r="A261" s="153" t="s">
        <v>2312</v>
      </c>
      <c r="B261" s="153" t="s">
        <v>2762</v>
      </c>
      <c r="C261" s="153" t="s">
        <v>2471</v>
      </c>
      <c r="D261" s="153">
        <v>5</v>
      </c>
      <c r="E261" s="153">
        <v>5</v>
      </c>
      <c r="F261" s="153">
        <f t="shared" si="8"/>
        <v>0</v>
      </c>
      <c r="G261" s="153" t="str">
        <f t="shared" si="9"/>
        <v>OK</v>
      </c>
      <c r="H261" s="153" t="b">
        <v>1</v>
      </c>
    </row>
    <row r="262" spans="1:8" x14ac:dyDescent="0.3">
      <c r="A262" s="153" t="s">
        <v>2313</v>
      </c>
      <c r="B262" s="153" t="s">
        <v>2762</v>
      </c>
      <c r="C262" s="153" t="s">
        <v>2473</v>
      </c>
      <c r="D262" s="153">
        <v>129.6</v>
      </c>
      <c r="E262" s="153">
        <v>129.6</v>
      </c>
      <c r="F262" s="153">
        <f t="shared" si="8"/>
        <v>0</v>
      </c>
      <c r="G262" s="153" t="str">
        <f t="shared" si="9"/>
        <v>OK</v>
      </c>
      <c r="H262" s="153" t="b">
        <v>1</v>
      </c>
    </row>
    <row r="263" spans="1:8" x14ac:dyDescent="0.3">
      <c r="A263" s="153" t="s">
        <v>2314</v>
      </c>
      <c r="B263" s="153" t="s">
        <v>2762</v>
      </c>
      <c r="C263" s="153" t="s">
        <v>2475</v>
      </c>
      <c r="D263" s="153">
        <v>0.94000000000000006</v>
      </c>
      <c r="E263" s="153">
        <v>0.94000000000000006</v>
      </c>
      <c r="F263" s="153">
        <f t="shared" si="8"/>
        <v>0</v>
      </c>
      <c r="G263" s="153" t="str">
        <f t="shared" si="9"/>
        <v>OK</v>
      </c>
      <c r="H263" s="153" t="b">
        <v>1</v>
      </c>
    </row>
    <row r="264" spans="1:8" x14ac:dyDescent="0.3">
      <c r="A264" s="153" t="s">
        <v>2315</v>
      </c>
      <c r="B264" s="153" t="s">
        <v>2762</v>
      </c>
      <c r="C264" s="153" t="s">
        <v>2477</v>
      </c>
      <c r="D264" s="153">
        <v>122</v>
      </c>
      <c r="E264" s="153">
        <v>122</v>
      </c>
      <c r="F264" s="153">
        <f t="shared" si="8"/>
        <v>0</v>
      </c>
      <c r="G264" s="153" t="str">
        <f t="shared" si="9"/>
        <v>OK</v>
      </c>
      <c r="H264" s="153" t="b">
        <v>1</v>
      </c>
    </row>
    <row r="265" spans="1:8" x14ac:dyDescent="0.3">
      <c r="A265" s="153" t="s">
        <v>2316</v>
      </c>
      <c r="B265" s="153" t="s">
        <v>2762</v>
      </c>
      <c r="C265" s="153" t="s">
        <v>2479</v>
      </c>
      <c r="D265" s="153">
        <v>122</v>
      </c>
      <c r="E265" s="153">
        <v>122</v>
      </c>
      <c r="F265" s="153">
        <f t="shared" si="8"/>
        <v>0</v>
      </c>
      <c r="G265" s="153" t="str">
        <f t="shared" si="9"/>
        <v>OK</v>
      </c>
      <c r="H265" s="153" t="b">
        <v>1</v>
      </c>
    </row>
    <row r="266" spans="1:8" x14ac:dyDescent="0.3">
      <c r="A266" s="153" t="s">
        <v>2317</v>
      </c>
      <c r="B266" s="153" t="s">
        <v>2762</v>
      </c>
      <c r="C266" s="153" t="s">
        <v>2481</v>
      </c>
      <c r="D266" s="153">
        <v>48.8</v>
      </c>
      <c r="E266" s="153">
        <v>48.8</v>
      </c>
      <c r="F266" s="153">
        <f t="shared" si="8"/>
        <v>0</v>
      </c>
      <c r="G266" s="153" t="str">
        <f t="shared" si="9"/>
        <v>OK</v>
      </c>
      <c r="H266" s="153" t="b">
        <v>1</v>
      </c>
    </row>
    <row r="267" spans="1:8" x14ac:dyDescent="0.3">
      <c r="A267" s="153" t="s">
        <v>2318</v>
      </c>
      <c r="B267" s="153" t="s">
        <v>2762</v>
      </c>
      <c r="C267" s="153" t="s">
        <v>2483</v>
      </c>
      <c r="D267" s="153">
        <v>122</v>
      </c>
      <c r="E267" s="153">
        <v>122</v>
      </c>
      <c r="F267" s="153">
        <f t="shared" si="8"/>
        <v>0</v>
      </c>
      <c r="G267" s="153" t="str">
        <f t="shared" si="9"/>
        <v>OK</v>
      </c>
      <c r="H267" s="153" t="b">
        <v>1</v>
      </c>
    </row>
    <row r="268" spans="1:8" x14ac:dyDescent="0.3">
      <c r="A268" s="153" t="s">
        <v>2319</v>
      </c>
      <c r="B268" s="153" t="s">
        <v>2762</v>
      </c>
      <c r="C268" s="153" t="s">
        <v>2485</v>
      </c>
      <c r="D268" s="153">
        <v>854</v>
      </c>
      <c r="E268" s="153">
        <v>854</v>
      </c>
      <c r="F268" s="153">
        <f t="shared" si="8"/>
        <v>0</v>
      </c>
      <c r="G268" s="153" t="str">
        <f t="shared" si="9"/>
        <v>OK</v>
      </c>
      <c r="H268" s="153" t="b">
        <v>1</v>
      </c>
    </row>
    <row r="269" spans="1:8" x14ac:dyDescent="0.3">
      <c r="A269" s="153" t="s">
        <v>2320</v>
      </c>
      <c r="B269" s="153" t="s">
        <v>2762</v>
      </c>
      <c r="C269" s="153" t="s">
        <v>2487</v>
      </c>
      <c r="D269" s="153">
        <v>11106.32</v>
      </c>
      <c r="E269" s="153">
        <v>11106.32</v>
      </c>
      <c r="F269" s="153">
        <f t="shared" si="8"/>
        <v>0</v>
      </c>
      <c r="G269" s="153" t="str">
        <f t="shared" si="9"/>
        <v>OK</v>
      </c>
      <c r="H269" s="153" t="b">
        <v>1</v>
      </c>
    </row>
    <row r="270" spans="1:8" x14ac:dyDescent="0.3">
      <c r="A270" s="153" t="s">
        <v>2321</v>
      </c>
      <c r="B270" s="153" t="s">
        <v>2762</v>
      </c>
      <c r="C270" s="153" t="s">
        <v>2489</v>
      </c>
      <c r="D270" s="153">
        <v>5443.6399999999994</v>
      </c>
      <c r="E270" s="153">
        <v>5443.6399999999994</v>
      </c>
      <c r="F270" s="153">
        <f t="shared" si="8"/>
        <v>0</v>
      </c>
      <c r="G270" s="153" t="str">
        <f t="shared" si="9"/>
        <v>OK</v>
      </c>
      <c r="H270" s="153" t="b">
        <v>1</v>
      </c>
    </row>
    <row r="271" spans="1:8" x14ac:dyDescent="0.3">
      <c r="A271" s="153" t="s">
        <v>2322</v>
      </c>
      <c r="B271" s="153" t="s">
        <v>2762</v>
      </c>
      <c r="C271" s="153" t="s">
        <v>2491</v>
      </c>
      <c r="D271" s="153">
        <v>31.25</v>
      </c>
      <c r="E271" s="153">
        <v>31.25</v>
      </c>
      <c r="F271" s="153">
        <f t="shared" si="8"/>
        <v>0</v>
      </c>
      <c r="G271" s="153" t="str">
        <f t="shared" si="9"/>
        <v>OK</v>
      </c>
      <c r="H271" s="153" t="b">
        <v>1</v>
      </c>
    </row>
    <row r="272" spans="1:8" x14ac:dyDescent="0.3">
      <c r="A272" s="153" t="s">
        <v>2323</v>
      </c>
      <c r="B272" s="153" t="s">
        <v>2762</v>
      </c>
      <c r="C272" s="153" t="s">
        <v>2493</v>
      </c>
      <c r="D272" s="153">
        <v>8.692499999999999</v>
      </c>
      <c r="E272" s="153">
        <v>8.692499999999999</v>
      </c>
      <c r="F272" s="153">
        <f t="shared" si="8"/>
        <v>0</v>
      </c>
      <c r="G272" s="153" t="str">
        <f t="shared" si="9"/>
        <v>OK</v>
      </c>
      <c r="H272" s="153" t="b">
        <v>1</v>
      </c>
    </row>
    <row r="273" spans="1:8" x14ac:dyDescent="0.3">
      <c r="A273" s="153" t="s">
        <v>2324</v>
      </c>
      <c r="B273" s="153" t="s">
        <v>2762</v>
      </c>
      <c r="C273" s="153" t="s">
        <v>2495</v>
      </c>
      <c r="D273" s="153">
        <v>0</v>
      </c>
      <c r="E273" s="153">
        <v>0</v>
      </c>
      <c r="F273" s="153">
        <f t="shared" si="8"/>
        <v>0</v>
      </c>
      <c r="G273" s="153" t="str">
        <f t="shared" si="9"/>
        <v>OK</v>
      </c>
      <c r="H273" s="153" t="b">
        <v>1</v>
      </c>
    </row>
    <row r="274" spans="1:8" x14ac:dyDescent="0.3">
      <c r="A274" s="153" t="s">
        <v>2325</v>
      </c>
      <c r="B274" s="153" t="s">
        <v>2762</v>
      </c>
      <c r="C274" s="153" t="s">
        <v>2497</v>
      </c>
      <c r="D274" s="153">
        <v>0</v>
      </c>
      <c r="E274" s="153">
        <v>0</v>
      </c>
      <c r="F274" s="153">
        <f t="shared" si="8"/>
        <v>0</v>
      </c>
      <c r="G274" s="153" t="str">
        <f t="shared" si="9"/>
        <v>OK</v>
      </c>
      <c r="H274" s="153" t="b">
        <v>1</v>
      </c>
    </row>
    <row r="275" spans="1:8" x14ac:dyDescent="0.3">
      <c r="A275" s="153" t="s">
        <v>2326</v>
      </c>
      <c r="B275" s="153" t="s">
        <v>2762</v>
      </c>
      <c r="C275" s="153" t="s">
        <v>2499</v>
      </c>
      <c r="D275" s="153">
        <v>40</v>
      </c>
      <c r="E275" s="153">
        <v>40</v>
      </c>
      <c r="F275" s="153">
        <f t="shared" si="8"/>
        <v>0</v>
      </c>
      <c r="G275" s="153" t="str">
        <f t="shared" si="9"/>
        <v>OK</v>
      </c>
      <c r="H275" s="153" t="b">
        <v>1</v>
      </c>
    </row>
    <row r="276" spans="1:8" x14ac:dyDescent="0.3">
      <c r="A276" s="153" t="s">
        <v>2327</v>
      </c>
      <c r="B276" s="153" t="s">
        <v>2762</v>
      </c>
      <c r="C276" s="153" t="s">
        <v>2501</v>
      </c>
      <c r="D276" s="153">
        <v>44</v>
      </c>
      <c r="E276" s="153">
        <v>44</v>
      </c>
      <c r="F276" s="153">
        <f t="shared" si="8"/>
        <v>0</v>
      </c>
      <c r="G276" s="153" t="str">
        <f t="shared" si="9"/>
        <v>OK</v>
      </c>
      <c r="H276" s="153" t="b">
        <v>1</v>
      </c>
    </row>
    <row r="277" spans="1:8" x14ac:dyDescent="0.3">
      <c r="A277" s="153" t="s">
        <v>2328</v>
      </c>
      <c r="B277" s="153" t="s">
        <v>2762</v>
      </c>
      <c r="C277" s="153" t="s">
        <v>2503</v>
      </c>
      <c r="D277" s="153">
        <v>44</v>
      </c>
      <c r="E277" s="153">
        <v>44</v>
      </c>
      <c r="F277" s="153">
        <f t="shared" si="8"/>
        <v>0</v>
      </c>
      <c r="G277" s="153" t="str">
        <f t="shared" si="9"/>
        <v>OK</v>
      </c>
      <c r="H277" s="153" t="b">
        <v>1</v>
      </c>
    </row>
    <row r="278" spans="1:8" x14ac:dyDescent="0.3">
      <c r="A278" s="153" t="s">
        <v>2329</v>
      </c>
      <c r="B278" s="153" t="s">
        <v>2762</v>
      </c>
      <c r="C278" s="153" t="s">
        <v>2505</v>
      </c>
      <c r="D278" s="153">
        <v>4840</v>
      </c>
      <c r="E278" s="153">
        <v>4840</v>
      </c>
      <c r="F278" s="153">
        <f t="shared" si="8"/>
        <v>0</v>
      </c>
      <c r="G278" s="153" t="str">
        <f t="shared" si="9"/>
        <v>OK</v>
      </c>
      <c r="H278" s="153" t="b">
        <v>1</v>
      </c>
    </row>
    <row r="279" spans="1:8" x14ac:dyDescent="0.3">
      <c r="A279" s="153" t="s">
        <v>2330</v>
      </c>
      <c r="B279" s="153" t="s">
        <v>2762</v>
      </c>
      <c r="C279" s="153" t="s">
        <v>2507</v>
      </c>
      <c r="D279" s="153">
        <v>156</v>
      </c>
      <c r="E279" s="153">
        <v>156</v>
      </c>
      <c r="F279" s="153">
        <f t="shared" si="8"/>
        <v>0</v>
      </c>
      <c r="G279" s="153" t="str">
        <f t="shared" si="9"/>
        <v>OK</v>
      </c>
      <c r="H279" s="153" t="b">
        <v>1</v>
      </c>
    </row>
    <row r="280" spans="1:8" x14ac:dyDescent="0.3">
      <c r="A280" s="153" t="s">
        <v>2332</v>
      </c>
      <c r="B280" s="153" t="s">
        <v>2762</v>
      </c>
      <c r="C280" s="153" t="s">
        <v>2509</v>
      </c>
      <c r="D280" s="153">
        <v>312</v>
      </c>
      <c r="E280" s="153">
        <v>312</v>
      </c>
      <c r="F280" s="153">
        <f t="shared" si="8"/>
        <v>0</v>
      </c>
      <c r="G280" s="153" t="str">
        <f t="shared" si="9"/>
        <v>OK</v>
      </c>
      <c r="H280" s="153" t="b">
        <v>1</v>
      </c>
    </row>
    <row r="281" spans="1:8" x14ac:dyDescent="0.3">
      <c r="A281" s="153" t="s">
        <v>2333</v>
      </c>
      <c r="B281" s="153" t="s">
        <v>2762</v>
      </c>
      <c r="C281" s="153" t="s">
        <v>2511</v>
      </c>
      <c r="D281" s="153">
        <v>1775.190491803279</v>
      </c>
      <c r="E281" s="153">
        <v>1775.190491803279</v>
      </c>
      <c r="F281" s="153">
        <f t="shared" si="8"/>
        <v>0</v>
      </c>
      <c r="G281" s="153" t="str">
        <f t="shared" si="9"/>
        <v>OK</v>
      </c>
      <c r="H281" s="153" t="b">
        <v>1</v>
      </c>
    </row>
    <row r="282" spans="1:8" x14ac:dyDescent="0.3">
      <c r="A282" s="153" t="s">
        <v>2334</v>
      </c>
      <c r="B282" s="153" t="s">
        <v>2762</v>
      </c>
      <c r="C282" s="153" t="s">
        <v>2513</v>
      </c>
      <c r="D282" s="153">
        <v>0</v>
      </c>
      <c r="E282" s="153">
        <v>0</v>
      </c>
      <c r="F282" s="153">
        <f t="shared" si="8"/>
        <v>0</v>
      </c>
      <c r="G282" s="153" t="str">
        <f t="shared" si="9"/>
        <v>OK</v>
      </c>
      <c r="H282" s="153" t="b">
        <v>1</v>
      </c>
    </row>
    <row r="283" spans="1:8" x14ac:dyDescent="0.3">
      <c r="A283" s="153" t="s">
        <v>2335</v>
      </c>
      <c r="B283" s="153" t="s">
        <v>2762</v>
      </c>
      <c r="C283" s="153" t="s">
        <v>2515</v>
      </c>
      <c r="D283" s="153">
        <v>14500</v>
      </c>
      <c r="E283" s="153">
        <v>14500</v>
      </c>
      <c r="F283" s="153">
        <f t="shared" si="8"/>
        <v>0</v>
      </c>
      <c r="G283" s="153" t="str">
        <f t="shared" si="9"/>
        <v>OK</v>
      </c>
      <c r="H283" s="153" t="b">
        <v>1</v>
      </c>
    </row>
    <row r="284" spans="1:8" x14ac:dyDescent="0.3">
      <c r="A284" s="153" t="s">
        <v>2336</v>
      </c>
      <c r="B284" s="153" t="s">
        <v>2762</v>
      </c>
      <c r="C284" s="153" t="s">
        <v>2517</v>
      </c>
      <c r="D284" s="153">
        <v>33177.092991803278</v>
      </c>
      <c r="E284" s="153">
        <v>33177.092991803278</v>
      </c>
      <c r="F284" s="153">
        <f t="shared" si="8"/>
        <v>0</v>
      </c>
      <c r="G284" s="153" t="str">
        <f t="shared" si="9"/>
        <v>OK</v>
      </c>
      <c r="H284" s="153" t="b">
        <v>1</v>
      </c>
    </row>
    <row r="285" spans="1:8" x14ac:dyDescent="0.3">
      <c r="A285" s="153" t="s">
        <v>2337</v>
      </c>
      <c r="B285" s="153" t="s">
        <v>2762</v>
      </c>
      <c r="C285" s="153" t="s">
        <v>2519</v>
      </c>
      <c r="D285" s="153">
        <v>-28337.092991803282</v>
      </c>
      <c r="E285" s="153">
        <v>-28337.092991803282</v>
      </c>
      <c r="F285" s="153">
        <f t="shared" si="8"/>
        <v>0</v>
      </c>
      <c r="G285" s="153" t="str">
        <f t="shared" si="9"/>
        <v>OK</v>
      </c>
      <c r="H285" s="153" t="b">
        <v>1</v>
      </c>
    </row>
    <row r="286" spans="1:8" x14ac:dyDescent="0.3">
      <c r="A286" s="153" t="s">
        <v>2338</v>
      </c>
      <c r="B286" s="153" t="s">
        <v>2762</v>
      </c>
      <c r="C286" s="153" t="s">
        <v>2521</v>
      </c>
      <c r="D286" s="153">
        <v>0</v>
      </c>
      <c r="E286" s="153">
        <v>0</v>
      </c>
      <c r="F286" s="153">
        <f t="shared" si="8"/>
        <v>0</v>
      </c>
      <c r="G286" s="153" t="str">
        <f t="shared" si="9"/>
        <v>OK</v>
      </c>
      <c r="H286" s="153" t="b">
        <v>1</v>
      </c>
    </row>
    <row r="287" spans="1:8" x14ac:dyDescent="0.3">
      <c r="A287" s="153" t="s">
        <v>2339</v>
      </c>
      <c r="B287" s="153" t="s">
        <v>2762</v>
      </c>
      <c r="C287" s="153" t="s">
        <v>2523</v>
      </c>
      <c r="D287" s="153">
        <v>3</v>
      </c>
      <c r="E287" s="153">
        <v>3</v>
      </c>
      <c r="F287" s="153">
        <f t="shared" si="8"/>
        <v>0</v>
      </c>
      <c r="G287" s="153" t="str">
        <f t="shared" si="9"/>
        <v>OK</v>
      </c>
      <c r="H287" s="153" t="b">
        <v>1</v>
      </c>
    </row>
    <row r="288" spans="1:8" x14ac:dyDescent="0.3">
      <c r="A288" s="153" t="s">
        <v>2340</v>
      </c>
      <c r="B288" s="153" t="s">
        <v>2762</v>
      </c>
      <c r="C288" s="153" t="s">
        <v>2525</v>
      </c>
      <c r="D288" s="153">
        <v>0</v>
      </c>
      <c r="E288" s="153">
        <v>0</v>
      </c>
      <c r="F288" s="153">
        <f t="shared" si="8"/>
        <v>0</v>
      </c>
      <c r="G288" s="153" t="str">
        <f t="shared" si="9"/>
        <v>OK</v>
      </c>
      <c r="H288" s="153" t="b">
        <v>1</v>
      </c>
    </row>
    <row r="289" spans="1:8" x14ac:dyDescent="0.3">
      <c r="A289" s="153" t="s">
        <v>2341</v>
      </c>
      <c r="B289" s="153" t="s">
        <v>2762</v>
      </c>
      <c r="C289" s="153" t="s">
        <v>2527</v>
      </c>
      <c r="D289" s="153">
        <v>502.4</v>
      </c>
      <c r="E289" s="153">
        <v>502.4</v>
      </c>
      <c r="F289" s="153">
        <f t="shared" si="8"/>
        <v>0</v>
      </c>
      <c r="G289" s="153" t="str">
        <f t="shared" si="9"/>
        <v>OK</v>
      </c>
      <c r="H289" s="153" t="b">
        <v>1</v>
      </c>
    </row>
    <row r="290" spans="1:8" x14ac:dyDescent="0.3">
      <c r="A290" s="153" t="s">
        <v>2342</v>
      </c>
      <c r="B290" s="153" t="s">
        <v>2762</v>
      </c>
      <c r="C290" s="153" t="s">
        <v>2529</v>
      </c>
      <c r="D290" s="153">
        <v>0</v>
      </c>
      <c r="E290" s="153">
        <v>0</v>
      </c>
      <c r="F290" s="153">
        <f t="shared" si="8"/>
        <v>0</v>
      </c>
      <c r="G290" s="153" t="str">
        <f t="shared" si="9"/>
        <v>OK</v>
      </c>
      <c r="H290" s="153" t="b">
        <v>1</v>
      </c>
    </row>
    <row r="291" spans="1:8" x14ac:dyDescent="0.3">
      <c r="A291" s="153" t="s">
        <v>2343</v>
      </c>
      <c r="B291" s="153" t="s">
        <v>2762</v>
      </c>
      <c r="C291" s="153" t="s">
        <v>2531</v>
      </c>
      <c r="D291" s="153">
        <v>1756</v>
      </c>
      <c r="E291" s="153">
        <v>1756</v>
      </c>
      <c r="F291" s="153">
        <f t="shared" si="8"/>
        <v>0</v>
      </c>
      <c r="G291" s="153" t="str">
        <f t="shared" si="9"/>
        <v>OK</v>
      </c>
      <c r="H291" s="153" t="b">
        <v>1</v>
      </c>
    </row>
    <row r="292" spans="1:8" x14ac:dyDescent="0.3">
      <c r="A292" s="153" t="s">
        <v>2344</v>
      </c>
      <c r="B292" s="153" t="s">
        <v>2762</v>
      </c>
      <c r="C292" s="153" t="s">
        <v>2533</v>
      </c>
      <c r="D292" s="153">
        <v>0</v>
      </c>
      <c r="E292" s="153">
        <v>0</v>
      </c>
      <c r="F292" s="153">
        <f t="shared" si="8"/>
        <v>0</v>
      </c>
      <c r="G292" s="153" t="str">
        <f t="shared" si="9"/>
        <v>OK</v>
      </c>
      <c r="H292" s="153" t="b">
        <v>1</v>
      </c>
    </row>
    <row r="293" spans="1:8" x14ac:dyDescent="0.3">
      <c r="A293" s="153" t="s">
        <v>2345</v>
      </c>
      <c r="B293" s="153" t="s">
        <v>2762</v>
      </c>
      <c r="C293" s="153" t="s">
        <v>2535</v>
      </c>
      <c r="D293" s="153">
        <v>0</v>
      </c>
      <c r="E293" s="153">
        <v>0</v>
      </c>
      <c r="F293" s="153">
        <f t="shared" si="8"/>
        <v>0</v>
      </c>
      <c r="G293" s="153" t="str">
        <f t="shared" si="9"/>
        <v>OK</v>
      </c>
      <c r="H293" s="153" t="b">
        <v>1</v>
      </c>
    </row>
    <row r="294" spans="1:8" x14ac:dyDescent="0.3">
      <c r="A294" s="153" t="s">
        <v>2346</v>
      </c>
      <c r="B294" s="153" t="s">
        <v>2762</v>
      </c>
      <c r="C294" s="153" t="s">
        <v>2537</v>
      </c>
      <c r="D294" s="153">
        <v>10292</v>
      </c>
      <c r="E294" s="153">
        <v>10292</v>
      </c>
      <c r="F294" s="153">
        <f t="shared" si="8"/>
        <v>0</v>
      </c>
      <c r="G294" s="153" t="str">
        <f t="shared" si="9"/>
        <v>OK</v>
      </c>
      <c r="H294" s="153" t="b">
        <v>1</v>
      </c>
    </row>
    <row r="295" spans="1:8" x14ac:dyDescent="0.3">
      <c r="A295" s="153" t="s">
        <v>2347</v>
      </c>
      <c r="B295" s="153" t="s">
        <v>2762</v>
      </c>
      <c r="C295" s="153" t="s">
        <v>2539</v>
      </c>
      <c r="D295" s="153">
        <v>0</v>
      </c>
      <c r="E295" s="153">
        <v>0</v>
      </c>
      <c r="F295" s="153">
        <f t="shared" si="8"/>
        <v>0</v>
      </c>
      <c r="G295" s="153" t="str">
        <f t="shared" si="9"/>
        <v>OK</v>
      </c>
      <c r="H295" s="153" t="b">
        <v>1</v>
      </c>
    </row>
    <row r="296" spans="1:8" x14ac:dyDescent="0.3">
      <c r="A296" s="153" t="s">
        <v>2348</v>
      </c>
      <c r="B296" s="153" t="s">
        <v>2762</v>
      </c>
      <c r="C296" s="153" t="s">
        <v>2541</v>
      </c>
      <c r="D296" s="153" t="b">
        <v>0</v>
      </c>
      <c r="E296" s="153" t="b">
        <v>0</v>
      </c>
      <c r="F296" s="153">
        <f t="shared" si="8"/>
        <v>0</v>
      </c>
      <c r="G296" s="153" t="str">
        <f t="shared" si="9"/>
        <v>OK</v>
      </c>
      <c r="H296" s="153" t="b">
        <v>1</v>
      </c>
    </row>
    <row r="297" spans="1:8" x14ac:dyDescent="0.3">
      <c r="A297" s="153" t="s">
        <v>2349</v>
      </c>
      <c r="B297" s="153" t="s">
        <v>2762</v>
      </c>
      <c r="C297" s="153" t="s">
        <v>2543</v>
      </c>
      <c r="D297" s="153" t="b">
        <v>0</v>
      </c>
      <c r="E297" s="153" t="b">
        <v>0</v>
      </c>
      <c r="F297" s="153">
        <f t="shared" si="8"/>
        <v>0</v>
      </c>
      <c r="G297" s="153" t="str">
        <f t="shared" si="9"/>
        <v>OK</v>
      </c>
      <c r="H297" s="153" t="b">
        <v>1</v>
      </c>
    </row>
    <row r="298" spans="1:8" x14ac:dyDescent="0.3">
      <c r="A298" s="153" t="s">
        <v>2350</v>
      </c>
      <c r="B298" s="153" t="s">
        <v>2762</v>
      </c>
      <c r="C298" s="153" t="s">
        <v>2545</v>
      </c>
      <c r="D298" s="153" t="b">
        <v>0</v>
      </c>
      <c r="E298" s="153" t="b">
        <v>0</v>
      </c>
      <c r="F298" s="153">
        <f t="shared" si="8"/>
        <v>0</v>
      </c>
      <c r="G298" s="153" t="str">
        <f t="shared" si="9"/>
        <v>OK</v>
      </c>
      <c r="H298" s="153" t="b">
        <v>1</v>
      </c>
    </row>
    <row r="299" spans="1:8" x14ac:dyDescent="0.3">
      <c r="A299" s="153" t="s">
        <v>2351</v>
      </c>
      <c r="B299" s="153" t="s">
        <v>2762</v>
      </c>
      <c r="C299" s="153" t="s">
        <v>2547</v>
      </c>
      <c r="D299" s="153" t="b">
        <v>0</v>
      </c>
      <c r="E299" s="153" t="b">
        <v>0</v>
      </c>
      <c r="F299" s="153">
        <f t="shared" si="8"/>
        <v>0</v>
      </c>
      <c r="G299" s="153" t="str">
        <f t="shared" si="9"/>
        <v>OK</v>
      </c>
      <c r="H299" s="153" t="b">
        <v>1</v>
      </c>
    </row>
    <row r="300" spans="1:8" x14ac:dyDescent="0.3">
      <c r="A300" s="153" t="s">
        <v>2352</v>
      </c>
      <c r="B300" s="153" t="s">
        <v>2762</v>
      </c>
      <c r="C300" s="153" t="s">
        <v>2549</v>
      </c>
      <c r="D300" s="153" t="b">
        <v>1</v>
      </c>
      <c r="E300" s="153" t="b">
        <v>1</v>
      </c>
      <c r="F300" s="153">
        <f t="shared" si="8"/>
        <v>0</v>
      </c>
      <c r="G300" s="153" t="str">
        <f t="shared" si="9"/>
        <v>OK</v>
      </c>
      <c r="H300" s="153" t="b">
        <v>1</v>
      </c>
    </row>
    <row r="301" spans="1:8" x14ac:dyDescent="0.3">
      <c r="A301" s="153" t="s">
        <v>2353</v>
      </c>
      <c r="B301" s="153" t="s">
        <v>2762</v>
      </c>
      <c r="C301" s="153" t="s">
        <v>2551</v>
      </c>
      <c r="D301" s="153" t="b">
        <v>1</v>
      </c>
      <c r="E301" s="153" t="b">
        <v>1</v>
      </c>
      <c r="F301" s="153">
        <f t="shared" si="8"/>
        <v>0</v>
      </c>
      <c r="G301" s="153" t="str">
        <f t="shared" si="9"/>
        <v>OK</v>
      </c>
      <c r="H301" s="153" t="b">
        <v>1</v>
      </c>
    </row>
    <row r="302" spans="1:8" x14ac:dyDescent="0.3">
      <c r="A302" s="153" t="s">
        <v>2354</v>
      </c>
      <c r="B302" s="153" t="s">
        <v>2762</v>
      </c>
      <c r="C302" s="153" t="s">
        <v>2553</v>
      </c>
      <c r="D302" s="153" t="b">
        <v>1</v>
      </c>
      <c r="E302" s="153" t="b">
        <v>1</v>
      </c>
      <c r="F302" s="153">
        <f t="shared" si="8"/>
        <v>0</v>
      </c>
      <c r="G302" s="153" t="str">
        <f t="shared" si="9"/>
        <v>OK</v>
      </c>
      <c r="H302" s="153" t="b">
        <v>1</v>
      </c>
    </row>
    <row r="303" spans="1:8" x14ac:dyDescent="0.3">
      <c r="A303" s="153" t="s">
        <v>2355</v>
      </c>
      <c r="B303" s="153" t="s">
        <v>2762</v>
      </c>
      <c r="C303" s="153" t="s">
        <v>2555</v>
      </c>
      <c r="D303" s="153" t="b">
        <v>0</v>
      </c>
      <c r="E303" s="153" t="b">
        <v>0</v>
      </c>
      <c r="F303" s="153">
        <f t="shared" si="8"/>
        <v>0</v>
      </c>
      <c r="G303" s="153" t="str">
        <f t="shared" si="9"/>
        <v>OK</v>
      </c>
      <c r="H303" s="153" t="b">
        <v>1</v>
      </c>
    </row>
    <row r="304" spans="1:8" x14ac:dyDescent="0.3">
      <c r="A304" s="153" t="s">
        <v>2356</v>
      </c>
      <c r="B304" s="153" t="s">
        <v>2762</v>
      </c>
      <c r="C304" s="153" t="s">
        <v>2557</v>
      </c>
      <c r="D304" s="153">
        <v>0</v>
      </c>
      <c r="E304" s="153">
        <v>0</v>
      </c>
      <c r="F304" s="153">
        <f t="shared" si="8"/>
        <v>0</v>
      </c>
      <c r="G304" s="153" t="str">
        <f t="shared" si="9"/>
        <v>OK</v>
      </c>
      <c r="H304" s="153" t="b">
        <v>1</v>
      </c>
    </row>
    <row r="305" spans="1:8" x14ac:dyDescent="0.3">
      <c r="A305" s="153" t="s">
        <v>2357</v>
      </c>
      <c r="B305" s="153" t="s">
        <v>2762</v>
      </c>
      <c r="C305" s="153" t="s">
        <v>2559</v>
      </c>
      <c r="D305" s="153">
        <v>23</v>
      </c>
      <c r="E305" s="153">
        <v>23</v>
      </c>
      <c r="F305" s="153">
        <f t="shared" si="8"/>
        <v>0</v>
      </c>
      <c r="G305" s="153" t="str">
        <f t="shared" si="9"/>
        <v>OK</v>
      </c>
      <c r="H305" s="153" t="b">
        <v>1</v>
      </c>
    </row>
    <row r="306" spans="1:8" x14ac:dyDescent="0.3">
      <c r="A306" s="153" t="s">
        <v>2358</v>
      </c>
      <c r="B306" s="153" t="s">
        <v>2762</v>
      </c>
      <c r="C306" s="153" t="s">
        <v>2561</v>
      </c>
      <c r="D306" s="153">
        <v>0</v>
      </c>
      <c r="E306" s="153">
        <v>0</v>
      </c>
      <c r="F306" s="153">
        <f t="shared" si="8"/>
        <v>0</v>
      </c>
      <c r="G306" s="153" t="str">
        <f t="shared" si="9"/>
        <v>OK</v>
      </c>
      <c r="H306" s="153" t="b">
        <v>1</v>
      </c>
    </row>
    <row r="307" spans="1:8" x14ac:dyDescent="0.3">
      <c r="A307" s="153" t="s">
        <v>2359</v>
      </c>
      <c r="B307" s="153" t="s">
        <v>2762</v>
      </c>
      <c r="C307" s="153" t="s">
        <v>2563</v>
      </c>
      <c r="D307" s="153">
        <v>3</v>
      </c>
      <c r="E307" s="153">
        <v>3</v>
      </c>
      <c r="F307" s="153">
        <f t="shared" si="8"/>
        <v>0</v>
      </c>
      <c r="G307" s="153" t="str">
        <f t="shared" si="9"/>
        <v>OK</v>
      </c>
      <c r="H307" s="153" t="b">
        <v>1</v>
      </c>
    </row>
    <row r="308" spans="1:8" x14ac:dyDescent="0.3">
      <c r="A308" s="153" t="s">
        <v>2763</v>
      </c>
      <c r="B308" s="153" t="s">
        <v>2762</v>
      </c>
      <c r="C308" s="153" t="s">
        <v>2764</v>
      </c>
      <c r="D308" s="153">
        <v>12</v>
      </c>
      <c r="E308" s="153">
        <v>12</v>
      </c>
      <c r="F308" s="153">
        <f t="shared" si="8"/>
        <v>0</v>
      </c>
      <c r="G308" s="153" t="str">
        <f t="shared" si="9"/>
        <v>OK</v>
      </c>
      <c r="H308" s="153" t="b">
        <v>1</v>
      </c>
    </row>
    <row r="309" spans="1:8" x14ac:dyDescent="0.3">
      <c r="A309" s="153" t="s">
        <v>2765</v>
      </c>
      <c r="B309" s="153" t="s">
        <v>2762</v>
      </c>
      <c r="C309" s="153" t="s">
        <v>2766</v>
      </c>
      <c r="D309" s="153">
        <v>17</v>
      </c>
      <c r="E309" s="153">
        <v>17</v>
      </c>
      <c r="F309" s="153">
        <f t="shared" si="8"/>
        <v>0</v>
      </c>
      <c r="G309" s="153" t="str">
        <f t="shared" si="9"/>
        <v>OK</v>
      </c>
      <c r="H309" s="153" t="b">
        <v>1</v>
      </c>
    </row>
    <row r="310" spans="1:8" x14ac:dyDescent="0.3">
      <c r="A310" s="153" t="s">
        <v>2767</v>
      </c>
      <c r="B310" s="153" t="s">
        <v>2762</v>
      </c>
      <c r="C310" s="153" t="s">
        <v>2768</v>
      </c>
      <c r="D310" s="153">
        <v>12</v>
      </c>
      <c r="E310" s="153">
        <v>12</v>
      </c>
      <c r="F310" s="153">
        <f t="shared" si="8"/>
        <v>0</v>
      </c>
      <c r="G310" s="153" t="str">
        <f t="shared" si="9"/>
        <v>OK</v>
      </c>
      <c r="H310" s="153" t="b">
        <v>1</v>
      </c>
    </row>
    <row r="311" spans="1:8" x14ac:dyDescent="0.3">
      <c r="A311" s="153" t="s">
        <v>2769</v>
      </c>
      <c r="B311" s="153" t="s">
        <v>2762</v>
      </c>
      <c r="C311" s="153" t="s">
        <v>2770</v>
      </c>
      <c r="D311" s="153">
        <v>-5</v>
      </c>
      <c r="E311" s="153">
        <v>-5</v>
      </c>
      <c r="F311" s="153">
        <f t="shared" si="8"/>
        <v>0</v>
      </c>
      <c r="G311" s="153" t="str">
        <f t="shared" si="9"/>
        <v>OK</v>
      </c>
      <c r="H311" s="153" t="b">
        <v>1</v>
      </c>
    </row>
    <row r="312" spans="1:8" x14ac:dyDescent="0.3">
      <c r="A312" s="153" t="s">
        <v>2771</v>
      </c>
      <c r="B312" s="153" t="s">
        <v>2762</v>
      </c>
      <c r="C312" s="153" t="s">
        <v>2772</v>
      </c>
      <c r="D312" s="153">
        <v>5</v>
      </c>
      <c r="E312" s="153">
        <v>5</v>
      </c>
      <c r="F312" s="153">
        <f t="shared" si="8"/>
        <v>0</v>
      </c>
      <c r="G312" s="153" t="str">
        <f t="shared" si="9"/>
        <v>OK</v>
      </c>
      <c r="H312" s="153" t="b">
        <v>1</v>
      </c>
    </row>
    <row r="313" spans="1:8" x14ac:dyDescent="0.3">
      <c r="A313" s="153" t="s">
        <v>2773</v>
      </c>
      <c r="B313" s="153" t="s">
        <v>2762</v>
      </c>
      <c r="C313" s="153" t="s">
        <v>2774</v>
      </c>
      <c r="D313" s="153">
        <v>129.6</v>
      </c>
      <c r="E313" s="153">
        <v>129.6</v>
      </c>
      <c r="F313" s="153">
        <f t="shared" si="8"/>
        <v>0</v>
      </c>
      <c r="G313" s="153" t="str">
        <f t="shared" si="9"/>
        <v>OK</v>
      </c>
      <c r="H313" s="153" t="b">
        <v>1</v>
      </c>
    </row>
    <row r="314" spans="1:8" x14ac:dyDescent="0.3">
      <c r="A314" s="153" t="s">
        <v>2775</v>
      </c>
      <c r="B314" s="153" t="s">
        <v>2762</v>
      </c>
      <c r="C314" s="153" t="s">
        <v>2776</v>
      </c>
      <c r="D314" s="153">
        <v>0.94000000000000006</v>
      </c>
      <c r="E314" s="153">
        <v>0.94000000000000006</v>
      </c>
      <c r="F314" s="153">
        <f t="shared" si="8"/>
        <v>0</v>
      </c>
      <c r="G314" s="153" t="str">
        <f t="shared" si="9"/>
        <v>OK</v>
      </c>
      <c r="H314" s="153" t="b">
        <v>1</v>
      </c>
    </row>
    <row r="315" spans="1:8" x14ac:dyDescent="0.3">
      <c r="A315" s="153" t="s">
        <v>2777</v>
      </c>
      <c r="B315" s="153" t="s">
        <v>2762</v>
      </c>
      <c r="C315" s="153" t="s">
        <v>2778</v>
      </c>
      <c r="D315" s="153">
        <v>122</v>
      </c>
      <c r="E315" s="153">
        <v>122</v>
      </c>
      <c r="F315" s="153">
        <f t="shared" si="8"/>
        <v>0</v>
      </c>
      <c r="G315" s="153" t="str">
        <f t="shared" si="9"/>
        <v>OK</v>
      </c>
      <c r="H315" s="153" t="b">
        <v>1</v>
      </c>
    </row>
    <row r="316" spans="1:8" x14ac:dyDescent="0.3">
      <c r="A316" s="153" t="s">
        <v>2779</v>
      </c>
      <c r="B316" s="153" t="s">
        <v>2762</v>
      </c>
      <c r="C316" s="153" t="s">
        <v>2780</v>
      </c>
      <c r="D316" s="153">
        <v>122</v>
      </c>
      <c r="E316" s="153">
        <v>122</v>
      </c>
      <c r="F316" s="153">
        <f t="shared" si="8"/>
        <v>0</v>
      </c>
      <c r="G316" s="153" t="str">
        <f t="shared" si="9"/>
        <v>OK</v>
      </c>
      <c r="H316" s="153" t="b">
        <v>1</v>
      </c>
    </row>
    <row r="317" spans="1:8" x14ac:dyDescent="0.3">
      <c r="A317" s="153" t="s">
        <v>2781</v>
      </c>
      <c r="B317" s="153" t="s">
        <v>2762</v>
      </c>
      <c r="C317" s="153" t="s">
        <v>2782</v>
      </c>
      <c r="D317" s="153">
        <v>85.399999999999991</v>
      </c>
      <c r="E317" s="153">
        <v>85.4</v>
      </c>
      <c r="F317" s="153">
        <f t="shared" si="8"/>
        <v>1.4210854715202004E-14</v>
      </c>
      <c r="G317" s="153" t="str">
        <f t="shared" si="9"/>
        <v>OK</v>
      </c>
      <c r="H317" s="153" t="b">
        <v>1</v>
      </c>
    </row>
    <row r="318" spans="1:8" x14ac:dyDescent="0.3">
      <c r="A318" s="153" t="s">
        <v>2783</v>
      </c>
      <c r="B318" s="153" t="s">
        <v>2762</v>
      </c>
      <c r="C318" s="153" t="s">
        <v>2784</v>
      </c>
      <c r="D318" s="153">
        <v>122</v>
      </c>
      <c r="E318" s="153">
        <v>122</v>
      </c>
      <c r="F318" s="153">
        <f t="shared" si="8"/>
        <v>0</v>
      </c>
      <c r="G318" s="153" t="str">
        <f t="shared" si="9"/>
        <v>OK</v>
      </c>
      <c r="H318" s="153" t="b">
        <v>1</v>
      </c>
    </row>
    <row r="319" spans="1:8" x14ac:dyDescent="0.3">
      <c r="A319" s="153" t="s">
        <v>2785</v>
      </c>
      <c r="B319" s="153" t="s">
        <v>2762</v>
      </c>
      <c r="C319" s="153" t="s">
        <v>2786</v>
      </c>
      <c r="D319" s="153">
        <v>1586</v>
      </c>
      <c r="E319" s="153">
        <v>1586</v>
      </c>
      <c r="F319" s="153">
        <f t="shared" si="8"/>
        <v>0</v>
      </c>
      <c r="G319" s="153" t="str">
        <f t="shared" si="9"/>
        <v>OK</v>
      </c>
      <c r="H319" s="153" t="b">
        <v>1</v>
      </c>
    </row>
    <row r="320" spans="1:8" x14ac:dyDescent="0.3">
      <c r="A320" s="153" t="s">
        <v>2787</v>
      </c>
      <c r="B320" s="153" t="s">
        <v>2762</v>
      </c>
      <c r="C320" s="153" t="s">
        <v>2788</v>
      </c>
      <c r="D320" s="153">
        <v>11979.153846153849</v>
      </c>
      <c r="E320" s="153">
        <v>11979.153846153849</v>
      </c>
      <c r="F320" s="153">
        <f t="shared" si="8"/>
        <v>0</v>
      </c>
      <c r="G320" s="153" t="str">
        <f t="shared" si="9"/>
        <v>OK</v>
      </c>
      <c r="H320" s="153" t="b">
        <v>1</v>
      </c>
    </row>
    <row r="321" spans="1:8" x14ac:dyDescent="0.3">
      <c r="A321" s="153" t="s">
        <v>2789</v>
      </c>
      <c r="B321" s="153" t="s">
        <v>2762</v>
      </c>
      <c r="C321" s="153" t="s">
        <v>2790</v>
      </c>
      <c r="D321" s="153">
        <v>16984.156800000001</v>
      </c>
      <c r="E321" s="153">
        <v>16984.156800000001</v>
      </c>
      <c r="F321" s="153">
        <f t="shared" si="8"/>
        <v>0</v>
      </c>
      <c r="G321" s="153" t="str">
        <f t="shared" si="9"/>
        <v>OK</v>
      </c>
      <c r="H321" s="153" t="b">
        <v>1</v>
      </c>
    </row>
    <row r="322" spans="1:8" x14ac:dyDescent="0.3">
      <c r="A322" s="153" t="s">
        <v>2791</v>
      </c>
      <c r="B322" s="153" t="s">
        <v>2762</v>
      </c>
      <c r="C322" s="153" t="s">
        <v>2792</v>
      </c>
      <c r="D322" s="153">
        <v>50</v>
      </c>
      <c r="E322" s="153">
        <v>50</v>
      </c>
      <c r="F322" s="153">
        <f t="shared" ref="F322:F385" si="10">IF(NOT(H322),"",IF(AND(ISNUMBER(D322),ISNUMBER(E322)),E322-D322,IF(D322=E322,0,1)))</f>
        <v>0</v>
      </c>
      <c r="G322" s="153" t="str">
        <f t="shared" ref="G322:G385" si="11">IF(NOT(H322),"PENDIENTE SIDE",IF(IF(AND(ISNUMBER(D322),ISNUMBER(E322)),IF(MOD(D322,1)=0,D322=E322,ABS(D322-E322)&lt;=0.000000001*MAX(1,ABS(D322),ABS(E322))),D322=E322),"OK","DIFERENCIA"))</f>
        <v>OK</v>
      </c>
      <c r="H322" s="153" t="b">
        <v>1</v>
      </c>
    </row>
    <row r="323" spans="1:8" x14ac:dyDescent="0.3">
      <c r="A323" s="153" t="s">
        <v>2793</v>
      </c>
      <c r="B323" s="153" t="s">
        <v>2762</v>
      </c>
      <c r="C323" s="153" t="s">
        <v>2794</v>
      </c>
      <c r="D323" s="153">
        <v>109.3181818181818</v>
      </c>
      <c r="E323" s="153">
        <v>109.3181818181818</v>
      </c>
      <c r="F323" s="153">
        <f t="shared" si="10"/>
        <v>0</v>
      </c>
      <c r="G323" s="153" t="str">
        <f t="shared" si="11"/>
        <v>OK</v>
      </c>
      <c r="H323" s="153" t="b">
        <v>1</v>
      </c>
    </row>
    <row r="324" spans="1:8" x14ac:dyDescent="0.3">
      <c r="A324" s="153" t="s">
        <v>2795</v>
      </c>
      <c r="B324" s="153" t="s">
        <v>2762</v>
      </c>
      <c r="C324" s="153" t="s">
        <v>2796</v>
      </c>
      <c r="D324" s="153">
        <v>20</v>
      </c>
      <c r="E324" s="153">
        <v>20</v>
      </c>
      <c r="F324" s="153">
        <f t="shared" si="10"/>
        <v>0</v>
      </c>
      <c r="G324" s="153" t="str">
        <f t="shared" si="11"/>
        <v>OK</v>
      </c>
      <c r="H324" s="153" t="b">
        <v>1</v>
      </c>
    </row>
    <row r="325" spans="1:8" x14ac:dyDescent="0.3">
      <c r="A325" s="153" t="s">
        <v>2797</v>
      </c>
      <c r="B325" s="153" t="s">
        <v>2762</v>
      </c>
      <c r="C325" s="153" t="s">
        <v>2798</v>
      </c>
      <c r="D325" s="153">
        <v>22</v>
      </c>
      <c r="E325" s="153">
        <v>22</v>
      </c>
      <c r="F325" s="153">
        <f t="shared" si="10"/>
        <v>0</v>
      </c>
      <c r="G325" s="153" t="str">
        <f t="shared" si="11"/>
        <v>OK</v>
      </c>
      <c r="H325" s="153" t="b">
        <v>1</v>
      </c>
    </row>
    <row r="326" spans="1:8" x14ac:dyDescent="0.3">
      <c r="A326" s="153" t="s">
        <v>2799</v>
      </c>
      <c r="B326" s="153" t="s">
        <v>2762</v>
      </c>
      <c r="C326" s="153" t="s">
        <v>2800</v>
      </c>
      <c r="D326" s="153">
        <v>40</v>
      </c>
      <c r="E326" s="153">
        <v>40</v>
      </c>
      <c r="F326" s="153">
        <f t="shared" si="10"/>
        <v>0</v>
      </c>
      <c r="G326" s="153" t="str">
        <f t="shared" si="11"/>
        <v>OK</v>
      </c>
      <c r="H326" s="153" t="b">
        <v>1</v>
      </c>
    </row>
    <row r="327" spans="1:8" x14ac:dyDescent="0.3">
      <c r="A327" s="153" t="s">
        <v>2801</v>
      </c>
      <c r="B327" s="153" t="s">
        <v>2762</v>
      </c>
      <c r="C327" s="153" t="s">
        <v>2802</v>
      </c>
      <c r="D327" s="153">
        <v>44</v>
      </c>
      <c r="E327" s="153">
        <v>44</v>
      </c>
      <c r="F327" s="153">
        <f t="shared" si="10"/>
        <v>0</v>
      </c>
      <c r="G327" s="153" t="str">
        <f t="shared" si="11"/>
        <v>OK</v>
      </c>
      <c r="H327" s="153" t="b">
        <v>1</v>
      </c>
    </row>
    <row r="328" spans="1:8" x14ac:dyDescent="0.3">
      <c r="A328" s="153" t="s">
        <v>2803</v>
      </c>
      <c r="B328" s="153" t="s">
        <v>2762</v>
      </c>
      <c r="C328" s="153" t="s">
        <v>2804</v>
      </c>
      <c r="D328" s="153">
        <v>44</v>
      </c>
      <c r="E328" s="153">
        <v>44</v>
      </c>
      <c r="F328" s="153">
        <f t="shared" si="10"/>
        <v>0</v>
      </c>
      <c r="G328" s="153" t="str">
        <f t="shared" si="11"/>
        <v>OK</v>
      </c>
      <c r="H328" s="153" t="b">
        <v>1</v>
      </c>
    </row>
    <row r="329" spans="1:8" x14ac:dyDescent="0.3">
      <c r="A329" s="153" t="s">
        <v>2805</v>
      </c>
      <c r="B329" s="153" t="s">
        <v>2762</v>
      </c>
      <c r="C329" s="153" t="s">
        <v>2806</v>
      </c>
      <c r="D329" s="153">
        <v>16016</v>
      </c>
      <c r="E329" s="153">
        <v>16016</v>
      </c>
      <c r="F329" s="153">
        <f t="shared" si="10"/>
        <v>0</v>
      </c>
      <c r="G329" s="153" t="str">
        <f t="shared" si="11"/>
        <v>OK</v>
      </c>
      <c r="H329" s="153" t="b">
        <v>1</v>
      </c>
    </row>
    <row r="330" spans="1:8" x14ac:dyDescent="0.3">
      <c r="A330" s="153" t="s">
        <v>2807</v>
      </c>
      <c r="B330" s="153" t="s">
        <v>2762</v>
      </c>
      <c r="C330" s="153" t="s">
        <v>2808</v>
      </c>
      <c r="D330" s="153">
        <v>156</v>
      </c>
      <c r="E330" s="153">
        <v>156</v>
      </c>
      <c r="F330" s="153">
        <f t="shared" si="10"/>
        <v>0</v>
      </c>
      <c r="G330" s="153" t="str">
        <f t="shared" si="11"/>
        <v>OK</v>
      </c>
      <c r="H330" s="153" t="b">
        <v>1</v>
      </c>
    </row>
    <row r="331" spans="1:8" x14ac:dyDescent="0.3">
      <c r="A331" s="153" t="s">
        <v>2809</v>
      </c>
      <c r="B331" s="153" t="s">
        <v>2762</v>
      </c>
      <c r="C331" s="153" t="s">
        <v>2810</v>
      </c>
      <c r="D331" s="153">
        <v>312</v>
      </c>
      <c r="E331" s="153">
        <v>312</v>
      </c>
      <c r="F331" s="153">
        <f t="shared" si="10"/>
        <v>0</v>
      </c>
      <c r="G331" s="153" t="str">
        <f t="shared" si="11"/>
        <v>OK</v>
      </c>
      <c r="H331" s="153" t="b">
        <v>1</v>
      </c>
    </row>
    <row r="332" spans="1:8" x14ac:dyDescent="0.3">
      <c r="A332" s="153" t="s">
        <v>2811</v>
      </c>
      <c r="B332" s="153" t="s">
        <v>2762</v>
      </c>
      <c r="C332" s="153" t="s">
        <v>2812</v>
      </c>
      <c r="D332" s="153">
        <v>1914.700819672131</v>
      </c>
      <c r="E332" s="153">
        <v>1914.700819672131</v>
      </c>
      <c r="F332" s="153">
        <f t="shared" si="10"/>
        <v>0</v>
      </c>
      <c r="G332" s="153" t="str">
        <f t="shared" si="11"/>
        <v>OK</v>
      </c>
      <c r="H332" s="153" t="b">
        <v>1</v>
      </c>
    </row>
    <row r="333" spans="1:8" x14ac:dyDescent="0.3">
      <c r="A333" s="153" t="s">
        <v>2813</v>
      </c>
      <c r="B333" s="153" t="s">
        <v>2762</v>
      </c>
      <c r="C333" s="153" t="s">
        <v>2814</v>
      </c>
      <c r="D333" s="153">
        <v>440</v>
      </c>
      <c r="E333" s="153">
        <v>440</v>
      </c>
      <c r="F333" s="153">
        <f t="shared" si="10"/>
        <v>0</v>
      </c>
      <c r="G333" s="153" t="str">
        <f t="shared" si="11"/>
        <v>OK</v>
      </c>
      <c r="H333" s="153" t="b">
        <v>1</v>
      </c>
    </row>
    <row r="334" spans="1:8" x14ac:dyDescent="0.3">
      <c r="A334" s="153" t="s">
        <v>2815</v>
      </c>
      <c r="B334" s="153" t="s">
        <v>2762</v>
      </c>
      <c r="C334" s="153" t="s">
        <v>2816</v>
      </c>
      <c r="D334" s="153">
        <v>13500</v>
      </c>
      <c r="E334" s="153">
        <v>13500</v>
      </c>
      <c r="F334" s="153">
        <f t="shared" si="10"/>
        <v>0</v>
      </c>
      <c r="G334" s="153" t="str">
        <f t="shared" si="11"/>
        <v>OK</v>
      </c>
      <c r="H334" s="153" t="b">
        <v>1</v>
      </c>
    </row>
    <row r="335" spans="1:8" x14ac:dyDescent="0.3">
      <c r="A335" s="153" t="s">
        <v>2817</v>
      </c>
      <c r="B335" s="153" t="s">
        <v>2762</v>
      </c>
      <c r="C335" s="153" t="s">
        <v>2818</v>
      </c>
      <c r="D335" s="153">
        <v>45289.329647644161</v>
      </c>
      <c r="E335" s="153">
        <v>45289.329647644161</v>
      </c>
      <c r="F335" s="153">
        <f t="shared" si="10"/>
        <v>0</v>
      </c>
      <c r="G335" s="153" t="str">
        <f t="shared" si="11"/>
        <v>OK</v>
      </c>
      <c r="H335" s="153" t="b">
        <v>1</v>
      </c>
    </row>
    <row r="336" spans="1:8" x14ac:dyDescent="0.3">
      <c r="A336" s="153" t="s">
        <v>2819</v>
      </c>
      <c r="B336" s="153" t="s">
        <v>2762</v>
      </c>
      <c r="C336" s="153" t="s">
        <v>2820</v>
      </c>
      <c r="D336" s="153">
        <v>-29273.329647644161</v>
      </c>
      <c r="E336" s="153">
        <v>-29273.329647644161</v>
      </c>
      <c r="F336" s="153">
        <f t="shared" si="10"/>
        <v>0</v>
      </c>
      <c r="G336" s="153" t="str">
        <f t="shared" si="11"/>
        <v>OK</v>
      </c>
      <c r="H336" s="153" t="b">
        <v>1</v>
      </c>
    </row>
    <row r="337" spans="1:8" x14ac:dyDescent="0.3">
      <c r="A337" s="153" t="s">
        <v>2821</v>
      </c>
      <c r="B337" s="153" t="s">
        <v>2762</v>
      </c>
      <c r="C337" s="153" t="s">
        <v>2822</v>
      </c>
      <c r="D337" s="153">
        <v>0</v>
      </c>
      <c r="E337" s="153">
        <v>0</v>
      </c>
      <c r="F337" s="153">
        <f t="shared" si="10"/>
        <v>0</v>
      </c>
      <c r="G337" s="153" t="str">
        <f t="shared" si="11"/>
        <v>OK</v>
      </c>
      <c r="H337" s="153" t="b">
        <v>1</v>
      </c>
    </row>
    <row r="338" spans="1:8" x14ac:dyDescent="0.3">
      <c r="A338" s="153" t="s">
        <v>2823</v>
      </c>
      <c r="B338" s="153" t="s">
        <v>2762</v>
      </c>
      <c r="C338" s="153" t="s">
        <v>2824</v>
      </c>
      <c r="D338" s="153">
        <v>3</v>
      </c>
      <c r="E338" s="153">
        <v>3</v>
      </c>
      <c r="F338" s="153">
        <f t="shared" si="10"/>
        <v>0</v>
      </c>
      <c r="G338" s="153" t="str">
        <f t="shared" si="11"/>
        <v>OK</v>
      </c>
      <c r="H338" s="153" t="b">
        <v>1</v>
      </c>
    </row>
    <row r="339" spans="1:8" x14ac:dyDescent="0.3">
      <c r="A339" s="153" t="s">
        <v>2825</v>
      </c>
      <c r="B339" s="153" t="s">
        <v>2762</v>
      </c>
      <c r="C339" s="153" t="s">
        <v>2826</v>
      </c>
      <c r="D339" s="153">
        <v>0</v>
      </c>
      <c r="E339" s="153">
        <v>0</v>
      </c>
      <c r="F339" s="153">
        <f t="shared" si="10"/>
        <v>0</v>
      </c>
      <c r="G339" s="153" t="str">
        <f t="shared" si="11"/>
        <v>OK</v>
      </c>
      <c r="H339" s="153" t="b">
        <v>1</v>
      </c>
    </row>
    <row r="340" spans="1:8" x14ac:dyDescent="0.3">
      <c r="A340" s="153" t="s">
        <v>2827</v>
      </c>
      <c r="B340" s="153" t="s">
        <v>2762</v>
      </c>
      <c r="C340" s="153" t="s">
        <v>2828</v>
      </c>
      <c r="D340" s="153">
        <v>0</v>
      </c>
      <c r="E340" s="153">
        <v>0</v>
      </c>
      <c r="F340" s="153">
        <f t="shared" si="10"/>
        <v>0</v>
      </c>
      <c r="G340" s="153" t="str">
        <f t="shared" si="11"/>
        <v>OK</v>
      </c>
      <c r="H340" s="153" t="b">
        <v>1</v>
      </c>
    </row>
    <row r="341" spans="1:8" x14ac:dyDescent="0.3">
      <c r="A341" s="153" t="s">
        <v>2829</v>
      </c>
      <c r="B341" s="153" t="s">
        <v>2762</v>
      </c>
      <c r="C341" s="153" t="s">
        <v>2830</v>
      </c>
      <c r="D341" s="153">
        <v>429.2</v>
      </c>
      <c r="E341" s="153">
        <v>429.2</v>
      </c>
      <c r="F341" s="153">
        <f t="shared" si="10"/>
        <v>0</v>
      </c>
      <c r="G341" s="153" t="str">
        <f t="shared" si="11"/>
        <v>OK</v>
      </c>
      <c r="H341" s="153" t="b">
        <v>1</v>
      </c>
    </row>
    <row r="342" spans="1:8" x14ac:dyDescent="0.3">
      <c r="A342" s="153" t="s">
        <v>2831</v>
      </c>
      <c r="B342" s="153" t="s">
        <v>2762</v>
      </c>
      <c r="C342" s="153" t="s">
        <v>2832</v>
      </c>
      <c r="D342" s="153">
        <v>0</v>
      </c>
      <c r="E342" s="153">
        <v>0</v>
      </c>
      <c r="F342" s="153">
        <f t="shared" si="10"/>
        <v>0</v>
      </c>
      <c r="G342" s="153" t="str">
        <f t="shared" si="11"/>
        <v>OK</v>
      </c>
      <c r="H342" s="153" t="b">
        <v>1</v>
      </c>
    </row>
    <row r="343" spans="1:8" x14ac:dyDescent="0.3">
      <c r="A343" s="153" t="s">
        <v>2833</v>
      </c>
      <c r="B343" s="153" t="s">
        <v>2762</v>
      </c>
      <c r="C343" s="153" t="s">
        <v>2834</v>
      </c>
      <c r="D343" s="153">
        <v>1756</v>
      </c>
      <c r="E343" s="153">
        <v>1756</v>
      </c>
      <c r="F343" s="153">
        <f t="shared" si="10"/>
        <v>0</v>
      </c>
      <c r="G343" s="153" t="str">
        <f t="shared" si="11"/>
        <v>OK</v>
      </c>
      <c r="H343" s="153" t="b">
        <v>1</v>
      </c>
    </row>
    <row r="344" spans="1:8" x14ac:dyDescent="0.3">
      <c r="A344" s="153" t="s">
        <v>2835</v>
      </c>
      <c r="B344" s="153" t="s">
        <v>2762</v>
      </c>
      <c r="C344" s="153" t="s">
        <v>2836</v>
      </c>
      <c r="D344" s="153">
        <v>0</v>
      </c>
      <c r="E344" s="153">
        <v>0</v>
      </c>
      <c r="F344" s="153">
        <f t="shared" si="10"/>
        <v>0</v>
      </c>
      <c r="G344" s="153" t="str">
        <f t="shared" si="11"/>
        <v>OK</v>
      </c>
      <c r="H344" s="153" t="b">
        <v>1</v>
      </c>
    </row>
    <row r="345" spans="1:8" x14ac:dyDescent="0.3">
      <c r="A345" s="153" t="s">
        <v>2837</v>
      </c>
      <c r="B345" s="153" t="s">
        <v>2762</v>
      </c>
      <c r="C345" s="153" t="s">
        <v>2838</v>
      </c>
      <c r="D345" s="153">
        <v>0</v>
      </c>
      <c r="E345" s="153">
        <v>0</v>
      </c>
      <c r="F345" s="153">
        <f t="shared" si="10"/>
        <v>0</v>
      </c>
      <c r="G345" s="153" t="str">
        <f t="shared" si="11"/>
        <v>OK</v>
      </c>
      <c r="H345" s="153" t="b">
        <v>1</v>
      </c>
    </row>
    <row r="346" spans="1:8" x14ac:dyDescent="0.3">
      <c r="A346" s="153" t="s">
        <v>2839</v>
      </c>
      <c r="B346" s="153" t="s">
        <v>2762</v>
      </c>
      <c r="C346" s="153" t="s">
        <v>2840</v>
      </c>
      <c r="D346" s="153">
        <v>8828</v>
      </c>
      <c r="E346" s="153">
        <v>8828</v>
      </c>
      <c r="F346" s="153">
        <f t="shared" si="10"/>
        <v>0</v>
      </c>
      <c r="G346" s="153" t="str">
        <f t="shared" si="11"/>
        <v>OK</v>
      </c>
      <c r="H346" s="153" t="b">
        <v>1</v>
      </c>
    </row>
    <row r="347" spans="1:8" x14ac:dyDescent="0.3">
      <c r="A347" s="153" t="s">
        <v>2841</v>
      </c>
      <c r="B347" s="153" t="s">
        <v>2762</v>
      </c>
      <c r="C347" s="153" t="s">
        <v>2842</v>
      </c>
      <c r="D347" s="153" t="b">
        <v>0</v>
      </c>
      <c r="E347" s="153" t="b">
        <v>0</v>
      </c>
      <c r="F347" s="153">
        <f t="shared" si="10"/>
        <v>0</v>
      </c>
      <c r="G347" s="153" t="str">
        <f t="shared" si="11"/>
        <v>OK</v>
      </c>
      <c r="H347" s="153" t="b">
        <v>1</v>
      </c>
    </row>
    <row r="348" spans="1:8" x14ac:dyDescent="0.3">
      <c r="A348" s="153" t="s">
        <v>2843</v>
      </c>
      <c r="B348" s="153" t="s">
        <v>2762</v>
      </c>
      <c r="C348" s="153" t="s">
        <v>2844</v>
      </c>
      <c r="D348" s="153" t="b">
        <v>1</v>
      </c>
      <c r="E348" s="153" t="b">
        <v>1</v>
      </c>
      <c r="F348" s="153">
        <f t="shared" si="10"/>
        <v>0</v>
      </c>
      <c r="G348" s="153" t="str">
        <f t="shared" si="11"/>
        <v>OK</v>
      </c>
      <c r="H348" s="153" t="b">
        <v>1</v>
      </c>
    </row>
    <row r="349" spans="1:8" x14ac:dyDescent="0.3">
      <c r="A349" s="153" t="s">
        <v>2845</v>
      </c>
      <c r="B349" s="153" t="s">
        <v>2762</v>
      </c>
      <c r="C349" s="153" t="s">
        <v>2846</v>
      </c>
      <c r="D349" s="153" t="b">
        <v>0</v>
      </c>
      <c r="E349" s="153" t="b">
        <v>0</v>
      </c>
      <c r="F349" s="153">
        <f t="shared" si="10"/>
        <v>0</v>
      </c>
      <c r="G349" s="153" t="str">
        <f t="shared" si="11"/>
        <v>OK</v>
      </c>
      <c r="H349" s="153" t="b">
        <v>1</v>
      </c>
    </row>
    <row r="350" spans="1:8" x14ac:dyDescent="0.3">
      <c r="A350" s="153" t="s">
        <v>2847</v>
      </c>
      <c r="B350" s="153" t="s">
        <v>2762</v>
      </c>
      <c r="C350" s="153" t="s">
        <v>2848</v>
      </c>
      <c r="D350" s="153" t="b">
        <v>0</v>
      </c>
      <c r="E350" s="153" t="b">
        <v>0</v>
      </c>
      <c r="F350" s="153">
        <f t="shared" si="10"/>
        <v>0</v>
      </c>
      <c r="G350" s="153" t="str">
        <f t="shared" si="11"/>
        <v>OK</v>
      </c>
      <c r="H350" s="153" t="b">
        <v>1</v>
      </c>
    </row>
    <row r="351" spans="1:8" x14ac:dyDescent="0.3">
      <c r="A351" s="153" t="s">
        <v>2849</v>
      </c>
      <c r="B351" s="153" t="s">
        <v>2762</v>
      </c>
      <c r="C351" s="153" t="s">
        <v>2850</v>
      </c>
      <c r="D351" s="153" t="b">
        <v>1</v>
      </c>
      <c r="E351" s="153" t="b">
        <v>1</v>
      </c>
      <c r="F351" s="153">
        <f t="shared" si="10"/>
        <v>0</v>
      </c>
      <c r="G351" s="153" t="str">
        <f t="shared" si="11"/>
        <v>OK</v>
      </c>
      <c r="H351" s="153" t="b">
        <v>1</v>
      </c>
    </row>
    <row r="352" spans="1:8" x14ac:dyDescent="0.3">
      <c r="A352" s="153" t="s">
        <v>2851</v>
      </c>
      <c r="B352" s="153" t="s">
        <v>2762</v>
      </c>
      <c r="C352" s="153" t="s">
        <v>2852</v>
      </c>
      <c r="D352" s="153" t="b">
        <v>1</v>
      </c>
      <c r="E352" s="153" t="b">
        <v>1</v>
      </c>
      <c r="F352" s="153">
        <f t="shared" si="10"/>
        <v>0</v>
      </c>
      <c r="G352" s="153" t="str">
        <f t="shared" si="11"/>
        <v>OK</v>
      </c>
      <c r="H352" s="153" t="b">
        <v>1</v>
      </c>
    </row>
    <row r="353" spans="1:8" x14ac:dyDescent="0.3">
      <c r="A353" s="153" t="s">
        <v>2853</v>
      </c>
      <c r="B353" s="153" t="s">
        <v>2762</v>
      </c>
      <c r="C353" s="153" t="s">
        <v>2854</v>
      </c>
      <c r="D353" s="153" t="b">
        <v>1</v>
      </c>
      <c r="E353" s="153" t="b">
        <v>1</v>
      </c>
      <c r="F353" s="153">
        <f t="shared" si="10"/>
        <v>0</v>
      </c>
      <c r="G353" s="153" t="str">
        <f t="shared" si="11"/>
        <v>OK</v>
      </c>
      <c r="H353" s="153" t="b">
        <v>1</v>
      </c>
    </row>
    <row r="354" spans="1:8" x14ac:dyDescent="0.3">
      <c r="A354" s="153" t="s">
        <v>2855</v>
      </c>
      <c r="B354" s="153" t="s">
        <v>2762</v>
      </c>
      <c r="C354" s="153" t="s">
        <v>2856</v>
      </c>
      <c r="D354" s="153" t="b">
        <v>0</v>
      </c>
      <c r="E354" s="153" t="b">
        <v>0</v>
      </c>
      <c r="F354" s="153">
        <f t="shared" si="10"/>
        <v>0</v>
      </c>
      <c r="G354" s="153" t="str">
        <f t="shared" si="11"/>
        <v>OK</v>
      </c>
      <c r="H354" s="153" t="b">
        <v>1</v>
      </c>
    </row>
    <row r="355" spans="1:8" x14ac:dyDescent="0.3">
      <c r="A355" s="153" t="s">
        <v>2857</v>
      </c>
      <c r="B355" s="153" t="s">
        <v>2762</v>
      </c>
      <c r="C355" s="153" t="s">
        <v>2858</v>
      </c>
      <c r="D355" s="153">
        <v>0</v>
      </c>
      <c r="E355" s="153">
        <v>0</v>
      </c>
      <c r="F355" s="153">
        <f t="shared" si="10"/>
        <v>0</v>
      </c>
      <c r="G355" s="153" t="str">
        <f t="shared" si="11"/>
        <v>OK</v>
      </c>
      <c r="H355" s="153" t="b">
        <v>1</v>
      </c>
    </row>
    <row r="356" spans="1:8" x14ac:dyDescent="0.3">
      <c r="A356" s="153" t="s">
        <v>2859</v>
      </c>
      <c r="B356" s="153" t="s">
        <v>2762</v>
      </c>
      <c r="C356" s="153" t="s">
        <v>2860</v>
      </c>
      <c r="D356" s="153">
        <v>23</v>
      </c>
      <c r="E356" s="153">
        <v>23</v>
      </c>
      <c r="F356" s="153">
        <f t="shared" si="10"/>
        <v>0</v>
      </c>
      <c r="G356" s="153" t="str">
        <f t="shared" si="11"/>
        <v>OK</v>
      </c>
      <c r="H356" s="153" t="b">
        <v>1</v>
      </c>
    </row>
    <row r="357" spans="1:8" x14ac:dyDescent="0.3">
      <c r="A357" s="153" t="s">
        <v>2861</v>
      </c>
      <c r="B357" s="153" t="s">
        <v>2762</v>
      </c>
      <c r="C357" s="153" t="s">
        <v>2862</v>
      </c>
      <c r="D357" s="153">
        <v>0</v>
      </c>
      <c r="E357" s="153">
        <v>0</v>
      </c>
      <c r="F357" s="153">
        <f t="shared" si="10"/>
        <v>0</v>
      </c>
      <c r="G357" s="153" t="str">
        <f t="shared" si="11"/>
        <v>OK</v>
      </c>
      <c r="H357" s="153" t="b">
        <v>1</v>
      </c>
    </row>
    <row r="358" spans="1:8" x14ac:dyDescent="0.3">
      <c r="A358" s="153" t="s">
        <v>2863</v>
      </c>
      <c r="B358" s="153" t="s">
        <v>2762</v>
      </c>
      <c r="C358" s="153" t="s">
        <v>2864</v>
      </c>
      <c r="D358" s="153">
        <v>3</v>
      </c>
      <c r="E358" s="153">
        <v>3</v>
      </c>
      <c r="F358" s="153">
        <f t="shared" si="10"/>
        <v>0</v>
      </c>
      <c r="G358" s="153" t="str">
        <f t="shared" si="11"/>
        <v>OK</v>
      </c>
      <c r="H358" s="153" t="b">
        <v>1</v>
      </c>
    </row>
    <row r="359" spans="1:8" x14ac:dyDescent="0.3">
      <c r="A359" s="153" t="s">
        <v>2865</v>
      </c>
      <c r="B359" s="153" t="s">
        <v>2762</v>
      </c>
      <c r="C359" s="153" t="s">
        <v>2866</v>
      </c>
      <c r="D359" s="153">
        <v>4</v>
      </c>
      <c r="E359" s="153">
        <v>4</v>
      </c>
      <c r="F359" s="153">
        <f t="shared" si="10"/>
        <v>0</v>
      </c>
      <c r="G359" s="153" t="str">
        <f t="shared" si="11"/>
        <v>OK</v>
      </c>
      <c r="H359" s="153" t="b">
        <v>1</v>
      </c>
    </row>
    <row r="360" spans="1:8" x14ac:dyDescent="0.3">
      <c r="A360" s="153" t="s">
        <v>2867</v>
      </c>
      <c r="B360" s="153" t="s">
        <v>2762</v>
      </c>
      <c r="C360" s="153" t="s">
        <v>2868</v>
      </c>
      <c r="D360" s="153">
        <v>17</v>
      </c>
      <c r="E360" s="153">
        <v>17</v>
      </c>
      <c r="F360" s="153">
        <f t="shared" si="10"/>
        <v>0</v>
      </c>
      <c r="G360" s="153" t="str">
        <f t="shared" si="11"/>
        <v>OK</v>
      </c>
      <c r="H360" s="153" t="b">
        <v>1</v>
      </c>
    </row>
    <row r="361" spans="1:8" x14ac:dyDescent="0.3">
      <c r="A361" s="153" t="s">
        <v>2869</v>
      </c>
      <c r="B361" s="153" t="s">
        <v>2762</v>
      </c>
      <c r="C361" s="153" t="s">
        <v>2870</v>
      </c>
      <c r="D361" s="153">
        <v>9</v>
      </c>
      <c r="E361" s="153">
        <v>9</v>
      </c>
      <c r="F361" s="153">
        <f t="shared" si="10"/>
        <v>0</v>
      </c>
      <c r="G361" s="153" t="str">
        <f t="shared" si="11"/>
        <v>OK</v>
      </c>
      <c r="H361" s="153" t="b">
        <v>1</v>
      </c>
    </row>
    <row r="362" spans="1:8" x14ac:dyDescent="0.3">
      <c r="A362" s="153" t="s">
        <v>2871</v>
      </c>
      <c r="B362" s="153" t="s">
        <v>2762</v>
      </c>
      <c r="C362" s="153" t="s">
        <v>2872</v>
      </c>
      <c r="D362" s="153">
        <v>-3</v>
      </c>
      <c r="E362" s="153">
        <v>-3</v>
      </c>
      <c r="F362" s="153">
        <f t="shared" si="10"/>
        <v>0</v>
      </c>
      <c r="G362" s="153" t="str">
        <f t="shared" si="11"/>
        <v>OK</v>
      </c>
      <c r="H362" s="153" t="b">
        <v>1</v>
      </c>
    </row>
    <row r="363" spans="1:8" x14ac:dyDescent="0.3">
      <c r="A363" s="153" t="s">
        <v>2873</v>
      </c>
      <c r="B363" s="153" t="s">
        <v>2762</v>
      </c>
      <c r="C363" s="153" t="s">
        <v>2874</v>
      </c>
      <c r="D363" s="153">
        <v>5</v>
      </c>
      <c r="E363" s="153">
        <v>5</v>
      </c>
      <c r="F363" s="153">
        <f t="shared" si="10"/>
        <v>0</v>
      </c>
      <c r="G363" s="153" t="str">
        <f t="shared" si="11"/>
        <v>OK</v>
      </c>
      <c r="H363" s="153" t="b">
        <v>1</v>
      </c>
    </row>
    <row r="364" spans="1:8" x14ac:dyDescent="0.3">
      <c r="A364" s="153" t="s">
        <v>2875</v>
      </c>
      <c r="B364" s="153" t="s">
        <v>2762</v>
      </c>
      <c r="C364" s="153" t="s">
        <v>2876</v>
      </c>
      <c r="D364" s="153">
        <v>129.6</v>
      </c>
      <c r="E364" s="153">
        <v>129.6</v>
      </c>
      <c r="F364" s="153">
        <f t="shared" si="10"/>
        <v>0</v>
      </c>
      <c r="G364" s="153" t="str">
        <f t="shared" si="11"/>
        <v>OK</v>
      </c>
      <c r="H364" s="153" t="b">
        <v>1</v>
      </c>
    </row>
    <row r="365" spans="1:8" x14ac:dyDescent="0.3">
      <c r="A365" s="153" t="s">
        <v>2877</v>
      </c>
      <c r="B365" s="153" t="s">
        <v>2762</v>
      </c>
      <c r="C365" s="153" t="s">
        <v>2878</v>
      </c>
      <c r="D365" s="153">
        <v>0.94000000000000006</v>
      </c>
      <c r="E365" s="153">
        <v>0.94000000000000006</v>
      </c>
      <c r="F365" s="153">
        <f t="shared" si="10"/>
        <v>0</v>
      </c>
      <c r="G365" s="153" t="str">
        <f t="shared" si="11"/>
        <v>OK</v>
      </c>
      <c r="H365" s="153" t="b">
        <v>1</v>
      </c>
    </row>
    <row r="366" spans="1:8" x14ac:dyDescent="0.3">
      <c r="A366" s="153" t="s">
        <v>2879</v>
      </c>
      <c r="B366" s="153" t="s">
        <v>2762</v>
      </c>
      <c r="C366" s="153" t="s">
        <v>2880</v>
      </c>
      <c r="D366" s="153">
        <v>122</v>
      </c>
      <c r="E366" s="153">
        <v>122</v>
      </c>
      <c r="F366" s="153">
        <f t="shared" si="10"/>
        <v>0</v>
      </c>
      <c r="G366" s="153" t="str">
        <f t="shared" si="11"/>
        <v>OK</v>
      </c>
      <c r="H366" s="153" t="b">
        <v>1</v>
      </c>
    </row>
    <row r="367" spans="1:8" x14ac:dyDescent="0.3">
      <c r="A367" s="153" t="s">
        <v>2881</v>
      </c>
      <c r="B367" s="153" t="s">
        <v>2762</v>
      </c>
      <c r="C367" s="153" t="s">
        <v>2882</v>
      </c>
      <c r="D367" s="153">
        <v>122</v>
      </c>
      <c r="E367" s="153">
        <v>122</v>
      </c>
      <c r="F367" s="153">
        <f t="shared" si="10"/>
        <v>0</v>
      </c>
      <c r="G367" s="153" t="str">
        <f t="shared" si="11"/>
        <v>OK</v>
      </c>
      <c r="H367" s="153" t="b">
        <v>1</v>
      </c>
    </row>
    <row r="368" spans="1:8" x14ac:dyDescent="0.3">
      <c r="A368" s="153" t="s">
        <v>2883</v>
      </c>
      <c r="B368" s="153" t="s">
        <v>2762</v>
      </c>
      <c r="C368" s="153" t="s">
        <v>2884</v>
      </c>
      <c r="D368" s="153">
        <v>36.6</v>
      </c>
      <c r="E368" s="153">
        <v>36.6</v>
      </c>
      <c r="F368" s="153">
        <f t="shared" si="10"/>
        <v>0</v>
      </c>
      <c r="G368" s="153" t="str">
        <f t="shared" si="11"/>
        <v>OK</v>
      </c>
      <c r="H368" s="153" t="b">
        <v>1</v>
      </c>
    </row>
    <row r="369" spans="1:8" x14ac:dyDescent="0.3">
      <c r="A369" s="153" t="s">
        <v>2885</v>
      </c>
      <c r="B369" s="153" t="s">
        <v>2762</v>
      </c>
      <c r="C369" s="153" t="s">
        <v>2886</v>
      </c>
      <c r="D369" s="153">
        <v>122</v>
      </c>
      <c r="E369" s="153">
        <v>122</v>
      </c>
      <c r="F369" s="153">
        <f t="shared" si="10"/>
        <v>0</v>
      </c>
      <c r="G369" s="153" t="str">
        <f t="shared" si="11"/>
        <v>OK</v>
      </c>
      <c r="H369" s="153" t="b">
        <v>1</v>
      </c>
    </row>
    <row r="370" spans="1:8" x14ac:dyDescent="0.3">
      <c r="A370" s="153" t="s">
        <v>2887</v>
      </c>
      <c r="B370" s="153" t="s">
        <v>2762</v>
      </c>
      <c r="C370" s="153" t="s">
        <v>2888</v>
      </c>
      <c r="D370" s="153">
        <v>732</v>
      </c>
      <c r="E370" s="153">
        <v>732</v>
      </c>
      <c r="F370" s="153">
        <f t="shared" si="10"/>
        <v>0</v>
      </c>
      <c r="G370" s="153" t="str">
        <f t="shared" si="11"/>
        <v>OK</v>
      </c>
      <c r="H370" s="153" t="b">
        <v>1</v>
      </c>
    </row>
    <row r="371" spans="1:8" x14ac:dyDescent="0.3">
      <c r="A371" s="153" t="s">
        <v>2889</v>
      </c>
      <c r="B371" s="153" t="s">
        <v>2762</v>
      </c>
      <c r="C371" s="153" t="s">
        <v>2890</v>
      </c>
      <c r="D371" s="153">
        <v>11106.32</v>
      </c>
      <c r="E371" s="153">
        <v>11106.32</v>
      </c>
      <c r="F371" s="153">
        <f t="shared" si="10"/>
        <v>0</v>
      </c>
      <c r="G371" s="153" t="str">
        <f t="shared" si="11"/>
        <v>OK</v>
      </c>
      <c r="H371" s="153" t="b">
        <v>1</v>
      </c>
    </row>
    <row r="372" spans="1:8" x14ac:dyDescent="0.3">
      <c r="A372" s="153" t="s">
        <v>2891</v>
      </c>
      <c r="B372" s="153" t="s">
        <v>2762</v>
      </c>
      <c r="C372" s="153" t="s">
        <v>2892</v>
      </c>
      <c r="D372" s="153">
        <v>2558.5108</v>
      </c>
      <c r="E372" s="153">
        <v>2558.5108</v>
      </c>
      <c r="F372" s="153">
        <f t="shared" si="10"/>
        <v>0</v>
      </c>
      <c r="G372" s="153" t="str">
        <f t="shared" si="11"/>
        <v>OK</v>
      </c>
      <c r="H372" s="153" t="b">
        <v>1</v>
      </c>
    </row>
    <row r="373" spans="1:8" x14ac:dyDescent="0.3">
      <c r="A373" s="153" t="s">
        <v>2893</v>
      </c>
      <c r="B373" s="153" t="s">
        <v>2762</v>
      </c>
      <c r="C373" s="153" t="s">
        <v>2894</v>
      </c>
      <c r="D373" s="153">
        <v>31.25</v>
      </c>
      <c r="E373" s="153">
        <v>31.25</v>
      </c>
      <c r="F373" s="153">
        <f t="shared" si="10"/>
        <v>0</v>
      </c>
      <c r="G373" s="153" t="str">
        <f t="shared" si="11"/>
        <v>OK</v>
      </c>
      <c r="H373" s="153" t="b">
        <v>1</v>
      </c>
    </row>
    <row r="374" spans="1:8" x14ac:dyDescent="0.3">
      <c r="A374" s="153" t="s">
        <v>2895</v>
      </c>
      <c r="B374" s="153" t="s">
        <v>2762</v>
      </c>
      <c r="C374" s="153" t="s">
        <v>2896</v>
      </c>
      <c r="D374" s="153">
        <v>64.125</v>
      </c>
      <c r="E374" s="153">
        <v>64.125</v>
      </c>
      <c r="F374" s="153">
        <f t="shared" si="10"/>
        <v>0</v>
      </c>
      <c r="G374" s="153" t="str">
        <f t="shared" si="11"/>
        <v>OK</v>
      </c>
      <c r="H374" s="153" t="b">
        <v>1</v>
      </c>
    </row>
    <row r="375" spans="1:8" x14ac:dyDescent="0.3">
      <c r="A375" s="153" t="s">
        <v>2897</v>
      </c>
      <c r="B375" s="153" t="s">
        <v>2762</v>
      </c>
      <c r="C375" s="153" t="s">
        <v>2898</v>
      </c>
      <c r="D375" s="153">
        <v>0</v>
      </c>
      <c r="E375" s="153">
        <v>0</v>
      </c>
      <c r="F375" s="153">
        <f t="shared" si="10"/>
        <v>0</v>
      </c>
      <c r="G375" s="153" t="str">
        <f t="shared" si="11"/>
        <v>OK</v>
      </c>
      <c r="H375" s="153" t="b">
        <v>1</v>
      </c>
    </row>
    <row r="376" spans="1:8" x14ac:dyDescent="0.3">
      <c r="A376" s="153" t="s">
        <v>2899</v>
      </c>
      <c r="B376" s="153" t="s">
        <v>2762</v>
      </c>
      <c r="C376" s="153" t="s">
        <v>2900</v>
      </c>
      <c r="D376" s="153">
        <v>0</v>
      </c>
      <c r="E376" s="153">
        <v>0</v>
      </c>
      <c r="F376" s="153">
        <f t="shared" si="10"/>
        <v>0</v>
      </c>
      <c r="G376" s="153" t="str">
        <f t="shared" si="11"/>
        <v>OK</v>
      </c>
      <c r="H376" s="153" t="b">
        <v>1</v>
      </c>
    </row>
    <row r="377" spans="1:8" x14ac:dyDescent="0.3">
      <c r="A377" s="153" t="s">
        <v>2901</v>
      </c>
      <c r="B377" s="153" t="s">
        <v>2762</v>
      </c>
      <c r="C377" s="153" t="s">
        <v>2902</v>
      </c>
      <c r="D377" s="153">
        <v>2</v>
      </c>
      <c r="E377" s="153">
        <v>2</v>
      </c>
      <c r="F377" s="153">
        <f t="shared" si="10"/>
        <v>0</v>
      </c>
      <c r="G377" s="153" t="str">
        <f t="shared" si="11"/>
        <v>OK</v>
      </c>
      <c r="H377" s="153" t="b">
        <v>1</v>
      </c>
    </row>
    <row r="378" spans="1:8" x14ac:dyDescent="0.3">
      <c r="A378" s="153" t="s">
        <v>2903</v>
      </c>
      <c r="B378" s="153" t="s">
        <v>2762</v>
      </c>
      <c r="C378" s="153" t="s">
        <v>2904</v>
      </c>
      <c r="D378" s="153">
        <v>2</v>
      </c>
      <c r="E378" s="153">
        <v>2</v>
      </c>
      <c r="F378" s="153">
        <f t="shared" si="10"/>
        <v>0</v>
      </c>
      <c r="G378" s="153" t="str">
        <f t="shared" si="11"/>
        <v>OK</v>
      </c>
      <c r="H378" s="153" t="b">
        <v>1</v>
      </c>
    </row>
    <row r="379" spans="1:8" x14ac:dyDescent="0.3">
      <c r="A379" s="153" t="s">
        <v>2905</v>
      </c>
      <c r="B379" s="153" t="s">
        <v>2762</v>
      </c>
      <c r="C379" s="153" t="s">
        <v>2906</v>
      </c>
      <c r="D379" s="153">
        <v>2</v>
      </c>
      <c r="E379" s="153">
        <v>2</v>
      </c>
      <c r="F379" s="153">
        <f t="shared" si="10"/>
        <v>0</v>
      </c>
      <c r="G379" s="153" t="str">
        <f t="shared" si="11"/>
        <v>OK</v>
      </c>
      <c r="H379" s="153" t="b">
        <v>1</v>
      </c>
    </row>
    <row r="380" spans="1:8" x14ac:dyDescent="0.3">
      <c r="A380" s="153" t="s">
        <v>2907</v>
      </c>
      <c r="B380" s="153" t="s">
        <v>2762</v>
      </c>
      <c r="C380" s="153" t="s">
        <v>2908</v>
      </c>
      <c r="D380" s="153">
        <v>90</v>
      </c>
      <c r="E380" s="153">
        <v>90</v>
      </c>
      <c r="F380" s="153">
        <f t="shared" si="10"/>
        <v>0</v>
      </c>
      <c r="G380" s="153" t="str">
        <f t="shared" si="11"/>
        <v>OK</v>
      </c>
      <c r="H380" s="153" t="b">
        <v>1</v>
      </c>
    </row>
    <row r="381" spans="1:8" x14ac:dyDescent="0.3">
      <c r="A381" s="153" t="s">
        <v>2909</v>
      </c>
      <c r="B381" s="153" t="s">
        <v>2762</v>
      </c>
      <c r="C381" s="153" t="s">
        <v>2910</v>
      </c>
      <c r="D381" s="153">
        <v>240</v>
      </c>
      <c r="E381" s="153">
        <v>240</v>
      </c>
      <c r="F381" s="153">
        <f t="shared" si="10"/>
        <v>0</v>
      </c>
      <c r="G381" s="153" t="str">
        <f t="shared" si="11"/>
        <v>OK</v>
      </c>
      <c r="H381" s="153" t="b">
        <v>1</v>
      </c>
    </row>
    <row r="382" spans="1:8" x14ac:dyDescent="0.3">
      <c r="A382" s="153" t="s">
        <v>2911</v>
      </c>
      <c r="B382" s="153" t="s">
        <v>2762</v>
      </c>
      <c r="C382" s="153" t="s">
        <v>2912</v>
      </c>
      <c r="D382" s="153">
        <v>480</v>
      </c>
      <c r="E382" s="153">
        <v>480</v>
      </c>
      <c r="F382" s="153">
        <f t="shared" si="10"/>
        <v>0</v>
      </c>
      <c r="G382" s="153" t="str">
        <f t="shared" si="11"/>
        <v>OK</v>
      </c>
      <c r="H382" s="153" t="b">
        <v>1</v>
      </c>
    </row>
    <row r="383" spans="1:8" x14ac:dyDescent="0.3">
      <c r="A383" s="153" t="s">
        <v>2913</v>
      </c>
      <c r="B383" s="153" t="s">
        <v>2762</v>
      </c>
      <c r="C383" s="153" t="s">
        <v>2914</v>
      </c>
      <c r="D383" s="153">
        <v>1775.190491803279</v>
      </c>
      <c r="E383" s="153">
        <v>1775.190491803279</v>
      </c>
      <c r="F383" s="153">
        <f t="shared" si="10"/>
        <v>0</v>
      </c>
      <c r="G383" s="153" t="str">
        <f t="shared" si="11"/>
        <v>OK</v>
      </c>
      <c r="H383" s="153" t="b">
        <v>1</v>
      </c>
    </row>
    <row r="384" spans="1:8" x14ac:dyDescent="0.3">
      <c r="A384" s="153" t="s">
        <v>2915</v>
      </c>
      <c r="B384" s="153" t="s">
        <v>2762</v>
      </c>
      <c r="C384" s="153" t="s">
        <v>2916</v>
      </c>
      <c r="D384" s="153">
        <v>10</v>
      </c>
      <c r="E384" s="153">
        <v>10</v>
      </c>
      <c r="F384" s="153">
        <f t="shared" si="10"/>
        <v>0</v>
      </c>
      <c r="G384" s="153" t="str">
        <f t="shared" si="11"/>
        <v>OK</v>
      </c>
      <c r="H384" s="153" t="b">
        <v>1</v>
      </c>
    </row>
    <row r="385" spans="1:8" x14ac:dyDescent="0.3">
      <c r="A385" s="153" t="s">
        <v>2917</v>
      </c>
      <c r="B385" s="153" t="s">
        <v>2762</v>
      </c>
      <c r="C385" s="153" t="s">
        <v>2918</v>
      </c>
      <c r="D385" s="153">
        <v>13500</v>
      </c>
      <c r="E385" s="153">
        <v>13500</v>
      </c>
      <c r="F385" s="153">
        <f t="shared" si="10"/>
        <v>0</v>
      </c>
      <c r="G385" s="153" t="str">
        <f t="shared" si="11"/>
        <v>OK</v>
      </c>
      <c r="H385" s="153" t="b">
        <v>1</v>
      </c>
    </row>
    <row r="386" spans="1:8" x14ac:dyDescent="0.3">
      <c r="A386" s="153" t="s">
        <v>2919</v>
      </c>
      <c r="B386" s="153" t="s">
        <v>2762</v>
      </c>
      <c r="C386" s="153" t="s">
        <v>2920</v>
      </c>
      <c r="D386" s="153">
        <v>29525.396291803281</v>
      </c>
      <c r="E386" s="153">
        <v>29525.396291803281</v>
      </c>
      <c r="F386" s="153">
        <f t="shared" ref="F386:F449" si="12">IF(NOT(H386),"",IF(AND(ISNUMBER(D386),ISNUMBER(E386)),E386-D386,IF(D386=E386,0,1)))</f>
        <v>0</v>
      </c>
      <c r="G386" s="153" t="str">
        <f t="shared" ref="G386:G449" si="13">IF(NOT(H386),"PENDIENTE SIDE",IF(IF(AND(ISNUMBER(D386),ISNUMBER(E386)),IF(MOD(D386,1)=0,D386=E386,ABS(D386-E386)&lt;=0.000000001*MAX(1,ABS(D386),ABS(E386))),D386=E386),"OK","DIFERENCIA"))</f>
        <v>OK</v>
      </c>
      <c r="H386" s="153" t="b">
        <v>1</v>
      </c>
    </row>
    <row r="387" spans="1:8" x14ac:dyDescent="0.3">
      <c r="A387" s="153" t="s">
        <v>2921</v>
      </c>
      <c r="B387" s="153" t="s">
        <v>2762</v>
      </c>
      <c r="C387" s="153" t="s">
        <v>2922</v>
      </c>
      <c r="D387" s="153">
        <v>-29435.396291803281</v>
      </c>
      <c r="E387" s="153">
        <v>-29435.396291803281</v>
      </c>
      <c r="F387" s="153">
        <f t="shared" si="12"/>
        <v>0</v>
      </c>
      <c r="G387" s="153" t="str">
        <f t="shared" si="13"/>
        <v>OK</v>
      </c>
      <c r="H387" s="153" t="b">
        <v>1</v>
      </c>
    </row>
    <row r="388" spans="1:8" x14ac:dyDescent="0.3">
      <c r="A388" s="153" t="s">
        <v>2923</v>
      </c>
      <c r="B388" s="153" t="s">
        <v>2762</v>
      </c>
      <c r="C388" s="153" t="s">
        <v>2924</v>
      </c>
      <c r="D388" s="153">
        <v>0</v>
      </c>
      <c r="E388" s="153">
        <v>0</v>
      </c>
      <c r="F388" s="153">
        <f t="shared" si="12"/>
        <v>0</v>
      </c>
      <c r="G388" s="153" t="str">
        <f t="shared" si="13"/>
        <v>OK</v>
      </c>
      <c r="H388" s="153" t="b">
        <v>1</v>
      </c>
    </row>
    <row r="389" spans="1:8" x14ac:dyDescent="0.3">
      <c r="A389" s="153" t="s">
        <v>2925</v>
      </c>
      <c r="B389" s="153" t="s">
        <v>2762</v>
      </c>
      <c r="C389" s="153" t="s">
        <v>2926</v>
      </c>
      <c r="D389" s="153">
        <v>3</v>
      </c>
      <c r="E389" s="153">
        <v>3</v>
      </c>
      <c r="F389" s="153">
        <f t="shared" si="12"/>
        <v>0</v>
      </c>
      <c r="G389" s="153" t="str">
        <f t="shared" si="13"/>
        <v>OK</v>
      </c>
      <c r="H389" s="153" t="b">
        <v>1</v>
      </c>
    </row>
    <row r="390" spans="1:8" x14ac:dyDescent="0.3">
      <c r="A390" s="153" t="s">
        <v>2927</v>
      </c>
      <c r="B390" s="153" t="s">
        <v>2762</v>
      </c>
      <c r="C390" s="153" t="s">
        <v>2928</v>
      </c>
      <c r="D390" s="153">
        <v>526.79999999999995</v>
      </c>
      <c r="E390" s="153">
        <v>526.79999999999995</v>
      </c>
      <c r="F390" s="153">
        <f t="shared" si="12"/>
        <v>0</v>
      </c>
      <c r="G390" s="153" t="str">
        <f t="shared" si="13"/>
        <v>OK</v>
      </c>
      <c r="H390" s="153" t="b">
        <v>1</v>
      </c>
    </row>
    <row r="391" spans="1:8" x14ac:dyDescent="0.3">
      <c r="A391" s="153" t="s">
        <v>2929</v>
      </c>
      <c r="B391" s="153" t="s">
        <v>2762</v>
      </c>
      <c r="C391" s="153" t="s">
        <v>2930</v>
      </c>
      <c r="D391" s="153">
        <v>0</v>
      </c>
      <c r="E391" s="153">
        <v>0</v>
      </c>
      <c r="F391" s="153">
        <f t="shared" si="12"/>
        <v>0</v>
      </c>
      <c r="G391" s="153" t="str">
        <f t="shared" si="13"/>
        <v>OK</v>
      </c>
      <c r="H391" s="153" t="b">
        <v>1</v>
      </c>
    </row>
    <row r="392" spans="1:8" x14ac:dyDescent="0.3">
      <c r="A392" s="153" t="s">
        <v>2931</v>
      </c>
      <c r="B392" s="153" t="s">
        <v>2762</v>
      </c>
      <c r="C392" s="153" t="s">
        <v>2932</v>
      </c>
      <c r="D392" s="153">
        <v>0</v>
      </c>
      <c r="E392" s="153">
        <v>0</v>
      </c>
      <c r="F392" s="153">
        <f t="shared" si="12"/>
        <v>0</v>
      </c>
      <c r="G392" s="153" t="str">
        <f t="shared" si="13"/>
        <v>OK</v>
      </c>
      <c r="H392" s="153" t="b">
        <v>1</v>
      </c>
    </row>
    <row r="393" spans="1:8" x14ac:dyDescent="0.3">
      <c r="A393" s="153" t="s">
        <v>2933</v>
      </c>
      <c r="B393" s="153" t="s">
        <v>2762</v>
      </c>
      <c r="C393" s="153" t="s">
        <v>2934</v>
      </c>
      <c r="D393" s="153">
        <v>1756</v>
      </c>
      <c r="E393" s="153">
        <v>1756</v>
      </c>
      <c r="F393" s="153">
        <f t="shared" si="12"/>
        <v>0</v>
      </c>
      <c r="G393" s="153" t="str">
        <f t="shared" si="13"/>
        <v>OK</v>
      </c>
      <c r="H393" s="153" t="b">
        <v>1</v>
      </c>
    </row>
    <row r="394" spans="1:8" x14ac:dyDescent="0.3">
      <c r="A394" s="153" t="s">
        <v>2935</v>
      </c>
      <c r="B394" s="153" t="s">
        <v>2762</v>
      </c>
      <c r="C394" s="153" t="s">
        <v>2936</v>
      </c>
      <c r="D394" s="153">
        <v>0</v>
      </c>
      <c r="E394" s="153">
        <v>0</v>
      </c>
      <c r="F394" s="153">
        <f t="shared" si="12"/>
        <v>0</v>
      </c>
      <c r="G394" s="153" t="str">
        <f t="shared" si="13"/>
        <v>OK</v>
      </c>
      <c r="H394" s="153" t="b">
        <v>1</v>
      </c>
    </row>
    <row r="395" spans="1:8" x14ac:dyDescent="0.3">
      <c r="A395" s="153" t="s">
        <v>2937</v>
      </c>
      <c r="B395" s="153" t="s">
        <v>2762</v>
      </c>
      <c r="C395" s="153" t="s">
        <v>2938</v>
      </c>
      <c r="D395" s="153">
        <v>10536</v>
      </c>
      <c r="E395" s="153">
        <v>10536</v>
      </c>
      <c r="F395" s="153">
        <f t="shared" si="12"/>
        <v>0</v>
      </c>
      <c r="G395" s="153" t="str">
        <f t="shared" si="13"/>
        <v>OK</v>
      </c>
      <c r="H395" s="153" t="b">
        <v>1</v>
      </c>
    </row>
    <row r="396" spans="1:8" x14ac:dyDescent="0.3">
      <c r="A396" s="153" t="s">
        <v>2939</v>
      </c>
      <c r="B396" s="153" t="s">
        <v>2762</v>
      </c>
      <c r="C396" s="153" t="s">
        <v>2940</v>
      </c>
      <c r="D396" s="153">
        <v>0</v>
      </c>
      <c r="E396" s="153">
        <v>0</v>
      </c>
      <c r="F396" s="153">
        <f t="shared" si="12"/>
        <v>0</v>
      </c>
      <c r="G396" s="153" t="str">
        <f t="shared" si="13"/>
        <v>OK</v>
      </c>
      <c r="H396" s="153" t="b">
        <v>1</v>
      </c>
    </row>
    <row r="397" spans="1:8" x14ac:dyDescent="0.3">
      <c r="A397" s="153" t="s">
        <v>2941</v>
      </c>
      <c r="B397" s="153" t="s">
        <v>2762</v>
      </c>
      <c r="C397" s="153" t="s">
        <v>2942</v>
      </c>
      <c r="D397" s="153">
        <v>0</v>
      </c>
      <c r="E397" s="153">
        <v>0</v>
      </c>
      <c r="F397" s="153">
        <f t="shared" si="12"/>
        <v>0</v>
      </c>
      <c r="G397" s="153" t="str">
        <f t="shared" si="13"/>
        <v>OK</v>
      </c>
      <c r="H397" s="153" t="b">
        <v>1</v>
      </c>
    </row>
    <row r="398" spans="1:8" x14ac:dyDescent="0.3">
      <c r="A398" s="153" t="s">
        <v>2943</v>
      </c>
      <c r="B398" s="153" t="s">
        <v>2762</v>
      </c>
      <c r="C398" s="153" t="s">
        <v>2944</v>
      </c>
      <c r="D398" s="153" t="b">
        <v>0</v>
      </c>
      <c r="E398" s="153" t="b">
        <v>0</v>
      </c>
      <c r="F398" s="153">
        <f t="shared" si="12"/>
        <v>0</v>
      </c>
      <c r="G398" s="153" t="str">
        <f t="shared" si="13"/>
        <v>OK</v>
      </c>
      <c r="H398" s="153" t="b">
        <v>1</v>
      </c>
    </row>
    <row r="399" spans="1:8" x14ac:dyDescent="0.3">
      <c r="A399" s="153" t="s">
        <v>2945</v>
      </c>
      <c r="B399" s="153" t="s">
        <v>2762</v>
      </c>
      <c r="C399" s="153" t="s">
        <v>2946</v>
      </c>
      <c r="D399" s="153" t="b">
        <v>0</v>
      </c>
      <c r="E399" s="153" t="b">
        <v>0</v>
      </c>
      <c r="F399" s="153">
        <f t="shared" si="12"/>
        <v>0</v>
      </c>
      <c r="G399" s="153" t="str">
        <f t="shared" si="13"/>
        <v>OK</v>
      </c>
      <c r="H399" s="153" t="b">
        <v>1</v>
      </c>
    </row>
    <row r="400" spans="1:8" x14ac:dyDescent="0.3">
      <c r="A400" s="153" t="s">
        <v>2947</v>
      </c>
      <c r="B400" s="153" t="s">
        <v>2762</v>
      </c>
      <c r="C400" s="153" t="s">
        <v>2948</v>
      </c>
      <c r="D400" s="153" t="b">
        <v>0</v>
      </c>
      <c r="E400" s="153" t="b">
        <v>0</v>
      </c>
      <c r="F400" s="153">
        <f t="shared" si="12"/>
        <v>0</v>
      </c>
      <c r="G400" s="153" t="str">
        <f t="shared" si="13"/>
        <v>OK</v>
      </c>
      <c r="H400" s="153" t="b">
        <v>1</v>
      </c>
    </row>
    <row r="401" spans="1:8" x14ac:dyDescent="0.3">
      <c r="A401" s="153" t="s">
        <v>2949</v>
      </c>
      <c r="B401" s="153" t="s">
        <v>2762</v>
      </c>
      <c r="C401" s="153" t="s">
        <v>2950</v>
      </c>
      <c r="D401" s="153" t="b">
        <v>0</v>
      </c>
      <c r="E401" s="153" t="b">
        <v>0</v>
      </c>
      <c r="F401" s="153">
        <f t="shared" si="12"/>
        <v>0</v>
      </c>
      <c r="G401" s="153" t="str">
        <f t="shared" si="13"/>
        <v>OK</v>
      </c>
      <c r="H401" s="153" t="b">
        <v>1</v>
      </c>
    </row>
    <row r="402" spans="1:8" x14ac:dyDescent="0.3">
      <c r="A402" s="153" t="s">
        <v>2951</v>
      </c>
      <c r="B402" s="153" t="s">
        <v>2762</v>
      </c>
      <c r="C402" s="153" t="s">
        <v>2952</v>
      </c>
      <c r="D402" s="153" t="b">
        <v>1</v>
      </c>
      <c r="E402" s="153" t="b">
        <v>1</v>
      </c>
      <c r="F402" s="153">
        <f t="shared" si="12"/>
        <v>0</v>
      </c>
      <c r="G402" s="153" t="str">
        <f t="shared" si="13"/>
        <v>OK</v>
      </c>
      <c r="H402" s="153" t="b">
        <v>1</v>
      </c>
    </row>
    <row r="403" spans="1:8" x14ac:dyDescent="0.3">
      <c r="A403" s="153" t="s">
        <v>2953</v>
      </c>
      <c r="B403" s="153" t="s">
        <v>2762</v>
      </c>
      <c r="C403" s="153" t="s">
        <v>2954</v>
      </c>
      <c r="D403" s="153" t="b">
        <v>1</v>
      </c>
      <c r="E403" s="153" t="b">
        <v>1</v>
      </c>
      <c r="F403" s="153">
        <f t="shared" si="12"/>
        <v>0</v>
      </c>
      <c r="G403" s="153" t="str">
        <f t="shared" si="13"/>
        <v>OK</v>
      </c>
      <c r="H403" s="153" t="b">
        <v>1</v>
      </c>
    </row>
    <row r="404" spans="1:8" x14ac:dyDescent="0.3">
      <c r="A404" s="153" t="s">
        <v>2955</v>
      </c>
      <c r="B404" s="153" t="s">
        <v>2762</v>
      </c>
      <c r="C404" s="153" t="s">
        <v>2956</v>
      </c>
      <c r="D404" s="153" t="b">
        <v>1</v>
      </c>
      <c r="E404" s="153" t="b">
        <v>1</v>
      </c>
      <c r="F404" s="153">
        <f t="shared" si="12"/>
        <v>0</v>
      </c>
      <c r="G404" s="153" t="str">
        <f t="shared" si="13"/>
        <v>OK</v>
      </c>
      <c r="H404" s="153" t="b">
        <v>1</v>
      </c>
    </row>
    <row r="405" spans="1:8" x14ac:dyDescent="0.3">
      <c r="A405" s="153" t="s">
        <v>2957</v>
      </c>
      <c r="B405" s="153" t="s">
        <v>2762</v>
      </c>
      <c r="C405" s="153" t="s">
        <v>2958</v>
      </c>
      <c r="D405" s="153" t="b">
        <v>0</v>
      </c>
      <c r="E405" s="153" t="b">
        <v>0</v>
      </c>
      <c r="F405" s="153">
        <f t="shared" si="12"/>
        <v>0</v>
      </c>
      <c r="G405" s="153" t="str">
        <f t="shared" si="13"/>
        <v>OK</v>
      </c>
      <c r="H405" s="153" t="b">
        <v>1</v>
      </c>
    </row>
    <row r="406" spans="1:8" x14ac:dyDescent="0.3">
      <c r="A406" s="153" t="s">
        <v>2959</v>
      </c>
      <c r="B406" s="153" t="s">
        <v>2762</v>
      </c>
      <c r="C406" s="153" t="s">
        <v>2960</v>
      </c>
      <c r="D406" s="153">
        <v>0</v>
      </c>
      <c r="E406" s="153">
        <v>0</v>
      </c>
      <c r="F406" s="153">
        <f t="shared" si="12"/>
        <v>0</v>
      </c>
      <c r="G406" s="153" t="str">
        <f t="shared" si="13"/>
        <v>OK</v>
      </c>
      <c r="H406" s="153" t="b">
        <v>1</v>
      </c>
    </row>
    <row r="407" spans="1:8" x14ac:dyDescent="0.3">
      <c r="A407" s="153" t="s">
        <v>2961</v>
      </c>
      <c r="B407" s="153" t="s">
        <v>2762</v>
      </c>
      <c r="C407" s="153" t="s">
        <v>2962</v>
      </c>
      <c r="D407" s="153">
        <v>23</v>
      </c>
      <c r="E407" s="153">
        <v>23</v>
      </c>
      <c r="F407" s="153">
        <f t="shared" si="12"/>
        <v>0</v>
      </c>
      <c r="G407" s="153" t="str">
        <f t="shared" si="13"/>
        <v>OK</v>
      </c>
      <c r="H407" s="153" t="b">
        <v>1</v>
      </c>
    </row>
    <row r="408" spans="1:8" x14ac:dyDescent="0.3">
      <c r="A408" s="153" t="s">
        <v>2963</v>
      </c>
      <c r="B408" s="153" t="s">
        <v>2762</v>
      </c>
      <c r="C408" s="153" t="s">
        <v>2964</v>
      </c>
      <c r="D408" s="153">
        <v>0</v>
      </c>
      <c r="E408" s="153">
        <v>0</v>
      </c>
      <c r="F408" s="153">
        <f t="shared" si="12"/>
        <v>0</v>
      </c>
      <c r="G408" s="153" t="str">
        <f t="shared" si="13"/>
        <v>OK</v>
      </c>
      <c r="H408" s="153" t="b">
        <v>1</v>
      </c>
    </row>
    <row r="409" spans="1:8" x14ac:dyDescent="0.3">
      <c r="A409" s="153" t="s">
        <v>2965</v>
      </c>
      <c r="B409" s="153" t="s">
        <v>2762</v>
      </c>
      <c r="C409" s="153" t="s">
        <v>2966</v>
      </c>
      <c r="D409" s="153">
        <v>3</v>
      </c>
      <c r="E409" s="153">
        <v>3</v>
      </c>
      <c r="F409" s="153">
        <f t="shared" si="12"/>
        <v>0</v>
      </c>
      <c r="G409" s="153" t="str">
        <f t="shared" si="13"/>
        <v>OK</v>
      </c>
      <c r="H409" s="153" t="b">
        <v>1</v>
      </c>
    </row>
    <row r="410" spans="1:8" x14ac:dyDescent="0.3">
      <c r="A410" s="153" t="s">
        <v>2360</v>
      </c>
      <c r="B410" s="153" t="s">
        <v>2762</v>
      </c>
      <c r="C410" s="153" t="s">
        <v>2967</v>
      </c>
      <c r="D410" s="153">
        <v>4</v>
      </c>
      <c r="E410" s="153">
        <v>4</v>
      </c>
      <c r="F410" s="153">
        <f t="shared" si="12"/>
        <v>0</v>
      </c>
      <c r="G410" s="153" t="str">
        <f t="shared" si="13"/>
        <v>OK</v>
      </c>
      <c r="H410" s="153" t="b">
        <v>1</v>
      </c>
    </row>
    <row r="411" spans="1:8" x14ac:dyDescent="0.3">
      <c r="A411" s="153" t="s">
        <v>2362</v>
      </c>
      <c r="B411" s="153" t="s">
        <v>2762</v>
      </c>
      <c r="C411" s="153" t="s">
        <v>2968</v>
      </c>
      <c r="D411" s="153">
        <v>14</v>
      </c>
      <c r="E411" s="153">
        <v>14</v>
      </c>
      <c r="F411" s="153">
        <f t="shared" si="12"/>
        <v>0</v>
      </c>
      <c r="G411" s="153" t="str">
        <f t="shared" si="13"/>
        <v>OK</v>
      </c>
      <c r="H411" s="153" t="b">
        <v>1</v>
      </c>
    </row>
    <row r="412" spans="1:8" x14ac:dyDescent="0.3">
      <c r="A412" s="153" t="s">
        <v>2364</v>
      </c>
      <c r="B412" s="153" t="s">
        <v>2762</v>
      </c>
      <c r="C412" s="153" t="s">
        <v>2969</v>
      </c>
      <c r="D412" s="153">
        <v>5</v>
      </c>
      <c r="E412" s="153">
        <v>5</v>
      </c>
      <c r="F412" s="153">
        <f t="shared" si="12"/>
        <v>0</v>
      </c>
      <c r="G412" s="153" t="str">
        <f t="shared" si="13"/>
        <v>OK</v>
      </c>
      <c r="H412" s="153" t="b">
        <v>1</v>
      </c>
    </row>
    <row r="413" spans="1:8" x14ac:dyDescent="0.3">
      <c r="A413" s="153" t="s">
        <v>2366</v>
      </c>
      <c r="B413" s="153" t="s">
        <v>2762</v>
      </c>
      <c r="C413" s="153" t="s">
        <v>2970</v>
      </c>
      <c r="D413" s="153">
        <v>0</v>
      </c>
      <c r="E413" s="153">
        <v>0</v>
      </c>
      <c r="F413" s="153">
        <f t="shared" si="12"/>
        <v>0</v>
      </c>
      <c r="G413" s="153" t="str">
        <f t="shared" si="13"/>
        <v>OK</v>
      </c>
      <c r="H413" s="153" t="b">
        <v>1</v>
      </c>
    </row>
    <row r="414" spans="1:8" x14ac:dyDescent="0.3">
      <c r="A414" s="153" t="s">
        <v>2368</v>
      </c>
      <c r="B414" s="153" t="s">
        <v>2762</v>
      </c>
      <c r="C414" s="153" t="s">
        <v>2971</v>
      </c>
      <c r="D414" s="153">
        <v>5</v>
      </c>
      <c r="E414" s="153">
        <v>5</v>
      </c>
      <c r="F414" s="153">
        <f t="shared" si="12"/>
        <v>0</v>
      </c>
      <c r="G414" s="153" t="str">
        <f t="shared" si="13"/>
        <v>OK</v>
      </c>
      <c r="H414" s="153" t="b">
        <v>1</v>
      </c>
    </row>
    <row r="415" spans="1:8" x14ac:dyDescent="0.3">
      <c r="A415" s="153" t="s">
        <v>2370</v>
      </c>
      <c r="B415" s="153" t="s">
        <v>2762</v>
      </c>
      <c r="C415" s="153" t="s">
        <v>2972</v>
      </c>
      <c r="D415" s="153">
        <v>120</v>
      </c>
      <c r="E415" s="153">
        <v>120</v>
      </c>
      <c r="F415" s="153">
        <f t="shared" si="12"/>
        <v>0</v>
      </c>
      <c r="G415" s="153" t="str">
        <f t="shared" si="13"/>
        <v>OK</v>
      </c>
      <c r="H415" s="153" t="b">
        <v>1</v>
      </c>
    </row>
    <row r="416" spans="1:8" x14ac:dyDescent="0.3">
      <c r="A416" s="153" t="s">
        <v>2372</v>
      </c>
      <c r="B416" s="153" t="s">
        <v>2762</v>
      </c>
      <c r="C416" s="153" t="s">
        <v>2973</v>
      </c>
      <c r="D416" s="153">
        <v>0.94000000000000006</v>
      </c>
      <c r="E416" s="153">
        <v>0.94000000000000006</v>
      </c>
      <c r="F416" s="153">
        <f t="shared" si="12"/>
        <v>0</v>
      </c>
      <c r="G416" s="153" t="str">
        <f t="shared" si="13"/>
        <v>OK</v>
      </c>
      <c r="H416" s="153" t="b">
        <v>1</v>
      </c>
    </row>
    <row r="417" spans="1:8" x14ac:dyDescent="0.3">
      <c r="A417" s="153" t="s">
        <v>2374</v>
      </c>
      <c r="B417" s="153" t="s">
        <v>2762</v>
      </c>
      <c r="C417" s="153" t="s">
        <v>2974</v>
      </c>
      <c r="D417" s="153">
        <v>113</v>
      </c>
      <c r="E417" s="153">
        <v>113</v>
      </c>
      <c r="F417" s="153">
        <f t="shared" si="12"/>
        <v>0</v>
      </c>
      <c r="G417" s="153" t="str">
        <f t="shared" si="13"/>
        <v>OK</v>
      </c>
      <c r="H417" s="153" t="b">
        <v>1</v>
      </c>
    </row>
    <row r="418" spans="1:8" x14ac:dyDescent="0.3">
      <c r="A418" s="153" t="s">
        <v>2376</v>
      </c>
      <c r="B418" s="153" t="s">
        <v>2762</v>
      </c>
      <c r="C418" s="153" t="s">
        <v>2975</v>
      </c>
      <c r="D418" s="153">
        <v>113</v>
      </c>
      <c r="E418" s="153">
        <v>113</v>
      </c>
      <c r="F418" s="153">
        <f t="shared" si="12"/>
        <v>0</v>
      </c>
      <c r="G418" s="153" t="str">
        <f t="shared" si="13"/>
        <v>OK</v>
      </c>
      <c r="H418" s="153" t="b">
        <v>1</v>
      </c>
    </row>
    <row r="419" spans="1:8" x14ac:dyDescent="0.3">
      <c r="A419" s="153" t="s">
        <v>2378</v>
      </c>
      <c r="B419" s="153" t="s">
        <v>2762</v>
      </c>
      <c r="C419" s="153" t="s">
        <v>2976</v>
      </c>
      <c r="D419" s="153">
        <v>33.9</v>
      </c>
      <c r="E419" s="153">
        <v>33.9</v>
      </c>
      <c r="F419" s="153">
        <f t="shared" si="12"/>
        <v>0</v>
      </c>
      <c r="G419" s="153" t="str">
        <f t="shared" si="13"/>
        <v>OK</v>
      </c>
      <c r="H419" s="153" t="b">
        <v>1</v>
      </c>
    </row>
    <row r="420" spans="1:8" x14ac:dyDescent="0.3">
      <c r="A420" s="153" t="s">
        <v>2380</v>
      </c>
      <c r="B420" s="153" t="s">
        <v>2762</v>
      </c>
      <c r="C420" s="153" t="s">
        <v>2977</v>
      </c>
      <c r="D420" s="153">
        <v>113</v>
      </c>
      <c r="E420" s="153">
        <v>113</v>
      </c>
      <c r="F420" s="153">
        <f t="shared" si="12"/>
        <v>0</v>
      </c>
      <c r="G420" s="153" t="str">
        <f t="shared" si="13"/>
        <v>OK</v>
      </c>
      <c r="H420" s="153" t="b">
        <v>1</v>
      </c>
    </row>
    <row r="421" spans="1:8" x14ac:dyDescent="0.3">
      <c r="A421" s="153" t="s">
        <v>2382</v>
      </c>
      <c r="B421" s="153" t="s">
        <v>2762</v>
      </c>
      <c r="C421" s="153" t="s">
        <v>2978</v>
      </c>
      <c r="D421" s="153">
        <v>678</v>
      </c>
      <c r="E421" s="153">
        <v>678</v>
      </c>
      <c r="F421" s="153">
        <f t="shared" si="12"/>
        <v>0</v>
      </c>
      <c r="G421" s="153" t="str">
        <f t="shared" si="13"/>
        <v>OK</v>
      </c>
      <c r="H421" s="153" t="b">
        <v>1</v>
      </c>
    </row>
    <row r="422" spans="1:8" x14ac:dyDescent="0.3">
      <c r="A422" s="153" t="s">
        <v>2384</v>
      </c>
      <c r="B422" s="153" t="s">
        <v>2762</v>
      </c>
      <c r="C422" s="153" t="s">
        <v>2979</v>
      </c>
      <c r="D422" s="153">
        <v>11106.32</v>
      </c>
      <c r="E422" s="153">
        <v>11106.32</v>
      </c>
      <c r="F422" s="153">
        <f t="shared" si="12"/>
        <v>0</v>
      </c>
      <c r="G422" s="153" t="str">
        <f t="shared" si="13"/>
        <v>OK</v>
      </c>
      <c r="H422" s="153" t="b">
        <v>1</v>
      </c>
    </row>
    <row r="423" spans="1:8" x14ac:dyDescent="0.3">
      <c r="A423" s="153" t="s">
        <v>2386</v>
      </c>
      <c r="B423" s="153" t="s">
        <v>2762</v>
      </c>
      <c r="C423" s="153" t="s">
        <v>2980</v>
      </c>
      <c r="D423" s="153">
        <v>2322.372836</v>
      </c>
      <c r="E423" s="153">
        <v>2322.372836</v>
      </c>
      <c r="F423" s="153">
        <f t="shared" si="12"/>
        <v>0</v>
      </c>
      <c r="G423" s="153" t="str">
        <f t="shared" si="13"/>
        <v>OK</v>
      </c>
      <c r="H423" s="153" t="b">
        <v>1</v>
      </c>
    </row>
    <row r="424" spans="1:8" x14ac:dyDescent="0.3">
      <c r="A424" s="153" t="s">
        <v>2388</v>
      </c>
      <c r="B424" s="153" t="s">
        <v>2762</v>
      </c>
      <c r="C424" s="153" t="s">
        <v>2981</v>
      </c>
      <c r="D424" s="153">
        <v>31.25</v>
      </c>
      <c r="E424" s="153">
        <v>31.25</v>
      </c>
      <c r="F424" s="153">
        <f t="shared" si="12"/>
        <v>0</v>
      </c>
      <c r="G424" s="153" t="str">
        <f t="shared" si="13"/>
        <v>OK</v>
      </c>
      <c r="H424" s="153" t="b">
        <v>1</v>
      </c>
    </row>
    <row r="425" spans="1:8" x14ac:dyDescent="0.3">
      <c r="A425" s="153" t="s">
        <v>2390</v>
      </c>
      <c r="B425" s="153" t="s">
        <v>2762</v>
      </c>
      <c r="C425" s="153" t="s">
        <v>2982</v>
      </c>
      <c r="D425" s="153">
        <v>64.125</v>
      </c>
      <c r="E425" s="153">
        <v>64.125</v>
      </c>
      <c r="F425" s="153">
        <f t="shared" si="12"/>
        <v>0</v>
      </c>
      <c r="G425" s="153" t="str">
        <f t="shared" si="13"/>
        <v>OK</v>
      </c>
      <c r="H425" s="153" t="b">
        <v>1</v>
      </c>
    </row>
    <row r="426" spans="1:8" x14ac:dyDescent="0.3">
      <c r="A426" s="153" t="s">
        <v>2392</v>
      </c>
      <c r="B426" s="153" t="s">
        <v>2762</v>
      </c>
      <c r="C426" s="153" t="s">
        <v>2983</v>
      </c>
      <c r="D426" s="153">
        <v>0</v>
      </c>
      <c r="E426" s="153">
        <v>0</v>
      </c>
      <c r="F426" s="153">
        <f t="shared" si="12"/>
        <v>0</v>
      </c>
      <c r="G426" s="153" t="str">
        <f t="shared" si="13"/>
        <v>OK</v>
      </c>
      <c r="H426" s="153" t="b">
        <v>1</v>
      </c>
    </row>
    <row r="427" spans="1:8" x14ac:dyDescent="0.3">
      <c r="A427" s="153" t="s">
        <v>2394</v>
      </c>
      <c r="B427" s="153" t="s">
        <v>2762</v>
      </c>
      <c r="C427" s="153" t="s">
        <v>2984</v>
      </c>
      <c r="D427" s="153">
        <v>0</v>
      </c>
      <c r="E427" s="153">
        <v>0</v>
      </c>
      <c r="F427" s="153">
        <f t="shared" si="12"/>
        <v>0</v>
      </c>
      <c r="G427" s="153" t="str">
        <f t="shared" si="13"/>
        <v>OK</v>
      </c>
      <c r="H427" s="153" t="b">
        <v>1</v>
      </c>
    </row>
    <row r="428" spans="1:8" x14ac:dyDescent="0.3">
      <c r="A428" s="153" t="s">
        <v>2396</v>
      </c>
      <c r="B428" s="153" t="s">
        <v>2762</v>
      </c>
      <c r="C428" s="153" t="s">
        <v>2985</v>
      </c>
      <c r="D428" s="153">
        <v>38</v>
      </c>
      <c r="E428" s="153">
        <v>38</v>
      </c>
      <c r="F428" s="153">
        <f t="shared" si="12"/>
        <v>0</v>
      </c>
      <c r="G428" s="153" t="str">
        <f t="shared" si="13"/>
        <v>OK</v>
      </c>
      <c r="H428" s="153" t="b">
        <v>1</v>
      </c>
    </row>
    <row r="429" spans="1:8" x14ac:dyDescent="0.3">
      <c r="A429" s="153" t="s">
        <v>2398</v>
      </c>
      <c r="B429" s="153" t="s">
        <v>2762</v>
      </c>
      <c r="C429" s="153" t="s">
        <v>2986</v>
      </c>
      <c r="D429" s="153">
        <v>38</v>
      </c>
      <c r="E429" s="153">
        <v>38</v>
      </c>
      <c r="F429" s="153">
        <f t="shared" si="12"/>
        <v>0</v>
      </c>
      <c r="G429" s="153" t="str">
        <f t="shared" si="13"/>
        <v>OK</v>
      </c>
      <c r="H429" s="153" t="b">
        <v>1</v>
      </c>
    </row>
    <row r="430" spans="1:8" x14ac:dyDescent="0.3">
      <c r="A430" s="153" t="s">
        <v>2400</v>
      </c>
      <c r="B430" s="153" t="s">
        <v>2762</v>
      </c>
      <c r="C430" s="153" t="s">
        <v>2987</v>
      </c>
      <c r="D430" s="153">
        <v>38</v>
      </c>
      <c r="E430" s="153">
        <v>38</v>
      </c>
      <c r="F430" s="153">
        <f t="shared" si="12"/>
        <v>0</v>
      </c>
      <c r="G430" s="153" t="str">
        <f t="shared" si="13"/>
        <v>OK</v>
      </c>
      <c r="H430" s="153" t="b">
        <v>1</v>
      </c>
    </row>
    <row r="431" spans="1:8" x14ac:dyDescent="0.3">
      <c r="A431" s="153" t="s">
        <v>2402</v>
      </c>
      <c r="B431" s="153" t="s">
        <v>2762</v>
      </c>
      <c r="C431" s="153" t="s">
        <v>2988</v>
      </c>
      <c r="D431" s="153">
        <v>1520</v>
      </c>
      <c r="E431" s="153">
        <v>1520</v>
      </c>
      <c r="F431" s="153">
        <f t="shared" si="12"/>
        <v>0</v>
      </c>
      <c r="G431" s="153" t="str">
        <f t="shared" si="13"/>
        <v>OK</v>
      </c>
      <c r="H431" s="153" t="b">
        <v>1</v>
      </c>
    </row>
    <row r="432" spans="1:8" x14ac:dyDescent="0.3">
      <c r="A432" s="153" t="s">
        <v>2404</v>
      </c>
      <c r="B432" s="153" t="s">
        <v>2762</v>
      </c>
      <c r="C432" s="153" t="s">
        <v>2989</v>
      </c>
      <c r="D432" s="153">
        <v>225</v>
      </c>
      <c r="E432" s="153">
        <v>225</v>
      </c>
      <c r="F432" s="153">
        <f t="shared" si="12"/>
        <v>0</v>
      </c>
      <c r="G432" s="153" t="str">
        <f t="shared" si="13"/>
        <v>OK</v>
      </c>
      <c r="H432" s="153" t="b">
        <v>1</v>
      </c>
    </row>
    <row r="433" spans="1:8" x14ac:dyDescent="0.3">
      <c r="A433" s="153" t="s">
        <v>2406</v>
      </c>
      <c r="B433" s="153" t="s">
        <v>2762</v>
      </c>
      <c r="C433" s="153" t="s">
        <v>2990</v>
      </c>
      <c r="D433" s="153">
        <v>450</v>
      </c>
      <c r="E433" s="153">
        <v>450</v>
      </c>
      <c r="F433" s="153">
        <f t="shared" si="12"/>
        <v>0</v>
      </c>
      <c r="G433" s="153" t="str">
        <f t="shared" si="13"/>
        <v>OK</v>
      </c>
      <c r="H433" s="153" t="b">
        <v>1</v>
      </c>
    </row>
    <row r="434" spans="1:8" x14ac:dyDescent="0.3">
      <c r="A434" s="153" t="s">
        <v>2408</v>
      </c>
      <c r="B434" s="153" t="s">
        <v>2762</v>
      </c>
      <c r="C434" s="153" t="s">
        <v>2991</v>
      </c>
      <c r="D434" s="153">
        <v>2137.7208849557519</v>
      </c>
      <c r="E434" s="153">
        <v>2137.7208849557519</v>
      </c>
      <c r="F434" s="153">
        <f t="shared" si="12"/>
        <v>0</v>
      </c>
      <c r="G434" s="153" t="str">
        <f t="shared" si="13"/>
        <v>OK</v>
      </c>
      <c r="H434" s="153" t="b">
        <v>1</v>
      </c>
    </row>
    <row r="435" spans="1:8" x14ac:dyDescent="0.3">
      <c r="A435" s="153" t="s">
        <v>2410</v>
      </c>
      <c r="B435" s="153" t="s">
        <v>2762</v>
      </c>
      <c r="C435" s="153" t="s">
        <v>2992</v>
      </c>
      <c r="D435" s="153">
        <v>0</v>
      </c>
      <c r="E435" s="153">
        <v>0</v>
      </c>
      <c r="F435" s="153">
        <f t="shared" si="12"/>
        <v>0</v>
      </c>
      <c r="G435" s="153" t="str">
        <f t="shared" si="13"/>
        <v>OK</v>
      </c>
      <c r="H435" s="153" t="b">
        <v>1</v>
      </c>
    </row>
    <row r="436" spans="1:8" x14ac:dyDescent="0.3">
      <c r="A436" s="153" t="s">
        <v>2412</v>
      </c>
      <c r="B436" s="153" t="s">
        <v>2762</v>
      </c>
      <c r="C436" s="153" t="s">
        <v>2993</v>
      </c>
      <c r="D436" s="153">
        <v>1500</v>
      </c>
      <c r="E436" s="153">
        <v>1500</v>
      </c>
      <c r="F436" s="153">
        <f t="shared" si="12"/>
        <v>0</v>
      </c>
      <c r="G436" s="153" t="str">
        <f t="shared" si="13"/>
        <v>OK</v>
      </c>
      <c r="H436" s="153" t="b">
        <v>1</v>
      </c>
    </row>
    <row r="437" spans="1:8" x14ac:dyDescent="0.3">
      <c r="A437" s="153" t="s">
        <v>2414</v>
      </c>
      <c r="B437" s="153" t="s">
        <v>2762</v>
      </c>
      <c r="C437" s="153" t="s">
        <v>2994</v>
      </c>
      <c r="D437" s="153">
        <v>17611.788720955748</v>
      </c>
      <c r="E437" s="153">
        <v>17611.788720955748</v>
      </c>
      <c r="F437" s="153">
        <f t="shared" si="12"/>
        <v>0</v>
      </c>
      <c r="G437" s="153" t="str">
        <f t="shared" si="13"/>
        <v>OK</v>
      </c>
      <c r="H437" s="153" t="b">
        <v>1</v>
      </c>
    </row>
    <row r="438" spans="1:8" x14ac:dyDescent="0.3">
      <c r="A438" s="153" t="s">
        <v>2416</v>
      </c>
      <c r="B438" s="153" t="s">
        <v>2762</v>
      </c>
      <c r="C438" s="153" t="s">
        <v>2995</v>
      </c>
      <c r="D438" s="153">
        <v>-16091.78872095575</v>
      </c>
      <c r="E438" s="153">
        <v>-16091.78872095575</v>
      </c>
      <c r="F438" s="153">
        <f t="shared" si="12"/>
        <v>0</v>
      </c>
      <c r="G438" s="153" t="str">
        <f t="shared" si="13"/>
        <v>OK</v>
      </c>
      <c r="H438" s="153" t="b">
        <v>1</v>
      </c>
    </row>
    <row r="439" spans="1:8" x14ac:dyDescent="0.3">
      <c r="A439" s="153" t="s">
        <v>2418</v>
      </c>
      <c r="B439" s="153" t="s">
        <v>2762</v>
      </c>
      <c r="C439" s="153" t="s">
        <v>2996</v>
      </c>
      <c r="D439" s="153">
        <v>0</v>
      </c>
      <c r="E439" s="153">
        <v>0</v>
      </c>
      <c r="F439" s="153">
        <f t="shared" si="12"/>
        <v>0</v>
      </c>
      <c r="G439" s="153" t="str">
        <f t="shared" si="13"/>
        <v>OK</v>
      </c>
      <c r="H439" s="153" t="b">
        <v>1</v>
      </c>
    </row>
    <row r="440" spans="1:8" x14ac:dyDescent="0.3">
      <c r="A440" s="153" t="s">
        <v>2420</v>
      </c>
      <c r="B440" s="153" t="s">
        <v>2762</v>
      </c>
      <c r="C440" s="153" t="s">
        <v>2997</v>
      </c>
      <c r="D440" s="153">
        <v>3</v>
      </c>
      <c r="E440" s="153">
        <v>3</v>
      </c>
      <c r="F440" s="153">
        <f t="shared" si="12"/>
        <v>0</v>
      </c>
      <c r="G440" s="153" t="str">
        <f t="shared" si="13"/>
        <v>OK</v>
      </c>
      <c r="H440" s="153" t="b">
        <v>1</v>
      </c>
    </row>
    <row r="441" spans="1:8" x14ac:dyDescent="0.3">
      <c r="A441" s="153" t="s">
        <v>2422</v>
      </c>
      <c r="B441" s="153" t="s">
        <v>2762</v>
      </c>
      <c r="C441" s="153" t="s">
        <v>2998</v>
      </c>
      <c r="D441" s="153">
        <v>798.30000000000007</v>
      </c>
      <c r="E441" s="153">
        <v>798.3</v>
      </c>
      <c r="F441" s="153">
        <f t="shared" si="12"/>
        <v>-1.1368683772161603E-13</v>
      </c>
      <c r="G441" s="153" t="str">
        <f t="shared" si="13"/>
        <v>OK</v>
      </c>
      <c r="H441" s="153" t="b">
        <v>1</v>
      </c>
    </row>
    <row r="442" spans="1:8" x14ac:dyDescent="0.3">
      <c r="A442" s="153" t="s">
        <v>2424</v>
      </c>
      <c r="B442" s="153" t="s">
        <v>2762</v>
      </c>
      <c r="C442" s="153" t="s">
        <v>2999</v>
      </c>
      <c r="D442" s="153">
        <v>0</v>
      </c>
      <c r="E442" s="153">
        <v>0</v>
      </c>
      <c r="F442" s="153">
        <f t="shared" si="12"/>
        <v>0</v>
      </c>
      <c r="G442" s="153" t="str">
        <f t="shared" si="13"/>
        <v>OK</v>
      </c>
      <c r="H442" s="153" t="b">
        <v>1</v>
      </c>
    </row>
    <row r="443" spans="1:8" x14ac:dyDescent="0.3">
      <c r="A443" s="153" t="s">
        <v>2426</v>
      </c>
      <c r="B443" s="153" t="s">
        <v>2762</v>
      </c>
      <c r="C443" s="153" t="s">
        <v>3000</v>
      </c>
      <c r="D443" s="153">
        <v>0</v>
      </c>
      <c r="E443" s="153">
        <v>0</v>
      </c>
      <c r="F443" s="153">
        <f t="shared" si="12"/>
        <v>0</v>
      </c>
      <c r="G443" s="153" t="str">
        <f t="shared" si="13"/>
        <v>OK</v>
      </c>
      <c r="H443" s="153" t="b">
        <v>1</v>
      </c>
    </row>
    <row r="444" spans="1:8" x14ac:dyDescent="0.3">
      <c r="A444" s="153" t="s">
        <v>2428</v>
      </c>
      <c r="B444" s="153" t="s">
        <v>2762</v>
      </c>
      <c r="C444" s="153" t="s">
        <v>3001</v>
      </c>
      <c r="D444" s="153">
        <v>2661</v>
      </c>
      <c r="E444" s="153">
        <v>2661</v>
      </c>
      <c r="F444" s="153">
        <f t="shared" si="12"/>
        <v>0</v>
      </c>
      <c r="G444" s="153" t="str">
        <f t="shared" si="13"/>
        <v>OK</v>
      </c>
      <c r="H444" s="153" t="b">
        <v>1</v>
      </c>
    </row>
    <row r="445" spans="1:8" x14ac:dyDescent="0.3">
      <c r="A445" s="153" t="s">
        <v>2430</v>
      </c>
      <c r="B445" s="153" t="s">
        <v>2762</v>
      </c>
      <c r="C445" s="153" t="s">
        <v>3002</v>
      </c>
      <c r="D445" s="153">
        <v>0</v>
      </c>
      <c r="E445" s="153">
        <v>0</v>
      </c>
      <c r="F445" s="153">
        <f t="shared" si="12"/>
        <v>0</v>
      </c>
      <c r="G445" s="153" t="str">
        <f t="shared" si="13"/>
        <v>OK</v>
      </c>
      <c r="H445" s="153" t="b">
        <v>1</v>
      </c>
    </row>
    <row r="446" spans="1:8" x14ac:dyDescent="0.3">
      <c r="A446" s="153" t="s">
        <v>2432</v>
      </c>
      <c r="B446" s="153" t="s">
        <v>2762</v>
      </c>
      <c r="C446" s="153" t="s">
        <v>3003</v>
      </c>
      <c r="D446" s="153">
        <v>15966</v>
      </c>
      <c r="E446" s="153">
        <v>15966</v>
      </c>
      <c r="F446" s="153">
        <f t="shared" si="12"/>
        <v>0</v>
      </c>
      <c r="G446" s="153" t="str">
        <f t="shared" si="13"/>
        <v>OK</v>
      </c>
      <c r="H446" s="153" t="b">
        <v>1</v>
      </c>
    </row>
    <row r="447" spans="1:8" x14ac:dyDescent="0.3">
      <c r="A447" s="153" t="s">
        <v>2434</v>
      </c>
      <c r="B447" s="153" t="s">
        <v>2762</v>
      </c>
      <c r="C447" s="153" t="s">
        <v>3004</v>
      </c>
      <c r="D447" s="153">
        <v>0</v>
      </c>
      <c r="E447" s="153">
        <v>0</v>
      </c>
      <c r="F447" s="153">
        <f t="shared" si="12"/>
        <v>0</v>
      </c>
      <c r="G447" s="153" t="str">
        <f t="shared" si="13"/>
        <v>OK</v>
      </c>
      <c r="H447" s="153" t="b">
        <v>1</v>
      </c>
    </row>
    <row r="448" spans="1:8" x14ac:dyDescent="0.3">
      <c r="A448" s="153" t="s">
        <v>2436</v>
      </c>
      <c r="B448" s="153" t="s">
        <v>2762</v>
      </c>
      <c r="C448" s="153" t="s">
        <v>3005</v>
      </c>
      <c r="D448" s="153">
        <v>0</v>
      </c>
      <c r="E448" s="153">
        <v>0</v>
      </c>
      <c r="F448" s="153">
        <f t="shared" si="12"/>
        <v>0</v>
      </c>
      <c r="G448" s="153" t="str">
        <f t="shared" si="13"/>
        <v>OK</v>
      </c>
      <c r="H448" s="153" t="b">
        <v>1</v>
      </c>
    </row>
    <row r="449" spans="1:8" x14ac:dyDescent="0.3">
      <c r="A449" s="153" t="s">
        <v>2438</v>
      </c>
      <c r="B449" s="153" t="s">
        <v>2762</v>
      </c>
      <c r="C449" s="153" t="s">
        <v>3006</v>
      </c>
      <c r="D449" s="153" t="b">
        <v>0</v>
      </c>
      <c r="E449" s="153" t="b">
        <v>0</v>
      </c>
      <c r="F449" s="153">
        <f t="shared" si="12"/>
        <v>0</v>
      </c>
      <c r="G449" s="153" t="str">
        <f t="shared" si="13"/>
        <v>OK</v>
      </c>
      <c r="H449" s="153" t="b">
        <v>1</v>
      </c>
    </row>
    <row r="450" spans="1:8" x14ac:dyDescent="0.3">
      <c r="A450" s="153" t="s">
        <v>2440</v>
      </c>
      <c r="B450" s="153" t="s">
        <v>2762</v>
      </c>
      <c r="C450" s="153" t="s">
        <v>3007</v>
      </c>
      <c r="D450" s="153" t="b">
        <v>0</v>
      </c>
      <c r="E450" s="153" t="b">
        <v>0</v>
      </c>
      <c r="F450" s="153">
        <f t="shared" ref="F450:F513" si="14">IF(NOT(H450),"",IF(AND(ISNUMBER(D450),ISNUMBER(E450)),E450-D450,IF(D450=E450,0,1)))</f>
        <v>0</v>
      </c>
      <c r="G450" s="153" t="str">
        <f t="shared" ref="G450:G513" si="15">IF(NOT(H450),"PENDIENTE SIDE",IF(IF(AND(ISNUMBER(D450),ISNUMBER(E450)),IF(MOD(D450,1)=0,D450=E450,ABS(D450-E450)&lt;=0.000000001*MAX(1,ABS(D450),ABS(E450))),D450=E450),"OK","DIFERENCIA"))</f>
        <v>OK</v>
      </c>
      <c r="H450" s="153" t="b">
        <v>1</v>
      </c>
    </row>
    <row r="451" spans="1:8" x14ac:dyDescent="0.3">
      <c r="A451" s="153" t="s">
        <v>2442</v>
      </c>
      <c r="B451" s="153" t="s">
        <v>2762</v>
      </c>
      <c r="C451" s="153" t="s">
        <v>3008</v>
      </c>
      <c r="D451" s="153" t="b">
        <v>0</v>
      </c>
      <c r="E451" s="153" t="b">
        <v>0</v>
      </c>
      <c r="F451" s="153">
        <f t="shared" si="14"/>
        <v>0</v>
      </c>
      <c r="G451" s="153" t="str">
        <f t="shared" si="15"/>
        <v>OK</v>
      </c>
      <c r="H451" s="153" t="b">
        <v>1</v>
      </c>
    </row>
    <row r="452" spans="1:8" x14ac:dyDescent="0.3">
      <c r="A452" s="153" t="s">
        <v>2444</v>
      </c>
      <c r="B452" s="153" t="s">
        <v>2762</v>
      </c>
      <c r="C452" s="153" t="s">
        <v>3009</v>
      </c>
      <c r="D452" s="153" t="b">
        <v>0</v>
      </c>
      <c r="E452" s="153" t="b">
        <v>0</v>
      </c>
      <c r="F452" s="153">
        <f t="shared" si="14"/>
        <v>0</v>
      </c>
      <c r="G452" s="153" t="str">
        <f t="shared" si="15"/>
        <v>OK</v>
      </c>
      <c r="H452" s="153" t="b">
        <v>1</v>
      </c>
    </row>
    <row r="453" spans="1:8" x14ac:dyDescent="0.3">
      <c r="A453" s="153" t="s">
        <v>2446</v>
      </c>
      <c r="B453" s="153" t="s">
        <v>2762</v>
      </c>
      <c r="C453" s="153" t="s">
        <v>3010</v>
      </c>
      <c r="D453" s="153" t="b">
        <v>1</v>
      </c>
      <c r="E453" s="153" t="b">
        <v>1</v>
      </c>
      <c r="F453" s="153">
        <f t="shared" si="14"/>
        <v>0</v>
      </c>
      <c r="G453" s="153" t="str">
        <f t="shared" si="15"/>
        <v>OK</v>
      </c>
      <c r="H453" s="153" t="b">
        <v>1</v>
      </c>
    </row>
    <row r="454" spans="1:8" x14ac:dyDescent="0.3">
      <c r="A454" s="153" t="s">
        <v>2448</v>
      </c>
      <c r="B454" s="153" t="s">
        <v>2762</v>
      </c>
      <c r="C454" s="153" t="s">
        <v>3011</v>
      </c>
      <c r="D454" s="153" t="b">
        <v>1</v>
      </c>
      <c r="E454" s="153" t="b">
        <v>1</v>
      </c>
      <c r="F454" s="153">
        <f t="shared" si="14"/>
        <v>0</v>
      </c>
      <c r="G454" s="153" t="str">
        <f t="shared" si="15"/>
        <v>OK</v>
      </c>
      <c r="H454" s="153" t="b">
        <v>1</v>
      </c>
    </row>
    <row r="455" spans="1:8" x14ac:dyDescent="0.3">
      <c r="A455" s="153" t="s">
        <v>2450</v>
      </c>
      <c r="B455" s="153" t="s">
        <v>2762</v>
      </c>
      <c r="C455" s="153" t="s">
        <v>3012</v>
      </c>
      <c r="D455" s="153" t="b">
        <v>1</v>
      </c>
      <c r="E455" s="153" t="b">
        <v>1</v>
      </c>
      <c r="F455" s="153">
        <f t="shared" si="14"/>
        <v>0</v>
      </c>
      <c r="G455" s="153" t="str">
        <f t="shared" si="15"/>
        <v>OK</v>
      </c>
      <c r="H455" s="153" t="b">
        <v>1</v>
      </c>
    </row>
    <row r="456" spans="1:8" x14ac:dyDescent="0.3">
      <c r="A456" s="153" t="s">
        <v>2452</v>
      </c>
      <c r="B456" s="153" t="s">
        <v>2762</v>
      </c>
      <c r="C456" s="153" t="s">
        <v>3013</v>
      </c>
      <c r="D456" s="153" t="b">
        <v>0</v>
      </c>
      <c r="E456" s="153" t="b">
        <v>0</v>
      </c>
      <c r="F456" s="153">
        <f t="shared" si="14"/>
        <v>0</v>
      </c>
      <c r="G456" s="153" t="str">
        <f t="shared" si="15"/>
        <v>OK</v>
      </c>
      <c r="H456" s="153" t="b">
        <v>1</v>
      </c>
    </row>
    <row r="457" spans="1:8" x14ac:dyDescent="0.3">
      <c r="A457" s="153" t="s">
        <v>2454</v>
      </c>
      <c r="B457" s="153" t="s">
        <v>2762</v>
      </c>
      <c r="C457" s="153" t="s">
        <v>3014</v>
      </c>
      <c r="D457" s="153">
        <v>0</v>
      </c>
      <c r="E457" s="153">
        <v>0</v>
      </c>
      <c r="F457" s="153">
        <f t="shared" si="14"/>
        <v>0</v>
      </c>
      <c r="G457" s="153" t="str">
        <f t="shared" si="15"/>
        <v>OK</v>
      </c>
      <c r="H457" s="153" t="b">
        <v>1</v>
      </c>
    </row>
    <row r="458" spans="1:8" x14ac:dyDescent="0.3">
      <c r="A458" s="153" t="s">
        <v>2456</v>
      </c>
      <c r="B458" s="153" t="s">
        <v>2762</v>
      </c>
      <c r="C458" s="153" t="s">
        <v>3015</v>
      </c>
      <c r="D458" s="153">
        <v>23</v>
      </c>
      <c r="E458" s="153">
        <v>23</v>
      </c>
      <c r="F458" s="153">
        <f t="shared" si="14"/>
        <v>0</v>
      </c>
      <c r="G458" s="153" t="str">
        <f t="shared" si="15"/>
        <v>OK</v>
      </c>
      <c r="H458" s="153" t="b">
        <v>1</v>
      </c>
    </row>
    <row r="459" spans="1:8" x14ac:dyDescent="0.3">
      <c r="A459" s="153" t="s">
        <v>2458</v>
      </c>
      <c r="B459" s="153" t="s">
        <v>2762</v>
      </c>
      <c r="C459" s="153" t="s">
        <v>3016</v>
      </c>
      <c r="D459" s="153">
        <v>0</v>
      </c>
      <c r="E459" s="153">
        <v>0</v>
      </c>
      <c r="F459" s="153">
        <f t="shared" si="14"/>
        <v>0</v>
      </c>
      <c r="G459" s="153" t="str">
        <f t="shared" si="15"/>
        <v>OK</v>
      </c>
      <c r="H459" s="153" t="b">
        <v>1</v>
      </c>
    </row>
    <row r="460" spans="1:8" x14ac:dyDescent="0.3">
      <c r="A460" s="153" t="s">
        <v>2460</v>
      </c>
      <c r="B460" s="153" t="s">
        <v>2762</v>
      </c>
      <c r="C460" s="153" t="s">
        <v>3017</v>
      </c>
      <c r="D460" s="153">
        <v>3</v>
      </c>
      <c r="E460" s="153">
        <v>3</v>
      </c>
      <c r="F460" s="153">
        <f t="shared" si="14"/>
        <v>0</v>
      </c>
      <c r="G460" s="153" t="str">
        <f t="shared" si="15"/>
        <v>OK</v>
      </c>
      <c r="H460" s="153" t="b">
        <v>1</v>
      </c>
    </row>
    <row r="461" spans="1:8" x14ac:dyDescent="0.3">
      <c r="A461" s="153" t="s">
        <v>2462</v>
      </c>
      <c r="B461" s="153" t="s">
        <v>2762</v>
      </c>
      <c r="C461" s="153" t="s">
        <v>3018</v>
      </c>
      <c r="D461" s="153">
        <v>7</v>
      </c>
      <c r="E461" s="153">
        <v>7</v>
      </c>
      <c r="F461" s="153">
        <f t="shared" si="14"/>
        <v>0</v>
      </c>
      <c r="G461" s="153" t="str">
        <f t="shared" si="15"/>
        <v>OK</v>
      </c>
      <c r="H461" s="153" t="b">
        <v>1</v>
      </c>
    </row>
    <row r="462" spans="1:8" x14ac:dyDescent="0.3">
      <c r="A462" s="153" t="s">
        <v>2464</v>
      </c>
      <c r="B462" s="153" t="s">
        <v>2762</v>
      </c>
      <c r="C462" s="153" t="s">
        <v>3019</v>
      </c>
      <c r="D462" s="153">
        <v>18</v>
      </c>
      <c r="E462" s="153">
        <v>18</v>
      </c>
      <c r="F462" s="153">
        <f t="shared" si="14"/>
        <v>0</v>
      </c>
      <c r="G462" s="153" t="str">
        <f t="shared" si="15"/>
        <v>OK</v>
      </c>
      <c r="H462" s="153" t="b">
        <v>1</v>
      </c>
    </row>
    <row r="463" spans="1:8" x14ac:dyDescent="0.3">
      <c r="A463" s="153" t="s">
        <v>2466</v>
      </c>
      <c r="B463" s="153" t="s">
        <v>2762</v>
      </c>
      <c r="C463" s="153" t="s">
        <v>3020</v>
      </c>
      <c r="D463" s="153">
        <v>8</v>
      </c>
      <c r="E463" s="153">
        <v>8</v>
      </c>
      <c r="F463" s="153">
        <f t="shared" si="14"/>
        <v>0</v>
      </c>
      <c r="G463" s="153" t="str">
        <f t="shared" si="15"/>
        <v>OK</v>
      </c>
      <c r="H463" s="153" t="b">
        <v>1</v>
      </c>
    </row>
    <row r="464" spans="1:8" x14ac:dyDescent="0.3">
      <c r="A464" s="153" t="s">
        <v>2468</v>
      </c>
      <c r="B464" s="153" t="s">
        <v>2762</v>
      </c>
      <c r="C464" s="153" t="s">
        <v>3021</v>
      </c>
      <c r="D464" s="153">
        <v>-2</v>
      </c>
      <c r="E464" s="153">
        <v>-2</v>
      </c>
      <c r="F464" s="153">
        <f t="shared" si="14"/>
        <v>0</v>
      </c>
      <c r="G464" s="153" t="str">
        <f t="shared" si="15"/>
        <v>OK</v>
      </c>
      <c r="H464" s="153" t="b">
        <v>1</v>
      </c>
    </row>
    <row r="465" spans="1:8" x14ac:dyDescent="0.3">
      <c r="A465" s="153" t="s">
        <v>2470</v>
      </c>
      <c r="B465" s="153" t="s">
        <v>2762</v>
      </c>
      <c r="C465" s="153" t="s">
        <v>3022</v>
      </c>
      <c r="D465" s="153">
        <v>5</v>
      </c>
      <c r="E465" s="153">
        <v>5</v>
      </c>
      <c r="F465" s="153">
        <f t="shared" si="14"/>
        <v>0</v>
      </c>
      <c r="G465" s="153" t="str">
        <f t="shared" si="15"/>
        <v>OK</v>
      </c>
      <c r="H465" s="153" t="b">
        <v>1</v>
      </c>
    </row>
    <row r="466" spans="1:8" x14ac:dyDescent="0.3">
      <c r="A466" s="153" t="s">
        <v>2472</v>
      </c>
      <c r="B466" s="153" t="s">
        <v>2762</v>
      </c>
      <c r="C466" s="153" t="s">
        <v>3023</v>
      </c>
      <c r="D466" s="153">
        <v>129.6</v>
      </c>
      <c r="E466" s="153">
        <v>129.6</v>
      </c>
      <c r="F466" s="153">
        <f t="shared" si="14"/>
        <v>0</v>
      </c>
      <c r="G466" s="153" t="str">
        <f t="shared" si="15"/>
        <v>OK</v>
      </c>
      <c r="H466" s="153" t="b">
        <v>1</v>
      </c>
    </row>
    <row r="467" spans="1:8" x14ac:dyDescent="0.3">
      <c r="A467" s="153" t="s">
        <v>2474</v>
      </c>
      <c r="B467" s="153" t="s">
        <v>2762</v>
      </c>
      <c r="C467" s="153" t="s">
        <v>3024</v>
      </c>
      <c r="D467" s="153">
        <v>0.94000000000000006</v>
      </c>
      <c r="E467" s="153">
        <v>0.94000000000000006</v>
      </c>
      <c r="F467" s="153">
        <f t="shared" si="14"/>
        <v>0</v>
      </c>
      <c r="G467" s="153" t="str">
        <f t="shared" si="15"/>
        <v>OK</v>
      </c>
      <c r="H467" s="153" t="b">
        <v>1</v>
      </c>
    </row>
    <row r="468" spans="1:8" x14ac:dyDescent="0.3">
      <c r="A468" s="153" t="s">
        <v>2476</v>
      </c>
      <c r="B468" s="153" t="s">
        <v>2762</v>
      </c>
      <c r="C468" s="153" t="s">
        <v>3025</v>
      </c>
      <c r="D468" s="153">
        <v>122</v>
      </c>
      <c r="E468" s="153">
        <v>122</v>
      </c>
      <c r="F468" s="153">
        <f t="shared" si="14"/>
        <v>0</v>
      </c>
      <c r="G468" s="153" t="str">
        <f t="shared" si="15"/>
        <v>OK</v>
      </c>
      <c r="H468" s="153" t="b">
        <v>1</v>
      </c>
    </row>
    <row r="469" spans="1:8" x14ac:dyDescent="0.3">
      <c r="A469" s="153" t="s">
        <v>2478</v>
      </c>
      <c r="B469" s="153" t="s">
        <v>2762</v>
      </c>
      <c r="C469" s="153" t="s">
        <v>3026</v>
      </c>
      <c r="D469" s="153">
        <v>122</v>
      </c>
      <c r="E469" s="153">
        <v>122</v>
      </c>
      <c r="F469" s="153">
        <f t="shared" si="14"/>
        <v>0</v>
      </c>
      <c r="G469" s="153" t="str">
        <f t="shared" si="15"/>
        <v>OK</v>
      </c>
      <c r="H469" s="153" t="b">
        <v>1</v>
      </c>
    </row>
    <row r="470" spans="1:8" x14ac:dyDescent="0.3">
      <c r="A470" s="153" t="s">
        <v>2480</v>
      </c>
      <c r="B470" s="153" t="s">
        <v>2762</v>
      </c>
      <c r="C470" s="153" t="s">
        <v>3027</v>
      </c>
      <c r="D470" s="153">
        <v>48.8</v>
      </c>
      <c r="E470" s="153">
        <v>48.8</v>
      </c>
      <c r="F470" s="153">
        <f t="shared" si="14"/>
        <v>0</v>
      </c>
      <c r="G470" s="153" t="str">
        <f t="shared" si="15"/>
        <v>OK</v>
      </c>
      <c r="H470" s="153" t="b">
        <v>1</v>
      </c>
    </row>
    <row r="471" spans="1:8" x14ac:dyDescent="0.3">
      <c r="A471" s="153" t="s">
        <v>2482</v>
      </c>
      <c r="B471" s="153" t="s">
        <v>2762</v>
      </c>
      <c r="C471" s="153" t="s">
        <v>3028</v>
      </c>
      <c r="D471" s="153">
        <v>122</v>
      </c>
      <c r="E471" s="153">
        <v>122</v>
      </c>
      <c r="F471" s="153">
        <f t="shared" si="14"/>
        <v>0</v>
      </c>
      <c r="G471" s="153" t="str">
        <f t="shared" si="15"/>
        <v>OK</v>
      </c>
      <c r="H471" s="153" t="b">
        <v>1</v>
      </c>
    </row>
    <row r="472" spans="1:8" x14ac:dyDescent="0.3">
      <c r="A472" s="153" t="s">
        <v>2484</v>
      </c>
      <c r="B472" s="153" t="s">
        <v>2762</v>
      </c>
      <c r="C472" s="153" t="s">
        <v>3029</v>
      </c>
      <c r="D472" s="153">
        <v>854</v>
      </c>
      <c r="E472" s="153">
        <v>854</v>
      </c>
      <c r="F472" s="153">
        <f t="shared" si="14"/>
        <v>0</v>
      </c>
      <c r="G472" s="153" t="str">
        <f t="shared" si="15"/>
        <v>OK</v>
      </c>
      <c r="H472" s="153" t="b">
        <v>1</v>
      </c>
    </row>
    <row r="473" spans="1:8" x14ac:dyDescent="0.3">
      <c r="A473" s="153" t="s">
        <v>2486</v>
      </c>
      <c r="B473" s="153" t="s">
        <v>2762</v>
      </c>
      <c r="C473" s="153" t="s">
        <v>3030</v>
      </c>
      <c r="D473" s="153">
        <v>11106.32</v>
      </c>
      <c r="E473" s="153">
        <v>11106.32</v>
      </c>
      <c r="F473" s="153">
        <f t="shared" si="14"/>
        <v>0</v>
      </c>
      <c r="G473" s="153" t="str">
        <f t="shared" si="15"/>
        <v>OK</v>
      </c>
      <c r="H473" s="153" t="b">
        <v>1</v>
      </c>
    </row>
    <row r="474" spans="1:8" x14ac:dyDescent="0.3">
      <c r="A474" s="153" t="s">
        <v>2488</v>
      </c>
      <c r="B474" s="153" t="s">
        <v>2762</v>
      </c>
      <c r="C474" s="153" t="s">
        <v>3031</v>
      </c>
      <c r="D474" s="153">
        <v>5443.6399999999994</v>
      </c>
      <c r="E474" s="153">
        <v>5443.6399999999994</v>
      </c>
      <c r="F474" s="153">
        <f t="shared" si="14"/>
        <v>0</v>
      </c>
      <c r="G474" s="153" t="str">
        <f t="shared" si="15"/>
        <v>OK</v>
      </c>
      <c r="H474" s="153" t="b">
        <v>1</v>
      </c>
    </row>
    <row r="475" spans="1:8" x14ac:dyDescent="0.3">
      <c r="A475" s="153" t="s">
        <v>2490</v>
      </c>
      <c r="B475" s="153" t="s">
        <v>2762</v>
      </c>
      <c r="C475" s="153" t="s">
        <v>3032</v>
      </c>
      <c r="D475" s="153">
        <v>31.25</v>
      </c>
      <c r="E475" s="153">
        <v>31.25</v>
      </c>
      <c r="F475" s="153">
        <f t="shared" si="14"/>
        <v>0</v>
      </c>
      <c r="G475" s="153" t="str">
        <f t="shared" si="15"/>
        <v>OK</v>
      </c>
      <c r="H475" s="153" t="b">
        <v>1</v>
      </c>
    </row>
    <row r="476" spans="1:8" x14ac:dyDescent="0.3">
      <c r="A476" s="153" t="s">
        <v>2492</v>
      </c>
      <c r="B476" s="153" t="s">
        <v>2762</v>
      </c>
      <c r="C476" s="153" t="s">
        <v>3033</v>
      </c>
      <c r="D476" s="153">
        <v>8.692499999999999</v>
      </c>
      <c r="E476" s="153">
        <v>8.692499999999999</v>
      </c>
      <c r="F476" s="153">
        <f t="shared" si="14"/>
        <v>0</v>
      </c>
      <c r="G476" s="153" t="str">
        <f t="shared" si="15"/>
        <v>OK</v>
      </c>
      <c r="H476" s="153" t="b">
        <v>1</v>
      </c>
    </row>
    <row r="477" spans="1:8" x14ac:dyDescent="0.3">
      <c r="A477" s="153" t="s">
        <v>2494</v>
      </c>
      <c r="B477" s="153" t="s">
        <v>2762</v>
      </c>
      <c r="C477" s="153" t="s">
        <v>3034</v>
      </c>
      <c r="D477" s="153">
        <v>0</v>
      </c>
      <c r="E477" s="153">
        <v>0</v>
      </c>
      <c r="F477" s="153">
        <f t="shared" si="14"/>
        <v>0</v>
      </c>
      <c r="G477" s="153" t="str">
        <f t="shared" si="15"/>
        <v>OK</v>
      </c>
      <c r="H477" s="153" t="b">
        <v>1</v>
      </c>
    </row>
    <row r="478" spans="1:8" x14ac:dyDescent="0.3">
      <c r="A478" s="153" t="s">
        <v>2496</v>
      </c>
      <c r="B478" s="153" t="s">
        <v>2762</v>
      </c>
      <c r="C478" s="153" t="s">
        <v>3035</v>
      </c>
      <c r="D478" s="153">
        <v>0</v>
      </c>
      <c r="E478" s="153">
        <v>0</v>
      </c>
      <c r="F478" s="153">
        <f t="shared" si="14"/>
        <v>0</v>
      </c>
      <c r="G478" s="153" t="str">
        <f t="shared" si="15"/>
        <v>OK</v>
      </c>
      <c r="H478" s="153" t="b">
        <v>1</v>
      </c>
    </row>
    <row r="479" spans="1:8" x14ac:dyDescent="0.3">
      <c r="A479" s="153" t="s">
        <v>2498</v>
      </c>
      <c r="B479" s="153" t="s">
        <v>2762</v>
      </c>
      <c r="C479" s="153" t="s">
        <v>3036</v>
      </c>
      <c r="D479" s="153">
        <v>40</v>
      </c>
      <c r="E479" s="153">
        <v>40</v>
      </c>
      <c r="F479" s="153">
        <f t="shared" si="14"/>
        <v>0</v>
      </c>
      <c r="G479" s="153" t="str">
        <f t="shared" si="15"/>
        <v>OK</v>
      </c>
      <c r="H479" s="153" t="b">
        <v>1</v>
      </c>
    </row>
    <row r="480" spans="1:8" x14ac:dyDescent="0.3">
      <c r="A480" s="153" t="s">
        <v>2500</v>
      </c>
      <c r="B480" s="153" t="s">
        <v>2762</v>
      </c>
      <c r="C480" s="153" t="s">
        <v>3037</v>
      </c>
      <c r="D480" s="153">
        <v>44</v>
      </c>
      <c r="E480" s="153">
        <v>44</v>
      </c>
      <c r="F480" s="153">
        <f t="shared" si="14"/>
        <v>0</v>
      </c>
      <c r="G480" s="153" t="str">
        <f t="shared" si="15"/>
        <v>OK</v>
      </c>
      <c r="H480" s="153" t="b">
        <v>1</v>
      </c>
    </row>
    <row r="481" spans="1:8" x14ac:dyDescent="0.3">
      <c r="A481" s="153" t="s">
        <v>2502</v>
      </c>
      <c r="B481" s="153" t="s">
        <v>2762</v>
      </c>
      <c r="C481" s="153" t="s">
        <v>3038</v>
      </c>
      <c r="D481" s="153">
        <v>44</v>
      </c>
      <c r="E481" s="153">
        <v>44</v>
      </c>
      <c r="F481" s="153">
        <f t="shared" si="14"/>
        <v>0</v>
      </c>
      <c r="G481" s="153" t="str">
        <f t="shared" si="15"/>
        <v>OK</v>
      </c>
      <c r="H481" s="153" t="b">
        <v>1</v>
      </c>
    </row>
    <row r="482" spans="1:8" x14ac:dyDescent="0.3">
      <c r="A482" s="153" t="s">
        <v>2504</v>
      </c>
      <c r="B482" s="153" t="s">
        <v>2762</v>
      </c>
      <c r="C482" s="153" t="s">
        <v>3039</v>
      </c>
      <c r="D482" s="153">
        <v>4840</v>
      </c>
      <c r="E482" s="153">
        <v>4840</v>
      </c>
      <c r="F482" s="153">
        <f t="shared" si="14"/>
        <v>0</v>
      </c>
      <c r="G482" s="153" t="str">
        <f t="shared" si="15"/>
        <v>OK</v>
      </c>
      <c r="H482" s="153" t="b">
        <v>1</v>
      </c>
    </row>
    <row r="483" spans="1:8" x14ac:dyDescent="0.3">
      <c r="A483" s="153" t="s">
        <v>2506</v>
      </c>
      <c r="B483" s="153" t="s">
        <v>2762</v>
      </c>
      <c r="C483" s="153" t="s">
        <v>3040</v>
      </c>
      <c r="D483" s="153">
        <v>234</v>
      </c>
      <c r="E483" s="153">
        <v>234</v>
      </c>
      <c r="F483" s="153">
        <f t="shared" si="14"/>
        <v>0</v>
      </c>
      <c r="G483" s="153" t="str">
        <f t="shared" si="15"/>
        <v>OK</v>
      </c>
      <c r="H483" s="153" t="b">
        <v>1</v>
      </c>
    </row>
    <row r="484" spans="1:8" x14ac:dyDescent="0.3">
      <c r="A484" s="153" t="s">
        <v>2508</v>
      </c>
      <c r="B484" s="153" t="s">
        <v>2762</v>
      </c>
      <c r="C484" s="153" t="s">
        <v>3041</v>
      </c>
      <c r="D484" s="153">
        <v>468</v>
      </c>
      <c r="E484" s="153">
        <v>468</v>
      </c>
      <c r="F484" s="153">
        <f t="shared" si="14"/>
        <v>0</v>
      </c>
      <c r="G484" s="153" t="str">
        <f t="shared" si="15"/>
        <v>OK</v>
      </c>
      <c r="H484" s="153" t="b">
        <v>1</v>
      </c>
    </row>
    <row r="485" spans="1:8" x14ac:dyDescent="0.3">
      <c r="A485" s="153" t="s">
        <v>2510</v>
      </c>
      <c r="B485" s="153" t="s">
        <v>2762</v>
      </c>
      <c r="C485" s="153" t="s">
        <v>3042</v>
      </c>
      <c r="D485" s="153">
        <v>1775.190491803279</v>
      </c>
      <c r="E485" s="153">
        <v>1775.190491803279</v>
      </c>
      <c r="F485" s="153">
        <f t="shared" si="14"/>
        <v>0</v>
      </c>
      <c r="G485" s="153" t="str">
        <f t="shared" si="15"/>
        <v>OK</v>
      </c>
      <c r="H485" s="153" t="b">
        <v>1</v>
      </c>
    </row>
    <row r="486" spans="1:8" x14ac:dyDescent="0.3">
      <c r="A486" s="153" t="s">
        <v>2512</v>
      </c>
      <c r="B486" s="153" t="s">
        <v>2762</v>
      </c>
      <c r="C486" s="153" t="s">
        <v>3043</v>
      </c>
      <c r="D486" s="153">
        <v>0</v>
      </c>
      <c r="E486" s="153">
        <v>0</v>
      </c>
      <c r="F486" s="153">
        <f t="shared" si="14"/>
        <v>0</v>
      </c>
      <c r="G486" s="153" t="str">
        <f t="shared" si="15"/>
        <v>OK</v>
      </c>
      <c r="H486" s="153" t="b">
        <v>1</v>
      </c>
    </row>
    <row r="487" spans="1:8" x14ac:dyDescent="0.3">
      <c r="A487" s="153" t="s">
        <v>2514</v>
      </c>
      <c r="B487" s="153" t="s">
        <v>2762</v>
      </c>
      <c r="C487" s="153" t="s">
        <v>3044</v>
      </c>
      <c r="D487" s="153">
        <v>14500</v>
      </c>
      <c r="E487" s="153">
        <v>14500</v>
      </c>
      <c r="F487" s="153">
        <f t="shared" si="14"/>
        <v>0</v>
      </c>
      <c r="G487" s="153" t="str">
        <f t="shared" si="15"/>
        <v>OK</v>
      </c>
      <c r="H487" s="153" t="b">
        <v>1</v>
      </c>
    </row>
    <row r="488" spans="1:8" x14ac:dyDescent="0.3">
      <c r="A488" s="153" t="s">
        <v>2516</v>
      </c>
      <c r="B488" s="153" t="s">
        <v>2762</v>
      </c>
      <c r="C488" s="153" t="s">
        <v>3045</v>
      </c>
      <c r="D488" s="153">
        <v>33333.092991803278</v>
      </c>
      <c r="E488" s="153">
        <v>33333.092991803278</v>
      </c>
      <c r="F488" s="153">
        <f t="shared" si="14"/>
        <v>0</v>
      </c>
      <c r="G488" s="153" t="str">
        <f t="shared" si="15"/>
        <v>OK</v>
      </c>
      <c r="H488" s="153" t="b">
        <v>1</v>
      </c>
    </row>
    <row r="489" spans="1:8" x14ac:dyDescent="0.3">
      <c r="A489" s="153" t="s">
        <v>2518</v>
      </c>
      <c r="B489" s="153" t="s">
        <v>2762</v>
      </c>
      <c r="C489" s="153" t="s">
        <v>3046</v>
      </c>
      <c r="D489" s="153">
        <v>-28493.092991803282</v>
      </c>
      <c r="E489" s="153">
        <v>-28493.092991803282</v>
      </c>
      <c r="F489" s="153">
        <f t="shared" si="14"/>
        <v>0</v>
      </c>
      <c r="G489" s="153" t="str">
        <f t="shared" si="15"/>
        <v>OK</v>
      </c>
      <c r="H489" s="153" t="b">
        <v>1</v>
      </c>
    </row>
    <row r="490" spans="1:8" x14ac:dyDescent="0.3">
      <c r="A490" s="153" t="s">
        <v>2520</v>
      </c>
      <c r="B490" s="153" t="s">
        <v>2762</v>
      </c>
      <c r="C490" s="153" t="s">
        <v>3047</v>
      </c>
      <c r="D490" s="153">
        <v>0</v>
      </c>
      <c r="E490" s="153">
        <v>0</v>
      </c>
      <c r="F490" s="153">
        <f t="shared" si="14"/>
        <v>0</v>
      </c>
      <c r="G490" s="153" t="str">
        <f t="shared" si="15"/>
        <v>OK</v>
      </c>
      <c r="H490" s="153" t="b">
        <v>1</v>
      </c>
    </row>
    <row r="491" spans="1:8" x14ac:dyDescent="0.3">
      <c r="A491" s="153" t="s">
        <v>2522</v>
      </c>
      <c r="B491" s="153" t="s">
        <v>2762</v>
      </c>
      <c r="C491" s="153" t="s">
        <v>3048</v>
      </c>
      <c r="D491" s="153">
        <v>3</v>
      </c>
      <c r="E491" s="153">
        <v>3</v>
      </c>
      <c r="F491" s="153">
        <f t="shared" si="14"/>
        <v>0</v>
      </c>
      <c r="G491" s="153" t="str">
        <f t="shared" si="15"/>
        <v>OK</v>
      </c>
      <c r="H491" s="153" t="b">
        <v>1</v>
      </c>
    </row>
    <row r="492" spans="1:8" x14ac:dyDescent="0.3">
      <c r="A492" s="153" t="s">
        <v>2524</v>
      </c>
      <c r="B492" s="153" t="s">
        <v>2762</v>
      </c>
      <c r="C492" s="153" t="s">
        <v>3049</v>
      </c>
      <c r="D492" s="153">
        <v>0</v>
      </c>
      <c r="E492" s="153">
        <v>0</v>
      </c>
      <c r="F492" s="153">
        <f t="shared" si="14"/>
        <v>0</v>
      </c>
      <c r="G492" s="153" t="str">
        <f t="shared" si="15"/>
        <v>OK</v>
      </c>
      <c r="H492" s="153" t="b">
        <v>1</v>
      </c>
    </row>
    <row r="493" spans="1:8" x14ac:dyDescent="0.3">
      <c r="A493" s="153" t="s">
        <v>2526</v>
      </c>
      <c r="B493" s="153" t="s">
        <v>2762</v>
      </c>
      <c r="C493" s="153" t="s">
        <v>3050</v>
      </c>
      <c r="D493" s="153">
        <v>753.60000000000014</v>
      </c>
      <c r="E493" s="153">
        <v>753.6</v>
      </c>
      <c r="F493" s="153">
        <f t="shared" si="14"/>
        <v>-1.1368683772161603E-13</v>
      </c>
      <c r="G493" s="153" t="str">
        <f t="shared" si="15"/>
        <v>OK</v>
      </c>
      <c r="H493" s="153" t="b">
        <v>1</v>
      </c>
    </row>
    <row r="494" spans="1:8" x14ac:dyDescent="0.3">
      <c r="A494" s="153" t="s">
        <v>2528</v>
      </c>
      <c r="B494" s="153" t="s">
        <v>2762</v>
      </c>
      <c r="C494" s="153" t="s">
        <v>3051</v>
      </c>
      <c r="D494" s="153">
        <v>0</v>
      </c>
      <c r="E494" s="153">
        <v>0</v>
      </c>
      <c r="F494" s="153">
        <f t="shared" si="14"/>
        <v>0</v>
      </c>
      <c r="G494" s="153" t="str">
        <f t="shared" si="15"/>
        <v>OK</v>
      </c>
      <c r="H494" s="153" t="b">
        <v>1</v>
      </c>
    </row>
    <row r="495" spans="1:8" x14ac:dyDescent="0.3">
      <c r="A495" s="153" t="s">
        <v>2530</v>
      </c>
      <c r="B495" s="153" t="s">
        <v>2762</v>
      </c>
      <c r="C495" s="153" t="s">
        <v>3052</v>
      </c>
      <c r="D495" s="153">
        <v>2634</v>
      </c>
      <c r="E495" s="153">
        <v>2634</v>
      </c>
      <c r="F495" s="153">
        <f t="shared" si="14"/>
        <v>0</v>
      </c>
      <c r="G495" s="153" t="str">
        <f t="shared" si="15"/>
        <v>OK</v>
      </c>
      <c r="H495" s="153" t="b">
        <v>1</v>
      </c>
    </row>
    <row r="496" spans="1:8" x14ac:dyDescent="0.3">
      <c r="A496" s="153" t="s">
        <v>2532</v>
      </c>
      <c r="B496" s="153" t="s">
        <v>2762</v>
      </c>
      <c r="C496" s="153" t="s">
        <v>3053</v>
      </c>
      <c r="D496" s="153">
        <v>0</v>
      </c>
      <c r="E496" s="153">
        <v>0</v>
      </c>
      <c r="F496" s="153">
        <f t="shared" si="14"/>
        <v>0</v>
      </c>
      <c r="G496" s="153" t="str">
        <f t="shared" si="15"/>
        <v>OK</v>
      </c>
      <c r="H496" s="153" t="b">
        <v>1</v>
      </c>
    </row>
    <row r="497" spans="1:8" x14ac:dyDescent="0.3">
      <c r="A497" s="153" t="s">
        <v>2534</v>
      </c>
      <c r="B497" s="153" t="s">
        <v>2762</v>
      </c>
      <c r="C497" s="153" t="s">
        <v>3054</v>
      </c>
      <c r="D497" s="153">
        <v>0</v>
      </c>
      <c r="E497" s="153">
        <v>0</v>
      </c>
      <c r="F497" s="153">
        <f t="shared" si="14"/>
        <v>0</v>
      </c>
      <c r="G497" s="153" t="str">
        <f t="shared" si="15"/>
        <v>OK</v>
      </c>
      <c r="H497" s="153" t="b">
        <v>1</v>
      </c>
    </row>
    <row r="498" spans="1:8" x14ac:dyDescent="0.3">
      <c r="A498" s="153" t="s">
        <v>2536</v>
      </c>
      <c r="B498" s="153" t="s">
        <v>2762</v>
      </c>
      <c r="C498" s="153" t="s">
        <v>3055</v>
      </c>
      <c r="D498" s="153">
        <v>15438</v>
      </c>
      <c r="E498" s="153">
        <v>15438</v>
      </c>
      <c r="F498" s="153">
        <f t="shared" si="14"/>
        <v>0</v>
      </c>
      <c r="G498" s="153" t="str">
        <f t="shared" si="15"/>
        <v>OK</v>
      </c>
      <c r="H498" s="153" t="b">
        <v>1</v>
      </c>
    </row>
    <row r="499" spans="1:8" x14ac:dyDescent="0.3">
      <c r="A499" s="153" t="s">
        <v>2538</v>
      </c>
      <c r="B499" s="153" t="s">
        <v>2762</v>
      </c>
      <c r="C499" s="153" t="s">
        <v>3056</v>
      </c>
      <c r="D499" s="153">
        <v>0</v>
      </c>
      <c r="E499" s="153">
        <v>0</v>
      </c>
      <c r="F499" s="153">
        <f t="shared" si="14"/>
        <v>0</v>
      </c>
      <c r="G499" s="153" t="str">
        <f t="shared" si="15"/>
        <v>OK</v>
      </c>
      <c r="H499" s="153" t="b">
        <v>1</v>
      </c>
    </row>
    <row r="500" spans="1:8" x14ac:dyDescent="0.3">
      <c r="A500" s="153" t="s">
        <v>2540</v>
      </c>
      <c r="B500" s="153" t="s">
        <v>2762</v>
      </c>
      <c r="C500" s="153" t="s">
        <v>3057</v>
      </c>
      <c r="D500" s="153" t="b">
        <v>0</v>
      </c>
      <c r="E500" s="153" t="b">
        <v>0</v>
      </c>
      <c r="F500" s="153">
        <f t="shared" si="14"/>
        <v>0</v>
      </c>
      <c r="G500" s="153" t="str">
        <f t="shared" si="15"/>
        <v>OK</v>
      </c>
      <c r="H500" s="153" t="b">
        <v>1</v>
      </c>
    </row>
    <row r="501" spans="1:8" x14ac:dyDescent="0.3">
      <c r="A501" s="153" t="s">
        <v>2542</v>
      </c>
      <c r="B501" s="153" t="s">
        <v>2762</v>
      </c>
      <c r="C501" s="153" t="s">
        <v>3058</v>
      </c>
      <c r="D501" s="153" t="b">
        <v>0</v>
      </c>
      <c r="E501" s="153" t="b">
        <v>0</v>
      </c>
      <c r="F501" s="153">
        <f t="shared" si="14"/>
        <v>0</v>
      </c>
      <c r="G501" s="153" t="str">
        <f t="shared" si="15"/>
        <v>OK</v>
      </c>
      <c r="H501" s="153" t="b">
        <v>1</v>
      </c>
    </row>
    <row r="502" spans="1:8" x14ac:dyDescent="0.3">
      <c r="A502" s="153" t="s">
        <v>2544</v>
      </c>
      <c r="B502" s="153" t="s">
        <v>2762</v>
      </c>
      <c r="C502" s="153" t="s">
        <v>3059</v>
      </c>
      <c r="D502" s="153" t="b">
        <v>0</v>
      </c>
      <c r="E502" s="153" t="b">
        <v>0</v>
      </c>
      <c r="F502" s="153">
        <f t="shared" si="14"/>
        <v>0</v>
      </c>
      <c r="G502" s="153" t="str">
        <f t="shared" si="15"/>
        <v>OK</v>
      </c>
      <c r="H502" s="153" t="b">
        <v>1</v>
      </c>
    </row>
    <row r="503" spans="1:8" x14ac:dyDescent="0.3">
      <c r="A503" s="153" t="s">
        <v>2546</v>
      </c>
      <c r="B503" s="153" t="s">
        <v>2762</v>
      </c>
      <c r="C503" s="153" t="s">
        <v>3060</v>
      </c>
      <c r="D503" s="153" t="b">
        <v>0</v>
      </c>
      <c r="E503" s="153" t="b">
        <v>0</v>
      </c>
      <c r="F503" s="153">
        <f t="shared" si="14"/>
        <v>0</v>
      </c>
      <c r="G503" s="153" t="str">
        <f t="shared" si="15"/>
        <v>OK</v>
      </c>
      <c r="H503" s="153" t="b">
        <v>1</v>
      </c>
    </row>
    <row r="504" spans="1:8" x14ac:dyDescent="0.3">
      <c r="A504" s="153" t="s">
        <v>2548</v>
      </c>
      <c r="B504" s="153" t="s">
        <v>2762</v>
      </c>
      <c r="C504" s="153" t="s">
        <v>3061</v>
      </c>
      <c r="D504" s="153" t="b">
        <v>1</v>
      </c>
      <c r="E504" s="153" t="b">
        <v>1</v>
      </c>
      <c r="F504" s="153">
        <f t="shared" si="14"/>
        <v>0</v>
      </c>
      <c r="G504" s="153" t="str">
        <f t="shared" si="15"/>
        <v>OK</v>
      </c>
      <c r="H504" s="153" t="b">
        <v>1</v>
      </c>
    </row>
    <row r="505" spans="1:8" x14ac:dyDescent="0.3">
      <c r="A505" s="153" t="s">
        <v>2550</v>
      </c>
      <c r="B505" s="153" t="s">
        <v>2762</v>
      </c>
      <c r="C505" s="153" t="s">
        <v>3062</v>
      </c>
      <c r="D505" s="153" t="b">
        <v>1</v>
      </c>
      <c r="E505" s="153" t="b">
        <v>1</v>
      </c>
      <c r="F505" s="153">
        <f t="shared" si="14"/>
        <v>0</v>
      </c>
      <c r="G505" s="153" t="str">
        <f t="shared" si="15"/>
        <v>OK</v>
      </c>
      <c r="H505" s="153" t="b">
        <v>1</v>
      </c>
    </row>
    <row r="506" spans="1:8" x14ac:dyDescent="0.3">
      <c r="A506" s="153" t="s">
        <v>2552</v>
      </c>
      <c r="B506" s="153" t="s">
        <v>2762</v>
      </c>
      <c r="C506" s="153" t="s">
        <v>3063</v>
      </c>
      <c r="D506" s="153" t="b">
        <v>1</v>
      </c>
      <c r="E506" s="153" t="b">
        <v>1</v>
      </c>
      <c r="F506" s="153">
        <f t="shared" si="14"/>
        <v>0</v>
      </c>
      <c r="G506" s="153" t="str">
        <f t="shared" si="15"/>
        <v>OK</v>
      </c>
      <c r="H506" s="153" t="b">
        <v>1</v>
      </c>
    </row>
    <row r="507" spans="1:8" x14ac:dyDescent="0.3">
      <c r="A507" s="153" t="s">
        <v>2554</v>
      </c>
      <c r="B507" s="153" t="s">
        <v>2762</v>
      </c>
      <c r="C507" s="153" t="s">
        <v>3064</v>
      </c>
      <c r="D507" s="153" t="b">
        <v>0</v>
      </c>
      <c r="E507" s="153" t="b">
        <v>0</v>
      </c>
      <c r="F507" s="153">
        <f t="shared" si="14"/>
        <v>0</v>
      </c>
      <c r="G507" s="153" t="str">
        <f t="shared" si="15"/>
        <v>OK</v>
      </c>
      <c r="H507" s="153" t="b">
        <v>1</v>
      </c>
    </row>
    <row r="508" spans="1:8" x14ac:dyDescent="0.3">
      <c r="A508" s="153" t="s">
        <v>2556</v>
      </c>
      <c r="B508" s="153" t="s">
        <v>2762</v>
      </c>
      <c r="C508" s="153" t="s">
        <v>3065</v>
      </c>
      <c r="D508" s="153">
        <v>0</v>
      </c>
      <c r="E508" s="153">
        <v>0</v>
      </c>
      <c r="F508" s="153">
        <f t="shared" si="14"/>
        <v>0</v>
      </c>
      <c r="G508" s="153" t="str">
        <f t="shared" si="15"/>
        <v>OK</v>
      </c>
      <c r="H508" s="153" t="b">
        <v>1</v>
      </c>
    </row>
    <row r="509" spans="1:8" x14ac:dyDescent="0.3">
      <c r="A509" s="153" t="s">
        <v>2558</v>
      </c>
      <c r="B509" s="153" t="s">
        <v>2762</v>
      </c>
      <c r="C509" s="153" t="s">
        <v>3066</v>
      </c>
      <c r="D509" s="153">
        <v>23</v>
      </c>
      <c r="E509" s="153">
        <v>23</v>
      </c>
      <c r="F509" s="153">
        <f t="shared" si="14"/>
        <v>0</v>
      </c>
      <c r="G509" s="153" t="str">
        <f t="shared" si="15"/>
        <v>OK</v>
      </c>
      <c r="H509" s="153" t="b">
        <v>1</v>
      </c>
    </row>
    <row r="510" spans="1:8" x14ac:dyDescent="0.3">
      <c r="A510" s="153" t="s">
        <v>2560</v>
      </c>
      <c r="B510" s="153" t="s">
        <v>2762</v>
      </c>
      <c r="C510" s="153" t="s">
        <v>3067</v>
      </c>
      <c r="D510" s="153">
        <v>0</v>
      </c>
      <c r="E510" s="153">
        <v>0</v>
      </c>
      <c r="F510" s="153">
        <f t="shared" si="14"/>
        <v>0</v>
      </c>
      <c r="G510" s="153" t="str">
        <f t="shared" si="15"/>
        <v>OK</v>
      </c>
      <c r="H510" s="153" t="b">
        <v>1</v>
      </c>
    </row>
    <row r="511" spans="1:8" x14ac:dyDescent="0.3">
      <c r="A511" s="153" t="s">
        <v>2562</v>
      </c>
      <c r="B511" s="153" t="s">
        <v>2762</v>
      </c>
      <c r="C511" s="153" t="s">
        <v>3068</v>
      </c>
      <c r="D511" s="153">
        <v>3</v>
      </c>
      <c r="E511" s="153">
        <v>3</v>
      </c>
      <c r="F511" s="153">
        <f t="shared" si="14"/>
        <v>0</v>
      </c>
      <c r="G511" s="153" t="str">
        <f t="shared" si="15"/>
        <v>OK</v>
      </c>
      <c r="H511" s="153" t="b">
        <v>1</v>
      </c>
    </row>
    <row r="512" spans="1:8" x14ac:dyDescent="0.3">
      <c r="A512" s="153" t="s">
        <v>3069</v>
      </c>
      <c r="B512" s="153" t="s">
        <v>2762</v>
      </c>
      <c r="C512" s="153" t="s">
        <v>3070</v>
      </c>
      <c r="D512" s="153">
        <v>12</v>
      </c>
      <c r="E512" s="153">
        <v>12</v>
      </c>
      <c r="F512" s="153">
        <f t="shared" si="14"/>
        <v>0</v>
      </c>
      <c r="G512" s="153" t="str">
        <f t="shared" si="15"/>
        <v>OK</v>
      </c>
      <c r="H512" s="153" t="b">
        <v>1</v>
      </c>
    </row>
    <row r="513" spans="1:8" x14ac:dyDescent="0.3">
      <c r="A513" s="153" t="s">
        <v>3071</v>
      </c>
      <c r="B513" s="153" t="s">
        <v>2762</v>
      </c>
      <c r="C513" s="153" t="s">
        <v>3072</v>
      </c>
      <c r="D513" s="153">
        <v>17</v>
      </c>
      <c r="E513" s="153">
        <v>17</v>
      </c>
      <c r="F513" s="153">
        <f t="shared" si="14"/>
        <v>0</v>
      </c>
      <c r="G513" s="153" t="str">
        <f t="shared" si="15"/>
        <v>OK</v>
      </c>
      <c r="H513" s="153" t="b">
        <v>1</v>
      </c>
    </row>
    <row r="514" spans="1:8" x14ac:dyDescent="0.3">
      <c r="A514" s="153" t="s">
        <v>3073</v>
      </c>
      <c r="B514" s="153" t="s">
        <v>2762</v>
      </c>
      <c r="C514" s="153" t="s">
        <v>3074</v>
      </c>
      <c r="D514" s="153">
        <v>12</v>
      </c>
      <c r="E514" s="153">
        <v>12</v>
      </c>
      <c r="F514" s="153">
        <f t="shared" ref="F514:F577" si="16">IF(NOT(H514),"",IF(AND(ISNUMBER(D514),ISNUMBER(E514)),E514-D514,IF(D514=E514,0,1)))</f>
        <v>0</v>
      </c>
      <c r="G514" s="153" t="str">
        <f t="shared" ref="G514:G577" si="17">IF(NOT(H514),"PENDIENTE SIDE",IF(IF(AND(ISNUMBER(D514),ISNUMBER(E514)),IF(MOD(D514,1)=0,D514=E514,ABS(D514-E514)&lt;=0.000000001*MAX(1,ABS(D514),ABS(E514))),D514=E514),"OK","DIFERENCIA"))</f>
        <v>OK</v>
      </c>
      <c r="H514" s="153" t="b">
        <v>1</v>
      </c>
    </row>
    <row r="515" spans="1:8" x14ac:dyDescent="0.3">
      <c r="A515" s="153" t="s">
        <v>3075</v>
      </c>
      <c r="B515" s="153" t="s">
        <v>2762</v>
      </c>
      <c r="C515" s="153" t="s">
        <v>3076</v>
      </c>
      <c r="D515" s="153">
        <v>-5</v>
      </c>
      <c r="E515" s="153">
        <v>-5</v>
      </c>
      <c r="F515" s="153">
        <f t="shared" si="16"/>
        <v>0</v>
      </c>
      <c r="G515" s="153" t="str">
        <f t="shared" si="17"/>
        <v>OK</v>
      </c>
      <c r="H515" s="153" t="b">
        <v>1</v>
      </c>
    </row>
    <row r="516" spans="1:8" x14ac:dyDescent="0.3">
      <c r="A516" s="153" t="s">
        <v>3077</v>
      </c>
      <c r="B516" s="153" t="s">
        <v>2762</v>
      </c>
      <c r="C516" s="153" t="s">
        <v>3078</v>
      </c>
      <c r="D516" s="153">
        <v>5</v>
      </c>
      <c r="E516" s="153">
        <v>5</v>
      </c>
      <c r="F516" s="153">
        <f t="shared" si="16"/>
        <v>0</v>
      </c>
      <c r="G516" s="153" t="str">
        <f t="shared" si="17"/>
        <v>OK</v>
      </c>
      <c r="H516" s="153" t="b">
        <v>1</v>
      </c>
    </row>
    <row r="517" spans="1:8" x14ac:dyDescent="0.3">
      <c r="A517" s="153" t="s">
        <v>3079</v>
      </c>
      <c r="B517" s="153" t="s">
        <v>2762</v>
      </c>
      <c r="C517" s="153" t="s">
        <v>3080</v>
      </c>
      <c r="D517" s="153">
        <v>129.6</v>
      </c>
      <c r="E517" s="153">
        <v>129.6</v>
      </c>
      <c r="F517" s="153">
        <f t="shared" si="16"/>
        <v>0</v>
      </c>
      <c r="G517" s="153" t="str">
        <f t="shared" si="17"/>
        <v>OK</v>
      </c>
      <c r="H517" s="153" t="b">
        <v>1</v>
      </c>
    </row>
    <row r="518" spans="1:8" x14ac:dyDescent="0.3">
      <c r="A518" s="153" t="s">
        <v>3081</v>
      </c>
      <c r="B518" s="153" t="s">
        <v>2762</v>
      </c>
      <c r="C518" s="153" t="s">
        <v>3082</v>
      </c>
      <c r="D518" s="153">
        <v>0.94000000000000006</v>
      </c>
      <c r="E518" s="153">
        <v>0.94000000000000006</v>
      </c>
      <c r="F518" s="153">
        <f t="shared" si="16"/>
        <v>0</v>
      </c>
      <c r="G518" s="153" t="str">
        <f t="shared" si="17"/>
        <v>OK</v>
      </c>
      <c r="H518" s="153" t="b">
        <v>1</v>
      </c>
    </row>
    <row r="519" spans="1:8" x14ac:dyDescent="0.3">
      <c r="A519" s="153" t="s">
        <v>3083</v>
      </c>
      <c r="B519" s="153" t="s">
        <v>2762</v>
      </c>
      <c r="C519" s="153" t="s">
        <v>3084</v>
      </c>
      <c r="D519" s="153">
        <v>122</v>
      </c>
      <c r="E519" s="153">
        <v>122</v>
      </c>
      <c r="F519" s="153">
        <f t="shared" si="16"/>
        <v>0</v>
      </c>
      <c r="G519" s="153" t="str">
        <f t="shared" si="17"/>
        <v>OK</v>
      </c>
      <c r="H519" s="153" t="b">
        <v>1</v>
      </c>
    </row>
    <row r="520" spans="1:8" x14ac:dyDescent="0.3">
      <c r="A520" s="153" t="s">
        <v>3085</v>
      </c>
      <c r="B520" s="153" t="s">
        <v>2762</v>
      </c>
      <c r="C520" s="153" t="s">
        <v>3086</v>
      </c>
      <c r="D520" s="153">
        <v>122</v>
      </c>
      <c r="E520" s="153">
        <v>122</v>
      </c>
      <c r="F520" s="153">
        <f t="shared" si="16"/>
        <v>0</v>
      </c>
      <c r="G520" s="153" t="str">
        <f t="shared" si="17"/>
        <v>OK</v>
      </c>
      <c r="H520" s="153" t="b">
        <v>1</v>
      </c>
    </row>
    <row r="521" spans="1:8" x14ac:dyDescent="0.3">
      <c r="A521" s="153" t="s">
        <v>3087</v>
      </c>
      <c r="B521" s="153" t="s">
        <v>2762</v>
      </c>
      <c r="C521" s="153" t="s">
        <v>3088</v>
      </c>
      <c r="D521" s="153">
        <v>85.399999999999991</v>
      </c>
      <c r="E521" s="153">
        <v>85.4</v>
      </c>
      <c r="F521" s="153">
        <f t="shared" si="16"/>
        <v>1.4210854715202004E-14</v>
      </c>
      <c r="G521" s="153" t="str">
        <f t="shared" si="17"/>
        <v>OK</v>
      </c>
      <c r="H521" s="153" t="b">
        <v>1</v>
      </c>
    </row>
    <row r="522" spans="1:8" x14ac:dyDescent="0.3">
      <c r="A522" s="153" t="s">
        <v>3089</v>
      </c>
      <c r="B522" s="153" t="s">
        <v>2762</v>
      </c>
      <c r="C522" s="153" t="s">
        <v>3090</v>
      </c>
      <c r="D522" s="153">
        <v>122</v>
      </c>
      <c r="E522" s="153">
        <v>122</v>
      </c>
      <c r="F522" s="153">
        <f t="shared" si="16"/>
        <v>0</v>
      </c>
      <c r="G522" s="153" t="str">
        <f t="shared" si="17"/>
        <v>OK</v>
      </c>
      <c r="H522" s="153" t="b">
        <v>1</v>
      </c>
    </row>
    <row r="523" spans="1:8" x14ac:dyDescent="0.3">
      <c r="A523" s="153" t="s">
        <v>3091</v>
      </c>
      <c r="B523" s="153" t="s">
        <v>2762</v>
      </c>
      <c r="C523" s="153" t="s">
        <v>3092</v>
      </c>
      <c r="D523" s="153">
        <v>1586</v>
      </c>
      <c r="E523" s="153">
        <v>1586</v>
      </c>
      <c r="F523" s="153">
        <f t="shared" si="16"/>
        <v>0</v>
      </c>
      <c r="G523" s="153" t="str">
        <f t="shared" si="17"/>
        <v>OK</v>
      </c>
      <c r="H523" s="153" t="b">
        <v>1</v>
      </c>
    </row>
    <row r="524" spans="1:8" x14ac:dyDescent="0.3">
      <c r="A524" s="153" t="s">
        <v>3093</v>
      </c>
      <c r="B524" s="153" t="s">
        <v>2762</v>
      </c>
      <c r="C524" s="153" t="s">
        <v>3094</v>
      </c>
      <c r="D524" s="153">
        <v>11979.153846153849</v>
      </c>
      <c r="E524" s="153">
        <v>11979.153846153849</v>
      </c>
      <c r="F524" s="153">
        <f t="shared" si="16"/>
        <v>0</v>
      </c>
      <c r="G524" s="153" t="str">
        <f t="shared" si="17"/>
        <v>OK</v>
      </c>
      <c r="H524" s="153" t="b">
        <v>1</v>
      </c>
    </row>
    <row r="525" spans="1:8" x14ac:dyDescent="0.3">
      <c r="A525" s="153" t="s">
        <v>3095</v>
      </c>
      <c r="B525" s="153" t="s">
        <v>2762</v>
      </c>
      <c r="C525" s="153" t="s">
        <v>3096</v>
      </c>
      <c r="D525" s="153">
        <v>16984.156800000001</v>
      </c>
      <c r="E525" s="153">
        <v>16984.156800000001</v>
      </c>
      <c r="F525" s="153">
        <f t="shared" si="16"/>
        <v>0</v>
      </c>
      <c r="G525" s="153" t="str">
        <f t="shared" si="17"/>
        <v>OK</v>
      </c>
      <c r="H525" s="153" t="b">
        <v>1</v>
      </c>
    </row>
    <row r="526" spans="1:8" x14ac:dyDescent="0.3">
      <c r="A526" s="153" t="s">
        <v>3097</v>
      </c>
      <c r="B526" s="153" t="s">
        <v>2762</v>
      </c>
      <c r="C526" s="153" t="s">
        <v>3098</v>
      </c>
      <c r="D526" s="153">
        <v>50</v>
      </c>
      <c r="E526" s="153">
        <v>50</v>
      </c>
      <c r="F526" s="153">
        <f t="shared" si="16"/>
        <v>0</v>
      </c>
      <c r="G526" s="153" t="str">
        <f t="shared" si="17"/>
        <v>OK</v>
      </c>
      <c r="H526" s="153" t="b">
        <v>1</v>
      </c>
    </row>
    <row r="527" spans="1:8" x14ac:dyDescent="0.3">
      <c r="A527" s="153" t="s">
        <v>3099</v>
      </c>
      <c r="B527" s="153" t="s">
        <v>2762</v>
      </c>
      <c r="C527" s="153" t="s">
        <v>3100</v>
      </c>
      <c r="D527" s="153">
        <v>109.3181818181818</v>
      </c>
      <c r="E527" s="153">
        <v>109.3181818181818</v>
      </c>
      <c r="F527" s="153">
        <f t="shared" si="16"/>
        <v>0</v>
      </c>
      <c r="G527" s="153" t="str">
        <f t="shared" si="17"/>
        <v>OK</v>
      </c>
      <c r="H527" s="153" t="b">
        <v>1</v>
      </c>
    </row>
    <row r="528" spans="1:8" x14ac:dyDescent="0.3">
      <c r="A528" s="153" t="s">
        <v>3101</v>
      </c>
      <c r="B528" s="153" t="s">
        <v>2762</v>
      </c>
      <c r="C528" s="153" t="s">
        <v>3102</v>
      </c>
      <c r="D528" s="153">
        <v>20</v>
      </c>
      <c r="E528" s="153">
        <v>20</v>
      </c>
      <c r="F528" s="153">
        <f t="shared" si="16"/>
        <v>0</v>
      </c>
      <c r="G528" s="153" t="str">
        <f t="shared" si="17"/>
        <v>OK</v>
      </c>
      <c r="H528" s="153" t="b">
        <v>1</v>
      </c>
    </row>
    <row r="529" spans="1:8" x14ac:dyDescent="0.3">
      <c r="A529" s="153" t="s">
        <v>3103</v>
      </c>
      <c r="B529" s="153" t="s">
        <v>2762</v>
      </c>
      <c r="C529" s="153" t="s">
        <v>3104</v>
      </c>
      <c r="D529" s="153">
        <v>22</v>
      </c>
      <c r="E529" s="153">
        <v>22</v>
      </c>
      <c r="F529" s="153">
        <f t="shared" si="16"/>
        <v>0</v>
      </c>
      <c r="G529" s="153" t="str">
        <f t="shared" si="17"/>
        <v>OK</v>
      </c>
      <c r="H529" s="153" t="b">
        <v>1</v>
      </c>
    </row>
    <row r="530" spans="1:8" x14ac:dyDescent="0.3">
      <c r="A530" s="153" t="s">
        <v>3105</v>
      </c>
      <c r="B530" s="153" t="s">
        <v>2762</v>
      </c>
      <c r="C530" s="153" t="s">
        <v>3106</v>
      </c>
      <c r="D530" s="153">
        <v>40</v>
      </c>
      <c r="E530" s="153">
        <v>40</v>
      </c>
      <c r="F530" s="153">
        <f t="shared" si="16"/>
        <v>0</v>
      </c>
      <c r="G530" s="153" t="str">
        <f t="shared" si="17"/>
        <v>OK</v>
      </c>
      <c r="H530" s="153" t="b">
        <v>1</v>
      </c>
    </row>
    <row r="531" spans="1:8" x14ac:dyDescent="0.3">
      <c r="A531" s="153" t="s">
        <v>3107</v>
      </c>
      <c r="B531" s="153" t="s">
        <v>2762</v>
      </c>
      <c r="C531" s="153" t="s">
        <v>3108</v>
      </c>
      <c r="D531" s="153">
        <v>44</v>
      </c>
      <c r="E531" s="153">
        <v>44</v>
      </c>
      <c r="F531" s="153">
        <f t="shared" si="16"/>
        <v>0</v>
      </c>
      <c r="G531" s="153" t="str">
        <f t="shared" si="17"/>
        <v>OK</v>
      </c>
      <c r="H531" s="153" t="b">
        <v>1</v>
      </c>
    </row>
    <row r="532" spans="1:8" x14ac:dyDescent="0.3">
      <c r="A532" s="153" t="s">
        <v>3109</v>
      </c>
      <c r="B532" s="153" t="s">
        <v>2762</v>
      </c>
      <c r="C532" s="153" t="s">
        <v>3110</v>
      </c>
      <c r="D532" s="153">
        <v>44</v>
      </c>
      <c r="E532" s="153">
        <v>44</v>
      </c>
      <c r="F532" s="153">
        <f t="shared" si="16"/>
        <v>0</v>
      </c>
      <c r="G532" s="153" t="str">
        <f t="shared" si="17"/>
        <v>OK</v>
      </c>
      <c r="H532" s="153" t="b">
        <v>1</v>
      </c>
    </row>
    <row r="533" spans="1:8" x14ac:dyDescent="0.3">
      <c r="A533" s="153" t="s">
        <v>3111</v>
      </c>
      <c r="B533" s="153" t="s">
        <v>2762</v>
      </c>
      <c r="C533" s="153" t="s">
        <v>3112</v>
      </c>
      <c r="D533" s="153">
        <v>16016</v>
      </c>
      <c r="E533" s="153">
        <v>16016</v>
      </c>
      <c r="F533" s="153">
        <f t="shared" si="16"/>
        <v>0</v>
      </c>
      <c r="G533" s="153" t="str">
        <f t="shared" si="17"/>
        <v>OK</v>
      </c>
      <c r="H533" s="153" t="b">
        <v>1</v>
      </c>
    </row>
    <row r="534" spans="1:8" x14ac:dyDescent="0.3">
      <c r="A534" s="153" t="s">
        <v>3113</v>
      </c>
      <c r="B534" s="153" t="s">
        <v>2762</v>
      </c>
      <c r="C534" s="153" t="s">
        <v>3114</v>
      </c>
      <c r="D534" s="153">
        <v>234</v>
      </c>
      <c r="E534" s="153">
        <v>234</v>
      </c>
      <c r="F534" s="153">
        <f t="shared" si="16"/>
        <v>0</v>
      </c>
      <c r="G534" s="153" t="str">
        <f t="shared" si="17"/>
        <v>OK</v>
      </c>
      <c r="H534" s="153" t="b">
        <v>1</v>
      </c>
    </row>
    <row r="535" spans="1:8" x14ac:dyDescent="0.3">
      <c r="A535" s="153" t="s">
        <v>3115</v>
      </c>
      <c r="B535" s="153" t="s">
        <v>2762</v>
      </c>
      <c r="C535" s="153" t="s">
        <v>3116</v>
      </c>
      <c r="D535" s="153">
        <v>468</v>
      </c>
      <c r="E535" s="153">
        <v>468</v>
      </c>
      <c r="F535" s="153">
        <f t="shared" si="16"/>
        <v>0</v>
      </c>
      <c r="G535" s="153" t="str">
        <f t="shared" si="17"/>
        <v>OK</v>
      </c>
      <c r="H535" s="153" t="b">
        <v>1</v>
      </c>
    </row>
    <row r="536" spans="1:8" x14ac:dyDescent="0.3">
      <c r="A536" s="153" t="s">
        <v>3117</v>
      </c>
      <c r="B536" s="153" t="s">
        <v>2762</v>
      </c>
      <c r="C536" s="153" t="s">
        <v>3118</v>
      </c>
      <c r="D536" s="153">
        <v>1914.700819672131</v>
      </c>
      <c r="E536" s="153">
        <v>1914.700819672131</v>
      </c>
      <c r="F536" s="153">
        <f t="shared" si="16"/>
        <v>0</v>
      </c>
      <c r="G536" s="153" t="str">
        <f t="shared" si="17"/>
        <v>OK</v>
      </c>
      <c r="H536" s="153" t="b">
        <v>1</v>
      </c>
    </row>
    <row r="537" spans="1:8" x14ac:dyDescent="0.3">
      <c r="A537" s="153" t="s">
        <v>3119</v>
      </c>
      <c r="B537" s="153" t="s">
        <v>2762</v>
      </c>
      <c r="C537" s="153" t="s">
        <v>3120</v>
      </c>
      <c r="D537" s="153">
        <v>440</v>
      </c>
      <c r="E537" s="153">
        <v>440</v>
      </c>
      <c r="F537" s="153">
        <f t="shared" si="16"/>
        <v>0</v>
      </c>
      <c r="G537" s="153" t="str">
        <f t="shared" si="17"/>
        <v>OK</v>
      </c>
      <c r="H537" s="153" t="b">
        <v>1</v>
      </c>
    </row>
    <row r="538" spans="1:8" x14ac:dyDescent="0.3">
      <c r="A538" s="153" t="s">
        <v>3121</v>
      </c>
      <c r="B538" s="153" t="s">
        <v>2762</v>
      </c>
      <c r="C538" s="153" t="s">
        <v>3122</v>
      </c>
      <c r="D538" s="153">
        <v>13500</v>
      </c>
      <c r="E538" s="153">
        <v>13500</v>
      </c>
      <c r="F538" s="153">
        <f t="shared" si="16"/>
        <v>0</v>
      </c>
      <c r="G538" s="153" t="str">
        <f t="shared" si="17"/>
        <v>OK</v>
      </c>
      <c r="H538" s="153" t="b">
        <v>1</v>
      </c>
    </row>
    <row r="539" spans="1:8" x14ac:dyDescent="0.3">
      <c r="A539" s="153" t="s">
        <v>3123</v>
      </c>
      <c r="B539" s="153" t="s">
        <v>2762</v>
      </c>
      <c r="C539" s="153" t="s">
        <v>3124</v>
      </c>
      <c r="D539" s="153">
        <v>45445.329647644161</v>
      </c>
      <c r="E539" s="153">
        <v>45445.329647644161</v>
      </c>
      <c r="F539" s="153">
        <f t="shared" si="16"/>
        <v>0</v>
      </c>
      <c r="G539" s="153" t="str">
        <f t="shared" si="17"/>
        <v>OK</v>
      </c>
      <c r="H539" s="153" t="b">
        <v>1</v>
      </c>
    </row>
    <row r="540" spans="1:8" x14ac:dyDescent="0.3">
      <c r="A540" s="153" t="s">
        <v>3125</v>
      </c>
      <c r="B540" s="153" t="s">
        <v>2762</v>
      </c>
      <c r="C540" s="153" t="s">
        <v>3126</v>
      </c>
      <c r="D540" s="153">
        <v>-29429.329647644161</v>
      </c>
      <c r="E540" s="153">
        <v>-29429.329647644161</v>
      </c>
      <c r="F540" s="153">
        <f t="shared" si="16"/>
        <v>0</v>
      </c>
      <c r="G540" s="153" t="str">
        <f t="shared" si="17"/>
        <v>OK</v>
      </c>
      <c r="H540" s="153" t="b">
        <v>1</v>
      </c>
    </row>
    <row r="541" spans="1:8" x14ac:dyDescent="0.3">
      <c r="A541" s="153" t="s">
        <v>3127</v>
      </c>
      <c r="B541" s="153" t="s">
        <v>2762</v>
      </c>
      <c r="C541" s="153" t="s">
        <v>3128</v>
      </c>
      <c r="D541" s="153">
        <v>0</v>
      </c>
      <c r="E541" s="153">
        <v>0</v>
      </c>
      <c r="F541" s="153">
        <f t="shared" si="16"/>
        <v>0</v>
      </c>
      <c r="G541" s="153" t="str">
        <f t="shared" si="17"/>
        <v>OK</v>
      </c>
      <c r="H541" s="153" t="b">
        <v>1</v>
      </c>
    </row>
    <row r="542" spans="1:8" x14ac:dyDescent="0.3">
      <c r="A542" s="153" t="s">
        <v>3129</v>
      </c>
      <c r="B542" s="153" t="s">
        <v>2762</v>
      </c>
      <c r="C542" s="153" t="s">
        <v>3130</v>
      </c>
      <c r="D542" s="153">
        <v>3</v>
      </c>
      <c r="E542" s="153">
        <v>3</v>
      </c>
      <c r="F542" s="153">
        <f t="shared" si="16"/>
        <v>0</v>
      </c>
      <c r="G542" s="153" t="str">
        <f t="shared" si="17"/>
        <v>OK</v>
      </c>
      <c r="H542" s="153" t="b">
        <v>1</v>
      </c>
    </row>
    <row r="543" spans="1:8" x14ac:dyDescent="0.3">
      <c r="A543" s="153" t="s">
        <v>3131</v>
      </c>
      <c r="B543" s="153" t="s">
        <v>2762</v>
      </c>
      <c r="C543" s="153" t="s">
        <v>3132</v>
      </c>
      <c r="D543" s="153">
        <v>0</v>
      </c>
      <c r="E543" s="153">
        <v>0</v>
      </c>
      <c r="F543" s="153">
        <f t="shared" si="16"/>
        <v>0</v>
      </c>
      <c r="G543" s="153" t="str">
        <f t="shared" si="17"/>
        <v>OK</v>
      </c>
      <c r="H543" s="153" t="b">
        <v>1</v>
      </c>
    </row>
    <row r="544" spans="1:8" x14ac:dyDescent="0.3">
      <c r="A544" s="153" t="s">
        <v>3133</v>
      </c>
      <c r="B544" s="153" t="s">
        <v>2762</v>
      </c>
      <c r="C544" s="153" t="s">
        <v>3134</v>
      </c>
      <c r="D544" s="153">
        <v>0</v>
      </c>
      <c r="E544" s="153">
        <v>0</v>
      </c>
      <c r="F544" s="153">
        <f t="shared" si="16"/>
        <v>0</v>
      </c>
      <c r="G544" s="153" t="str">
        <f t="shared" si="17"/>
        <v>OK</v>
      </c>
      <c r="H544" s="153" t="b">
        <v>1</v>
      </c>
    </row>
    <row r="545" spans="1:8" x14ac:dyDescent="0.3">
      <c r="A545" s="153" t="s">
        <v>3135</v>
      </c>
      <c r="B545" s="153" t="s">
        <v>2762</v>
      </c>
      <c r="C545" s="153" t="s">
        <v>3136</v>
      </c>
      <c r="D545" s="153">
        <v>643.80000000000007</v>
      </c>
      <c r="E545" s="153">
        <v>643.79999999999995</v>
      </c>
      <c r="F545" s="153">
        <f t="shared" si="16"/>
        <v>-1.1368683772161603E-13</v>
      </c>
      <c r="G545" s="153" t="str">
        <f t="shared" si="17"/>
        <v>OK</v>
      </c>
      <c r="H545" s="153" t="b">
        <v>1</v>
      </c>
    </row>
    <row r="546" spans="1:8" x14ac:dyDescent="0.3">
      <c r="A546" s="153" t="s">
        <v>3137</v>
      </c>
      <c r="B546" s="153" t="s">
        <v>2762</v>
      </c>
      <c r="C546" s="153" t="s">
        <v>3138</v>
      </c>
      <c r="D546" s="153">
        <v>0</v>
      </c>
      <c r="E546" s="153">
        <v>0</v>
      </c>
      <c r="F546" s="153">
        <f t="shared" si="16"/>
        <v>0</v>
      </c>
      <c r="G546" s="153" t="str">
        <f t="shared" si="17"/>
        <v>OK</v>
      </c>
      <c r="H546" s="153" t="b">
        <v>1</v>
      </c>
    </row>
    <row r="547" spans="1:8" x14ac:dyDescent="0.3">
      <c r="A547" s="153" t="s">
        <v>3139</v>
      </c>
      <c r="B547" s="153" t="s">
        <v>2762</v>
      </c>
      <c r="C547" s="153" t="s">
        <v>3140</v>
      </c>
      <c r="D547" s="153">
        <v>2634</v>
      </c>
      <c r="E547" s="153">
        <v>2634</v>
      </c>
      <c r="F547" s="153">
        <f t="shared" si="16"/>
        <v>0</v>
      </c>
      <c r="G547" s="153" t="str">
        <f t="shared" si="17"/>
        <v>OK</v>
      </c>
      <c r="H547" s="153" t="b">
        <v>1</v>
      </c>
    </row>
    <row r="548" spans="1:8" x14ac:dyDescent="0.3">
      <c r="A548" s="153" t="s">
        <v>3141</v>
      </c>
      <c r="B548" s="153" t="s">
        <v>2762</v>
      </c>
      <c r="C548" s="153" t="s">
        <v>3142</v>
      </c>
      <c r="D548" s="153">
        <v>0</v>
      </c>
      <c r="E548" s="153">
        <v>0</v>
      </c>
      <c r="F548" s="153">
        <f t="shared" si="16"/>
        <v>0</v>
      </c>
      <c r="G548" s="153" t="str">
        <f t="shared" si="17"/>
        <v>OK</v>
      </c>
      <c r="H548" s="153" t="b">
        <v>1</v>
      </c>
    </row>
    <row r="549" spans="1:8" x14ac:dyDescent="0.3">
      <c r="A549" s="153" t="s">
        <v>3143</v>
      </c>
      <c r="B549" s="153" t="s">
        <v>2762</v>
      </c>
      <c r="C549" s="153" t="s">
        <v>3144</v>
      </c>
      <c r="D549" s="153">
        <v>0</v>
      </c>
      <c r="E549" s="153">
        <v>0</v>
      </c>
      <c r="F549" s="153">
        <f t="shared" si="16"/>
        <v>0</v>
      </c>
      <c r="G549" s="153" t="str">
        <f t="shared" si="17"/>
        <v>OK</v>
      </c>
      <c r="H549" s="153" t="b">
        <v>1</v>
      </c>
    </row>
    <row r="550" spans="1:8" x14ac:dyDescent="0.3">
      <c r="A550" s="153" t="s">
        <v>3145</v>
      </c>
      <c r="B550" s="153" t="s">
        <v>2762</v>
      </c>
      <c r="C550" s="153" t="s">
        <v>3146</v>
      </c>
      <c r="D550" s="153">
        <v>13242</v>
      </c>
      <c r="E550" s="153">
        <v>13242</v>
      </c>
      <c r="F550" s="153">
        <f t="shared" si="16"/>
        <v>0</v>
      </c>
      <c r="G550" s="153" t="str">
        <f t="shared" si="17"/>
        <v>OK</v>
      </c>
      <c r="H550" s="153" t="b">
        <v>1</v>
      </c>
    </row>
    <row r="551" spans="1:8" x14ac:dyDescent="0.3">
      <c r="A551" s="153" t="s">
        <v>3147</v>
      </c>
      <c r="B551" s="153" t="s">
        <v>2762</v>
      </c>
      <c r="C551" s="153" t="s">
        <v>3148</v>
      </c>
      <c r="D551" s="153" t="b">
        <v>0</v>
      </c>
      <c r="E551" s="153" t="b">
        <v>0</v>
      </c>
      <c r="F551" s="153">
        <f t="shared" si="16"/>
        <v>0</v>
      </c>
      <c r="G551" s="153" t="str">
        <f t="shared" si="17"/>
        <v>OK</v>
      </c>
      <c r="H551" s="153" t="b">
        <v>1</v>
      </c>
    </row>
    <row r="552" spans="1:8" x14ac:dyDescent="0.3">
      <c r="A552" s="153" t="s">
        <v>3149</v>
      </c>
      <c r="B552" s="153" t="s">
        <v>2762</v>
      </c>
      <c r="C552" s="153" t="s">
        <v>3150</v>
      </c>
      <c r="D552" s="153" t="b">
        <v>1</v>
      </c>
      <c r="E552" s="153" t="b">
        <v>1</v>
      </c>
      <c r="F552" s="153">
        <f t="shared" si="16"/>
        <v>0</v>
      </c>
      <c r="G552" s="153" t="str">
        <f t="shared" si="17"/>
        <v>OK</v>
      </c>
      <c r="H552" s="153" t="b">
        <v>1</v>
      </c>
    </row>
    <row r="553" spans="1:8" x14ac:dyDescent="0.3">
      <c r="A553" s="153" t="s">
        <v>3151</v>
      </c>
      <c r="B553" s="153" t="s">
        <v>2762</v>
      </c>
      <c r="C553" s="153" t="s">
        <v>3152</v>
      </c>
      <c r="D553" s="153" t="b">
        <v>0</v>
      </c>
      <c r="E553" s="153" t="b">
        <v>0</v>
      </c>
      <c r="F553" s="153">
        <f t="shared" si="16"/>
        <v>0</v>
      </c>
      <c r="G553" s="153" t="str">
        <f t="shared" si="17"/>
        <v>OK</v>
      </c>
      <c r="H553" s="153" t="b">
        <v>1</v>
      </c>
    </row>
    <row r="554" spans="1:8" x14ac:dyDescent="0.3">
      <c r="A554" s="153" t="s">
        <v>3153</v>
      </c>
      <c r="B554" s="153" t="s">
        <v>2762</v>
      </c>
      <c r="C554" s="153" t="s">
        <v>3154</v>
      </c>
      <c r="D554" s="153" t="b">
        <v>0</v>
      </c>
      <c r="E554" s="153" t="b">
        <v>0</v>
      </c>
      <c r="F554" s="153">
        <f t="shared" si="16"/>
        <v>0</v>
      </c>
      <c r="G554" s="153" t="str">
        <f t="shared" si="17"/>
        <v>OK</v>
      </c>
      <c r="H554" s="153" t="b">
        <v>1</v>
      </c>
    </row>
    <row r="555" spans="1:8" x14ac:dyDescent="0.3">
      <c r="A555" s="153" t="s">
        <v>3155</v>
      </c>
      <c r="B555" s="153" t="s">
        <v>2762</v>
      </c>
      <c r="C555" s="153" t="s">
        <v>3156</v>
      </c>
      <c r="D555" s="153" t="b">
        <v>1</v>
      </c>
      <c r="E555" s="153" t="b">
        <v>1</v>
      </c>
      <c r="F555" s="153">
        <f t="shared" si="16"/>
        <v>0</v>
      </c>
      <c r="G555" s="153" t="str">
        <f t="shared" si="17"/>
        <v>OK</v>
      </c>
      <c r="H555" s="153" t="b">
        <v>1</v>
      </c>
    </row>
    <row r="556" spans="1:8" x14ac:dyDescent="0.3">
      <c r="A556" s="153" t="s">
        <v>3157</v>
      </c>
      <c r="B556" s="153" t="s">
        <v>2762</v>
      </c>
      <c r="C556" s="153" t="s">
        <v>3158</v>
      </c>
      <c r="D556" s="153" t="b">
        <v>1</v>
      </c>
      <c r="E556" s="153" t="b">
        <v>1</v>
      </c>
      <c r="F556" s="153">
        <f t="shared" si="16"/>
        <v>0</v>
      </c>
      <c r="G556" s="153" t="str">
        <f t="shared" si="17"/>
        <v>OK</v>
      </c>
      <c r="H556" s="153" t="b">
        <v>1</v>
      </c>
    </row>
    <row r="557" spans="1:8" x14ac:dyDescent="0.3">
      <c r="A557" s="153" t="s">
        <v>3159</v>
      </c>
      <c r="B557" s="153" t="s">
        <v>2762</v>
      </c>
      <c r="C557" s="153" t="s">
        <v>3160</v>
      </c>
      <c r="D557" s="153" t="b">
        <v>1</v>
      </c>
      <c r="E557" s="153" t="b">
        <v>1</v>
      </c>
      <c r="F557" s="153">
        <f t="shared" si="16"/>
        <v>0</v>
      </c>
      <c r="G557" s="153" t="str">
        <f t="shared" si="17"/>
        <v>OK</v>
      </c>
      <c r="H557" s="153" t="b">
        <v>1</v>
      </c>
    </row>
    <row r="558" spans="1:8" x14ac:dyDescent="0.3">
      <c r="A558" s="153" t="s">
        <v>3161</v>
      </c>
      <c r="B558" s="153" t="s">
        <v>2762</v>
      </c>
      <c r="C558" s="153" t="s">
        <v>3162</v>
      </c>
      <c r="D558" s="153" t="b">
        <v>0</v>
      </c>
      <c r="E558" s="153" t="b">
        <v>0</v>
      </c>
      <c r="F558" s="153">
        <f t="shared" si="16"/>
        <v>0</v>
      </c>
      <c r="G558" s="153" t="str">
        <f t="shared" si="17"/>
        <v>OK</v>
      </c>
      <c r="H558" s="153" t="b">
        <v>1</v>
      </c>
    </row>
    <row r="559" spans="1:8" x14ac:dyDescent="0.3">
      <c r="A559" s="153" t="s">
        <v>3163</v>
      </c>
      <c r="B559" s="153" t="s">
        <v>2762</v>
      </c>
      <c r="C559" s="153" t="s">
        <v>3164</v>
      </c>
      <c r="D559" s="153">
        <v>0</v>
      </c>
      <c r="E559" s="153">
        <v>0</v>
      </c>
      <c r="F559" s="153">
        <f t="shared" si="16"/>
        <v>0</v>
      </c>
      <c r="G559" s="153" t="str">
        <f t="shared" si="17"/>
        <v>OK</v>
      </c>
      <c r="H559" s="153" t="b">
        <v>1</v>
      </c>
    </row>
    <row r="560" spans="1:8" x14ac:dyDescent="0.3">
      <c r="A560" s="153" t="s">
        <v>3165</v>
      </c>
      <c r="B560" s="153" t="s">
        <v>2762</v>
      </c>
      <c r="C560" s="153" t="s">
        <v>3166</v>
      </c>
      <c r="D560" s="153">
        <v>23</v>
      </c>
      <c r="E560" s="153">
        <v>23</v>
      </c>
      <c r="F560" s="153">
        <f t="shared" si="16"/>
        <v>0</v>
      </c>
      <c r="G560" s="153" t="str">
        <f t="shared" si="17"/>
        <v>OK</v>
      </c>
      <c r="H560" s="153" t="b">
        <v>1</v>
      </c>
    </row>
    <row r="561" spans="1:8" x14ac:dyDescent="0.3">
      <c r="A561" s="153" t="s">
        <v>3167</v>
      </c>
      <c r="B561" s="153" t="s">
        <v>2762</v>
      </c>
      <c r="C561" s="153" t="s">
        <v>3168</v>
      </c>
      <c r="D561" s="153">
        <v>0</v>
      </c>
      <c r="E561" s="153">
        <v>0</v>
      </c>
      <c r="F561" s="153">
        <f t="shared" si="16"/>
        <v>0</v>
      </c>
      <c r="G561" s="153" t="str">
        <f t="shared" si="17"/>
        <v>OK</v>
      </c>
      <c r="H561" s="153" t="b">
        <v>1</v>
      </c>
    </row>
    <row r="562" spans="1:8" x14ac:dyDescent="0.3">
      <c r="A562" s="153" t="s">
        <v>3169</v>
      </c>
      <c r="B562" s="153" t="s">
        <v>2762</v>
      </c>
      <c r="C562" s="153" t="s">
        <v>3170</v>
      </c>
      <c r="D562" s="153">
        <v>3</v>
      </c>
      <c r="E562" s="153">
        <v>3</v>
      </c>
      <c r="F562" s="153">
        <f t="shared" si="16"/>
        <v>0</v>
      </c>
      <c r="G562" s="153" t="str">
        <f t="shared" si="17"/>
        <v>OK</v>
      </c>
      <c r="H562" s="153" t="b">
        <v>1</v>
      </c>
    </row>
    <row r="563" spans="1:8" x14ac:dyDescent="0.3">
      <c r="A563" s="153" t="s">
        <v>3171</v>
      </c>
      <c r="B563" s="153" t="s">
        <v>2762</v>
      </c>
      <c r="C563" s="153" t="s">
        <v>3172</v>
      </c>
      <c r="D563" s="153">
        <v>4</v>
      </c>
      <c r="E563" s="153">
        <v>4</v>
      </c>
      <c r="F563" s="153">
        <f t="shared" si="16"/>
        <v>0</v>
      </c>
      <c r="G563" s="153" t="str">
        <f t="shared" si="17"/>
        <v>OK</v>
      </c>
      <c r="H563" s="153" t="b">
        <v>1</v>
      </c>
    </row>
    <row r="564" spans="1:8" x14ac:dyDescent="0.3">
      <c r="A564" s="153" t="s">
        <v>3173</v>
      </c>
      <c r="B564" s="153" t="s">
        <v>2762</v>
      </c>
      <c r="C564" s="153" t="s">
        <v>3174</v>
      </c>
      <c r="D564" s="153">
        <v>17</v>
      </c>
      <c r="E564" s="153">
        <v>17</v>
      </c>
      <c r="F564" s="153">
        <f t="shared" si="16"/>
        <v>0</v>
      </c>
      <c r="G564" s="153" t="str">
        <f t="shared" si="17"/>
        <v>OK</v>
      </c>
      <c r="H564" s="153" t="b">
        <v>1</v>
      </c>
    </row>
    <row r="565" spans="1:8" x14ac:dyDescent="0.3">
      <c r="A565" s="153" t="s">
        <v>3175</v>
      </c>
      <c r="B565" s="153" t="s">
        <v>2762</v>
      </c>
      <c r="C565" s="153" t="s">
        <v>3176</v>
      </c>
      <c r="D565" s="153">
        <v>9</v>
      </c>
      <c r="E565" s="153">
        <v>9</v>
      </c>
      <c r="F565" s="153">
        <f t="shared" si="16"/>
        <v>0</v>
      </c>
      <c r="G565" s="153" t="str">
        <f t="shared" si="17"/>
        <v>OK</v>
      </c>
      <c r="H565" s="153" t="b">
        <v>1</v>
      </c>
    </row>
    <row r="566" spans="1:8" x14ac:dyDescent="0.3">
      <c r="A566" s="153" t="s">
        <v>3177</v>
      </c>
      <c r="B566" s="153" t="s">
        <v>2762</v>
      </c>
      <c r="C566" s="153" t="s">
        <v>3178</v>
      </c>
      <c r="D566" s="153">
        <v>-3</v>
      </c>
      <c r="E566" s="153">
        <v>-3</v>
      </c>
      <c r="F566" s="153">
        <f t="shared" si="16"/>
        <v>0</v>
      </c>
      <c r="G566" s="153" t="str">
        <f t="shared" si="17"/>
        <v>OK</v>
      </c>
      <c r="H566" s="153" t="b">
        <v>1</v>
      </c>
    </row>
    <row r="567" spans="1:8" x14ac:dyDescent="0.3">
      <c r="A567" s="153" t="s">
        <v>3179</v>
      </c>
      <c r="B567" s="153" t="s">
        <v>2762</v>
      </c>
      <c r="C567" s="153" t="s">
        <v>3180</v>
      </c>
      <c r="D567" s="153">
        <v>5</v>
      </c>
      <c r="E567" s="153">
        <v>5</v>
      </c>
      <c r="F567" s="153">
        <f t="shared" si="16"/>
        <v>0</v>
      </c>
      <c r="G567" s="153" t="str">
        <f t="shared" si="17"/>
        <v>OK</v>
      </c>
      <c r="H567" s="153" t="b">
        <v>1</v>
      </c>
    </row>
    <row r="568" spans="1:8" x14ac:dyDescent="0.3">
      <c r="A568" s="153" t="s">
        <v>3181</v>
      </c>
      <c r="B568" s="153" t="s">
        <v>2762</v>
      </c>
      <c r="C568" s="153" t="s">
        <v>3182</v>
      </c>
      <c r="D568" s="153">
        <v>129.6</v>
      </c>
      <c r="E568" s="153">
        <v>129.6</v>
      </c>
      <c r="F568" s="153">
        <f t="shared" si="16"/>
        <v>0</v>
      </c>
      <c r="G568" s="153" t="str">
        <f t="shared" si="17"/>
        <v>OK</v>
      </c>
      <c r="H568" s="153" t="b">
        <v>1</v>
      </c>
    </row>
    <row r="569" spans="1:8" x14ac:dyDescent="0.3">
      <c r="A569" s="153" t="s">
        <v>3183</v>
      </c>
      <c r="B569" s="153" t="s">
        <v>2762</v>
      </c>
      <c r="C569" s="153" t="s">
        <v>3184</v>
      </c>
      <c r="D569" s="153">
        <v>0.94000000000000006</v>
      </c>
      <c r="E569" s="153">
        <v>0.94000000000000006</v>
      </c>
      <c r="F569" s="153">
        <f t="shared" si="16"/>
        <v>0</v>
      </c>
      <c r="G569" s="153" t="str">
        <f t="shared" si="17"/>
        <v>OK</v>
      </c>
      <c r="H569" s="153" t="b">
        <v>1</v>
      </c>
    </row>
    <row r="570" spans="1:8" x14ac:dyDescent="0.3">
      <c r="A570" s="153" t="s">
        <v>3185</v>
      </c>
      <c r="B570" s="153" t="s">
        <v>2762</v>
      </c>
      <c r="C570" s="153" t="s">
        <v>3186</v>
      </c>
      <c r="D570" s="153">
        <v>122</v>
      </c>
      <c r="E570" s="153">
        <v>122</v>
      </c>
      <c r="F570" s="153">
        <f t="shared" si="16"/>
        <v>0</v>
      </c>
      <c r="G570" s="153" t="str">
        <f t="shared" si="17"/>
        <v>OK</v>
      </c>
      <c r="H570" s="153" t="b">
        <v>1</v>
      </c>
    </row>
    <row r="571" spans="1:8" x14ac:dyDescent="0.3">
      <c r="A571" s="153" t="s">
        <v>3187</v>
      </c>
      <c r="B571" s="153" t="s">
        <v>2762</v>
      </c>
      <c r="C571" s="153" t="s">
        <v>3188</v>
      </c>
      <c r="D571" s="153">
        <v>122</v>
      </c>
      <c r="E571" s="153">
        <v>122</v>
      </c>
      <c r="F571" s="153">
        <f t="shared" si="16"/>
        <v>0</v>
      </c>
      <c r="G571" s="153" t="str">
        <f t="shared" si="17"/>
        <v>OK</v>
      </c>
      <c r="H571" s="153" t="b">
        <v>1</v>
      </c>
    </row>
    <row r="572" spans="1:8" x14ac:dyDescent="0.3">
      <c r="A572" s="153" t="s">
        <v>3189</v>
      </c>
      <c r="B572" s="153" t="s">
        <v>2762</v>
      </c>
      <c r="C572" s="153" t="s">
        <v>3190</v>
      </c>
      <c r="D572" s="153">
        <v>36.6</v>
      </c>
      <c r="E572" s="153">
        <v>36.6</v>
      </c>
      <c r="F572" s="153">
        <f t="shared" si="16"/>
        <v>0</v>
      </c>
      <c r="G572" s="153" t="str">
        <f t="shared" si="17"/>
        <v>OK</v>
      </c>
      <c r="H572" s="153" t="b">
        <v>1</v>
      </c>
    </row>
    <row r="573" spans="1:8" x14ac:dyDescent="0.3">
      <c r="A573" s="153" t="s">
        <v>3191</v>
      </c>
      <c r="B573" s="153" t="s">
        <v>2762</v>
      </c>
      <c r="C573" s="153" t="s">
        <v>3192</v>
      </c>
      <c r="D573" s="153">
        <v>122</v>
      </c>
      <c r="E573" s="153">
        <v>122</v>
      </c>
      <c r="F573" s="153">
        <f t="shared" si="16"/>
        <v>0</v>
      </c>
      <c r="G573" s="153" t="str">
        <f t="shared" si="17"/>
        <v>OK</v>
      </c>
      <c r="H573" s="153" t="b">
        <v>1</v>
      </c>
    </row>
    <row r="574" spans="1:8" x14ac:dyDescent="0.3">
      <c r="A574" s="153" t="s">
        <v>3193</v>
      </c>
      <c r="B574" s="153" t="s">
        <v>2762</v>
      </c>
      <c r="C574" s="153" t="s">
        <v>3194</v>
      </c>
      <c r="D574" s="153">
        <v>732</v>
      </c>
      <c r="E574" s="153">
        <v>732</v>
      </c>
      <c r="F574" s="153">
        <f t="shared" si="16"/>
        <v>0</v>
      </c>
      <c r="G574" s="153" t="str">
        <f t="shared" si="17"/>
        <v>OK</v>
      </c>
      <c r="H574" s="153" t="b">
        <v>1</v>
      </c>
    </row>
    <row r="575" spans="1:8" x14ac:dyDescent="0.3">
      <c r="A575" s="153" t="s">
        <v>3195</v>
      </c>
      <c r="B575" s="153" t="s">
        <v>2762</v>
      </c>
      <c r="C575" s="153" t="s">
        <v>3196</v>
      </c>
      <c r="D575" s="153">
        <v>11106.32</v>
      </c>
      <c r="E575" s="153">
        <v>11106.32</v>
      </c>
      <c r="F575" s="153">
        <f t="shared" si="16"/>
        <v>0</v>
      </c>
      <c r="G575" s="153" t="str">
        <f t="shared" si="17"/>
        <v>OK</v>
      </c>
      <c r="H575" s="153" t="b">
        <v>1</v>
      </c>
    </row>
    <row r="576" spans="1:8" x14ac:dyDescent="0.3">
      <c r="A576" s="153" t="s">
        <v>3197</v>
      </c>
      <c r="B576" s="153" t="s">
        <v>2762</v>
      </c>
      <c r="C576" s="153" t="s">
        <v>3198</v>
      </c>
      <c r="D576" s="153">
        <v>2558.5108</v>
      </c>
      <c r="E576" s="153">
        <v>2558.5108</v>
      </c>
      <c r="F576" s="153">
        <f t="shared" si="16"/>
        <v>0</v>
      </c>
      <c r="G576" s="153" t="str">
        <f t="shared" si="17"/>
        <v>OK</v>
      </c>
      <c r="H576" s="153" t="b">
        <v>1</v>
      </c>
    </row>
    <row r="577" spans="1:8" x14ac:dyDescent="0.3">
      <c r="A577" s="153" t="s">
        <v>3199</v>
      </c>
      <c r="B577" s="153" t="s">
        <v>2762</v>
      </c>
      <c r="C577" s="153" t="s">
        <v>3200</v>
      </c>
      <c r="D577" s="153">
        <v>31.25</v>
      </c>
      <c r="E577" s="153">
        <v>31.25</v>
      </c>
      <c r="F577" s="153">
        <f t="shared" si="16"/>
        <v>0</v>
      </c>
      <c r="G577" s="153" t="str">
        <f t="shared" si="17"/>
        <v>OK</v>
      </c>
      <c r="H577" s="153" t="b">
        <v>1</v>
      </c>
    </row>
    <row r="578" spans="1:8" x14ac:dyDescent="0.3">
      <c r="A578" s="153" t="s">
        <v>3201</v>
      </c>
      <c r="B578" s="153" t="s">
        <v>2762</v>
      </c>
      <c r="C578" s="153" t="s">
        <v>3202</v>
      </c>
      <c r="D578" s="153">
        <v>64.125</v>
      </c>
      <c r="E578" s="153">
        <v>64.125</v>
      </c>
      <c r="F578" s="153">
        <f t="shared" ref="F578:F641" si="18">IF(NOT(H578),"",IF(AND(ISNUMBER(D578),ISNUMBER(E578)),E578-D578,IF(D578=E578,0,1)))</f>
        <v>0</v>
      </c>
      <c r="G578" s="153" t="str">
        <f t="shared" ref="G578:G641" si="19">IF(NOT(H578),"PENDIENTE SIDE",IF(IF(AND(ISNUMBER(D578),ISNUMBER(E578)),IF(MOD(D578,1)=0,D578=E578,ABS(D578-E578)&lt;=0.000000001*MAX(1,ABS(D578),ABS(E578))),D578=E578),"OK","DIFERENCIA"))</f>
        <v>OK</v>
      </c>
      <c r="H578" s="153" t="b">
        <v>1</v>
      </c>
    </row>
    <row r="579" spans="1:8" x14ac:dyDescent="0.3">
      <c r="A579" s="153" t="s">
        <v>3203</v>
      </c>
      <c r="B579" s="153" t="s">
        <v>2762</v>
      </c>
      <c r="C579" s="153" t="s">
        <v>3204</v>
      </c>
      <c r="D579" s="153">
        <v>0</v>
      </c>
      <c r="E579" s="153">
        <v>0</v>
      </c>
      <c r="F579" s="153">
        <f t="shared" si="18"/>
        <v>0</v>
      </c>
      <c r="G579" s="153" t="str">
        <f t="shared" si="19"/>
        <v>OK</v>
      </c>
      <c r="H579" s="153" t="b">
        <v>1</v>
      </c>
    </row>
    <row r="580" spans="1:8" x14ac:dyDescent="0.3">
      <c r="A580" s="153" t="s">
        <v>3205</v>
      </c>
      <c r="B580" s="153" t="s">
        <v>2762</v>
      </c>
      <c r="C580" s="153" t="s">
        <v>3206</v>
      </c>
      <c r="D580" s="153">
        <v>0</v>
      </c>
      <c r="E580" s="153">
        <v>0</v>
      </c>
      <c r="F580" s="153">
        <f t="shared" si="18"/>
        <v>0</v>
      </c>
      <c r="G580" s="153" t="str">
        <f t="shared" si="19"/>
        <v>OK</v>
      </c>
      <c r="H580" s="153" t="b">
        <v>1</v>
      </c>
    </row>
    <row r="581" spans="1:8" x14ac:dyDescent="0.3">
      <c r="A581" s="153" t="s">
        <v>3207</v>
      </c>
      <c r="B581" s="153" t="s">
        <v>2762</v>
      </c>
      <c r="C581" s="153" t="s">
        <v>3208</v>
      </c>
      <c r="D581" s="153">
        <v>2</v>
      </c>
      <c r="E581" s="153">
        <v>2</v>
      </c>
      <c r="F581" s="153">
        <f t="shared" si="18"/>
        <v>0</v>
      </c>
      <c r="G581" s="153" t="str">
        <f t="shared" si="19"/>
        <v>OK</v>
      </c>
      <c r="H581" s="153" t="b">
        <v>1</v>
      </c>
    </row>
    <row r="582" spans="1:8" x14ac:dyDescent="0.3">
      <c r="A582" s="153" t="s">
        <v>3209</v>
      </c>
      <c r="B582" s="153" t="s">
        <v>2762</v>
      </c>
      <c r="C582" s="153" t="s">
        <v>3210</v>
      </c>
      <c r="D582" s="153">
        <v>2</v>
      </c>
      <c r="E582" s="153">
        <v>2</v>
      </c>
      <c r="F582" s="153">
        <f t="shared" si="18"/>
        <v>0</v>
      </c>
      <c r="G582" s="153" t="str">
        <f t="shared" si="19"/>
        <v>OK</v>
      </c>
      <c r="H582" s="153" t="b">
        <v>1</v>
      </c>
    </row>
    <row r="583" spans="1:8" x14ac:dyDescent="0.3">
      <c r="A583" s="153" t="s">
        <v>3211</v>
      </c>
      <c r="B583" s="153" t="s">
        <v>2762</v>
      </c>
      <c r="C583" s="153" t="s">
        <v>3212</v>
      </c>
      <c r="D583" s="153">
        <v>2</v>
      </c>
      <c r="E583" s="153">
        <v>2</v>
      </c>
      <c r="F583" s="153">
        <f t="shared" si="18"/>
        <v>0</v>
      </c>
      <c r="G583" s="153" t="str">
        <f t="shared" si="19"/>
        <v>OK</v>
      </c>
      <c r="H583" s="153" t="b">
        <v>1</v>
      </c>
    </row>
    <row r="584" spans="1:8" x14ac:dyDescent="0.3">
      <c r="A584" s="153" t="s">
        <v>3213</v>
      </c>
      <c r="B584" s="153" t="s">
        <v>2762</v>
      </c>
      <c r="C584" s="153" t="s">
        <v>3214</v>
      </c>
      <c r="D584" s="153">
        <v>90</v>
      </c>
      <c r="E584" s="153">
        <v>90</v>
      </c>
      <c r="F584" s="153">
        <f t="shared" si="18"/>
        <v>0</v>
      </c>
      <c r="G584" s="153" t="str">
        <f t="shared" si="19"/>
        <v>OK</v>
      </c>
      <c r="H584" s="153" t="b">
        <v>1</v>
      </c>
    </row>
    <row r="585" spans="1:8" x14ac:dyDescent="0.3">
      <c r="A585" s="153" t="s">
        <v>3215</v>
      </c>
      <c r="B585" s="153" t="s">
        <v>2762</v>
      </c>
      <c r="C585" s="153" t="s">
        <v>3216</v>
      </c>
      <c r="D585" s="153">
        <v>360</v>
      </c>
      <c r="E585" s="153">
        <v>360</v>
      </c>
      <c r="F585" s="153">
        <f t="shared" si="18"/>
        <v>0</v>
      </c>
      <c r="G585" s="153" t="str">
        <f t="shared" si="19"/>
        <v>OK</v>
      </c>
      <c r="H585" s="153" t="b">
        <v>1</v>
      </c>
    </row>
    <row r="586" spans="1:8" x14ac:dyDescent="0.3">
      <c r="A586" s="153" t="s">
        <v>3217</v>
      </c>
      <c r="B586" s="153" t="s">
        <v>2762</v>
      </c>
      <c r="C586" s="153" t="s">
        <v>3218</v>
      </c>
      <c r="D586" s="153">
        <v>720</v>
      </c>
      <c r="E586" s="153">
        <v>720</v>
      </c>
      <c r="F586" s="153">
        <f t="shared" si="18"/>
        <v>0</v>
      </c>
      <c r="G586" s="153" t="str">
        <f t="shared" si="19"/>
        <v>OK</v>
      </c>
      <c r="H586" s="153" t="b">
        <v>1</v>
      </c>
    </row>
    <row r="587" spans="1:8" x14ac:dyDescent="0.3">
      <c r="A587" s="153" t="s">
        <v>3219</v>
      </c>
      <c r="B587" s="153" t="s">
        <v>2762</v>
      </c>
      <c r="C587" s="153" t="s">
        <v>3220</v>
      </c>
      <c r="D587" s="153">
        <v>1775.190491803279</v>
      </c>
      <c r="E587" s="153">
        <v>1775.190491803279</v>
      </c>
      <c r="F587" s="153">
        <f t="shared" si="18"/>
        <v>0</v>
      </c>
      <c r="G587" s="153" t="str">
        <f t="shared" si="19"/>
        <v>OK</v>
      </c>
      <c r="H587" s="153" t="b">
        <v>1</v>
      </c>
    </row>
    <row r="588" spans="1:8" x14ac:dyDescent="0.3">
      <c r="A588" s="153" t="s">
        <v>3221</v>
      </c>
      <c r="B588" s="153" t="s">
        <v>2762</v>
      </c>
      <c r="C588" s="153" t="s">
        <v>3222</v>
      </c>
      <c r="D588" s="153">
        <v>10</v>
      </c>
      <c r="E588" s="153">
        <v>10</v>
      </c>
      <c r="F588" s="153">
        <f t="shared" si="18"/>
        <v>0</v>
      </c>
      <c r="G588" s="153" t="str">
        <f t="shared" si="19"/>
        <v>OK</v>
      </c>
      <c r="H588" s="153" t="b">
        <v>1</v>
      </c>
    </row>
    <row r="589" spans="1:8" x14ac:dyDescent="0.3">
      <c r="A589" s="153" t="s">
        <v>3223</v>
      </c>
      <c r="B589" s="153" t="s">
        <v>2762</v>
      </c>
      <c r="C589" s="153" t="s">
        <v>3224</v>
      </c>
      <c r="D589" s="153">
        <v>13500</v>
      </c>
      <c r="E589" s="153">
        <v>13500</v>
      </c>
      <c r="F589" s="153">
        <f t="shared" si="18"/>
        <v>0</v>
      </c>
      <c r="G589" s="153" t="str">
        <f t="shared" si="19"/>
        <v>OK</v>
      </c>
      <c r="H589" s="153" t="b">
        <v>1</v>
      </c>
    </row>
    <row r="590" spans="1:8" x14ac:dyDescent="0.3">
      <c r="A590" s="153" t="s">
        <v>3225</v>
      </c>
      <c r="B590" s="153" t="s">
        <v>2762</v>
      </c>
      <c r="C590" s="153" t="s">
        <v>3226</v>
      </c>
      <c r="D590" s="153">
        <v>29765.396291803281</v>
      </c>
      <c r="E590" s="153">
        <v>29765.396291803281</v>
      </c>
      <c r="F590" s="153">
        <f t="shared" si="18"/>
        <v>0</v>
      </c>
      <c r="G590" s="153" t="str">
        <f t="shared" si="19"/>
        <v>OK</v>
      </c>
      <c r="H590" s="153" t="b">
        <v>1</v>
      </c>
    </row>
    <row r="591" spans="1:8" x14ac:dyDescent="0.3">
      <c r="A591" s="153" t="s">
        <v>3227</v>
      </c>
      <c r="B591" s="153" t="s">
        <v>2762</v>
      </c>
      <c r="C591" s="153" t="s">
        <v>3228</v>
      </c>
      <c r="D591" s="153">
        <v>-29675.396291803281</v>
      </c>
      <c r="E591" s="153">
        <v>-29675.396291803281</v>
      </c>
      <c r="F591" s="153">
        <f t="shared" si="18"/>
        <v>0</v>
      </c>
      <c r="G591" s="153" t="str">
        <f t="shared" si="19"/>
        <v>OK</v>
      </c>
      <c r="H591" s="153" t="b">
        <v>1</v>
      </c>
    </row>
    <row r="592" spans="1:8" x14ac:dyDescent="0.3">
      <c r="A592" s="153" t="s">
        <v>3229</v>
      </c>
      <c r="B592" s="153" t="s">
        <v>2762</v>
      </c>
      <c r="C592" s="153" t="s">
        <v>3230</v>
      </c>
      <c r="D592" s="153">
        <v>0</v>
      </c>
      <c r="E592" s="153">
        <v>0</v>
      </c>
      <c r="F592" s="153">
        <f t="shared" si="18"/>
        <v>0</v>
      </c>
      <c r="G592" s="153" t="str">
        <f t="shared" si="19"/>
        <v>OK</v>
      </c>
      <c r="H592" s="153" t="b">
        <v>1</v>
      </c>
    </row>
    <row r="593" spans="1:8" x14ac:dyDescent="0.3">
      <c r="A593" s="153" t="s">
        <v>3231</v>
      </c>
      <c r="B593" s="153" t="s">
        <v>2762</v>
      </c>
      <c r="C593" s="153" t="s">
        <v>3232</v>
      </c>
      <c r="D593" s="153">
        <v>3</v>
      </c>
      <c r="E593" s="153">
        <v>3</v>
      </c>
      <c r="F593" s="153">
        <f t="shared" si="18"/>
        <v>0</v>
      </c>
      <c r="G593" s="153" t="str">
        <f t="shared" si="19"/>
        <v>OK</v>
      </c>
      <c r="H593" s="153" t="b">
        <v>1</v>
      </c>
    </row>
    <row r="594" spans="1:8" x14ac:dyDescent="0.3">
      <c r="A594" s="153" t="s">
        <v>3233</v>
      </c>
      <c r="B594" s="153" t="s">
        <v>2762</v>
      </c>
      <c r="C594" s="153" t="s">
        <v>3234</v>
      </c>
      <c r="D594" s="153">
        <v>790.19999999999993</v>
      </c>
      <c r="E594" s="153">
        <v>790.2</v>
      </c>
      <c r="F594" s="153">
        <f t="shared" si="18"/>
        <v>1.1368683772161603E-13</v>
      </c>
      <c r="G594" s="153" t="str">
        <f t="shared" si="19"/>
        <v>OK</v>
      </c>
      <c r="H594" s="153" t="b">
        <v>1</v>
      </c>
    </row>
    <row r="595" spans="1:8" x14ac:dyDescent="0.3">
      <c r="A595" s="153" t="s">
        <v>3235</v>
      </c>
      <c r="B595" s="153" t="s">
        <v>2762</v>
      </c>
      <c r="C595" s="153" t="s">
        <v>3236</v>
      </c>
      <c r="D595" s="153">
        <v>0</v>
      </c>
      <c r="E595" s="153">
        <v>0</v>
      </c>
      <c r="F595" s="153">
        <f t="shared" si="18"/>
        <v>0</v>
      </c>
      <c r="G595" s="153" t="str">
        <f t="shared" si="19"/>
        <v>OK</v>
      </c>
      <c r="H595" s="153" t="b">
        <v>1</v>
      </c>
    </row>
    <row r="596" spans="1:8" x14ac:dyDescent="0.3">
      <c r="A596" s="153" t="s">
        <v>3237</v>
      </c>
      <c r="B596" s="153" t="s">
        <v>2762</v>
      </c>
      <c r="C596" s="153" t="s">
        <v>3238</v>
      </c>
      <c r="D596" s="153">
        <v>0</v>
      </c>
      <c r="E596" s="153">
        <v>0</v>
      </c>
      <c r="F596" s="153">
        <f t="shared" si="18"/>
        <v>0</v>
      </c>
      <c r="G596" s="153" t="str">
        <f t="shared" si="19"/>
        <v>OK</v>
      </c>
      <c r="H596" s="153" t="b">
        <v>1</v>
      </c>
    </row>
    <row r="597" spans="1:8" x14ac:dyDescent="0.3">
      <c r="A597" s="153" t="s">
        <v>3239</v>
      </c>
      <c r="B597" s="153" t="s">
        <v>2762</v>
      </c>
      <c r="C597" s="153" t="s">
        <v>3240</v>
      </c>
      <c r="D597" s="153">
        <v>2634</v>
      </c>
      <c r="E597" s="153">
        <v>2634</v>
      </c>
      <c r="F597" s="153">
        <f t="shared" si="18"/>
        <v>0</v>
      </c>
      <c r="G597" s="153" t="str">
        <f t="shared" si="19"/>
        <v>OK</v>
      </c>
      <c r="H597" s="153" t="b">
        <v>1</v>
      </c>
    </row>
    <row r="598" spans="1:8" x14ac:dyDescent="0.3">
      <c r="A598" s="153" t="s">
        <v>3241</v>
      </c>
      <c r="B598" s="153" t="s">
        <v>2762</v>
      </c>
      <c r="C598" s="153" t="s">
        <v>3242</v>
      </c>
      <c r="D598" s="153">
        <v>0</v>
      </c>
      <c r="E598" s="153">
        <v>0</v>
      </c>
      <c r="F598" s="153">
        <f t="shared" si="18"/>
        <v>0</v>
      </c>
      <c r="G598" s="153" t="str">
        <f t="shared" si="19"/>
        <v>OK</v>
      </c>
      <c r="H598" s="153" t="b">
        <v>1</v>
      </c>
    </row>
    <row r="599" spans="1:8" x14ac:dyDescent="0.3">
      <c r="A599" s="153" t="s">
        <v>3243</v>
      </c>
      <c r="B599" s="153" t="s">
        <v>2762</v>
      </c>
      <c r="C599" s="153" t="s">
        <v>3244</v>
      </c>
      <c r="D599" s="153">
        <v>15804</v>
      </c>
      <c r="E599" s="153">
        <v>15804</v>
      </c>
      <c r="F599" s="153">
        <f t="shared" si="18"/>
        <v>0</v>
      </c>
      <c r="G599" s="153" t="str">
        <f t="shared" si="19"/>
        <v>OK</v>
      </c>
      <c r="H599" s="153" t="b">
        <v>1</v>
      </c>
    </row>
    <row r="600" spans="1:8" x14ac:dyDescent="0.3">
      <c r="A600" s="153" t="s">
        <v>3245</v>
      </c>
      <c r="B600" s="153" t="s">
        <v>2762</v>
      </c>
      <c r="C600" s="153" t="s">
        <v>3246</v>
      </c>
      <c r="D600" s="153">
        <v>0</v>
      </c>
      <c r="E600" s="153">
        <v>0</v>
      </c>
      <c r="F600" s="153">
        <f t="shared" si="18"/>
        <v>0</v>
      </c>
      <c r="G600" s="153" t="str">
        <f t="shared" si="19"/>
        <v>OK</v>
      </c>
      <c r="H600" s="153" t="b">
        <v>1</v>
      </c>
    </row>
    <row r="601" spans="1:8" x14ac:dyDescent="0.3">
      <c r="A601" s="153" t="s">
        <v>3247</v>
      </c>
      <c r="B601" s="153" t="s">
        <v>2762</v>
      </c>
      <c r="C601" s="153" t="s">
        <v>3248</v>
      </c>
      <c r="D601" s="153">
        <v>0</v>
      </c>
      <c r="E601" s="153">
        <v>0</v>
      </c>
      <c r="F601" s="153">
        <f t="shared" si="18"/>
        <v>0</v>
      </c>
      <c r="G601" s="153" t="str">
        <f t="shared" si="19"/>
        <v>OK</v>
      </c>
      <c r="H601" s="153" t="b">
        <v>1</v>
      </c>
    </row>
    <row r="602" spans="1:8" x14ac:dyDescent="0.3">
      <c r="A602" s="153" t="s">
        <v>3249</v>
      </c>
      <c r="B602" s="153" t="s">
        <v>2762</v>
      </c>
      <c r="C602" s="153" t="s">
        <v>3250</v>
      </c>
      <c r="D602" s="153" t="b">
        <v>0</v>
      </c>
      <c r="E602" s="153" t="b">
        <v>0</v>
      </c>
      <c r="F602" s="153">
        <f t="shared" si="18"/>
        <v>0</v>
      </c>
      <c r="G602" s="153" t="str">
        <f t="shared" si="19"/>
        <v>OK</v>
      </c>
      <c r="H602" s="153" t="b">
        <v>1</v>
      </c>
    </row>
    <row r="603" spans="1:8" x14ac:dyDescent="0.3">
      <c r="A603" s="153" t="s">
        <v>3251</v>
      </c>
      <c r="B603" s="153" t="s">
        <v>2762</v>
      </c>
      <c r="C603" s="153" t="s">
        <v>3252</v>
      </c>
      <c r="D603" s="153" t="b">
        <v>0</v>
      </c>
      <c r="E603" s="153" t="b">
        <v>0</v>
      </c>
      <c r="F603" s="153">
        <f t="shared" si="18"/>
        <v>0</v>
      </c>
      <c r="G603" s="153" t="str">
        <f t="shared" si="19"/>
        <v>OK</v>
      </c>
      <c r="H603" s="153" t="b">
        <v>1</v>
      </c>
    </row>
    <row r="604" spans="1:8" x14ac:dyDescent="0.3">
      <c r="A604" s="153" t="s">
        <v>3253</v>
      </c>
      <c r="B604" s="153" t="s">
        <v>2762</v>
      </c>
      <c r="C604" s="153" t="s">
        <v>3254</v>
      </c>
      <c r="D604" s="153" t="b">
        <v>0</v>
      </c>
      <c r="E604" s="153" t="b">
        <v>0</v>
      </c>
      <c r="F604" s="153">
        <f t="shared" si="18"/>
        <v>0</v>
      </c>
      <c r="G604" s="153" t="str">
        <f t="shared" si="19"/>
        <v>OK</v>
      </c>
      <c r="H604" s="153" t="b">
        <v>1</v>
      </c>
    </row>
    <row r="605" spans="1:8" x14ac:dyDescent="0.3">
      <c r="A605" s="153" t="s">
        <v>3255</v>
      </c>
      <c r="B605" s="153" t="s">
        <v>2762</v>
      </c>
      <c r="C605" s="153" t="s">
        <v>3256</v>
      </c>
      <c r="D605" s="153" t="b">
        <v>0</v>
      </c>
      <c r="E605" s="153" t="b">
        <v>0</v>
      </c>
      <c r="F605" s="153">
        <f t="shared" si="18"/>
        <v>0</v>
      </c>
      <c r="G605" s="153" t="str">
        <f t="shared" si="19"/>
        <v>OK</v>
      </c>
      <c r="H605" s="153" t="b">
        <v>1</v>
      </c>
    </row>
    <row r="606" spans="1:8" x14ac:dyDescent="0.3">
      <c r="A606" s="153" t="s">
        <v>3257</v>
      </c>
      <c r="B606" s="153" t="s">
        <v>2762</v>
      </c>
      <c r="C606" s="153" t="s">
        <v>3258</v>
      </c>
      <c r="D606" s="153" t="b">
        <v>1</v>
      </c>
      <c r="E606" s="153" t="b">
        <v>1</v>
      </c>
      <c r="F606" s="153">
        <f t="shared" si="18"/>
        <v>0</v>
      </c>
      <c r="G606" s="153" t="str">
        <f t="shared" si="19"/>
        <v>OK</v>
      </c>
      <c r="H606" s="153" t="b">
        <v>1</v>
      </c>
    </row>
    <row r="607" spans="1:8" x14ac:dyDescent="0.3">
      <c r="A607" s="153" t="s">
        <v>3259</v>
      </c>
      <c r="B607" s="153" t="s">
        <v>2762</v>
      </c>
      <c r="C607" s="153" t="s">
        <v>3260</v>
      </c>
      <c r="D607" s="153" t="b">
        <v>1</v>
      </c>
      <c r="E607" s="153" t="b">
        <v>1</v>
      </c>
      <c r="F607" s="153">
        <f t="shared" si="18"/>
        <v>0</v>
      </c>
      <c r="G607" s="153" t="str">
        <f t="shared" si="19"/>
        <v>OK</v>
      </c>
      <c r="H607" s="153" t="b">
        <v>1</v>
      </c>
    </row>
    <row r="608" spans="1:8" x14ac:dyDescent="0.3">
      <c r="A608" s="153" t="s">
        <v>3261</v>
      </c>
      <c r="B608" s="153" t="s">
        <v>2762</v>
      </c>
      <c r="C608" s="153" t="s">
        <v>3262</v>
      </c>
      <c r="D608" s="153" t="b">
        <v>1</v>
      </c>
      <c r="E608" s="153" t="b">
        <v>1</v>
      </c>
      <c r="F608" s="153">
        <f t="shared" si="18"/>
        <v>0</v>
      </c>
      <c r="G608" s="153" t="str">
        <f t="shared" si="19"/>
        <v>OK</v>
      </c>
      <c r="H608" s="153" t="b">
        <v>1</v>
      </c>
    </row>
    <row r="609" spans="1:8" x14ac:dyDescent="0.3">
      <c r="A609" s="153" t="s">
        <v>3263</v>
      </c>
      <c r="B609" s="153" t="s">
        <v>2762</v>
      </c>
      <c r="C609" s="153" t="s">
        <v>3264</v>
      </c>
      <c r="D609" s="153" t="b">
        <v>0</v>
      </c>
      <c r="E609" s="153" t="b">
        <v>0</v>
      </c>
      <c r="F609" s="153">
        <f t="shared" si="18"/>
        <v>0</v>
      </c>
      <c r="G609" s="153" t="str">
        <f t="shared" si="19"/>
        <v>OK</v>
      </c>
      <c r="H609" s="153" t="b">
        <v>1</v>
      </c>
    </row>
    <row r="610" spans="1:8" x14ac:dyDescent="0.3">
      <c r="A610" s="153" t="s">
        <v>3265</v>
      </c>
      <c r="B610" s="153" t="s">
        <v>2762</v>
      </c>
      <c r="C610" s="153" t="s">
        <v>3266</v>
      </c>
      <c r="D610" s="153">
        <v>0</v>
      </c>
      <c r="E610" s="153">
        <v>0</v>
      </c>
      <c r="F610" s="153">
        <f t="shared" si="18"/>
        <v>0</v>
      </c>
      <c r="G610" s="153" t="str">
        <f t="shared" si="19"/>
        <v>OK</v>
      </c>
      <c r="H610" s="153" t="b">
        <v>1</v>
      </c>
    </row>
    <row r="611" spans="1:8" x14ac:dyDescent="0.3">
      <c r="A611" s="153" t="s">
        <v>3267</v>
      </c>
      <c r="B611" s="153" t="s">
        <v>2762</v>
      </c>
      <c r="C611" s="153" t="s">
        <v>3268</v>
      </c>
      <c r="D611" s="153">
        <v>23</v>
      </c>
      <c r="E611" s="153">
        <v>23</v>
      </c>
      <c r="F611" s="153">
        <f t="shared" si="18"/>
        <v>0</v>
      </c>
      <c r="G611" s="153" t="str">
        <f t="shared" si="19"/>
        <v>OK</v>
      </c>
      <c r="H611" s="153" t="b">
        <v>1</v>
      </c>
    </row>
    <row r="612" spans="1:8" x14ac:dyDescent="0.3">
      <c r="A612" s="153" t="s">
        <v>3269</v>
      </c>
      <c r="B612" s="153" t="s">
        <v>2762</v>
      </c>
      <c r="C612" s="153" t="s">
        <v>3270</v>
      </c>
      <c r="D612" s="153">
        <v>0</v>
      </c>
      <c r="E612" s="153">
        <v>0</v>
      </c>
      <c r="F612" s="153">
        <f t="shared" si="18"/>
        <v>0</v>
      </c>
      <c r="G612" s="153" t="str">
        <f t="shared" si="19"/>
        <v>OK</v>
      </c>
      <c r="H612" s="153" t="b">
        <v>1</v>
      </c>
    </row>
    <row r="613" spans="1:8" x14ac:dyDescent="0.3">
      <c r="A613" s="153" t="s">
        <v>3271</v>
      </c>
      <c r="B613" s="153" t="s">
        <v>2762</v>
      </c>
      <c r="C613" s="153" t="s">
        <v>3272</v>
      </c>
      <c r="D613" s="153">
        <v>3</v>
      </c>
      <c r="E613" s="153">
        <v>3</v>
      </c>
      <c r="F613" s="153">
        <f t="shared" si="18"/>
        <v>0</v>
      </c>
      <c r="G613" s="153" t="str">
        <f t="shared" si="19"/>
        <v>OK</v>
      </c>
      <c r="H613" s="153" t="b">
        <v>1</v>
      </c>
    </row>
    <row r="614" spans="1:8" x14ac:dyDescent="0.3">
      <c r="A614" s="153" t="s">
        <v>1989</v>
      </c>
      <c r="B614" s="153" t="s">
        <v>2762</v>
      </c>
      <c r="C614" s="153" t="s">
        <v>1990</v>
      </c>
      <c r="D614" s="153">
        <v>1520</v>
      </c>
      <c r="E614" s="153">
        <v>1520</v>
      </c>
      <c r="F614" s="153">
        <f t="shared" si="18"/>
        <v>0</v>
      </c>
      <c r="G614" s="153" t="str">
        <f t="shared" si="19"/>
        <v>OK</v>
      </c>
      <c r="H614" s="153" t="b">
        <v>1</v>
      </c>
    </row>
    <row r="615" spans="1:8" x14ac:dyDescent="0.3">
      <c r="A615" s="153" t="s">
        <v>1991</v>
      </c>
      <c r="B615" s="153" t="s">
        <v>2762</v>
      </c>
      <c r="C615" s="153" t="s">
        <v>1992</v>
      </c>
      <c r="D615" s="153">
        <v>1520</v>
      </c>
      <c r="E615" s="153">
        <v>1520</v>
      </c>
      <c r="F615" s="153">
        <f t="shared" si="18"/>
        <v>0</v>
      </c>
      <c r="G615" s="153" t="str">
        <f t="shared" si="19"/>
        <v>OK</v>
      </c>
      <c r="H615" s="153" t="b">
        <v>1</v>
      </c>
    </row>
    <row r="616" spans="1:8" x14ac:dyDescent="0.3">
      <c r="A616" s="153" t="s">
        <v>1993</v>
      </c>
      <c r="B616" s="153" t="s">
        <v>2762</v>
      </c>
      <c r="C616" s="153" t="s">
        <v>1994</v>
      </c>
      <c r="D616" s="153">
        <v>17311.788720955748</v>
      </c>
      <c r="E616" s="153">
        <v>17311.788720955748</v>
      </c>
      <c r="F616" s="153">
        <f t="shared" si="18"/>
        <v>0</v>
      </c>
      <c r="G616" s="153" t="str">
        <f t="shared" si="19"/>
        <v>OK</v>
      </c>
      <c r="H616" s="153" t="b">
        <v>1</v>
      </c>
    </row>
    <row r="617" spans="1:8" x14ac:dyDescent="0.3">
      <c r="A617" s="153" t="s">
        <v>1995</v>
      </c>
      <c r="B617" s="153" t="s">
        <v>2762</v>
      </c>
      <c r="C617" s="153" t="s">
        <v>1996</v>
      </c>
      <c r="D617" s="153">
        <v>-15791.78872095575</v>
      </c>
      <c r="E617" s="153">
        <v>-15791.78872095575</v>
      </c>
      <c r="F617" s="153">
        <f t="shared" si="18"/>
        <v>0</v>
      </c>
      <c r="G617" s="153" t="str">
        <f t="shared" si="19"/>
        <v>OK</v>
      </c>
      <c r="H617" s="153" t="b">
        <v>1</v>
      </c>
    </row>
    <row r="618" spans="1:8" x14ac:dyDescent="0.3">
      <c r="A618" s="153" t="s">
        <v>1997</v>
      </c>
      <c r="B618" s="153" t="s">
        <v>2762</v>
      </c>
      <c r="C618" s="153" t="s">
        <v>1998</v>
      </c>
      <c r="D618" s="153">
        <v>64.125</v>
      </c>
      <c r="E618" s="153">
        <v>64.125</v>
      </c>
      <c r="F618" s="153">
        <f t="shared" si="18"/>
        <v>0</v>
      </c>
      <c r="G618" s="153" t="str">
        <f t="shared" si="19"/>
        <v>OK</v>
      </c>
      <c r="H618" s="153" t="b">
        <v>1</v>
      </c>
    </row>
    <row r="619" spans="1:8" x14ac:dyDescent="0.3">
      <c r="A619" s="153" t="s">
        <v>1999</v>
      </c>
      <c r="B619" s="153" t="s">
        <v>2762</v>
      </c>
      <c r="C619" s="153" t="s">
        <v>2000</v>
      </c>
      <c r="D619" s="153">
        <v>0</v>
      </c>
      <c r="E619" s="153">
        <v>0</v>
      </c>
      <c r="F619" s="153">
        <f t="shared" si="18"/>
        <v>0</v>
      </c>
      <c r="G619" s="153" t="str">
        <f t="shared" si="19"/>
        <v>OK</v>
      </c>
      <c r="H619" s="153" t="b">
        <v>1</v>
      </c>
    </row>
    <row r="620" spans="1:8" x14ac:dyDescent="0.3">
      <c r="A620" s="153" t="s">
        <v>2001</v>
      </c>
      <c r="B620" s="153" t="s">
        <v>2762</v>
      </c>
      <c r="C620" s="153" t="s">
        <v>2002</v>
      </c>
      <c r="D620" s="153">
        <v>17311.788720955748</v>
      </c>
      <c r="E620" s="153">
        <v>17311.788720955748</v>
      </c>
      <c r="F620" s="153">
        <f t="shared" si="18"/>
        <v>0</v>
      </c>
      <c r="G620" s="153" t="str">
        <f t="shared" si="19"/>
        <v>OK</v>
      </c>
      <c r="H620" s="153" t="b">
        <v>1</v>
      </c>
    </row>
    <row r="621" spans="1:8" x14ac:dyDescent="0.3">
      <c r="A621" s="153" t="s">
        <v>2003</v>
      </c>
      <c r="B621" s="153" t="s">
        <v>2762</v>
      </c>
      <c r="C621" s="153" t="s">
        <v>2004</v>
      </c>
      <c r="D621" s="153">
        <v>1000000</v>
      </c>
      <c r="E621" s="153">
        <v>1000000</v>
      </c>
      <c r="F621" s="153">
        <f t="shared" si="18"/>
        <v>0</v>
      </c>
      <c r="G621" s="153" t="str">
        <f t="shared" si="19"/>
        <v>OK</v>
      </c>
      <c r="H621" s="153" t="b">
        <v>1</v>
      </c>
    </row>
    <row r="622" spans="1:8" x14ac:dyDescent="0.3">
      <c r="A622" s="153" t="s">
        <v>2005</v>
      </c>
      <c r="B622" s="153" t="s">
        <v>2762</v>
      </c>
      <c r="C622" s="153" t="s">
        <v>2006</v>
      </c>
      <c r="D622" s="153">
        <v>1520</v>
      </c>
      <c r="E622" s="153">
        <v>1520</v>
      </c>
      <c r="F622" s="153">
        <f t="shared" si="18"/>
        <v>0</v>
      </c>
      <c r="G622" s="153" t="str">
        <f t="shared" si="19"/>
        <v>OK</v>
      </c>
      <c r="H622" s="153" t="b">
        <v>1</v>
      </c>
    </row>
    <row r="623" spans="1:8" x14ac:dyDescent="0.3">
      <c r="A623" s="153" t="s">
        <v>2007</v>
      </c>
      <c r="B623" s="153" t="s">
        <v>2762</v>
      </c>
      <c r="C623" s="153" t="s">
        <v>2008</v>
      </c>
      <c r="D623" s="153">
        <v>43340.262884955751</v>
      </c>
      <c r="E623" s="153">
        <v>43340.262884955751</v>
      </c>
      <c r="F623" s="153">
        <f t="shared" si="18"/>
        <v>0</v>
      </c>
      <c r="G623" s="153" t="str">
        <f t="shared" si="19"/>
        <v>OK</v>
      </c>
      <c r="H623" s="153" t="b">
        <v>1</v>
      </c>
    </row>
    <row r="624" spans="1:8" x14ac:dyDescent="0.3">
      <c r="A624" s="153" t="s">
        <v>2009</v>
      </c>
      <c r="B624" s="153" t="s">
        <v>2762</v>
      </c>
      <c r="C624" s="153" t="s">
        <v>2010</v>
      </c>
      <c r="D624" s="153">
        <v>958179.73711504426</v>
      </c>
      <c r="E624" s="153">
        <v>958179.73711504426</v>
      </c>
      <c r="F624" s="153">
        <f t="shared" si="18"/>
        <v>0</v>
      </c>
      <c r="G624" s="153" t="str">
        <f t="shared" si="19"/>
        <v>OK</v>
      </c>
      <c r="H624" s="153" t="b">
        <v>1</v>
      </c>
    </row>
    <row r="625" spans="1:8" x14ac:dyDescent="0.3">
      <c r="A625" s="153" t="s">
        <v>2011</v>
      </c>
      <c r="B625" s="153" t="s">
        <v>2762</v>
      </c>
      <c r="C625" s="153" t="s">
        <v>2012</v>
      </c>
      <c r="D625" s="153">
        <v>1000000</v>
      </c>
      <c r="E625" s="153">
        <v>1000000</v>
      </c>
      <c r="F625" s="153">
        <f t="shared" si="18"/>
        <v>0</v>
      </c>
      <c r="G625" s="153" t="str">
        <f t="shared" si="19"/>
        <v>OK</v>
      </c>
      <c r="H625" s="153" t="b">
        <v>1</v>
      </c>
    </row>
    <row r="626" spans="1:8" x14ac:dyDescent="0.3">
      <c r="A626" s="153" t="s">
        <v>2013</v>
      </c>
      <c r="B626" s="153" t="s">
        <v>2762</v>
      </c>
      <c r="C626" s="153" t="s">
        <v>2014</v>
      </c>
      <c r="D626" s="153">
        <v>1520</v>
      </c>
      <c r="E626" s="153">
        <v>1520</v>
      </c>
      <c r="F626" s="153">
        <f t="shared" si="18"/>
        <v>0</v>
      </c>
      <c r="G626" s="153" t="str">
        <f t="shared" si="19"/>
        <v>OK</v>
      </c>
      <c r="H626" s="153" t="b">
        <v>1</v>
      </c>
    </row>
    <row r="627" spans="1:8" x14ac:dyDescent="0.3">
      <c r="A627" s="153" t="s">
        <v>2015</v>
      </c>
      <c r="B627" s="153" t="s">
        <v>2762</v>
      </c>
      <c r="C627" s="153" t="s">
        <v>2016</v>
      </c>
      <c r="D627" s="153">
        <v>35477.262884955751</v>
      </c>
      <c r="E627" s="153">
        <v>35477.262884955751</v>
      </c>
      <c r="F627" s="153">
        <f t="shared" si="18"/>
        <v>0</v>
      </c>
      <c r="G627" s="153" t="str">
        <f t="shared" si="19"/>
        <v>OK</v>
      </c>
      <c r="H627" s="153" t="b">
        <v>1</v>
      </c>
    </row>
    <row r="628" spans="1:8" x14ac:dyDescent="0.3">
      <c r="A628" s="153" t="s">
        <v>2017</v>
      </c>
      <c r="B628" s="153" t="s">
        <v>2762</v>
      </c>
      <c r="C628" s="153" t="s">
        <v>2018</v>
      </c>
      <c r="D628" s="153">
        <v>7863</v>
      </c>
      <c r="E628" s="153">
        <v>7863</v>
      </c>
      <c r="F628" s="153">
        <f t="shared" si="18"/>
        <v>0</v>
      </c>
      <c r="G628" s="153" t="str">
        <f t="shared" si="19"/>
        <v>OK</v>
      </c>
      <c r="H628" s="153" t="b">
        <v>1</v>
      </c>
    </row>
    <row r="629" spans="1:8" x14ac:dyDescent="0.3">
      <c r="A629" s="153" t="s">
        <v>2019</v>
      </c>
      <c r="B629" s="153" t="s">
        <v>2762</v>
      </c>
      <c r="C629" s="153" t="s">
        <v>2020</v>
      </c>
      <c r="D629" s="153">
        <v>0</v>
      </c>
      <c r="E629" s="153">
        <v>0</v>
      </c>
      <c r="F629" s="153">
        <f t="shared" si="18"/>
        <v>0</v>
      </c>
      <c r="G629" s="153" t="str">
        <f t="shared" si="19"/>
        <v>OK</v>
      </c>
      <c r="H629" s="153" t="b">
        <v>1</v>
      </c>
    </row>
    <row r="630" spans="1:8" x14ac:dyDescent="0.3">
      <c r="A630" s="153" t="s">
        <v>2021</v>
      </c>
      <c r="B630" s="153" t="s">
        <v>2762</v>
      </c>
      <c r="C630" s="153" t="s">
        <v>2022</v>
      </c>
      <c r="D630" s="153">
        <v>-33957.262884955751</v>
      </c>
      <c r="E630" s="153">
        <v>-33957.262884955751</v>
      </c>
      <c r="F630" s="153">
        <f t="shared" si="18"/>
        <v>0</v>
      </c>
      <c r="G630" s="153" t="str">
        <f t="shared" si="19"/>
        <v>OK</v>
      </c>
      <c r="H630" s="153" t="b">
        <v>1</v>
      </c>
    </row>
    <row r="631" spans="1:8" x14ac:dyDescent="0.3">
      <c r="A631" s="153" t="s">
        <v>2023</v>
      </c>
      <c r="B631" s="153" t="s">
        <v>2762</v>
      </c>
      <c r="C631" s="153" t="s">
        <v>2024</v>
      </c>
      <c r="D631" s="153">
        <v>-7863</v>
      </c>
      <c r="E631" s="153">
        <v>-7863</v>
      </c>
      <c r="F631" s="153">
        <f t="shared" si="18"/>
        <v>0</v>
      </c>
      <c r="G631" s="153" t="str">
        <f t="shared" si="19"/>
        <v>OK</v>
      </c>
      <c r="H631" s="153" t="b">
        <v>1</v>
      </c>
    </row>
    <row r="632" spans="1:8" x14ac:dyDescent="0.3">
      <c r="A632" s="153" t="s">
        <v>2025</v>
      </c>
      <c r="B632" s="153" t="s">
        <v>2762</v>
      </c>
      <c r="C632" s="153" t="s">
        <v>2026</v>
      </c>
      <c r="D632" s="153">
        <v>-41820.262884955737</v>
      </c>
      <c r="E632" s="153">
        <v>-41820.262884955737</v>
      </c>
      <c r="F632" s="153">
        <f t="shared" si="18"/>
        <v>0</v>
      </c>
      <c r="G632" s="153" t="str">
        <f t="shared" si="19"/>
        <v>OK</v>
      </c>
      <c r="H632" s="153" t="b">
        <v>1</v>
      </c>
    </row>
    <row r="633" spans="1:8" x14ac:dyDescent="0.3">
      <c r="A633" s="153" t="s">
        <v>2027</v>
      </c>
      <c r="B633" s="153" t="s">
        <v>2762</v>
      </c>
      <c r="C633" s="153" t="s">
        <v>2028</v>
      </c>
      <c r="D633" s="153">
        <v>958179.73711504426</v>
      </c>
      <c r="E633" s="153">
        <v>958179.73711504426</v>
      </c>
      <c r="F633" s="153">
        <f t="shared" si="18"/>
        <v>0</v>
      </c>
      <c r="G633" s="153" t="str">
        <f t="shared" si="19"/>
        <v>OK</v>
      </c>
      <c r="H633" s="153" t="b">
        <v>1</v>
      </c>
    </row>
    <row r="634" spans="1:8" x14ac:dyDescent="0.3">
      <c r="A634" s="153" t="s">
        <v>2029</v>
      </c>
      <c r="B634" s="153" t="s">
        <v>2762</v>
      </c>
      <c r="C634" s="153" t="s">
        <v>2030</v>
      </c>
      <c r="D634" s="153">
        <v>958179.73711504426</v>
      </c>
      <c r="E634" s="153">
        <v>958179.73711504426</v>
      </c>
      <c r="F634" s="153">
        <f t="shared" si="18"/>
        <v>0</v>
      </c>
      <c r="G634" s="153" t="str">
        <f t="shared" si="19"/>
        <v>OK</v>
      </c>
      <c r="H634" s="153" t="b">
        <v>1</v>
      </c>
    </row>
    <row r="635" spans="1:8" x14ac:dyDescent="0.3">
      <c r="A635" s="153" t="s">
        <v>2031</v>
      </c>
      <c r="B635" s="153" t="s">
        <v>2762</v>
      </c>
      <c r="C635" s="153" t="s">
        <v>2032</v>
      </c>
      <c r="D635" s="153">
        <v>7435.875</v>
      </c>
      <c r="E635" s="153">
        <v>7435.875</v>
      </c>
      <c r="F635" s="153">
        <f t="shared" si="18"/>
        <v>0</v>
      </c>
      <c r="G635" s="153" t="str">
        <f t="shared" si="19"/>
        <v>OK</v>
      </c>
      <c r="H635" s="153" t="b">
        <v>1</v>
      </c>
    </row>
    <row r="636" spans="1:8" x14ac:dyDescent="0.3">
      <c r="A636" s="153" t="s">
        <v>2033</v>
      </c>
      <c r="B636" s="153" t="s">
        <v>2762</v>
      </c>
      <c r="C636" s="153" t="s">
        <v>2034</v>
      </c>
      <c r="D636" s="153">
        <v>18229.599163999999</v>
      </c>
      <c r="E636" s="153">
        <v>18229.599163999999</v>
      </c>
      <c r="F636" s="153">
        <f t="shared" si="18"/>
        <v>0</v>
      </c>
      <c r="G636" s="153" t="str">
        <f t="shared" si="19"/>
        <v>OK</v>
      </c>
      <c r="H636" s="153" t="b">
        <v>1</v>
      </c>
    </row>
    <row r="637" spans="1:8" x14ac:dyDescent="0.3">
      <c r="A637" s="153" t="s">
        <v>2035</v>
      </c>
      <c r="B637" s="153" t="s">
        <v>2762</v>
      </c>
      <c r="C637" s="153" t="s">
        <v>2036</v>
      </c>
      <c r="D637" s="153">
        <v>983845.21127904428</v>
      </c>
      <c r="E637" s="153">
        <v>983845.21127904428</v>
      </c>
      <c r="F637" s="153">
        <f t="shared" si="18"/>
        <v>0</v>
      </c>
      <c r="G637" s="153" t="str">
        <f t="shared" si="19"/>
        <v>OK</v>
      </c>
      <c r="H637" s="153" t="b">
        <v>1</v>
      </c>
    </row>
    <row r="638" spans="1:8" x14ac:dyDescent="0.3">
      <c r="A638" s="153" t="s">
        <v>2037</v>
      </c>
      <c r="B638" s="153" t="s">
        <v>2762</v>
      </c>
      <c r="C638" s="153" t="s">
        <v>2038</v>
      </c>
      <c r="D638" s="153">
        <v>0</v>
      </c>
      <c r="E638" s="153">
        <v>0</v>
      </c>
      <c r="F638" s="153">
        <f t="shared" si="18"/>
        <v>0</v>
      </c>
      <c r="G638" s="153" t="str">
        <f t="shared" si="19"/>
        <v>OK</v>
      </c>
      <c r="H638" s="153" t="b">
        <v>1</v>
      </c>
    </row>
    <row r="639" spans="1:8" x14ac:dyDescent="0.3">
      <c r="A639" s="153" t="s">
        <v>2039</v>
      </c>
      <c r="B639" s="153" t="s">
        <v>2762</v>
      </c>
      <c r="C639" s="153" t="s">
        <v>2040</v>
      </c>
      <c r="D639" s="153">
        <v>983845.21127904428</v>
      </c>
      <c r="E639" s="153">
        <v>983845.21127904428</v>
      </c>
      <c r="F639" s="153">
        <f t="shared" si="18"/>
        <v>0</v>
      </c>
      <c r="G639" s="153" t="str">
        <f t="shared" si="19"/>
        <v>OK</v>
      </c>
      <c r="H639" s="153" t="b">
        <v>1</v>
      </c>
    </row>
    <row r="640" spans="1:8" x14ac:dyDescent="0.3">
      <c r="A640" s="153" t="s">
        <v>2041</v>
      </c>
      <c r="B640" s="153" t="s">
        <v>2762</v>
      </c>
      <c r="C640" s="153" t="s">
        <v>2042</v>
      </c>
      <c r="D640" s="153">
        <v>983845.21127904428</v>
      </c>
      <c r="E640" s="153">
        <v>983845.21127904428</v>
      </c>
      <c r="F640" s="153">
        <f t="shared" si="18"/>
        <v>0</v>
      </c>
      <c r="G640" s="153" t="str">
        <f t="shared" si="19"/>
        <v>OK</v>
      </c>
      <c r="H640" s="153" t="b">
        <v>1</v>
      </c>
    </row>
    <row r="641" spans="1:8" x14ac:dyDescent="0.3">
      <c r="A641" s="153" t="s">
        <v>2043</v>
      </c>
      <c r="B641" s="153" t="s">
        <v>2762</v>
      </c>
      <c r="C641" s="153" t="s">
        <v>2044</v>
      </c>
      <c r="D641" s="153">
        <v>0</v>
      </c>
      <c r="E641" s="153">
        <v>0</v>
      </c>
      <c r="F641" s="153">
        <f t="shared" si="18"/>
        <v>0</v>
      </c>
      <c r="G641" s="153" t="str">
        <f t="shared" si="19"/>
        <v>OK</v>
      </c>
      <c r="H641" s="153" t="b">
        <v>1</v>
      </c>
    </row>
    <row r="642" spans="1:8" x14ac:dyDescent="0.3">
      <c r="A642" s="153" t="s">
        <v>2045</v>
      </c>
      <c r="B642" s="153" t="s">
        <v>2762</v>
      </c>
      <c r="C642" s="153" t="s">
        <v>2046</v>
      </c>
      <c r="D642" s="153">
        <v>20</v>
      </c>
      <c r="E642" s="153">
        <v>20</v>
      </c>
      <c r="F642" s="153">
        <f t="shared" ref="F642:F705" si="20">IF(NOT(H642),"",IF(AND(ISNUMBER(D642),ISNUMBER(E642)),E642-D642,IF(D642=E642,0,1)))</f>
        <v>0</v>
      </c>
      <c r="G642" s="153" t="str">
        <f t="shared" ref="G642:G705" si="21">IF(NOT(H642),"PENDIENTE SIDE",IF(IF(AND(ISNUMBER(D642),ISNUMBER(E642)),IF(MOD(D642,1)=0,D642=E642,ABS(D642-E642)&lt;=0.000000001*MAX(1,ABS(D642),ABS(E642))),D642=E642),"OK","DIFERENCIA"))</f>
        <v>OK</v>
      </c>
      <c r="H642" s="153" t="b">
        <v>1</v>
      </c>
    </row>
    <row r="643" spans="1:8" x14ac:dyDescent="0.3">
      <c r="A643" s="153" t="s">
        <v>2047</v>
      </c>
      <c r="B643" s="153" t="s">
        <v>2762</v>
      </c>
      <c r="C643" s="153" t="s">
        <v>2048</v>
      </c>
      <c r="D643" s="153">
        <v>0</v>
      </c>
      <c r="E643" s="153">
        <v>0</v>
      </c>
      <c r="F643" s="153">
        <f t="shared" si="20"/>
        <v>0</v>
      </c>
      <c r="G643" s="153" t="str">
        <f t="shared" si="21"/>
        <v>OK</v>
      </c>
      <c r="H643" s="153" t="b">
        <v>1</v>
      </c>
    </row>
    <row r="644" spans="1:8" x14ac:dyDescent="0.3">
      <c r="A644" s="153" t="s">
        <v>2049</v>
      </c>
      <c r="B644" s="153" t="s">
        <v>2762</v>
      </c>
      <c r="C644" s="153" t="s">
        <v>2050</v>
      </c>
      <c r="D644" s="153">
        <v>3</v>
      </c>
      <c r="E644" s="153">
        <v>3</v>
      </c>
      <c r="F644" s="153">
        <f t="shared" si="20"/>
        <v>0</v>
      </c>
      <c r="G644" s="153" t="str">
        <f t="shared" si="21"/>
        <v>OK</v>
      </c>
      <c r="H644" s="153" t="b">
        <v>1</v>
      </c>
    </row>
    <row r="645" spans="1:8" x14ac:dyDescent="0.3">
      <c r="A645" s="153" t="s">
        <v>2051</v>
      </c>
      <c r="B645" s="153" t="s">
        <v>2762</v>
      </c>
      <c r="C645" s="153" t="s">
        <v>2052</v>
      </c>
      <c r="D645" s="153">
        <v>0</v>
      </c>
      <c r="E645" s="153">
        <v>0</v>
      </c>
      <c r="F645" s="153">
        <f t="shared" si="20"/>
        <v>0</v>
      </c>
      <c r="G645" s="153" t="str">
        <f t="shared" si="21"/>
        <v>OK</v>
      </c>
      <c r="H645" s="153" t="b">
        <v>1</v>
      </c>
    </row>
    <row r="646" spans="1:8" x14ac:dyDescent="0.3">
      <c r="A646" s="153" t="s">
        <v>2053</v>
      </c>
      <c r="B646" s="153" t="s">
        <v>2762</v>
      </c>
      <c r="C646" s="153" t="s">
        <v>2054</v>
      </c>
      <c r="D646" s="153">
        <v>0</v>
      </c>
      <c r="E646" s="153">
        <v>0</v>
      </c>
      <c r="F646" s="153">
        <f t="shared" si="20"/>
        <v>0</v>
      </c>
      <c r="G646" s="153" t="str">
        <f t="shared" si="21"/>
        <v>OK</v>
      </c>
      <c r="H646" s="153" t="b">
        <v>1</v>
      </c>
    </row>
    <row r="647" spans="1:8" x14ac:dyDescent="0.3">
      <c r="A647" s="153" t="s">
        <v>2055</v>
      </c>
      <c r="B647" s="153" t="s">
        <v>2762</v>
      </c>
      <c r="C647" s="153" t="s">
        <v>2056</v>
      </c>
      <c r="D647" s="153">
        <v>4840</v>
      </c>
      <c r="E647" s="153">
        <v>4840</v>
      </c>
      <c r="F647" s="153">
        <f t="shared" si="20"/>
        <v>0</v>
      </c>
      <c r="G647" s="153" t="str">
        <f t="shared" si="21"/>
        <v>OK</v>
      </c>
      <c r="H647" s="153" t="b">
        <v>1</v>
      </c>
    </row>
    <row r="648" spans="1:8" x14ac:dyDescent="0.3">
      <c r="A648" s="153" t="s">
        <v>2057</v>
      </c>
      <c r="B648" s="153" t="s">
        <v>2762</v>
      </c>
      <c r="C648" s="153" t="s">
        <v>2058</v>
      </c>
      <c r="D648" s="153">
        <v>4840</v>
      </c>
      <c r="E648" s="153">
        <v>4840</v>
      </c>
      <c r="F648" s="153">
        <f t="shared" si="20"/>
        <v>0</v>
      </c>
      <c r="G648" s="153" t="str">
        <f t="shared" si="21"/>
        <v>OK</v>
      </c>
      <c r="H648" s="153" t="b">
        <v>1</v>
      </c>
    </row>
    <row r="649" spans="1:8" x14ac:dyDescent="0.3">
      <c r="A649" s="153" t="s">
        <v>2059</v>
      </c>
      <c r="B649" s="153" t="s">
        <v>2762</v>
      </c>
      <c r="C649" s="153" t="s">
        <v>2060</v>
      </c>
      <c r="D649" s="153">
        <v>33021.092991803278</v>
      </c>
      <c r="E649" s="153">
        <v>33021.092991803278</v>
      </c>
      <c r="F649" s="153">
        <f t="shared" si="20"/>
        <v>0</v>
      </c>
      <c r="G649" s="153" t="str">
        <f t="shared" si="21"/>
        <v>OK</v>
      </c>
      <c r="H649" s="153" t="b">
        <v>1</v>
      </c>
    </row>
    <row r="650" spans="1:8" x14ac:dyDescent="0.3">
      <c r="A650" s="153" t="s">
        <v>2061</v>
      </c>
      <c r="B650" s="153" t="s">
        <v>2762</v>
      </c>
      <c r="C650" s="153" t="s">
        <v>2062</v>
      </c>
      <c r="D650" s="153">
        <v>-28181.092991803282</v>
      </c>
      <c r="E650" s="153">
        <v>-28181.092991803282</v>
      </c>
      <c r="F650" s="153">
        <f t="shared" si="20"/>
        <v>0</v>
      </c>
      <c r="G650" s="153" t="str">
        <f t="shared" si="21"/>
        <v>OK</v>
      </c>
      <c r="H650" s="153" t="b">
        <v>1</v>
      </c>
    </row>
    <row r="651" spans="1:8" x14ac:dyDescent="0.3">
      <c r="A651" s="153" t="s">
        <v>2063</v>
      </c>
      <c r="B651" s="153" t="s">
        <v>2762</v>
      </c>
      <c r="C651" s="153" t="s">
        <v>2064</v>
      </c>
      <c r="D651" s="153">
        <v>8.692499999999999</v>
      </c>
      <c r="E651" s="153">
        <v>8.692499999999999</v>
      </c>
      <c r="F651" s="153">
        <f t="shared" si="20"/>
        <v>0</v>
      </c>
      <c r="G651" s="153" t="str">
        <f t="shared" si="21"/>
        <v>OK</v>
      </c>
      <c r="H651" s="153" t="b">
        <v>1</v>
      </c>
    </row>
    <row r="652" spans="1:8" x14ac:dyDescent="0.3">
      <c r="A652" s="153" t="s">
        <v>2065</v>
      </c>
      <c r="B652" s="153" t="s">
        <v>2762</v>
      </c>
      <c r="C652" s="153" t="s">
        <v>2066</v>
      </c>
      <c r="D652" s="153">
        <v>0</v>
      </c>
      <c r="E652" s="153">
        <v>0</v>
      </c>
      <c r="F652" s="153">
        <f t="shared" si="20"/>
        <v>0</v>
      </c>
      <c r="G652" s="153" t="str">
        <f t="shared" si="21"/>
        <v>OK</v>
      </c>
      <c r="H652" s="153" t="b">
        <v>1</v>
      </c>
    </row>
    <row r="653" spans="1:8" x14ac:dyDescent="0.3">
      <c r="A653" s="153" t="s">
        <v>2067</v>
      </c>
      <c r="B653" s="153" t="s">
        <v>2762</v>
      </c>
      <c r="C653" s="153" t="s">
        <v>2068</v>
      </c>
      <c r="D653" s="153">
        <v>33021.092991803278</v>
      </c>
      <c r="E653" s="153">
        <v>33021.092991803278</v>
      </c>
      <c r="F653" s="153">
        <f t="shared" si="20"/>
        <v>0</v>
      </c>
      <c r="G653" s="153" t="str">
        <f t="shared" si="21"/>
        <v>OK</v>
      </c>
      <c r="H653" s="153" t="b">
        <v>1</v>
      </c>
    </row>
    <row r="654" spans="1:8" x14ac:dyDescent="0.3">
      <c r="A654" s="153" t="s">
        <v>2069</v>
      </c>
      <c r="B654" s="153" t="s">
        <v>2762</v>
      </c>
      <c r="C654" s="153" t="s">
        <v>2070</v>
      </c>
      <c r="D654" s="153">
        <v>1000000</v>
      </c>
      <c r="E654" s="153">
        <v>1000000</v>
      </c>
      <c r="F654" s="153">
        <f t="shared" si="20"/>
        <v>0</v>
      </c>
      <c r="G654" s="153" t="str">
        <f t="shared" si="21"/>
        <v>OK</v>
      </c>
      <c r="H654" s="153" t="b">
        <v>1</v>
      </c>
    </row>
    <row r="655" spans="1:8" x14ac:dyDescent="0.3">
      <c r="A655" s="153" t="s">
        <v>2071</v>
      </c>
      <c r="B655" s="153" t="s">
        <v>2762</v>
      </c>
      <c r="C655" s="153" t="s">
        <v>2072</v>
      </c>
      <c r="D655" s="153">
        <v>4840</v>
      </c>
      <c r="E655" s="153">
        <v>4840</v>
      </c>
      <c r="F655" s="153">
        <f t="shared" si="20"/>
        <v>0</v>
      </c>
      <c r="G655" s="153" t="str">
        <f t="shared" si="21"/>
        <v>OK</v>
      </c>
      <c r="H655" s="153" t="b">
        <v>1</v>
      </c>
    </row>
    <row r="656" spans="1:8" x14ac:dyDescent="0.3">
      <c r="A656" s="153" t="s">
        <v>2073</v>
      </c>
      <c r="B656" s="153" t="s">
        <v>2762</v>
      </c>
      <c r="C656" s="153" t="s">
        <v>2074</v>
      </c>
      <c r="D656" s="153">
        <v>72466.36049180328</v>
      </c>
      <c r="E656" s="153">
        <v>72466.36049180328</v>
      </c>
      <c r="F656" s="153">
        <f t="shared" si="20"/>
        <v>0</v>
      </c>
      <c r="G656" s="153" t="str">
        <f t="shared" si="21"/>
        <v>OK</v>
      </c>
      <c r="H656" s="153" t="b">
        <v>1</v>
      </c>
    </row>
    <row r="657" spans="1:8" x14ac:dyDescent="0.3">
      <c r="A657" s="153" t="s">
        <v>2075</v>
      </c>
      <c r="B657" s="153" t="s">
        <v>2762</v>
      </c>
      <c r="C657" s="153" t="s">
        <v>2076</v>
      </c>
      <c r="D657" s="153">
        <v>932373.63950819673</v>
      </c>
      <c r="E657" s="153">
        <v>932373.63950819673</v>
      </c>
      <c r="F657" s="153">
        <f t="shared" si="20"/>
        <v>0</v>
      </c>
      <c r="G657" s="153" t="str">
        <f t="shared" si="21"/>
        <v>OK</v>
      </c>
      <c r="H657" s="153" t="b">
        <v>1</v>
      </c>
    </row>
    <row r="658" spans="1:8" x14ac:dyDescent="0.3">
      <c r="A658" s="153" t="s">
        <v>2077</v>
      </c>
      <c r="B658" s="153" t="s">
        <v>2762</v>
      </c>
      <c r="C658" s="153" t="s">
        <v>2078</v>
      </c>
      <c r="D658" s="153">
        <v>1000000</v>
      </c>
      <c r="E658" s="153">
        <v>1000000</v>
      </c>
      <c r="F658" s="153">
        <f t="shared" si="20"/>
        <v>0</v>
      </c>
      <c r="G658" s="153" t="str">
        <f t="shared" si="21"/>
        <v>OK</v>
      </c>
      <c r="H658" s="153" t="b">
        <v>1</v>
      </c>
    </row>
    <row r="659" spans="1:8" x14ac:dyDescent="0.3">
      <c r="A659" s="153" t="s">
        <v>2079</v>
      </c>
      <c r="B659" s="153" t="s">
        <v>2762</v>
      </c>
      <c r="C659" s="153" t="s">
        <v>2080</v>
      </c>
      <c r="D659" s="153">
        <v>4840</v>
      </c>
      <c r="E659" s="153">
        <v>4840</v>
      </c>
      <c r="F659" s="153">
        <f t="shared" si="20"/>
        <v>0</v>
      </c>
      <c r="G659" s="153" t="str">
        <f t="shared" si="21"/>
        <v>OK</v>
      </c>
      <c r="H659" s="153" t="b">
        <v>1</v>
      </c>
    </row>
    <row r="660" spans="1:8" x14ac:dyDescent="0.3">
      <c r="A660" s="153" t="s">
        <v>2081</v>
      </c>
      <c r="B660" s="153" t="s">
        <v>2762</v>
      </c>
      <c r="C660" s="153" t="s">
        <v>2082</v>
      </c>
      <c r="D660" s="153">
        <v>64603.36049180328</v>
      </c>
      <c r="E660" s="153">
        <v>64603.36049180328</v>
      </c>
      <c r="F660" s="153">
        <f t="shared" si="20"/>
        <v>0</v>
      </c>
      <c r="G660" s="153" t="str">
        <f t="shared" si="21"/>
        <v>OK</v>
      </c>
      <c r="H660" s="153" t="b">
        <v>1</v>
      </c>
    </row>
    <row r="661" spans="1:8" x14ac:dyDescent="0.3">
      <c r="A661" s="153" t="s">
        <v>2083</v>
      </c>
      <c r="B661" s="153" t="s">
        <v>2762</v>
      </c>
      <c r="C661" s="153" t="s">
        <v>2084</v>
      </c>
      <c r="D661" s="153">
        <v>7863</v>
      </c>
      <c r="E661" s="153">
        <v>7863</v>
      </c>
      <c r="F661" s="153">
        <f t="shared" si="20"/>
        <v>0</v>
      </c>
      <c r="G661" s="153" t="str">
        <f t="shared" si="21"/>
        <v>OK</v>
      </c>
      <c r="H661" s="153" t="b">
        <v>1</v>
      </c>
    </row>
    <row r="662" spans="1:8" x14ac:dyDescent="0.3">
      <c r="A662" s="153" t="s">
        <v>2085</v>
      </c>
      <c r="B662" s="153" t="s">
        <v>2762</v>
      </c>
      <c r="C662" s="153" t="s">
        <v>2086</v>
      </c>
      <c r="D662" s="153">
        <v>0</v>
      </c>
      <c r="E662" s="153">
        <v>0</v>
      </c>
      <c r="F662" s="153">
        <f t="shared" si="20"/>
        <v>0</v>
      </c>
      <c r="G662" s="153" t="str">
        <f t="shared" si="21"/>
        <v>OK</v>
      </c>
      <c r="H662" s="153" t="b">
        <v>1</v>
      </c>
    </row>
    <row r="663" spans="1:8" x14ac:dyDescent="0.3">
      <c r="A663" s="153" t="s">
        <v>2087</v>
      </c>
      <c r="B663" s="153" t="s">
        <v>2762</v>
      </c>
      <c r="C663" s="153" t="s">
        <v>2088</v>
      </c>
      <c r="D663" s="153">
        <v>-59763.36049180328</v>
      </c>
      <c r="E663" s="153">
        <v>-59763.36049180328</v>
      </c>
      <c r="F663" s="153">
        <f t="shared" si="20"/>
        <v>0</v>
      </c>
      <c r="G663" s="153" t="str">
        <f t="shared" si="21"/>
        <v>OK</v>
      </c>
      <c r="H663" s="153" t="b">
        <v>1</v>
      </c>
    </row>
    <row r="664" spans="1:8" x14ac:dyDescent="0.3">
      <c r="A664" s="153" t="s">
        <v>2089</v>
      </c>
      <c r="B664" s="153" t="s">
        <v>2762</v>
      </c>
      <c r="C664" s="153" t="s">
        <v>2090</v>
      </c>
      <c r="D664" s="153">
        <v>-7863</v>
      </c>
      <c r="E664" s="153">
        <v>-7863</v>
      </c>
      <c r="F664" s="153">
        <f t="shared" si="20"/>
        <v>0</v>
      </c>
      <c r="G664" s="153" t="str">
        <f t="shared" si="21"/>
        <v>OK</v>
      </c>
      <c r="H664" s="153" t="b">
        <v>1</v>
      </c>
    </row>
    <row r="665" spans="1:8" x14ac:dyDescent="0.3">
      <c r="A665" s="153" t="s">
        <v>2091</v>
      </c>
      <c r="B665" s="153" t="s">
        <v>2762</v>
      </c>
      <c r="C665" s="153" t="s">
        <v>2092</v>
      </c>
      <c r="D665" s="153">
        <v>-67626.360491803265</v>
      </c>
      <c r="E665" s="153">
        <v>-67626.360491803265</v>
      </c>
      <c r="F665" s="153">
        <f t="shared" si="20"/>
        <v>0</v>
      </c>
      <c r="G665" s="153" t="str">
        <f t="shared" si="21"/>
        <v>OK</v>
      </c>
      <c r="H665" s="153" t="b">
        <v>1</v>
      </c>
    </row>
    <row r="666" spans="1:8" x14ac:dyDescent="0.3">
      <c r="A666" s="153" t="s">
        <v>2093</v>
      </c>
      <c r="B666" s="153" t="s">
        <v>2762</v>
      </c>
      <c r="C666" s="153" t="s">
        <v>2094</v>
      </c>
      <c r="D666" s="153">
        <v>932373.63950819673</v>
      </c>
      <c r="E666" s="153">
        <v>932373.63950819673</v>
      </c>
      <c r="F666" s="153">
        <f t="shared" si="20"/>
        <v>0</v>
      </c>
      <c r="G666" s="153" t="str">
        <f t="shared" si="21"/>
        <v>OK</v>
      </c>
      <c r="H666" s="153" t="b">
        <v>1</v>
      </c>
    </row>
    <row r="667" spans="1:8" x14ac:dyDescent="0.3">
      <c r="A667" s="153" t="s">
        <v>2095</v>
      </c>
      <c r="B667" s="153" t="s">
        <v>2762</v>
      </c>
      <c r="C667" s="153" t="s">
        <v>2096</v>
      </c>
      <c r="D667" s="153">
        <v>932373.63950819673</v>
      </c>
      <c r="E667" s="153">
        <v>932373.63950819673</v>
      </c>
      <c r="F667" s="153">
        <f t="shared" si="20"/>
        <v>0</v>
      </c>
      <c r="G667" s="153" t="str">
        <f t="shared" si="21"/>
        <v>OK</v>
      </c>
      <c r="H667" s="153" t="b">
        <v>1</v>
      </c>
    </row>
    <row r="668" spans="1:8" x14ac:dyDescent="0.3">
      <c r="A668" s="153" t="s">
        <v>2097</v>
      </c>
      <c r="B668" s="153" t="s">
        <v>2762</v>
      </c>
      <c r="C668" s="153" t="s">
        <v>2098</v>
      </c>
      <c r="D668" s="153">
        <v>7491.3074999999999</v>
      </c>
      <c r="E668" s="153">
        <v>7491.3074999999999</v>
      </c>
      <c r="F668" s="153">
        <f t="shared" si="20"/>
        <v>0</v>
      </c>
      <c r="G668" s="153" t="str">
        <f t="shared" si="21"/>
        <v>OK</v>
      </c>
      <c r="H668" s="153" t="b">
        <v>1</v>
      </c>
    </row>
    <row r="669" spans="1:8" x14ac:dyDescent="0.3">
      <c r="A669" s="153" t="s">
        <v>2099</v>
      </c>
      <c r="B669" s="153" t="s">
        <v>2762</v>
      </c>
      <c r="C669" s="153" t="s">
        <v>2100</v>
      </c>
      <c r="D669" s="153">
        <v>31590.959999999999</v>
      </c>
      <c r="E669" s="153">
        <v>31590.959999999999</v>
      </c>
      <c r="F669" s="153">
        <f t="shared" si="20"/>
        <v>0</v>
      </c>
      <c r="G669" s="153" t="str">
        <f t="shared" si="21"/>
        <v>OK</v>
      </c>
      <c r="H669" s="153" t="b">
        <v>1</v>
      </c>
    </row>
    <row r="670" spans="1:8" x14ac:dyDescent="0.3">
      <c r="A670" s="153" t="s">
        <v>2101</v>
      </c>
      <c r="B670" s="153" t="s">
        <v>2762</v>
      </c>
      <c r="C670" s="153" t="s">
        <v>2102</v>
      </c>
      <c r="D670" s="153">
        <v>971455.90700819669</v>
      </c>
      <c r="E670" s="153">
        <v>971455.90700819669</v>
      </c>
      <c r="F670" s="153">
        <f t="shared" si="20"/>
        <v>0</v>
      </c>
      <c r="G670" s="153" t="str">
        <f t="shared" si="21"/>
        <v>OK</v>
      </c>
      <c r="H670" s="153" t="b">
        <v>1</v>
      </c>
    </row>
    <row r="671" spans="1:8" x14ac:dyDescent="0.3">
      <c r="A671" s="153" t="s">
        <v>2103</v>
      </c>
      <c r="B671" s="153" t="s">
        <v>2762</v>
      </c>
      <c r="C671" s="153" t="s">
        <v>2104</v>
      </c>
      <c r="D671" s="153">
        <v>0</v>
      </c>
      <c r="E671" s="153">
        <v>0</v>
      </c>
      <c r="F671" s="153">
        <f t="shared" si="20"/>
        <v>0</v>
      </c>
      <c r="G671" s="153" t="str">
        <f t="shared" si="21"/>
        <v>OK</v>
      </c>
      <c r="H671" s="153" t="b">
        <v>1</v>
      </c>
    </row>
    <row r="672" spans="1:8" x14ac:dyDescent="0.3">
      <c r="A672" s="153" t="s">
        <v>2105</v>
      </c>
      <c r="B672" s="153" t="s">
        <v>2762</v>
      </c>
      <c r="C672" s="153" t="s">
        <v>2106</v>
      </c>
      <c r="D672" s="153">
        <v>971455.90700819669</v>
      </c>
      <c r="E672" s="153">
        <v>971455.90700819669</v>
      </c>
      <c r="F672" s="153">
        <f t="shared" si="20"/>
        <v>0</v>
      </c>
      <c r="G672" s="153" t="str">
        <f t="shared" si="21"/>
        <v>OK</v>
      </c>
      <c r="H672" s="153" t="b">
        <v>1</v>
      </c>
    </row>
    <row r="673" spans="1:8" x14ac:dyDescent="0.3">
      <c r="A673" s="153" t="s">
        <v>2107</v>
      </c>
      <c r="B673" s="153" t="s">
        <v>2762</v>
      </c>
      <c r="C673" s="153" t="s">
        <v>2108</v>
      </c>
      <c r="D673" s="153">
        <v>971455.90700819669</v>
      </c>
      <c r="E673" s="153">
        <v>971455.90700819669</v>
      </c>
      <c r="F673" s="153">
        <f t="shared" si="20"/>
        <v>0</v>
      </c>
      <c r="G673" s="153" t="str">
        <f t="shared" si="21"/>
        <v>OK</v>
      </c>
      <c r="H673" s="153" t="b">
        <v>1</v>
      </c>
    </row>
    <row r="674" spans="1:8" x14ac:dyDescent="0.3">
      <c r="A674" s="153" t="s">
        <v>2109</v>
      </c>
      <c r="B674" s="153" t="s">
        <v>2762</v>
      </c>
      <c r="C674" s="153" t="s">
        <v>2110</v>
      </c>
      <c r="D674" s="153">
        <v>0</v>
      </c>
      <c r="E674" s="153">
        <v>0</v>
      </c>
      <c r="F674" s="153">
        <f t="shared" si="20"/>
        <v>0</v>
      </c>
      <c r="G674" s="153" t="str">
        <f t="shared" si="21"/>
        <v>OK</v>
      </c>
      <c r="H674" s="153" t="b">
        <v>1</v>
      </c>
    </row>
    <row r="675" spans="1:8" x14ac:dyDescent="0.3">
      <c r="A675" s="153" t="s">
        <v>2111</v>
      </c>
      <c r="B675" s="153" t="s">
        <v>2762</v>
      </c>
      <c r="C675" s="153" t="s">
        <v>2112</v>
      </c>
      <c r="D675" s="153">
        <v>20</v>
      </c>
      <c r="E675" s="153">
        <v>20</v>
      </c>
      <c r="F675" s="153">
        <f t="shared" si="20"/>
        <v>0</v>
      </c>
      <c r="G675" s="153" t="str">
        <f t="shared" si="21"/>
        <v>OK</v>
      </c>
      <c r="H675" s="153" t="b">
        <v>1</v>
      </c>
    </row>
    <row r="676" spans="1:8" x14ac:dyDescent="0.3">
      <c r="A676" s="153" t="s">
        <v>2113</v>
      </c>
      <c r="B676" s="153" t="s">
        <v>2762</v>
      </c>
      <c r="C676" s="153" t="s">
        <v>2114</v>
      </c>
      <c r="D676" s="153">
        <v>0</v>
      </c>
      <c r="E676" s="153">
        <v>0</v>
      </c>
      <c r="F676" s="153">
        <f t="shared" si="20"/>
        <v>0</v>
      </c>
      <c r="G676" s="153" t="str">
        <f t="shared" si="21"/>
        <v>OK</v>
      </c>
      <c r="H676" s="153" t="b">
        <v>1</v>
      </c>
    </row>
    <row r="677" spans="1:8" x14ac:dyDescent="0.3">
      <c r="A677" s="153" t="s">
        <v>2115</v>
      </c>
      <c r="B677" s="153" t="s">
        <v>2762</v>
      </c>
      <c r="C677" s="153" t="s">
        <v>2116</v>
      </c>
      <c r="D677" s="153">
        <v>3</v>
      </c>
      <c r="E677" s="153">
        <v>3</v>
      </c>
      <c r="F677" s="153">
        <f t="shared" si="20"/>
        <v>0</v>
      </c>
      <c r="G677" s="153" t="str">
        <f t="shared" si="21"/>
        <v>OK</v>
      </c>
      <c r="H677" s="153" t="b">
        <v>1</v>
      </c>
    </row>
    <row r="678" spans="1:8" x14ac:dyDescent="0.3">
      <c r="A678" s="153" t="s">
        <v>2117</v>
      </c>
      <c r="B678" s="153" t="s">
        <v>2762</v>
      </c>
      <c r="C678" s="153" t="s">
        <v>2118</v>
      </c>
      <c r="D678" s="153">
        <v>0</v>
      </c>
      <c r="E678" s="153">
        <v>0</v>
      </c>
      <c r="F678" s="153">
        <f t="shared" si="20"/>
        <v>0</v>
      </c>
      <c r="G678" s="153" t="str">
        <f t="shared" si="21"/>
        <v>OK</v>
      </c>
      <c r="H678" s="153" t="b">
        <v>1</v>
      </c>
    </row>
    <row r="679" spans="1:8" x14ac:dyDescent="0.3">
      <c r="A679" s="153" t="s">
        <v>2119</v>
      </c>
      <c r="B679" s="153" t="s">
        <v>2762</v>
      </c>
      <c r="C679" s="153" t="s">
        <v>2120</v>
      </c>
      <c r="D679" s="153">
        <v>0</v>
      </c>
      <c r="E679" s="153">
        <v>0</v>
      </c>
      <c r="F679" s="153">
        <f t="shared" si="20"/>
        <v>0</v>
      </c>
      <c r="G679" s="153" t="str">
        <f t="shared" si="21"/>
        <v>OK</v>
      </c>
      <c r="H679" s="153" t="b">
        <v>1</v>
      </c>
    </row>
    <row r="680" spans="1:8" x14ac:dyDescent="0.3">
      <c r="A680" s="153" t="s">
        <v>2121</v>
      </c>
      <c r="B680" s="153" t="s">
        <v>2762</v>
      </c>
      <c r="C680" s="153" t="s">
        <v>2122</v>
      </c>
      <c r="D680" s="153">
        <v>16016</v>
      </c>
      <c r="E680" s="153">
        <v>16016</v>
      </c>
      <c r="F680" s="153">
        <f t="shared" si="20"/>
        <v>0</v>
      </c>
      <c r="G680" s="153" t="str">
        <f t="shared" si="21"/>
        <v>OK</v>
      </c>
      <c r="H680" s="153" t="b">
        <v>1</v>
      </c>
    </row>
    <row r="681" spans="1:8" x14ac:dyDescent="0.3">
      <c r="A681" s="153" t="s">
        <v>2123</v>
      </c>
      <c r="B681" s="153" t="s">
        <v>2762</v>
      </c>
      <c r="C681" s="153" t="s">
        <v>2124</v>
      </c>
      <c r="D681" s="153">
        <v>16016</v>
      </c>
      <c r="E681" s="153">
        <v>16016</v>
      </c>
      <c r="F681" s="153">
        <f t="shared" si="20"/>
        <v>0</v>
      </c>
      <c r="G681" s="153" t="str">
        <f t="shared" si="21"/>
        <v>OK</v>
      </c>
      <c r="H681" s="153" t="b">
        <v>1</v>
      </c>
    </row>
    <row r="682" spans="1:8" x14ac:dyDescent="0.3">
      <c r="A682" s="153" t="s">
        <v>2125</v>
      </c>
      <c r="B682" s="153" t="s">
        <v>2762</v>
      </c>
      <c r="C682" s="153" t="s">
        <v>2126</v>
      </c>
      <c r="D682" s="153">
        <v>45133.329647644161</v>
      </c>
      <c r="E682" s="153">
        <v>45133.329647644161</v>
      </c>
      <c r="F682" s="153">
        <f t="shared" si="20"/>
        <v>0</v>
      </c>
      <c r="G682" s="153" t="str">
        <f t="shared" si="21"/>
        <v>OK</v>
      </c>
      <c r="H682" s="153" t="b">
        <v>1</v>
      </c>
    </row>
    <row r="683" spans="1:8" x14ac:dyDescent="0.3">
      <c r="A683" s="153" t="s">
        <v>2127</v>
      </c>
      <c r="B683" s="153" t="s">
        <v>2762</v>
      </c>
      <c r="C683" s="153" t="s">
        <v>2128</v>
      </c>
      <c r="D683" s="153">
        <v>-29117.329647644161</v>
      </c>
      <c r="E683" s="153">
        <v>-29117.329647644161</v>
      </c>
      <c r="F683" s="153">
        <f t="shared" si="20"/>
        <v>0</v>
      </c>
      <c r="G683" s="153" t="str">
        <f t="shared" si="21"/>
        <v>OK</v>
      </c>
      <c r="H683" s="153" t="b">
        <v>1</v>
      </c>
    </row>
    <row r="684" spans="1:8" x14ac:dyDescent="0.3">
      <c r="A684" s="153" t="s">
        <v>2129</v>
      </c>
      <c r="B684" s="153" t="s">
        <v>2762</v>
      </c>
      <c r="C684" s="153" t="s">
        <v>2130</v>
      </c>
      <c r="D684" s="153">
        <v>109.3181818181818</v>
      </c>
      <c r="E684" s="153">
        <v>109.3181818181818</v>
      </c>
      <c r="F684" s="153">
        <f t="shared" si="20"/>
        <v>0</v>
      </c>
      <c r="G684" s="153" t="str">
        <f t="shared" si="21"/>
        <v>OK</v>
      </c>
      <c r="H684" s="153" t="b">
        <v>1</v>
      </c>
    </row>
    <row r="685" spans="1:8" x14ac:dyDescent="0.3">
      <c r="A685" s="153" t="s">
        <v>2131</v>
      </c>
      <c r="B685" s="153" t="s">
        <v>2762</v>
      </c>
      <c r="C685" s="153" t="s">
        <v>2132</v>
      </c>
      <c r="D685" s="153">
        <v>0</v>
      </c>
      <c r="E685" s="153">
        <v>0</v>
      </c>
      <c r="F685" s="153">
        <f t="shared" si="20"/>
        <v>0</v>
      </c>
      <c r="G685" s="153" t="str">
        <f t="shared" si="21"/>
        <v>OK</v>
      </c>
      <c r="H685" s="153" t="b">
        <v>1</v>
      </c>
    </row>
    <row r="686" spans="1:8" x14ac:dyDescent="0.3">
      <c r="A686" s="153" t="s">
        <v>2133</v>
      </c>
      <c r="B686" s="153" t="s">
        <v>2762</v>
      </c>
      <c r="C686" s="153" t="s">
        <v>2134</v>
      </c>
      <c r="D686" s="153">
        <v>45133.329647644161</v>
      </c>
      <c r="E686" s="153">
        <v>45133.329647644161</v>
      </c>
      <c r="F686" s="153">
        <f t="shared" si="20"/>
        <v>0</v>
      </c>
      <c r="G686" s="153" t="str">
        <f t="shared" si="21"/>
        <v>OK</v>
      </c>
      <c r="H686" s="153" t="b">
        <v>1</v>
      </c>
    </row>
    <row r="687" spans="1:8" x14ac:dyDescent="0.3">
      <c r="A687" s="153" t="s">
        <v>2135</v>
      </c>
      <c r="B687" s="153" t="s">
        <v>2762</v>
      </c>
      <c r="C687" s="153" t="s">
        <v>2136</v>
      </c>
      <c r="D687" s="153">
        <v>1000000</v>
      </c>
      <c r="E687" s="153">
        <v>1000000</v>
      </c>
      <c r="F687" s="153">
        <f t="shared" si="20"/>
        <v>0</v>
      </c>
      <c r="G687" s="153" t="str">
        <f t="shared" si="21"/>
        <v>OK</v>
      </c>
      <c r="H687" s="153" t="b">
        <v>1</v>
      </c>
    </row>
    <row r="688" spans="1:8" x14ac:dyDescent="0.3">
      <c r="A688" s="153" t="s">
        <v>2137</v>
      </c>
      <c r="B688" s="153" t="s">
        <v>2762</v>
      </c>
      <c r="C688" s="153" t="s">
        <v>2138</v>
      </c>
      <c r="D688" s="153">
        <v>16016</v>
      </c>
      <c r="E688" s="153">
        <v>16016</v>
      </c>
      <c r="F688" s="153">
        <f t="shared" si="20"/>
        <v>0</v>
      </c>
      <c r="G688" s="153" t="str">
        <f t="shared" si="21"/>
        <v>OK</v>
      </c>
      <c r="H688" s="153" t="b">
        <v>1</v>
      </c>
    </row>
    <row r="689" spans="1:8" x14ac:dyDescent="0.3">
      <c r="A689" s="153" t="s">
        <v>2139</v>
      </c>
      <c r="B689" s="153" t="s">
        <v>2762</v>
      </c>
      <c r="C689" s="153" t="s">
        <v>2140</v>
      </c>
      <c r="D689" s="153">
        <v>103051.854665826</v>
      </c>
      <c r="E689" s="153">
        <v>103051.854665826</v>
      </c>
      <c r="F689" s="153">
        <f t="shared" si="20"/>
        <v>0</v>
      </c>
      <c r="G689" s="153" t="str">
        <f t="shared" si="21"/>
        <v>OK</v>
      </c>
      <c r="H689" s="153" t="b">
        <v>1</v>
      </c>
    </row>
    <row r="690" spans="1:8" x14ac:dyDescent="0.3">
      <c r="A690" s="153" t="s">
        <v>2141</v>
      </c>
      <c r="B690" s="153" t="s">
        <v>2762</v>
      </c>
      <c r="C690" s="153" t="s">
        <v>2142</v>
      </c>
      <c r="D690" s="153">
        <v>912964.14533417404</v>
      </c>
      <c r="E690" s="153">
        <v>912964.14533417404</v>
      </c>
      <c r="F690" s="153">
        <f t="shared" si="20"/>
        <v>0</v>
      </c>
      <c r="G690" s="153" t="str">
        <f t="shared" si="21"/>
        <v>OK</v>
      </c>
      <c r="H690" s="153" t="b">
        <v>1</v>
      </c>
    </row>
    <row r="691" spans="1:8" x14ac:dyDescent="0.3">
      <c r="A691" s="153" t="s">
        <v>2143</v>
      </c>
      <c r="B691" s="153" t="s">
        <v>2762</v>
      </c>
      <c r="C691" s="153" t="s">
        <v>2144</v>
      </c>
      <c r="D691" s="153">
        <v>1000000</v>
      </c>
      <c r="E691" s="153">
        <v>1000000</v>
      </c>
      <c r="F691" s="153">
        <f t="shared" si="20"/>
        <v>0</v>
      </c>
      <c r="G691" s="153" t="str">
        <f t="shared" si="21"/>
        <v>OK</v>
      </c>
      <c r="H691" s="153" t="b">
        <v>1</v>
      </c>
    </row>
    <row r="692" spans="1:8" x14ac:dyDescent="0.3">
      <c r="A692" s="153" t="s">
        <v>2145</v>
      </c>
      <c r="B692" s="153" t="s">
        <v>2762</v>
      </c>
      <c r="C692" s="153" t="s">
        <v>2146</v>
      </c>
      <c r="D692" s="153">
        <v>16016</v>
      </c>
      <c r="E692" s="153">
        <v>16016</v>
      </c>
      <c r="F692" s="153">
        <f t="shared" si="20"/>
        <v>0</v>
      </c>
      <c r="G692" s="153" t="str">
        <f t="shared" si="21"/>
        <v>OK</v>
      </c>
      <c r="H692" s="153" t="b">
        <v>1</v>
      </c>
    </row>
    <row r="693" spans="1:8" x14ac:dyDescent="0.3">
      <c r="A693" s="153" t="s">
        <v>2147</v>
      </c>
      <c r="B693" s="153" t="s">
        <v>2762</v>
      </c>
      <c r="C693" s="153" t="s">
        <v>2148</v>
      </c>
      <c r="D693" s="153">
        <v>94969.854665825973</v>
      </c>
      <c r="E693" s="153">
        <v>94969.854665825973</v>
      </c>
      <c r="F693" s="153">
        <f t="shared" si="20"/>
        <v>0</v>
      </c>
      <c r="G693" s="153" t="str">
        <f t="shared" si="21"/>
        <v>OK</v>
      </c>
      <c r="H693" s="153" t="b">
        <v>1</v>
      </c>
    </row>
    <row r="694" spans="1:8" x14ac:dyDescent="0.3">
      <c r="A694" s="153" t="s">
        <v>2149</v>
      </c>
      <c r="B694" s="153" t="s">
        <v>2762</v>
      </c>
      <c r="C694" s="153" t="s">
        <v>2150</v>
      </c>
      <c r="D694" s="153">
        <v>8082</v>
      </c>
      <c r="E694" s="153">
        <v>8082</v>
      </c>
      <c r="F694" s="153">
        <f t="shared" si="20"/>
        <v>0</v>
      </c>
      <c r="G694" s="153" t="str">
        <f t="shared" si="21"/>
        <v>OK</v>
      </c>
      <c r="H694" s="153" t="b">
        <v>1</v>
      </c>
    </row>
    <row r="695" spans="1:8" x14ac:dyDescent="0.3">
      <c r="A695" s="153" t="s">
        <v>2151</v>
      </c>
      <c r="B695" s="153" t="s">
        <v>2762</v>
      </c>
      <c r="C695" s="153" t="s">
        <v>2152</v>
      </c>
      <c r="D695" s="153">
        <v>0</v>
      </c>
      <c r="E695" s="153">
        <v>0</v>
      </c>
      <c r="F695" s="153">
        <f t="shared" si="20"/>
        <v>0</v>
      </c>
      <c r="G695" s="153" t="str">
        <f t="shared" si="21"/>
        <v>OK</v>
      </c>
      <c r="H695" s="153" t="b">
        <v>1</v>
      </c>
    </row>
    <row r="696" spans="1:8" x14ac:dyDescent="0.3">
      <c r="A696" s="153" t="s">
        <v>2153</v>
      </c>
      <c r="B696" s="153" t="s">
        <v>2762</v>
      </c>
      <c r="C696" s="153" t="s">
        <v>2154</v>
      </c>
      <c r="D696" s="153">
        <v>-78953.854665825973</v>
      </c>
      <c r="E696" s="153">
        <v>-78953.854665825973</v>
      </c>
      <c r="F696" s="153">
        <f t="shared" si="20"/>
        <v>0</v>
      </c>
      <c r="G696" s="153" t="str">
        <f t="shared" si="21"/>
        <v>OK</v>
      </c>
      <c r="H696" s="153" t="b">
        <v>1</v>
      </c>
    </row>
    <row r="697" spans="1:8" x14ac:dyDescent="0.3">
      <c r="A697" s="153" t="s">
        <v>2155</v>
      </c>
      <c r="B697" s="153" t="s">
        <v>2762</v>
      </c>
      <c r="C697" s="153" t="s">
        <v>2156</v>
      </c>
      <c r="D697" s="153">
        <v>-8082</v>
      </c>
      <c r="E697" s="153">
        <v>-8082</v>
      </c>
      <c r="F697" s="153">
        <f t="shared" si="20"/>
        <v>0</v>
      </c>
      <c r="G697" s="153" t="str">
        <f t="shared" si="21"/>
        <v>OK</v>
      </c>
      <c r="H697" s="153" t="b">
        <v>1</v>
      </c>
    </row>
    <row r="698" spans="1:8" x14ac:dyDescent="0.3">
      <c r="A698" s="153" t="s">
        <v>2157</v>
      </c>
      <c r="B698" s="153" t="s">
        <v>2762</v>
      </c>
      <c r="C698" s="153" t="s">
        <v>2158</v>
      </c>
      <c r="D698" s="153">
        <v>-87035.854665825958</v>
      </c>
      <c r="E698" s="153">
        <v>-87035.854665825958</v>
      </c>
      <c r="F698" s="153">
        <f t="shared" si="20"/>
        <v>0</v>
      </c>
      <c r="G698" s="153" t="str">
        <f t="shared" si="21"/>
        <v>OK</v>
      </c>
      <c r="H698" s="153" t="b">
        <v>1</v>
      </c>
    </row>
    <row r="699" spans="1:8" x14ac:dyDescent="0.3">
      <c r="A699" s="153" t="s">
        <v>2159</v>
      </c>
      <c r="B699" s="153" t="s">
        <v>2762</v>
      </c>
      <c r="C699" s="153" t="s">
        <v>2160</v>
      </c>
      <c r="D699" s="153">
        <v>912964.14533417404</v>
      </c>
      <c r="E699" s="153">
        <v>912964.14533417404</v>
      </c>
      <c r="F699" s="153">
        <f t="shared" si="20"/>
        <v>0</v>
      </c>
      <c r="G699" s="153" t="str">
        <f t="shared" si="21"/>
        <v>OK</v>
      </c>
      <c r="H699" s="153" t="b">
        <v>1</v>
      </c>
    </row>
    <row r="700" spans="1:8" x14ac:dyDescent="0.3">
      <c r="A700" s="153" t="s">
        <v>2161</v>
      </c>
      <c r="B700" s="153" t="s">
        <v>2762</v>
      </c>
      <c r="C700" s="153" t="s">
        <v>2162</v>
      </c>
      <c r="D700" s="153">
        <v>912964.14533417404</v>
      </c>
      <c r="E700" s="153">
        <v>912964.14533417404</v>
      </c>
      <c r="F700" s="153">
        <f t="shared" si="20"/>
        <v>0</v>
      </c>
      <c r="G700" s="153" t="str">
        <f t="shared" si="21"/>
        <v>OK</v>
      </c>
      <c r="H700" s="153" t="b">
        <v>1</v>
      </c>
    </row>
    <row r="701" spans="1:8" x14ac:dyDescent="0.3">
      <c r="A701" s="153" t="s">
        <v>2163</v>
      </c>
      <c r="B701" s="153" t="s">
        <v>2762</v>
      </c>
      <c r="C701" s="153" t="s">
        <v>2164</v>
      </c>
      <c r="D701" s="153">
        <v>7390.681818181818</v>
      </c>
      <c r="E701" s="153">
        <v>7390.681818181818</v>
      </c>
      <c r="F701" s="153">
        <f t="shared" si="20"/>
        <v>0</v>
      </c>
      <c r="G701" s="153" t="str">
        <f t="shared" si="21"/>
        <v>OK</v>
      </c>
      <c r="H701" s="153" t="b">
        <v>1</v>
      </c>
    </row>
    <row r="702" spans="1:8" x14ac:dyDescent="0.3">
      <c r="A702" s="153" t="s">
        <v>2165</v>
      </c>
      <c r="B702" s="153" t="s">
        <v>2762</v>
      </c>
      <c r="C702" s="153" t="s">
        <v>2166</v>
      </c>
      <c r="D702" s="153">
        <v>49945.843200000003</v>
      </c>
      <c r="E702" s="153">
        <v>49945.843200000003</v>
      </c>
      <c r="F702" s="153">
        <f t="shared" si="20"/>
        <v>0</v>
      </c>
      <c r="G702" s="153" t="str">
        <f t="shared" si="21"/>
        <v>OK</v>
      </c>
      <c r="H702" s="153" t="b">
        <v>1</v>
      </c>
    </row>
    <row r="703" spans="1:8" x14ac:dyDescent="0.3">
      <c r="A703" s="153" t="s">
        <v>2167</v>
      </c>
      <c r="B703" s="153" t="s">
        <v>2762</v>
      </c>
      <c r="C703" s="153" t="s">
        <v>2168</v>
      </c>
      <c r="D703" s="153">
        <v>970300.67035235581</v>
      </c>
      <c r="E703" s="153">
        <v>970300.67035235581</v>
      </c>
      <c r="F703" s="153">
        <f t="shared" si="20"/>
        <v>0</v>
      </c>
      <c r="G703" s="153" t="str">
        <f t="shared" si="21"/>
        <v>OK</v>
      </c>
      <c r="H703" s="153" t="b">
        <v>1</v>
      </c>
    </row>
    <row r="704" spans="1:8" x14ac:dyDescent="0.3">
      <c r="A704" s="153" t="s">
        <v>2169</v>
      </c>
      <c r="B704" s="153" t="s">
        <v>2762</v>
      </c>
      <c r="C704" s="153" t="s">
        <v>2170</v>
      </c>
      <c r="D704" s="153">
        <v>0</v>
      </c>
      <c r="E704" s="153">
        <v>0</v>
      </c>
      <c r="F704" s="153">
        <f t="shared" si="20"/>
        <v>0</v>
      </c>
      <c r="G704" s="153" t="str">
        <f t="shared" si="21"/>
        <v>OK</v>
      </c>
      <c r="H704" s="153" t="b">
        <v>1</v>
      </c>
    </row>
    <row r="705" spans="1:8" x14ac:dyDescent="0.3">
      <c r="A705" s="153" t="s">
        <v>2171</v>
      </c>
      <c r="B705" s="153" t="s">
        <v>2762</v>
      </c>
      <c r="C705" s="153" t="s">
        <v>2172</v>
      </c>
      <c r="D705" s="153">
        <v>970300.67035235581</v>
      </c>
      <c r="E705" s="153">
        <v>970300.67035235581</v>
      </c>
      <c r="F705" s="153">
        <f t="shared" si="20"/>
        <v>0</v>
      </c>
      <c r="G705" s="153" t="str">
        <f t="shared" si="21"/>
        <v>OK</v>
      </c>
      <c r="H705" s="153" t="b">
        <v>1</v>
      </c>
    </row>
    <row r="706" spans="1:8" x14ac:dyDescent="0.3">
      <c r="A706" s="153" t="s">
        <v>2173</v>
      </c>
      <c r="B706" s="153" t="s">
        <v>2762</v>
      </c>
      <c r="C706" s="153" t="s">
        <v>2174</v>
      </c>
      <c r="D706" s="153">
        <v>970300.67035235581</v>
      </c>
      <c r="E706" s="153">
        <v>970300.67035235581</v>
      </c>
      <c r="F706" s="153">
        <f t="shared" ref="F706:F769" si="22">IF(NOT(H706),"",IF(AND(ISNUMBER(D706),ISNUMBER(E706)),E706-D706,IF(D706=E706,0,1)))</f>
        <v>0</v>
      </c>
      <c r="G706" s="153" t="str">
        <f t="shared" ref="G706:G769" si="23">IF(NOT(H706),"PENDIENTE SIDE",IF(IF(AND(ISNUMBER(D706),ISNUMBER(E706)),IF(MOD(D706,1)=0,D706=E706,ABS(D706-E706)&lt;=0.000000001*MAX(1,ABS(D706),ABS(E706))),D706=E706),"OK","DIFERENCIA"))</f>
        <v>OK</v>
      </c>
      <c r="H706" s="153" t="b">
        <v>1</v>
      </c>
    </row>
    <row r="707" spans="1:8" x14ac:dyDescent="0.3">
      <c r="A707" s="153" t="s">
        <v>2175</v>
      </c>
      <c r="B707" s="153" t="s">
        <v>2762</v>
      </c>
      <c r="C707" s="153" t="s">
        <v>2176</v>
      </c>
      <c r="D707" s="153">
        <v>0</v>
      </c>
      <c r="E707" s="153">
        <v>0</v>
      </c>
      <c r="F707" s="153">
        <f t="shared" si="22"/>
        <v>0</v>
      </c>
      <c r="G707" s="153" t="str">
        <f t="shared" si="23"/>
        <v>OK</v>
      </c>
      <c r="H707" s="153" t="b">
        <v>1</v>
      </c>
    </row>
    <row r="708" spans="1:8" x14ac:dyDescent="0.3">
      <c r="A708" s="153" t="s">
        <v>2177</v>
      </c>
      <c r="B708" s="153" t="s">
        <v>2762</v>
      </c>
      <c r="C708" s="153" t="s">
        <v>2178</v>
      </c>
      <c r="D708" s="153">
        <v>20</v>
      </c>
      <c r="E708" s="153">
        <v>20</v>
      </c>
      <c r="F708" s="153">
        <f t="shared" si="22"/>
        <v>0</v>
      </c>
      <c r="G708" s="153" t="str">
        <f t="shared" si="23"/>
        <v>OK</v>
      </c>
      <c r="H708" s="153" t="b">
        <v>1</v>
      </c>
    </row>
    <row r="709" spans="1:8" x14ac:dyDescent="0.3">
      <c r="A709" s="153" t="s">
        <v>2179</v>
      </c>
      <c r="B709" s="153" t="s">
        <v>2762</v>
      </c>
      <c r="C709" s="153" t="s">
        <v>2180</v>
      </c>
      <c r="D709" s="153">
        <v>0</v>
      </c>
      <c r="E709" s="153">
        <v>0</v>
      </c>
      <c r="F709" s="153">
        <f t="shared" si="22"/>
        <v>0</v>
      </c>
      <c r="G709" s="153" t="str">
        <f t="shared" si="23"/>
        <v>OK</v>
      </c>
      <c r="H709" s="153" t="b">
        <v>1</v>
      </c>
    </row>
    <row r="710" spans="1:8" x14ac:dyDescent="0.3">
      <c r="A710" s="153" t="s">
        <v>2181</v>
      </c>
      <c r="B710" s="153" t="s">
        <v>2762</v>
      </c>
      <c r="C710" s="153" t="s">
        <v>2182</v>
      </c>
      <c r="D710" s="153">
        <v>3</v>
      </c>
      <c r="E710" s="153">
        <v>3</v>
      </c>
      <c r="F710" s="153">
        <f t="shared" si="22"/>
        <v>0</v>
      </c>
      <c r="G710" s="153" t="str">
        <f t="shared" si="23"/>
        <v>OK</v>
      </c>
      <c r="H710" s="153" t="b">
        <v>1</v>
      </c>
    </row>
    <row r="711" spans="1:8" x14ac:dyDescent="0.3">
      <c r="A711" s="153" t="s">
        <v>2183</v>
      </c>
      <c r="B711" s="153" t="s">
        <v>2762</v>
      </c>
      <c r="C711" s="153" t="s">
        <v>2184</v>
      </c>
      <c r="D711" s="153">
        <v>0</v>
      </c>
      <c r="E711" s="153">
        <v>0</v>
      </c>
      <c r="F711" s="153">
        <f t="shared" si="22"/>
        <v>0</v>
      </c>
      <c r="G711" s="153" t="str">
        <f t="shared" si="23"/>
        <v>OK</v>
      </c>
      <c r="H711" s="153" t="b">
        <v>1</v>
      </c>
    </row>
    <row r="712" spans="1:8" x14ac:dyDescent="0.3">
      <c r="A712" s="153" t="s">
        <v>2185</v>
      </c>
      <c r="B712" s="153" t="s">
        <v>2762</v>
      </c>
      <c r="C712" s="153" t="s">
        <v>2186</v>
      </c>
      <c r="D712" s="153">
        <v>0</v>
      </c>
      <c r="E712" s="153">
        <v>0</v>
      </c>
      <c r="F712" s="153">
        <f t="shared" si="22"/>
        <v>0</v>
      </c>
      <c r="G712" s="153" t="str">
        <f t="shared" si="23"/>
        <v>OK</v>
      </c>
      <c r="H712" s="153" t="b">
        <v>1</v>
      </c>
    </row>
    <row r="713" spans="1:8" x14ac:dyDescent="0.3">
      <c r="A713" s="153" t="s">
        <v>2187</v>
      </c>
      <c r="B713" s="153" t="s">
        <v>2762</v>
      </c>
      <c r="C713" s="153" t="s">
        <v>2188</v>
      </c>
      <c r="D713" s="153">
        <v>90</v>
      </c>
      <c r="E713" s="153">
        <v>90</v>
      </c>
      <c r="F713" s="153">
        <f t="shared" si="22"/>
        <v>0</v>
      </c>
      <c r="G713" s="153" t="str">
        <f t="shared" si="23"/>
        <v>OK</v>
      </c>
      <c r="H713" s="153" t="b">
        <v>1</v>
      </c>
    </row>
    <row r="714" spans="1:8" x14ac:dyDescent="0.3">
      <c r="A714" s="153" t="s">
        <v>2189</v>
      </c>
      <c r="B714" s="153" t="s">
        <v>2762</v>
      </c>
      <c r="C714" s="153" t="s">
        <v>2190</v>
      </c>
      <c r="D714" s="153">
        <v>90</v>
      </c>
      <c r="E714" s="153">
        <v>90</v>
      </c>
      <c r="F714" s="153">
        <f t="shared" si="22"/>
        <v>0</v>
      </c>
      <c r="G714" s="153" t="str">
        <f t="shared" si="23"/>
        <v>OK</v>
      </c>
      <c r="H714" s="153" t="b">
        <v>1</v>
      </c>
    </row>
    <row r="715" spans="1:8" x14ac:dyDescent="0.3">
      <c r="A715" s="153" t="s">
        <v>2191</v>
      </c>
      <c r="B715" s="153" t="s">
        <v>2762</v>
      </c>
      <c r="C715" s="153" t="s">
        <v>2192</v>
      </c>
      <c r="D715" s="153">
        <v>29285.396291803281</v>
      </c>
      <c r="E715" s="153">
        <v>29285.396291803281</v>
      </c>
      <c r="F715" s="153">
        <f t="shared" si="22"/>
        <v>0</v>
      </c>
      <c r="G715" s="153" t="str">
        <f t="shared" si="23"/>
        <v>OK</v>
      </c>
      <c r="H715" s="153" t="b">
        <v>1</v>
      </c>
    </row>
    <row r="716" spans="1:8" x14ac:dyDescent="0.3">
      <c r="A716" s="153" t="s">
        <v>2193</v>
      </c>
      <c r="B716" s="153" t="s">
        <v>2762</v>
      </c>
      <c r="C716" s="153" t="s">
        <v>2194</v>
      </c>
      <c r="D716" s="153">
        <v>-29195.396291803281</v>
      </c>
      <c r="E716" s="153">
        <v>-29195.396291803281</v>
      </c>
      <c r="F716" s="153">
        <f t="shared" si="22"/>
        <v>0</v>
      </c>
      <c r="G716" s="153" t="str">
        <f t="shared" si="23"/>
        <v>OK</v>
      </c>
      <c r="H716" s="153" t="b">
        <v>1</v>
      </c>
    </row>
    <row r="717" spans="1:8" x14ac:dyDescent="0.3">
      <c r="A717" s="153" t="s">
        <v>2195</v>
      </c>
      <c r="B717" s="153" t="s">
        <v>2762</v>
      </c>
      <c r="C717" s="153" t="s">
        <v>2196</v>
      </c>
      <c r="D717" s="153">
        <v>64.125</v>
      </c>
      <c r="E717" s="153">
        <v>64.125</v>
      </c>
      <c r="F717" s="153">
        <f t="shared" si="22"/>
        <v>0</v>
      </c>
      <c r="G717" s="153" t="str">
        <f t="shared" si="23"/>
        <v>OK</v>
      </c>
      <c r="H717" s="153" t="b">
        <v>1</v>
      </c>
    </row>
    <row r="718" spans="1:8" x14ac:dyDescent="0.3">
      <c r="A718" s="153" t="s">
        <v>2197</v>
      </c>
      <c r="B718" s="153" t="s">
        <v>2762</v>
      </c>
      <c r="C718" s="153" t="s">
        <v>2198</v>
      </c>
      <c r="D718" s="153">
        <v>0</v>
      </c>
      <c r="E718" s="153">
        <v>0</v>
      </c>
      <c r="F718" s="153">
        <f t="shared" si="22"/>
        <v>0</v>
      </c>
      <c r="G718" s="153" t="str">
        <f t="shared" si="23"/>
        <v>OK</v>
      </c>
      <c r="H718" s="153" t="b">
        <v>1</v>
      </c>
    </row>
    <row r="719" spans="1:8" x14ac:dyDescent="0.3">
      <c r="A719" s="153" t="s">
        <v>2199</v>
      </c>
      <c r="B719" s="153" t="s">
        <v>2762</v>
      </c>
      <c r="C719" s="153" t="s">
        <v>2200</v>
      </c>
      <c r="D719" s="153">
        <v>29285.396291803281</v>
      </c>
      <c r="E719" s="153">
        <v>29285.396291803281</v>
      </c>
      <c r="F719" s="153">
        <f t="shared" si="22"/>
        <v>0</v>
      </c>
      <c r="G719" s="153" t="str">
        <f t="shared" si="23"/>
        <v>OK</v>
      </c>
      <c r="H719" s="153" t="b">
        <v>1</v>
      </c>
    </row>
    <row r="720" spans="1:8" x14ac:dyDescent="0.3">
      <c r="A720" s="153" t="s">
        <v>2201</v>
      </c>
      <c r="B720" s="153" t="s">
        <v>2762</v>
      </c>
      <c r="C720" s="153" t="s">
        <v>2202</v>
      </c>
      <c r="D720" s="153">
        <v>1000000</v>
      </c>
      <c r="E720" s="153">
        <v>1000000</v>
      </c>
      <c r="F720" s="153">
        <f t="shared" si="22"/>
        <v>0</v>
      </c>
      <c r="G720" s="153" t="str">
        <f t="shared" si="23"/>
        <v>OK</v>
      </c>
      <c r="H720" s="153" t="b">
        <v>1</v>
      </c>
    </row>
    <row r="721" spans="1:8" x14ac:dyDescent="0.3">
      <c r="A721" s="153" t="s">
        <v>2203</v>
      </c>
      <c r="B721" s="153" t="s">
        <v>2762</v>
      </c>
      <c r="C721" s="153" t="s">
        <v>2204</v>
      </c>
      <c r="D721" s="153">
        <v>90</v>
      </c>
      <c r="E721" s="153">
        <v>90</v>
      </c>
      <c r="F721" s="153">
        <f t="shared" si="22"/>
        <v>0</v>
      </c>
      <c r="G721" s="153" t="str">
        <f t="shared" si="23"/>
        <v>OK</v>
      </c>
      <c r="H721" s="153" t="b">
        <v>1</v>
      </c>
    </row>
    <row r="722" spans="1:8" x14ac:dyDescent="0.3">
      <c r="A722" s="153" t="s">
        <v>2205</v>
      </c>
      <c r="B722" s="153" t="s">
        <v>2762</v>
      </c>
      <c r="C722" s="153" t="s">
        <v>2206</v>
      </c>
      <c r="D722" s="153">
        <v>55497.160491803283</v>
      </c>
      <c r="E722" s="153">
        <v>55497.160491803283</v>
      </c>
      <c r="F722" s="153">
        <f t="shared" si="22"/>
        <v>0</v>
      </c>
      <c r="G722" s="153" t="str">
        <f t="shared" si="23"/>
        <v>OK</v>
      </c>
      <c r="H722" s="153" t="b">
        <v>1</v>
      </c>
    </row>
    <row r="723" spans="1:8" x14ac:dyDescent="0.3">
      <c r="A723" s="153" t="s">
        <v>2207</v>
      </c>
      <c r="B723" s="153" t="s">
        <v>2762</v>
      </c>
      <c r="C723" s="153" t="s">
        <v>2208</v>
      </c>
      <c r="D723" s="153">
        <v>944592.83950819669</v>
      </c>
      <c r="E723" s="153">
        <v>944592.83950819669</v>
      </c>
      <c r="F723" s="153">
        <f t="shared" si="22"/>
        <v>0</v>
      </c>
      <c r="G723" s="153" t="str">
        <f t="shared" si="23"/>
        <v>OK</v>
      </c>
      <c r="H723" s="153" t="b">
        <v>1</v>
      </c>
    </row>
    <row r="724" spans="1:8" x14ac:dyDescent="0.3">
      <c r="A724" s="153" t="s">
        <v>2209</v>
      </c>
      <c r="B724" s="153" t="s">
        <v>2762</v>
      </c>
      <c r="C724" s="153" t="s">
        <v>2210</v>
      </c>
      <c r="D724" s="153">
        <v>1000000</v>
      </c>
      <c r="E724" s="153">
        <v>1000000</v>
      </c>
      <c r="F724" s="153">
        <f t="shared" si="22"/>
        <v>0</v>
      </c>
      <c r="G724" s="153" t="str">
        <f t="shared" si="23"/>
        <v>OK</v>
      </c>
      <c r="H724" s="153" t="b">
        <v>1</v>
      </c>
    </row>
    <row r="725" spans="1:8" x14ac:dyDescent="0.3">
      <c r="A725" s="153" t="s">
        <v>2211</v>
      </c>
      <c r="B725" s="153" t="s">
        <v>2762</v>
      </c>
      <c r="C725" s="153" t="s">
        <v>2212</v>
      </c>
      <c r="D725" s="153">
        <v>90</v>
      </c>
      <c r="E725" s="153">
        <v>90</v>
      </c>
      <c r="F725" s="153">
        <f t="shared" si="22"/>
        <v>0</v>
      </c>
      <c r="G725" s="153" t="str">
        <f t="shared" si="23"/>
        <v>OK</v>
      </c>
      <c r="H725" s="153" t="b">
        <v>1</v>
      </c>
    </row>
    <row r="726" spans="1:8" x14ac:dyDescent="0.3">
      <c r="A726" s="153" t="s">
        <v>2213</v>
      </c>
      <c r="B726" s="153" t="s">
        <v>2762</v>
      </c>
      <c r="C726" s="153" t="s">
        <v>2214</v>
      </c>
      <c r="D726" s="153">
        <v>47634.160491803283</v>
      </c>
      <c r="E726" s="153">
        <v>47634.160491803283</v>
      </c>
      <c r="F726" s="153">
        <f t="shared" si="22"/>
        <v>0</v>
      </c>
      <c r="G726" s="153" t="str">
        <f t="shared" si="23"/>
        <v>OK</v>
      </c>
      <c r="H726" s="153" t="b">
        <v>1</v>
      </c>
    </row>
    <row r="727" spans="1:8" x14ac:dyDescent="0.3">
      <c r="A727" s="153" t="s">
        <v>2215</v>
      </c>
      <c r="B727" s="153" t="s">
        <v>2762</v>
      </c>
      <c r="C727" s="153" t="s">
        <v>2216</v>
      </c>
      <c r="D727" s="153">
        <v>7863</v>
      </c>
      <c r="E727" s="153">
        <v>7863</v>
      </c>
      <c r="F727" s="153">
        <f t="shared" si="22"/>
        <v>0</v>
      </c>
      <c r="G727" s="153" t="str">
        <f t="shared" si="23"/>
        <v>OK</v>
      </c>
      <c r="H727" s="153" t="b">
        <v>1</v>
      </c>
    </row>
    <row r="728" spans="1:8" x14ac:dyDescent="0.3">
      <c r="A728" s="153" t="s">
        <v>2217</v>
      </c>
      <c r="B728" s="153" t="s">
        <v>2762</v>
      </c>
      <c r="C728" s="153" t="s">
        <v>2218</v>
      </c>
      <c r="D728" s="153">
        <v>0</v>
      </c>
      <c r="E728" s="153">
        <v>0</v>
      </c>
      <c r="F728" s="153">
        <f t="shared" si="22"/>
        <v>0</v>
      </c>
      <c r="G728" s="153" t="str">
        <f t="shared" si="23"/>
        <v>OK</v>
      </c>
      <c r="H728" s="153" t="b">
        <v>1</v>
      </c>
    </row>
    <row r="729" spans="1:8" x14ac:dyDescent="0.3">
      <c r="A729" s="153" t="s">
        <v>2219</v>
      </c>
      <c r="B729" s="153" t="s">
        <v>2762</v>
      </c>
      <c r="C729" s="153" t="s">
        <v>2220</v>
      </c>
      <c r="D729" s="153">
        <v>-47544.160491803283</v>
      </c>
      <c r="E729" s="153">
        <v>-47544.160491803283</v>
      </c>
      <c r="F729" s="153">
        <f t="shared" si="22"/>
        <v>0</v>
      </c>
      <c r="G729" s="153" t="str">
        <f t="shared" si="23"/>
        <v>OK</v>
      </c>
      <c r="H729" s="153" t="b">
        <v>1</v>
      </c>
    </row>
    <row r="730" spans="1:8" x14ac:dyDescent="0.3">
      <c r="A730" s="153" t="s">
        <v>2221</v>
      </c>
      <c r="B730" s="153" t="s">
        <v>2762</v>
      </c>
      <c r="C730" s="153" t="s">
        <v>2222</v>
      </c>
      <c r="D730" s="153">
        <v>-7863</v>
      </c>
      <c r="E730" s="153">
        <v>-7863</v>
      </c>
      <c r="F730" s="153">
        <f t="shared" si="22"/>
        <v>0</v>
      </c>
      <c r="G730" s="153" t="str">
        <f t="shared" si="23"/>
        <v>OK</v>
      </c>
      <c r="H730" s="153" t="b">
        <v>1</v>
      </c>
    </row>
    <row r="731" spans="1:8" x14ac:dyDescent="0.3">
      <c r="A731" s="153" t="s">
        <v>2223</v>
      </c>
      <c r="B731" s="153" t="s">
        <v>2762</v>
      </c>
      <c r="C731" s="153" t="s">
        <v>2224</v>
      </c>
      <c r="D731" s="153">
        <v>-55407.160491803312</v>
      </c>
      <c r="E731" s="153">
        <v>-55407.160491803312</v>
      </c>
      <c r="F731" s="153">
        <f t="shared" si="22"/>
        <v>0</v>
      </c>
      <c r="G731" s="153" t="str">
        <f t="shared" si="23"/>
        <v>OK</v>
      </c>
      <c r="H731" s="153" t="b">
        <v>1</v>
      </c>
    </row>
    <row r="732" spans="1:8" x14ac:dyDescent="0.3">
      <c r="A732" s="153" t="s">
        <v>2225</v>
      </c>
      <c r="B732" s="153" t="s">
        <v>2762</v>
      </c>
      <c r="C732" s="153" t="s">
        <v>2226</v>
      </c>
      <c r="D732" s="153">
        <v>944592.83950819669</v>
      </c>
      <c r="E732" s="153">
        <v>944592.83950819669</v>
      </c>
      <c r="F732" s="153">
        <f t="shared" si="22"/>
        <v>0</v>
      </c>
      <c r="G732" s="153" t="str">
        <f t="shared" si="23"/>
        <v>OK</v>
      </c>
      <c r="H732" s="153" t="b">
        <v>1</v>
      </c>
    </row>
    <row r="733" spans="1:8" x14ac:dyDescent="0.3">
      <c r="A733" s="153" t="s">
        <v>2227</v>
      </c>
      <c r="B733" s="153" t="s">
        <v>2762</v>
      </c>
      <c r="C733" s="153" t="s">
        <v>2228</v>
      </c>
      <c r="D733" s="153">
        <v>944592.83950819669</v>
      </c>
      <c r="E733" s="153">
        <v>944592.83950819669</v>
      </c>
      <c r="F733" s="153">
        <f t="shared" si="22"/>
        <v>0</v>
      </c>
      <c r="G733" s="153" t="str">
        <f t="shared" si="23"/>
        <v>OK</v>
      </c>
      <c r="H733" s="153" t="b">
        <v>1</v>
      </c>
    </row>
    <row r="734" spans="1:8" x14ac:dyDescent="0.3">
      <c r="A734" s="153" t="s">
        <v>2229</v>
      </c>
      <c r="B734" s="153" t="s">
        <v>2762</v>
      </c>
      <c r="C734" s="153" t="s">
        <v>2230</v>
      </c>
      <c r="D734" s="153">
        <v>7435.875</v>
      </c>
      <c r="E734" s="153">
        <v>7435.875</v>
      </c>
      <c r="F734" s="153">
        <f t="shared" si="22"/>
        <v>0</v>
      </c>
      <c r="G734" s="153" t="str">
        <f t="shared" si="23"/>
        <v>OK</v>
      </c>
      <c r="H734" s="153" t="b">
        <v>1</v>
      </c>
    </row>
    <row r="735" spans="1:8" x14ac:dyDescent="0.3">
      <c r="A735" s="153" t="s">
        <v>2231</v>
      </c>
      <c r="B735" s="153" t="s">
        <v>2762</v>
      </c>
      <c r="C735" s="153" t="s">
        <v>2232</v>
      </c>
      <c r="D735" s="153">
        <v>18412.889200000001</v>
      </c>
      <c r="E735" s="153">
        <v>18412.889200000001</v>
      </c>
      <c r="F735" s="153">
        <f t="shared" si="22"/>
        <v>0</v>
      </c>
      <c r="G735" s="153" t="str">
        <f t="shared" si="23"/>
        <v>OK</v>
      </c>
      <c r="H735" s="153" t="b">
        <v>1</v>
      </c>
    </row>
    <row r="736" spans="1:8" x14ac:dyDescent="0.3">
      <c r="A736" s="153" t="s">
        <v>2233</v>
      </c>
      <c r="B736" s="153" t="s">
        <v>2762</v>
      </c>
      <c r="C736" s="153" t="s">
        <v>2234</v>
      </c>
      <c r="D736" s="153">
        <v>970441.60370819666</v>
      </c>
      <c r="E736" s="153">
        <v>970441.60370819666</v>
      </c>
      <c r="F736" s="153">
        <f t="shared" si="22"/>
        <v>0</v>
      </c>
      <c r="G736" s="153" t="str">
        <f t="shared" si="23"/>
        <v>OK</v>
      </c>
      <c r="H736" s="153" t="b">
        <v>1</v>
      </c>
    </row>
    <row r="737" spans="1:8" x14ac:dyDescent="0.3">
      <c r="A737" s="153" t="s">
        <v>2235</v>
      </c>
      <c r="B737" s="153" t="s">
        <v>2762</v>
      </c>
      <c r="C737" s="153" t="s">
        <v>2236</v>
      </c>
      <c r="D737" s="153">
        <v>0</v>
      </c>
      <c r="E737" s="153">
        <v>0</v>
      </c>
      <c r="F737" s="153">
        <f t="shared" si="22"/>
        <v>0</v>
      </c>
      <c r="G737" s="153" t="str">
        <f t="shared" si="23"/>
        <v>OK</v>
      </c>
      <c r="H737" s="153" t="b">
        <v>1</v>
      </c>
    </row>
    <row r="738" spans="1:8" x14ac:dyDescent="0.3">
      <c r="A738" s="153" t="s">
        <v>2237</v>
      </c>
      <c r="B738" s="153" t="s">
        <v>2762</v>
      </c>
      <c r="C738" s="153" t="s">
        <v>2238</v>
      </c>
      <c r="D738" s="153">
        <v>970441.60370819666</v>
      </c>
      <c r="E738" s="153">
        <v>970441.60370819666</v>
      </c>
      <c r="F738" s="153">
        <f t="shared" si="22"/>
        <v>0</v>
      </c>
      <c r="G738" s="153" t="str">
        <f t="shared" si="23"/>
        <v>OK</v>
      </c>
      <c r="H738" s="153" t="b">
        <v>1</v>
      </c>
    </row>
    <row r="739" spans="1:8" x14ac:dyDescent="0.3">
      <c r="A739" s="153" t="s">
        <v>2239</v>
      </c>
      <c r="B739" s="153" t="s">
        <v>2762</v>
      </c>
      <c r="C739" s="153" t="s">
        <v>2240</v>
      </c>
      <c r="D739" s="153">
        <v>970441.60370819666</v>
      </c>
      <c r="E739" s="153">
        <v>970441.60370819666</v>
      </c>
      <c r="F739" s="153">
        <f t="shared" si="22"/>
        <v>0</v>
      </c>
      <c r="G739" s="153" t="str">
        <f t="shared" si="23"/>
        <v>OK</v>
      </c>
      <c r="H739" s="153" t="b">
        <v>1</v>
      </c>
    </row>
    <row r="740" spans="1:8" x14ac:dyDescent="0.3">
      <c r="A740" s="153" t="s">
        <v>2241</v>
      </c>
      <c r="B740" s="153" t="s">
        <v>2762</v>
      </c>
      <c r="C740" s="153" t="s">
        <v>2242</v>
      </c>
      <c r="D740" s="153">
        <v>0</v>
      </c>
      <c r="E740" s="153">
        <v>0</v>
      </c>
      <c r="F740" s="153">
        <f t="shared" si="22"/>
        <v>0</v>
      </c>
      <c r="G740" s="153" t="str">
        <f t="shared" si="23"/>
        <v>OK</v>
      </c>
      <c r="H740" s="153" t="b">
        <v>1</v>
      </c>
    </row>
    <row r="741" spans="1:8" x14ac:dyDescent="0.3">
      <c r="A741" s="153" t="s">
        <v>2243</v>
      </c>
      <c r="B741" s="153" t="s">
        <v>2762</v>
      </c>
      <c r="C741" s="153" t="s">
        <v>2244</v>
      </c>
      <c r="D741" s="153">
        <v>20</v>
      </c>
      <c r="E741" s="153">
        <v>20</v>
      </c>
      <c r="F741" s="153">
        <f t="shared" si="22"/>
        <v>0</v>
      </c>
      <c r="G741" s="153" t="str">
        <f t="shared" si="23"/>
        <v>OK</v>
      </c>
      <c r="H741" s="153" t="b">
        <v>1</v>
      </c>
    </row>
    <row r="742" spans="1:8" x14ac:dyDescent="0.3">
      <c r="A742" s="153" t="s">
        <v>2245</v>
      </c>
      <c r="B742" s="153" t="s">
        <v>2762</v>
      </c>
      <c r="C742" s="153" t="s">
        <v>2246</v>
      </c>
      <c r="D742" s="153">
        <v>0</v>
      </c>
      <c r="E742" s="153">
        <v>0</v>
      </c>
      <c r="F742" s="153">
        <f t="shared" si="22"/>
        <v>0</v>
      </c>
      <c r="G742" s="153" t="str">
        <f t="shared" si="23"/>
        <v>OK</v>
      </c>
      <c r="H742" s="153" t="b">
        <v>1</v>
      </c>
    </row>
    <row r="743" spans="1:8" x14ac:dyDescent="0.3">
      <c r="A743" s="153" t="s">
        <v>2247</v>
      </c>
      <c r="B743" s="153" t="s">
        <v>2762</v>
      </c>
      <c r="C743" s="153" t="s">
        <v>2248</v>
      </c>
      <c r="D743" s="153">
        <v>3</v>
      </c>
      <c r="E743" s="153">
        <v>3</v>
      </c>
      <c r="F743" s="153">
        <f t="shared" si="22"/>
        <v>0</v>
      </c>
      <c r="G743" s="153" t="str">
        <f t="shared" si="23"/>
        <v>OK</v>
      </c>
      <c r="H743" s="153" t="b">
        <v>1</v>
      </c>
    </row>
    <row r="744" spans="1:8" x14ac:dyDescent="0.3">
      <c r="A744" s="153" t="s">
        <v>2249</v>
      </c>
      <c r="B744" s="153" t="s">
        <v>2762</v>
      </c>
      <c r="C744" s="153" t="s">
        <v>2250</v>
      </c>
      <c r="D744" s="153">
        <v>0</v>
      </c>
      <c r="E744" s="153">
        <v>0</v>
      </c>
      <c r="F744" s="153">
        <f t="shared" si="22"/>
        <v>0</v>
      </c>
      <c r="G744" s="153" t="str">
        <f t="shared" si="23"/>
        <v>OK</v>
      </c>
      <c r="H744" s="153" t="b">
        <v>1</v>
      </c>
    </row>
    <row r="745" spans="1:8" x14ac:dyDescent="0.3">
      <c r="A745" s="153" t="s">
        <v>2251</v>
      </c>
      <c r="B745" s="153" t="s">
        <v>2762</v>
      </c>
      <c r="C745" s="153" t="s">
        <v>2252</v>
      </c>
      <c r="D745" s="153">
        <v>0</v>
      </c>
      <c r="E745" s="153">
        <v>0</v>
      </c>
      <c r="F745" s="153">
        <f t="shared" si="22"/>
        <v>0</v>
      </c>
      <c r="G745" s="153" t="str">
        <f t="shared" si="23"/>
        <v>OK</v>
      </c>
      <c r="H745" s="153" t="b">
        <v>1</v>
      </c>
    </row>
    <row r="746" spans="1:8" x14ac:dyDescent="0.3">
      <c r="A746" s="153" t="s">
        <v>2564</v>
      </c>
      <c r="B746" s="153" t="s">
        <v>2762</v>
      </c>
      <c r="C746" s="153" t="s">
        <v>2631</v>
      </c>
      <c r="D746" s="153">
        <v>1520</v>
      </c>
      <c r="E746" s="153">
        <v>1520</v>
      </c>
      <c r="F746" s="153">
        <f t="shared" si="22"/>
        <v>0</v>
      </c>
      <c r="G746" s="153" t="str">
        <f t="shared" si="23"/>
        <v>OK</v>
      </c>
      <c r="H746" s="153" t="b">
        <v>1</v>
      </c>
    </row>
    <row r="747" spans="1:8" x14ac:dyDescent="0.3">
      <c r="A747" s="153" t="s">
        <v>2565</v>
      </c>
      <c r="B747" s="153" t="s">
        <v>2762</v>
      </c>
      <c r="C747" s="153" t="s">
        <v>2633</v>
      </c>
      <c r="D747" s="153">
        <v>1520</v>
      </c>
      <c r="E747" s="153">
        <v>1520</v>
      </c>
      <c r="F747" s="153">
        <f t="shared" si="22"/>
        <v>0</v>
      </c>
      <c r="G747" s="153" t="str">
        <f t="shared" si="23"/>
        <v>OK</v>
      </c>
      <c r="H747" s="153" t="b">
        <v>1</v>
      </c>
    </row>
    <row r="748" spans="1:8" x14ac:dyDescent="0.3">
      <c r="A748" s="153" t="s">
        <v>2566</v>
      </c>
      <c r="B748" s="153" t="s">
        <v>2762</v>
      </c>
      <c r="C748" s="153" t="s">
        <v>2635</v>
      </c>
      <c r="D748" s="153">
        <v>17461.788720955748</v>
      </c>
      <c r="E748" s="153">
        <v>17461.788720955748</v>
      </c>
      <c r="F748" s="153">
        <f t="shared" si="22"/>
        <v>0</v>
      </c>
      <c r="G748" s="153" t="str">
        <f t="shared" si="23"/>
        <v>OK</v>
      </c>
      <c r="H748" s="153" t="b">
        <v>1</v>
      </c>
    </row>
    <row r="749" spans="1:8" x14ac:dyDescent="0.3">
      <c r="A749" s="153" t="s">
        <v>2567</v>
      </c>
      <c r="B749" s="153" t="s">
        <v>2762</v>
      </c>
      <c r="C749" s="153" t="s">
        <v>2637</v>
      </c>
      <c r="D749" s="153">
        <v>-15941.78872095575</v>
      </c>
      <c r="E749" s="153">
        <v>-15941.78872095575</v>
      </c>
      <c r="F749" s="153">
        <f t="shared" si="22"/>
        <v>0</v>
      </c>
      <c r="G749" s="153" t="str">
        <f t="shared" si="23"/>
        <v>OK</v>
      </c>
      <c r="H749" s="153" t="b">
        <v>1</v>
      </c>
    </row>
    <row r="750" spans="1:8" x14ac:dyDescent="0.3">
      <c r="A750" s="153" t="s">
        <v>2568</v>
      </c>
      <c r="B750" s="153" t="s">
        <v>2762</v>
      </c>
      <c r="C750" s="153" t="s">
        <v>2639</v>
      </c>
      <c r="D750" s="153">
        <v>64.125</v>
      </c>
      <c r="E750" s="153">
        <v>64.125</v>
      </c>
      <c r="F750" s="153">
        <f t="shared" si="22"/>
        <v>0</v>
      </c>
      <c r="G750" s="153" t="str">
        <f t="shared" si="23"/>
        <v>OK</v>
      </c>
      <c r="H750" s="153" t="b">
        <v>1</v>
      </c>
    </row>
    <row r="751" spans="1:8" x14ac:dyDescent="0.3">
      <c r="A751" s="153" t="s">
        <v>2569</v>
      </c>
      <c r="B751" s="153" t="s">
        <v>2762</v>
      </c>
      <c r="C751" s="153" t="s">
        <v>2641</v>
      </c>
      <c r="D751" s="153">
        <v>0</v>
      </c>
      <c r="E751" s="153">
        <v>0</v>
      </c>
      <c r="F751" s="153">
        <f t="shared" si="22"/>
        <v>0</v>
      </c>
      <c r="G751" s="153" t="str">
        <f t="shared" si="23"/>
        <v>OK</v>
      </c>
      <c r="H751" s="153" t="b">
        <v>1</v>
      </c>
    </row>
    <row r="752" spans="1:8" x14ac:dyDescent="0.3">
      <c r="A752" s="153" t="s">
        <v>2570</v>
      </c>
      <c r="B752" s="153" t="s">
        <v>2762</v>
      </c>
      <c r="C752" s="153" t="s">
        <v>2643</v>
      </c>
      <c r="D752" s="153">
        <v>17461.788720955748</v>
      </c>
      <c r="E752" s="153">
        <v>17461.788720955748</v>
      </c>
      <c r="F752" s="153">
        <f t="shared" si="22"/>
        <v>0</v>
      </c>
      <c r="G752" s="153" t="str">
        <f t="shared" si="23"/>
        <v>OK</v>
      </c>
      <c r="H752" s="153" t="b">
        <v>1</v>
      </c>
    </row>
    <row r="753" spans="1:8" x14ac:dyDescent="0.3">
      <c r="A753" s="153" t="s">
        <v>2571</v>
      </c>
      <c r="B753" s="153" t="s">
        <v>2762</v>
      </c>
      <c r="C753" s="153" t="s">
        <v>2645</v>
      </c>
      <c r="D753" s="153">
        <v>958179.73711504426</v>
      </c>
      <c r="E753" s="153">
        <v>958179.73711504426</v>
      </c>
      <c r="F753" s="153">
        <f t="shared" si="22"/>
        <v>0</v>
      </c>
      <c r="G753" s="153" t="str">
        <f t="shared" si="23"/>
        <v>OK</v>
      </c>
      <c r="H753" s="153" t="b">
        <v>1</v>
      </c>
    </row>
    <row r="754" spans="1:8" x14ac:dyDescent="0.3">
      <c r="A754" s="153" t="s">
        <v>2572</v>
      </c>
      <c r="B754" s="153" t="s">
        <v>2762</v>
      </c>
      <c r="C754" s="153" t="s">
        <v>2647</v>
      </c>
      <c r="D754" s="153">
        <v>1520</v>
      </c>
      <c r="E754" s="153">
        <v>1520</v>
      </c>
      <c r="F754" s="153">
        <f t="shared" si="22"/>
        <v>0</v>
      </c>
      <c r="G754" s="153" t="str">
        <f t="shared" si="23"/>
        <v>OK</v>
      </c>
      <c r="H754" s="153" t="b">
        <v>1</v>
      </c>
    </row>
    <row r="755" spans="1:8" x14ac:dyDescent="0.3">
      <c r="A755" s="153" t="s">
        <v>2573</v>
      </c>
      <c r="B755" s="153" t="s">
        <v>2762</v>
      </c>
      <c r="C755" s="153" t="s">
        <v>2649</v>
      </c>
      <c r="D755" s="153">
        <v>35627.262884955751</v>
      </c>
      <c r="E755" s="153">
        <v>35627.262884955751</v>
      </c>
      <c r="F755" s="153">
        <f t="shared" si="22"/>
        <v>0</v>
      </c>
      <c r="G755" s="153" t="str">
        <f t="shared" si="23"/>
        <v>OK</v>
      </c>
      <c r="H755" s="153" t="b">
        <v>1</v>
      </c>
    </row>
    <row r="756" spans="1:8" x14ac:dyDescent="0.3">
      <c r="A756" s="153" t="s">
        <v>2574</v>
      </c>
      <c r="B756" s="153" t="s">
        <v>2762</v>
      </c>
      <c r="C756" s="153" t="s">
        <v>2651</v>
      </c>
      <c r="D756" s="153">
        <v>924072.47423008853</v>
      </c>
      <c r="E756" s="153">
        <v>924072.47423008853</v>
      </c>
      <c r="F756" s="153">
        <f t="shared" si="22"/>
        <v>0</v>
      </c>
      <c r="G756" s="153" t="str">
        <f t="shared" si="23"/>
        <v>OK</v>
      </c>
      <c r="H756" s="153" t="b">
        <v>1</v>
      </c>
    </row>
    <row r="757" spans="1:8" x14ac:dyDescent="0.3">
      <c r="A757" s="153" t="s">
        <v>2575</v>
      </c>
      <c r="B757" s="153" t="s">
        <v>2762</v>
      </c>
      <c r="C757" s="153" t="s">
        <v>2653</v>
      </c>
      <c r="D757" s="153">
        <v>958179.73711504426</v>
      </c>
      <c r="E757" s="153">
        <v>958179.73711504426</v>
      </c>
      <c r="F757" s="153">
        <f t="shared" si="22"/>
        <v>0</v>
      </c>
      <c r="G757" s="153" t="str">
        <f t="shared" si="23"/>
        <v>OK</v>
      </c>
      <c r="H757" s="153" t="b">
        <v>1</v>
      </c>
    </row>
    <row r="758" spans="1:8" x14ac:dyDescent="0.3">
      <c r="A758" s="153" t="s">
        <v>2576</v>
      </c>
      <c r="B758" s="153" t="s">
        <v>2762</v>
      </c>
      <c r="C758" s="153" t="s">
        <v>2655</v>
      </c>
      <c r="D758" s="153">
        <v>1520</v>
      </c>
      <c r="E758" s="153">
        <v>1520</v>
      </c>
      <c r="F758" s="153">
        <f t="shared" si="22"/>
        <v>0</v>
      </c>
      <c r="G758" s="153" t="str">
        <f t="shared" si="23"/>
        <v>OK</v>
      </c>
      <c r="H758" s="153" t="b">
        <v>1</v>
      </c>
    </row>
    <row r="759" spans="1:8" x14ac:dyDescent="0.3">
      <c r="A759" s="153" t="s">
        <v>2577</v>
      </c>
      <c r="B759" s="153" t="s">
        <v>2762</v>
      </c>
      <c r="C759" s="153" t="s">
        <v>2657</v>
      </c>
      <c r="D759" s="153">
        <v>35627.262884955751</v>
      </c>
      <c r="E759" s="153">
        <v>35627.262884955751</v>
      </c>
      <c r="F759" s="153">
        <f t="shared" si="22"/>
        <v>0</v>
      </c>
      <c r="G759" s="153" t="str">
        <f t="shared" si="23"/>
        <v>OK</v>
      </c>
      <c r="H759" s="153" t="b">
        <v>1</v>
      </c>
    </row>
    <row r="760" spans="1:8" x14ac:dyDescent="0.3">
      <c r="A760" s="153" t="s">
        <v>2578</v>
      </c>
      <c r="B760" s="153" t="s">
        <v>2762</v>
      </c>
      <c r="C760" s="153" t="s">
        <v>2659</v>
      </c>
      <c r="D760" s="153">
        <v>0</v>
      </c>
      <c r="E760" s="153">
        <v>0</v>
      </c>
      <c r="F760" s="153">
        <f t="shared" si="22"/>
        <v>0</v>
      </c>
      <c r="G760" s="153" t="str">
        <f t="shared" si="23"/>
        <v>OK</v>
      </c>
      <c r="H760" s="153" t="b">
        <v>1</v>
      </c>
    </row>
    <row r="761" spans="1:8" x14ac:dyDescent="0.3">
      <c r="A761" s="153" t="s">
        <v>2579</v>
      </c>
      <c r="B761" s="153" t="s">
        <v>2762</v>
      </c>
      <c r="C761" s="153" t="s">
        <v>2661</v>
      </c>
      <c r="D761" s="153">
        <v>0</v>
      </c>
      <c r="E761" s="153">
        <v>0</v>
      </c>
      <c r="F761" s="153">
        <f t="shared" si="22"/>
        <v>0</v>
      </c>
      <c r="G761" s="153" t="str">
        <f t="shared" si="23"/>
        <v>OK</v>
      </c>
      <c r="H761" s="153" t="b">
        <v>1</v>
      </c>
    </row>
    <row r="762" spans="1:8" x14ac:dyDescent="0.3">
      <c r="A762" s="153" t="s">
        <v>2580</v>
      </c>
      <c r="B762" s="153" t="s">
        <v>2762</v>
      </c>
      <c r="C762" s="153" t="s">
        <v>2663</v>
      </c>
      <c r="D762" s="153">
        <v>-34107.262884955751</v>
      </c>
      <c r="E762" s="153">
        <v>-34107.262884955751</v>
      </c>
      <c r="F762" s="153">
        <f t="shared" si="22"/>
        <v>0</v>
      </c>
      <c r="G762" s="153" t="str">
        <f t="shared" si="23"/>
        <v>OK</v>
      </c>
      <c r="H762" s="153" t="b">
        <v>1</v>
      </c>
    </row>
    <row r="763" spans="1:8" x14ac:dyDescent="0.3">
      <c r="A763" s="153" t="s">
        <v>2581</v>
      </c>
      <c r="B763" s="153" t="s">
        <v>2762</v>
      </c>
      <c r="C763" s="153" t="s">
        <v>2665</v>
      </c>
      <c r="D763" s="153">
        <v>0</v>
      </c>
      <c r="E763" s="153">
        <v>0</v>
      </c>
      <c r="F763" s="153">
        <f t="shared" si="22"/>
        <v>0</v>
      </c>
      <c r="G763" s="153" t="str">
        <f t="shared" si="23"/>
        <v>OK</v>
      </c>
      <c r="H763" s="153" t="b">
        <v>1</v>
      </c>
    </row>
    <row r="764" spans="1:8" x14ac:dyDescent="0.3">
      <c r="A764" s="153" t="s">
        <v>2582</v>
      </c>
      <c r="B764" s="153" t="s">
        <v>2762</v>
      </c>
      <c r="C764" s="153" t="s">
        <v>2667</v>
      </c>
      <c r="D764" s="153">
        <v>-34107.262884955737</v>
      </c>
      <c r="E764" s="153">
        <v>-34107.262884955737</v>
      </c>
      <c r="F764" s="153">
        <f t="shared" si="22"/>
        <v>0</v>
      </c>
      <c r="G764" s="153" t="str">
        <f t="shared" si="23"/>
        <v>OK</v>
      </c>
      <c r="H764" s="153" t="b">
        <v>1</v>
      </c>
    </row>
    <row r="765" spans="1:8" x14ac:dyDescent="0.3">
      <c r="A765" s="153" t="s">
        <v>2583</v>
      </c>
      <c r="B765" s="153" t="s">
        <v>2762</v>
      </c>
      <c r="C765" s="153" t="s">
        <v>2669</v>
      </c>
      <c r="D765" s="153">
        <v>924072.47423008853</v>
      </c>
      <c r="E765" s="153">
        <v>924072.47423008853</v>
      </c>
      <c r="F765" s="153">
        <f t="shared" si="22"/>
        <v>0</v>
      </c>
      <c r="G765" s="153" t="str">
        <f t="shared" si="23"/>
        <v>OK</v>
      </c>
      <c r="H765" s="153" t="b">
        <v>1</v>
      </c>
    </row>
    <row r="766" spans="1:8" x14ac:dyDescent="0.3">
      <c r="A766" s="153" t="s">
        <v>2584</v>
      </c>
      <c r="B766" s="153" t="s">
        <v>2762</v>
      </c>
      <c r="C766" s="153" t="s">
        <v>2671</v>
      </c>
      <c r="D766" s="153">
        <v>924072.47423008853</v>
      </c>
      <c r="E766" s="153">
        <v>924072.47423008853</v>
      </c>
      <c r="F766" s="153">
        <f t="shared" si="22"/>
        <v>0</v>
      </c>
      <c r="G766" s="153" t="str">
        <f t="shared" si="23"/>
        <v>OK</v>
      </c>
      <c r="H766" s="153" t="b">
        <v>1</v>
      </c>
    </row>
    <row r="767" spans="1:8" x14ac:dyDescent="0.3">
      <c r="A767" s="153" t="s">
        <v>2585</v>
      </c>
      <c r="B767" s="153" t="s">
        <v>2762</v>
      </c>
      <c r="C767" s="153" t="s">
        <v>2673</v>
      </c>
      <c r="D767" s="153">
        <v>7371.75</v>
      </c>
      <c r="E767" s="153">
        <v>7371.75</v>
      </c>
      <c r="F767" s="153">
        <f t="shared" si="22"/>
        <v>0</v>
      </c>
      <c r="G767" s="153" t="str">
        <f t="shared" si="23"/>
        <v>OK</v>
      </c>
      <c r="H767" s="153" t="b">
        <v>1</v>
      </c>
    </row>
    <row r="768" spans="1:8" x14ac:dyDescent="0.3">
      <c r="A768" s="153" t="s">
        <v>2586</v>
      </c>
      <c r="B768" s="153" t="s">
        <v>2762</v>
      </c>
      <c r="C768" s="153" t="s">
        <v>2675</v>
      </c>
      <c r="D768" s="153">
        <v>36459.198327999999</v>
      </c>
      <c r="E768" s="153">
        <v>36459.198327999999</v>
      </c>
      <c r="F768" s="153">
        <f t="shared" si="22"/>
        <v>0</v>
      </c>
      <c r="G768" s="153" t="str">
        <f t="shared" si="23"/>
        <v>OK</v>
      </c>
      <c r="H768" s="153" t="b">
        <v>1</v>
      </c>
    </row>
    <row r="769" spans="1:8" x14ac:dyDescent="0.3">
      <c r="A769" s="153" t="s">
        <v>2587</v>
      </c>
      <c r="B769" s="153" t="s">
        <v>2762</v>
      </c>
      <c r="C769" s="153" t="s">
        <v>2677</v>
      </c>
      <c r="D769" s="153">
        <v>967903.42255808855</v>
      </c>
      <c r="E769" s="153">
        <v>967903.42255808855</v>
      </c>
      <c r="F769" s="153">
        <f t="shared" si="22"/>
        <v>0</v>
      </c>
      <c r="G769" s="153" t="str">
        <f t="shared" si="23"/>
        <v>OK</v>
      </c>
      <c r="H769" s="153" t="b">
        <v>1</v>
      </c>
    </row>
    <row r="770" spans="1:8" x14ac:dyDescent="0.3">
      <c r="A770" s="153" t="s">
        <v>2588</v>
      </c>
      <c r="B770" s="153" t="s">
        <v>2762</v>
      </c>
      <c r="C770" s="153" t="s">
        <v>2679</v>
      </c>
      <c r="D770" s="153">
        <v>0</v>
      </c>
      <c r="E770" s="153">
        <v>0</v>
      </c>
      <c r="F770" s="153">
        <f t="shared" ref="F770:F833" si="24">IF(NOT(H770),"",IF(AND(ISNUMBER(D770),ISNUMBER(E770)),E770-D770,IF(D770=E770,0,1)))</f>
        <v>0</v>
      </c>
      <c r="G770" s="153" t="str">
        <f t="shared" ref="G770:G833" si="25">IF(NOT(H770),"PENDIENTE SIDE",IF(IF(AND(ISNUMBER(D770),ISNUMBER(E770)),IF(MOD(D770,1)=0,D770=E770,ABS(D770-E770)&lt;=0.000000001*MAX(1,ABS(D770),ABS(E770))),D770=E770),"OK","DIFERENCIA"))</f>
        <v>OK</v>
      </c>
      <c r="H770" s="153" t="b">
        <v>1</v>
      </c>
    </row>
    <row r="771" spans="1:8" x14ac:dyDescent="0.3">
      <c r="A771" s="153" t="s">
        <v>2589</v>
      </c>
      <c r="B771" s="153" t="s">
        <v>2762</v>
      </c>
      <c r="C771" s="153" t="s">
        <v>2681</v>
      </c>
      <c r="D771" s="153">
        <v>967903.42255808855</v>
      </c>
      <c r="E771" s="153">
        <v>967903.42255808855</v>
      </c>
      <c r="F771" s="153">
        <f t="shared" si="24"/>
        <v>0</v>
      </c>
      <c r="G771" s="153" t="str">
        <f t="shared" si="25"/>
        <v>OK</v>
      </c>
      <c r="H771" s="153" t="b">
        <v>1</v>
      </c>
    </row>
    <row r="772" spans="1:8" x14ac:dyDescent="0.3">
      <c r="A772" s="153" t="s">
        <v>2590</v>
      </c>
      <c r="B772" s="153" t="s">
        <v>2762</v>
      </c>
      <c r="C772" s="153" t="s">
        <v>2683</v>
      </c>
      <c r="D772" s="153">
        <v>967903.42255808855</v>
      </c>
      <c r="E772" s="153">
        <v>967903.42255808855</v>
      </c>
      <c r="F772" s="153">
        <f t="shared" si="24"/>
        <v>0</v>
      </c>
      <c r="G772" s="153" t="str">
        <f t="shared" si="25"/>
        <v>OK</v>
      </c>
      <c r="H772" s="153" t="b">
        <v>1</v>
      </c>
    </row>
    <row r="773" spans="1:8" x14ac:dyDescent="0.3">
      <c r="A773" s="153" t="s">
        <v>2591</v>
      </c>
      <c r="B773" s="153" t="s">
        <v>2762</v>
      </c>
      <c r="C773" s="153" t="s">
        <v>2685</v>
      </c>
      <c r="D773" s="153">
        <v>0</v>
      </c>
      <c r="E773" s="153">
        <v>0</v>
      </c>
      <c r="F773" s="153">
        <f t="shared" si="24"/>
        <v>0</v>
      </c>
      <c r="G773" s="153" t="str">
        <f t="shared" si="25"/>
        <v>OK</v>
      </c>
      <c r="H773" s="153" t="b">
        <v>1</v>
      </c>
    </row>
    <row r="774" spans="1:8" x14ac:dyDescent="0.3">
      <c r="A774" s="153" t="s">
        <v>2592</v>
      </c>
      <c r="B774" s="153" t="s">
        <v>2762</v>
      </c>
      <c r="C774" s="153" t="s">
        <v>2687</v>
      </c>
      <c r="D774" s="153">
        <v>23</v>
      </c>
      <c r="E774" s="153">
        <v>23</v>
      </c>
      <c r="F774" s="153">
        <f t="shared" si="24"/>
        <v>0</v>
      </c>
      <c r="G774" s="153" t="str">
        <f t="shared" si="25"/>
        <v>OK</v>
      </c>
      <c r="H774" s="153" t="b">
        <v>1</v>
      </c>
    </row>
    <row r="775" spans="1:8" x14ac:dyDescent="0.3">
      <c r="A775" s="153" t="s">
        <v>2593</v>
      </c>
      <c r="B775" s="153" t="s">
        <v>2762</v>
      </c>
      <c r="C775" s="153" t="s">
        <v>2689</v>
      </c>
      <c r="D775" s="153">
        <v>0</v>
      </c>
      <c r="E775" s="153">
        <v>0</v>
      </c>
      <c r="F775" s="153">
        <f t="shared" si="24"/>
        <v>0</v>
      </c>
      <c r="G775" s="153" t="str">
        <f t="shared" si="25"/>
        <v>OK</v>
      </c>
      <c r="H775" s="153" t="b">
        <v>1</v>
      </c>
    </row>
    <row r="776" spans="1:8" x14ac:dyDescent="0.3">
      <c r="A776" s="153" t="s">
        <v>2594</v>
      </c>
      <c r="B776" s="153" t="s">
        <v>2762</v>
      </c>
      <c r="C776" s="153" t="s">
        <v>2691</v>
      </c>
      <c r="D776" s="153">
        <v>3</v>
      </c>
      <c r="E776" s="153">
        <v>3</v>
      </c>
      <c r="F776" s="153">
        <f t="shared" si="24"/>
        <v>0</v>
      </c>
      <c r="G776" s="153" t="str">
        <f t="shared" si="25"/>
        <v>OK</v>
      </c>
      <c r="H776" s="153" t="b">
        <v>1</v>
      </c>
    </row>
    <row r="777" spans="1:8" x14ac:dyDescent="0.3">
      <c r="A777" s="153" t="s">
        <v>2595</v>
      </c>
      <c r="B777" s="153" t="s">
        <v>2762</v>
      </c>
      <c r="C777" s="153" t="s">
        <v>2693</v>
      </c>
      <c r="D777" s="153">
        <v>0</v>
      </c>
      <c r="E777" s="153">
        <v>0</v>
      </c>
      <c r="F777" s="153">
        <f t="shared" si="24"/>
        <v>0</v>
      </c>
      <c r="G777" s="153" t="str">
        <f t="shared" si="25"/>
        <v>OK</v>
      </c>
      <c r="H777" s="153" t="b">
        <v>1</v>
      </c>
    </row>
    <row r="778" spans="1:8" x14ac:dyDescent="0.3">
      <c r="A778" s="153" t="s">
        <v>2596</v>
      </c>
      <c r="B778" s="153" t="s">
        <v>2762</v>
      </c>
      <c r="C778" s="153" t="s">
        <v>2695</v>
      </c>
      <c r="D778" s="153">
        <v>0</v>
      </c>
      <c r="E778" s="153">
        <v>0</v>
      </c>
      <c r="F778" s="153">
        <f t="shared" si="24"/>
        <v>0</v>
      </c>
      <c r="G778" s="153" t="str">
        <f t="shared" si="25"/>
        <v>OK</v>
      </c>
      <c r="H778" s="153" t="b">
        <v>1</v>
      </c>
    </row>
    <row r="779" spans="1:8" x14ac:dyDescent="0.3">
      <c r="A779" s="153" t="s">
        <v>2597</v>
      </c>
      <c r="B779" s="153" t="s">
        <v>2762</v>
      </c>
      <c r="C779" s="153" t="s">
        <v>2697</v>
      </c>
      <c r="D779" s="153">
        <v>4840</v>
      </c>
      <c r="E779" s="153">
        <v>4840</v>
      </c>
      <c r="F779" s="153">
        <f t="shared" si="24"/>
        <v>0</v>
      </c>
      <c r="G779" s="153" t="str">
        <f t="shared" si="25"/>
        <v>OK</v>
      </c>
      <c r="H779" s="153" t="b">
        <v>1</v>
      </c>
    </row>
    <row r="780" spans="1:8" x14ac:dyDescent="0.3">
      <c r="A780" s="153" t="s">
        <v>2598</v>
      </c>
      <c r="B780" s="153" t="s">
        <v>2762</v>
      </c>
      <c r="C780" s="153" t="s">
        <v>2699</v>
      </c>
      <c r="D780" s="153">
        <v>4840</v>
      </c>
      <c r="E780" s="153">
        <v>4840</v>
      </c>
      <c r="F780" s="153">
        <f t="shared" si="24"/>
        <v>0</v>
      </c>
      <c r="G780" s="153" t="str">
        <f t="shared" si="25"/>
        <v>OK</v>
      </c>
      <c r="H780" s="153" t="b">
        <v>1</v>
      </c>
    </row>
    <row r="781" spans="1:8" x14ac:dyDescent="0.3">
      <c r="A781" s="153" t="s">
        <v>2599</v>
      </c>
      <c r="B781" s="153" t="s">
        <v>2762</v>
      </c>
      <c r="C781" s="153" t="s">
        <v>2701</v>
      </c>
      <c r="D781" s="153">
        <v>33177.092991803278</v>
      </c>
      <c r="E781" s="153">
        <v>33177.092991803278</v>
      </c>
      <c r="F781" s="153">
        <f t="shared" si="24"/>
        <v>0</v>
      </c>
      <c r="G781" s="153" t="str">
        <f t="shared" si="25"/>
        <v>OK</v>
      </c>
      <c r="H781" s="153" t="b">
        <v>1</v>
      </c>
    </row>
    <row r="782" spans="1:8" x14ac:dyDescent="0.3">
      <c r="A782" s="153" t="s">
        <v>2600</v>
      </c>
      <c r="B782" s="153" t="s">
        <v>2762</v>
      </c>
      <c r="C782" s="153" t="s">
        <v>2703</v>
      </c>
      <c r="D782" s="153">
        <v>-28337.092991803282</v>
      </c>
      <c r="E782" s="153">
        <v>-28337.092991803282</v>
      </c>
      <c r="F782" s="153">
        <f t="shared" si="24"/>
        <v>0</v>
      </c>
      <c r="G782" s="153" t="str">
        <f t="shared" si="25"/>
        <v>OK</v>
      </c>
      <c r="H782" s="153" t="b">
        <v>1</v>
      </c>
    </row>
    <row r="783" spans="1:8" x14ac:dyDescent="0.3">
      <c r="A783" s="153" t="s">
        <v>2601</v>
      </c>
      <c r="B783" s="153" t="s">
        <v>2762</v>
      </c>
      <c r="C783" s="153" t="s">
        <v>2705</v>
      </c>
      <c r="D783" s="153">
        <v>8.692499999999999</v>
      </c>
      <c r="E783" s="153">
        <v>8.692499999999999</v>
      </c>
      <c r="F783" s="153">
        <f t="shared" si="24"/>
        <v>0</v>
      </c>
      <c r="G783" s="153" t="str">
        <f t="shared" si="25"/>
        <v>OK</v>
      </c>
      <c r="H783" s="153" t="b">
        <v>1</v>
      </c>
    </row>
    <row r="784" spans="1:8" x14ac:dyDescent="0.3">
      <c r="A784" s="153" t="s">
        <v>2602</v>
      </c>
      <c r="B784" s="153" t="s">
        <v>2762</v>
      </c>
      <c r="C784" s="153" t="s">
        <v>2707</v>
      </c>
      <c r="D784" s="153">
        <v>0</v>
      </c>
      <c r="E784" s="153">
        <v>0</v>
      </c>
      <c r="F784" s="153">
        <f t="shared" si="24"/>
        <v>0</v>
      </c>
      <c r="G784" s="153" t="str">
        <f t="shared" si="25"/>
        <v>OK</v>
      </c>
      <c r="H784" s="153" t="b">
        <v>1</v>
      </c>
    </row>
    <row r="785" spans="1:8" x14ac:dyDescent="0.3">
      <c r="A785" s="153" t="s">
        <v>2603</v>
      </c>
      <c r="B785" s="153" t="s">
        <v>2762</v>
      </c>
      <c r="C785" s="153" t="s">
        <v>2709</v>
      </c>
      <c r="D785" s="153">
        <v>33177.092991803278</v>
      </c>
      <c r="E785" s="153">
        <v>33177.092991803278</v>
      </c>
      <c r="F785" s="153">
        <f t="shared" si="24"/>
        <v>0</v>
      </c>
      <c r="G785" s="153" t="str">
        <f t="shared" si="25"/>
        <v>OK</v>
      </c>
      <c r="H785" s="153" t="b">
        <v>1</v>
      </c>
    </row>
    <row r="786" spans="1:8" x14ac:dyDescent="0.3">
      <c r="A786" s="153" t="s">
        <v>2604</v>
      </c>
      <c r="B786" s="153" t="s">
        <v>2762</v>
      </c>
      <c r="C786" s="153" t="s">
        <v>2711</v>
      </c>
      <c r="D786" s="153">
        <v>932373.63950819673</v>
      </c>
      <c r="E786" s="153">
        <v>932373.63950819673</v>
      </c>
      <c r="F786" s="153">
        <f t="shared" si="24"/>
        <v>0</v>
      </c>
      <c r="G786" s="153" t="str">
        <f t="shared" si="25"/>
        <v>OK</v>
      </c>
      <c r="H786" s="153" t="b">
        <v>1</v>
      </c>
    </row>
    <row r="787" spans="1:8" x14ac:dyDescent="0.3">
      <c r="A787" s="153" t="s">
        <v>2605</v>
      </c>
      <c r="B787" s="153" t="s">
        <v>2762</v>
      </c>
      <c r="C787" s="153" t="s">
        <v>2713</v>
      </c>
      <c r="D787" s="153">
        <v>4840</v>
      </c>
      <c r="E787" s="153">
        <v>4840</v>
      </c>
      <c r="F787" s="153">
        <f t="shared" si="24"/>
        <v>0</v>
      </c>
      <c r="G787" s="153" t="str">
        <f t="shared" si="25"/>
        <v>OK</v>
      </c>
      <c r="H787" s="153" t="b">
        <v>1</v>
      </c>
    </row>
    <row r="788" spans="1:8" x14ac:dyDescent="0.3">
      <c r="A788" s="153" t="s">
        <v>2606</v>
      </c>
      <c r="B788" s="153" t="s">
        <v>2762</v>
      </c>
      <c r="C788" s="153" t="s">
        <v>2715</v>
      </c>
      <c r="D788" s="153">
        <v>64759.36049180328</v>
      </c>
      <c r="E788" s="153">
        <v>64759.36049180328</v>
      </c>
      <c r="F788" s="153">
        <f t="shared" si="24"/>
        <v>0</v>
      </c>
      <c r="G788" s="153" t="str">
        <f t="shared" si="25"/>
        <v>OK</v>
      </c>
      <c r="H788" s="153" t="b">
        <v>1</v>
      </c>
    </row>
    <row r="789" spans="1:8" x14ac:dyDescent="0.3">
      <c r="A789" s="153" t="s">
        <v>2607</v>
      </c>
      <c r="B789" s="153" t="s">
        <v>2762</v>
      </c>
      <c r="C789" s="153" t="s">
        <v>2717</v>
      </c>
      <c r="D789" s="153">
        <v>872454.27901639347</v>
      </c>
      <c r="E789" s="153">
        <v>872454.27901639347</v>
      </c>
      <c r="F789" s="153">
        <f t="shared" si="24"/>
        <v>0</v>
      </c>
      <c r="G789" s="153" t="str">
        <f t="shared" si="25"/>
        <v>OK</v>
      </c>
      <c r="H789" s="153" t="b">
        <v>1</v>
      </c>
    </row>
    <row r="790" spans="1:8" x14ac:dyDescent="0.3">
      <c r="A790" s="153" t="s">
        <v>2608</v>
      </c>
      <c r="B790" s="153" t="s">
        <v>2762</v>
      </c>
      <c r="C790" s="153" t="s">
        <v>2719</v>
      </c>
      <c r="D790" s="153">
        <v>932373.63950819673</v>
      </c>
      <c r="E790" s="153">
        <v>932373.63950819673</v>
      </c>
      <c r="F790" s="153">
        <f t="shared" si="24"/>
        <v>0</v>
      </c>
      <c r="G790" s="153" t="str">
        <f t="shared" si="25"/>
        <v>OK</v>
      </c>
      <c r="H790" s="153" t="b">
        <v>1</v>
      </c>
    </row>
    <row r="791" spans="1:8" x14ac:dyDescent="0.3">
      <c r="A791" s="153" t="s">
        <v>2609</v>
      </c>
      <c r="B791" s="153" t="s">
        <v>2762</v>
      </c>
      <c r="C791" s="153" t="s">
        <v>2721</v>
      </c>
      <c r="D791" s="153">
        <v>4840</v>
      </c>
      <c r="E791" s="153">
        <v>4840</v>
      </c>
      <c r="F791" s="153">
        <f t="shared" si="24"/>
        <v>0</v>
      </c>
      <c r="G791" s="153" t="str">
        <f t="shared" si="25"/>
        <v>OK</v>
      </c>
      <c r="H791" s="153" t="b">
        <v>1</v>
      </c>
    </row>
    <row r="792" spans="1:8" x14ac:dyDescent="0.3">
      <c r="A792" s="153" t="s">
        <v>2610</v>
      </c>
      <c r="B792" s="153" t="s">
        <v>2762</v>
      </c>
      <c r="C792" s="153" t="s">
        <v>2723</v>
      </c>
      <c r="D792" s="153">
        <v>64759.36049180328</v>
      </c>
      <c r="E792" s="153">
        <v>64759.36049180328</v>
      </c>
      <c r="F792" s="153">
        <f t="shared" si="24"/>
        <v>0</v>
      </c>
      <c r="G792" s="153" t="str">
        <f t="shared" si="25"/>
        <v>OK</v>
      </c>
      <c r="H792" s="153" t="b">
        <v>1</v>
      </c>
    </row>
    <row r="793" spans="1:8" x14ac:dyDescent="0.3">
      <c r="A793" s="153" t="s">
        <v>2611</v>
      </c>
      <c r="B793" s="153" t="s">
        <v>2762</v>
      </c>
      <c r="C793" s="153" t="s">
        <v>2725</v>
      </c>
      <c r="D793" s="153">
        <v>0</v>
      </c>
      <c r="E793" s="153">
        <v>0</v>
      </c>
      <c r="F793" s="153">
        <f t="shared" si="24"/>
        <v>0</v>
      </c>
      <c r="G793" s="153" t="str">
        <f t="shared" si="25"/>
        <v>OK</v>
      </c>
      <c r="H793" s="153" t="b">
        <v>1</v>
      </c>
    </row>
    <row r="794" spans="1:8" x14ac:dyDescent="0.3">
      <c r="A794" s="153" t="s">
        <v>2612</v>
      </c>
      <c r="B794" s="153" t="s">
        <v>2762</v>
      </c>
      <c r="C794" s="153" t="s">
        <v>2727</v>
      </c>
      <c r="D794" s="153">
        <v>0</v>
      </c>
      <c r="E794" s="153">
        <v>0</v>
      </c>
      <c r="F794" s="153">
        <f t="shared" si="24"/>
        <v>0</v>
      </c>
      <c r="G794" s="153" t="str">
        <f t="shared" si="25"/>
        <v>OK</v>
      </c>
      <c r="H794" s="153" t="b">
        <v>1</v>
      </c>
    </row>
    <row r="795" spans="1:8" x14ac:dyDescent="0.3">
      <c r="A795" s="153" t="s">
        <v>2613</v>
      </c>
      <c r="B795" s="153" t="s">
        <v>2762</v>
      </c>
      <c r="C795" s="153" t="s">
        <v>2729</v>
      </c>
      <c r="D795" s="153">
        <v>-59919.36049180328</v>
      </c>
      <c r="E795" s="153">
        <v>-59919.36049180328</v>
      </c>
      <c r="F795" s="153">
        <f t="shared" si="24"/>
        <v>0</v>
      </c>
      <c r="G795" s="153" t="str">
        <f t="shared" si="25"/>
        <v>OK</v>
      </c>
      <c r="H795" s="153" t="b">
        <v>1</v>
      </c>
    </row>
    <row r="796" spans="1:8" x14ac:dyDescent="0.3">
      <c r="A796" s="153" t="s">
        <v>2614</v>
      </c>
      <c r="B796" s="153" t="s">
        <v>2762</v>
      </c>
      <c r="C796" s="153" t="s">
        <v>2731</v>
      </c>
      <c r="D796" s="153">
        <v>0</v>
      </c>
      <c r="E796" s="153">
        <v>0</v>
      </c>
      <c r="F796" s="153">
        <f t="shared" si="24"/>
        <v>0</v>
      </c>
      <c r="G796" s="153" t="str">
        <f t="shared" si="25"/>
        <v>OK</v>
      </c>
      <c r="H796" s="153" t="b">
        <v>1</v>
      </c>
    </row>
    <row r="797" spans="1:8" x14ac:dyDescent="0.3">
      <c r="A797" s="153" t="s">
        <v>2615</v>
      </c>
      <c r="B797" s="153" t="s">
        <v>2762</v>
      </c>
      <c r="C797" s="153" t="s">
        <v>2733</v>
      </c>
      <c r="D797" s="153">
        <v>-59919.360491803272</v>
      </c>
      <c r="E797" s="153">
        <v>-59919.360491803272</v>
      </c>
      <c r="F797" s="153">
        <f t="shared" si="24"/>
        <v>0</v>
      </c>
      <c r="G797" s="153" t="str">
        <f t="shared" si="25"/>
        <v>OK</v>
      </c>
      <c r="H797" s="153" t="b">
        <v>1</v>
      </c>
    </row>
    <row r="798" spans="1:8" x14ac:dyDescent="0.3">
      <c r="A798" s="153" t="s">
        <v>2616</v>
      </c>
      <c r="B798" s="153" t="s">
        <v>2762</v>
      </c>
      <c r="C798" s="153" t="s">
        <v>2735</v>
      </c>
      <c r="D798" s="153">
        <v>872454.27901639347</v>
      </c>
      <c r="E798" s="153">
        <v>872454.27901639347</v>
      </c>
      <c r="F798" s="153">
        <f t="shared" si="24"/>
        <v>0</v>
      </c>
      <c r="G798" s="153" t="str">
        <f t="shared" si="25"/>
        <v>OK</v>
      </c>
      <c r="H798" s="153" t="b">
        <v>1</v>
      </c>
    </row>
    <row r="799" spans="1:8" x14ac:dyDescent="0.3">
      <c r="A799" s="153" t="s">
        <v>2617</v>
      </c>
      <c r="B799" s="153" t="s">
        <v>2762</v>
      </c>
      <c r="C799" s="153" t="s">
        <v>2737</v>
      </c>
      <c r="D799" s="153">
        <v>872454.27901639347</v>
      </c>
      <c r="E799" s="153">
        <v>872454.27901639347</v>
      </c>
      <c r="F799" s="153">
        <f t="shared" si="24"/>
        <v>0</v>
      </c>
      <c r="G799" s="153" t="str">
        <f t="shared" si="25"/>
        <v>OK</v>
      </c>
      <c r="H799" s="153" t="b">
        <v>1</v>
      </c>
    </row>
    <row r="800" spans="1:8" x14ac:dyDescent="0.3">
      <c r="A800" s="153" t="s">
        <v>2618</v>
      </c>
      <c r="B800" s="153" t="s">
        <v>2762</v>
      </c>
      <c r="C800" s="153" t="s">
        <v>2739</v>
      </c>
      <c r="D800" s="153">
        <v>7482.6149999999998</v>
      </c>
      <c r="E800" s="153">
        <v>7482.6149999999998</v>
      </c>
      <c r="F800" s="153">
        <f t="shared" si="24"/>
        <v>0</v>
      </c>
      <c r="G800" s="153" t="str">
        <f t="shared" si="25"/>
        <v>OK</v>
      </c>
      <c r="H800" s="153" t="b">
        <v>1</v>
      </c>
    </row>
    <row r="801" spans="1:8" x14ac:dyDescent="0.3">
      <c r="A801" s="153" t="s">
        <v>2619</v>
      </c>
      <c r="B801" s="153" t="s">
        <v>2762</v>
      </c>
      <c r="C801" s="153" t="s">
        <v>2741</v>
      </c>
      <c r="D801" s="153">
        <v>63181.919999999998</v>
      </c>
      <c r="E801" s="153">
        <v>63181.919999999998</v>
      </c>
      <c r="F801" s="153">
        <f t="shared" si="24"/>
        <v>0</v>
      </c>
      <c r="G801" s="153" t="str">
        <f t="shared" si="25"/>
        <v>OK</v>
      </c>
      <c r="H801" s="153" t="b">
        <v>1</v>
      </c>
    </row>
    <row r="802" spans="1:8" x14ac:dyDescent="0.3">
      <c r="A802" s="153" t="s">
        <v>2620</v>
      </c>
      <c r="B802" s="153" t="s">
        <v>2762</v>
      </c>
      <c r="C802" s="153" t="s">
        <v>2743</v>
      </c>
      <c r="D802" s="153">
        <v>943118.8140163935</v>
      </c>
      <c r="E802" s="153">
        <v>943118.8140163935</v>
      </c>
      <c r="F802" s="153">
        <f t="shared" si="24"/>
        <v>0</v>
      </c>
      <c r="G802" s="153" t="str">
        <f t="shared" si="25"/>
        <v>OK</v>
      </c>
      <c r="H802" s="153" t="b">
        <v>1</v>
      </c>
    </row>
    <row r="803" spans="1:8" x14ac:dyDescent="0.3">
      <c r="A803" s="153" t="s">
        <v>2621</v>
      </c>
      <c r="B803" s="153" t="s">
        <v>2762</v>
      </c>
      <c r="C803" s="153" t="s">
        <v>2745</v>
      </c>
      <c r="D803" s="153">
        <v>0</v>
      </c>
      <c r="E803" s="153">
        <v>0</v>
      </c>
      <c r="F803" s="153">
        <f t="shared" si="24"/>
        <v>0</v>
      </c>
      <c r="G803" s="153" t="str">
        <f t="shared" si="25"/>
        <v>OK</v>
      </c>
      <c r="H803" s="153" t="b">
        <v>1</v>
      </c>
    </row>
    <row r="804" spans="1:8" x14ac:dyDescent="0.3">
      <c r="A804" s="153" t="s">
        <v>2622</v>
      </c>
      <c r="B804" s="153" t="s">
        <v>2762</v>
      </c>
      <c r="C804" s="153" t="s">
        <v>2747</v>
      </c>
      <c r="D804" s="153">
        <v>943118.8140163935</v>
      </c>
      <c r="E804" s="153">
        <v>943118.8140163935</v>
      </c>
      <c r="F804" s="153">
        <f t="shared" si="24"/>
        <v>0</v>
      </c>
      <c r="G804" s="153" t="str">
        <f t="shared" si="25"/>
        <v>OK</v>
      </c>
      <c r="H804" s="153" t="b">
        <v>1</v>
      </c>
    </row>
    <row r="805" spans="1:8" x14ac:dyDescent="0.3">
      <c r="A805" s="153" t="s">
        <v>2623</v>
      </c>
      <c r="B805" s="153" t="s">
        <v>2762</v>
      </c>
      <c r="C805" s="153" t="s">
        <v>2749</v>
      </c>
      <c r="D805" s="153">
        <v>943118.8140163935</v>
      </c>
      <c r="E805" s="153">
        <v>943118.8140163935</v>
      </c>
      <c r="F805" s="153">
        <f t="shared" si="24"/>
        <v>0</v>
      </c>
      <c r="G805" s="153" t="str">
        <f t="shared" si="25"/>
        <v>OK</v>
      </c>
      <c r="H805" s="153" t="b">
        <v>1</v>
      </c>
    </row>
    <row r="806" spans="1:8" x14ac:dyDescent="0.3">
      <c r="A806" s="153" t="s">
        <v>2624</v>
      </c>
      <c r="B806" s="153" t="s">
        <v>2762</v>
      </c>
      <c r="C806" s="153" t="s">
        <v>2751</v>
      </c>
      <c r="D806" s="153">
        <v>0</v>
      </c>
      <c r="E806" s="153">
        <v>0</v>
      </c>
      <c r="F806" s="153">
        <f t="shared" si="24"/>
        <v>0</v>
      </c>
      <c r="G806" s="153" t="str">
        <f t="shared" si="25"/>
        <v>OK</v>
      </c>
      <c r="H806" s="153" t="b">
        <v>1</v>
      </c>
    </row>
    <row r="807" spans="1:8" x14ac:dyDescent="0.3">
      <c r="A807" s="153" t="s">
        <v>2625</v>
      </c>
      <c r="B807" s="153" t="s">
        <v>2762</v>
      </c>
      <c r="C807" s="153" t="s">
        <v>2753</v>
      </c>
      <c r="D807" s="153">
        <v>23</v>
      </c>
      <c r="E807" s="153">
        <v>23</v>
      </c>
      <c r="F807" s="153">
        <f t="shared" si="24"/>
        <v>0</v>
      </c>
      <c r="G807" s="153" t="str">
        <f t="shared" si="25"/>
        <v>OK</v>
      </c>
      <c r="H807" s="153" t="b">
        <v>1</v>
      </c>
    </row>
    <row r="808" spans="1:8" x14ac:dyDescent="0.3">
      <c r="A808" s="153" t="s">
        <v>2626</v>
      </c>
      <c r="B808" s="153" t="s">
        <v>2762</v>
      </c>
      <c r="C808" s="153" t="s">
        <v>2755</v>
      </c>
      <c r="D808" s="153">
        <v>0</v>
      </c>
      <c r="E808" s="153">
        <v>0</v>
      </c>
      <c r="F808" s="153">
        <f t="shared" si="24"/>
        <v>0</v>
      </c>
      <c r="G808" s="153" t="str">
        <f t="shared" si="25"/>
        <v>OK</v>
      </c>
      <c r="H808" s="153" t="b">
        <v>1</v>
      </c>
    </row>
    <row r="809" spans="1:8" x14ac:dyDescent="0.3">
      <c r="A809" s="153" t="s">
        <v>2627</v>
      </c>
      <c r="B809" s="153" t="s">
        <v>2762</v>
      </c>
      <c r="C809" s="153" t="s">
        <v>2757</v>
      </c>
      <c r="D809" s="153">
        <v>3</v>
      </c>
      <c r="E809" s="153">
        <v>3</v>
      </c>
      <c r="F809" s="153">
        <f t="shared" si="24"/>
        <v>0</v>
      </c>
      <c r="G809" s="153" t="str">
        <f t="shared" si="25"/>
        <v>OK</v>
      </c>
      <c r="H809" s="153" t="b">
        <v>1</v>
      </c>
    </row>
    <row r="810" spans="1:8" x14ac:dyDescent="0.3">
      <c r="A810" s="153" t="s">
        <v>2628</v>
      </c>
      <c r="B810" s="153" t="s">
        <v>2762</v>
      </c>
      <c r="C810" s="153" t="s">
        <v>2759</v>
      </c>
      <c r="D810" s="153">
        <v>0</v>
      </c>
      <c r="E810" s="153">
        <v>0</v>
      </c>
      <c r="F810" s="153">
        <f t="shared" si="24"/>
        <v>0</v>
      </c>
      <c r="G810" s="153" t="str">
        <f t="shared" si="25"/>
        <v>OK</v>
      </c>
      <c r="H810" s="153" t="b">
        <v>1</v>
      </c>
    </row>
    <row r="811" spans="1:8" x14ac:dyDescent="0.3">
      <c r="A811" s="153" t="s">
        <v>2629</v>
      </c>
      <c r="B811" s="153" t="s">
        <v>2762</v>
      </c>
      <c r="C811" s="153" t="s">
        <v>2761</v>
      </c>
      <c r="D811" s="153">
        <v>0</v>
      </c>
      <c r="E811" s="153">
        <v>0</v>
      </c>
      <c r="F811" s="153">
        <f t="shared" si="24"/>
        <v>0</v>
      </c>
      <c r="G811" s="153" t="str">
        <f t="shared" si="25"/>
        <v>OK</v>
      </c>
      <c r="H811" s="153" t="b">
        <v>1</v>
      </c>
    </row>
    <row r="812" spans="1:8" x14ac:dyDescent="0.3">
      <c r="A812" s="153" t="s">
        <v>3273</v>
      </c>
      <c r="B812" s="153" t="s">
        <v>2762</v>
      </c>
      <c r="C812" s="153" t="s">
        <v>3274</v>
      </c>
      <c r="D812" s="153">
        <v>16016</v>
      </c>
      <c r="E812" s="153">
        <v>16016</v>
      </c>
      <c r="F812" s="153">
        <f t="shared" si="24"/>
        <v>0</v>
      </c>
      <c r="G812" s="153" t="str">
        <f t="shared" si="25"/>
        <v>OK</v>
      </c>
      <c r="H812" s="153" t="b">
        <v>1</v>
      </c>
    </row>
    <row r="813" spans="1:8" x14ac:dyDescent="0.3">
      <c r="A813" s="153" t="s">
        <v>3275</v>
      </c>
      <c r="B813" s="153" t="s">
        <v>2762</v>
      </c>
      <c r="C813" s="153" t="s">
        <v>3276</v>
      </c>
      <c r="D813" s="153">
        <v>16016</v>
      </c>
      <c r="E813" s="153">
        <v>16016</v>
      </c>
      <c r="F813" s="153">
        <f t="shared" si="24"/>
        <v>0</v>
      </c>
      <c r="G813" s="153" t="str">
        <f t="shared" si="25"/>
        <v>OK</v>
      </c>
      <c r="H813" s="153" t="b">
        <v>1</v>
      </c>
    </row>
    <row r="814" spans="1:8" x14ac:dyDescent="0.3">
      <c r="A814" s="153" t="s">
        <v>3277</v>
      </c>
      <c r="B814" s="153" t="s">
        <v>2762</v>
      </c>
      <c r="C814" s="153" t="s">
        <v>3278</v>
      </c>
      <c r="D814" s="153">
        <v>45289.329647644161</v>
      </c>
      <c r="E814" s="153">
        <v>45289.329647644161</v>
      </c>
      <c r="F814" s="153">
        <f t="shared" si="24"/>
        <v>0</v>
      </c>
      <c r="G814" s="153" t="str">
        <f t="shared" si="25"/>
        <v>OK</v>
      </c>
      <c r="H814" s="153" t="b">
        <v>1</v>
      </c>
    </row>
    <row r="815" spans="1:8" x14ac:dyDescent="0.3">
      <c r="A815" s="153" t="s">
        <v>3279</v>
      </c>
      <c r="B815" s="153" t="s">
        <v>2762</v>
      </c>
      <c r="C815" s="153" t="s">
        <v>3280</v>
      </c>
      <c r="D815" s="153">
        <v>-29273.329647644161</v>
      </c>
      <c r="E815" s="153">
        <v>-29273.329647644161</v>
      </c>
      <c r="F815" s="153">
        <f t="shared" si="24"/>
        <v>0</v>
      </c>
      <c r="G815" s="153" t="str">
        <f t="shared" si="25"/>
        <v>OK</v>
      </c>
      <c r="H815" s="153" t="b">
        <v>1</v>
      </c>
    </row>
    <row r="816" spans="1:8" x14ac:dyDescent="0.3">
      <c r="A816" s="153" t="s">
        <v>3281</v>
      </c>
      <c r="B816" s="153" t="s">
        <v>2762</v>
      </c>
      <c r="C816" s="153" t="s">
        <v>3282</v>
      </c>
      <c r="D816" s="153">
        <v>109.3181818181818</v>
      </c>
      <c r="E816" s="153">
        <v>109.3181818181818</v>
      </c>
      <c r="F816" s="153">
        <f t="shared" si="24"/>
        <v>0</v>
      </c>
      <c r="G816" s="153" t="str">
        <f t="shared" si="25"/>
        <v>OK</v>
      </c>
      <c r="H816" s="153" t="b">
        <v>1</v>
      </c>
    </row>
    <row r="817" spans="1:8" x14ac:dyDescent="0.3">
      <c r="A817" s="153" t="s">
        <v>3283</v>
      </c>
      <c r="B817" s="153" t="s">
        <v>2762</v>
      </c>
      <c r="C817" s="153" t="s">
        <v>3284</v>
      </c>
      <c r="D817" s="153">
        <v>0</v>
      </c>
      <c r="E817" s="153">
        <v>0</v>
      </c>
      <c r="F817" s="153">
        <f t="shared" si="24"/>
        <v>0</v>
      </c>
      <c r="G817" s="153" t="str">
        <f t="shared" si="25"/>
        <v>OK</v>
      </c>
      <c r="H817" s="153" t="b">
        <v>1</v>
      </c>
    </row>
    <row r="818" spans="1:8" x14ac:dyDescent="0.3">
      <c r="A818" s="153" t="s">
        <v>3285</v>
      </c>
      <c r="B818" s="153" t="s">
        <v>2762</v>
      </c>
      <c r="C818" s="153" t="s">
        <v>3286</v>
      </c>
      <c r="D818" s="153">
        <v>45289.329647644161</v>
      </c>
      <c r="E818" s="153">
        <v>45289.329647644161</v>
      </c>
      <c r="F818" s="153">
        <f t="shared" si="24"/>
        <v>0</v>
      </c>
      <c r="G818" s="153" t="str">
        <f t="shared" si="25"/>
        <v>OK</v>
      </c>
      <c r="H818" s="153" t="b">
        <v>1</v>
      </c>
    </row>
    <row r="819" spans="1:8" x14ac:dyDescent="0.3">
      <c r="A819" s="153" t="s">
        <v>3287</v>
      </c>
      <c r="B819" s="153" t="s">
        <v>2762</v>
      </c>
      <c r="C819" s="153" t="s">
        <v>3288</v>
      </c>
      <c r="D819" s="153">
        <v>912964.14533417404</v>
      </c>
      <c r="E819" s="153">
        <v>912964.14533417404</v>
      </c>
      <c r="F819" s="153">
        <f t="shared" si="24"/>
        <v>0</v>
      </c>
      <c r="G819" s="153" t="str">
        <f t="shared" si="25"/>
        <v>OK</v>
      </c>
      <c r="H819" s="153" t="b">
        <v>1</v>
      </c>
    </row>
    <row r="820" spans="1:8" x14ac:dyDescent="0.3">
      <c r="A820" s="153" t="s">
        <v>3289</v>
      </c>
      <c r="B820" s="153" t="s">
        <v>2762</v>
      </c>
      <c r="C820" s="153" t="s">
        <v>3290</v>
      </c>
      <c r="D820" s="153">
        <v>16016</v>
      </c>
      <c r="E820" s="153">
        <v>16016</v>
      </c>
      <c r="F820" s="153">
        <f t="shared" si="24"/>
        <v>0</v>
      </c>
      <c r="G820" s="153" t="str">
        <f t="shared" si="25"/>
        <v>OK</v>
      </c>
      <c r="H820" s="153" t="b">
        <v>1</v>
      </c>
    </row>
    <row r="821" spans="1:8" x14ac:dyDescent="0.3">
      <c r="A821" s="153" t="s">
        <v>3291</v>
      </c>
      <c r="B821" s="153" t="s">
        <v>2762</v>
      </c>
      <c r="C821" s="153" t="s">
        <v>3292</v>
      </c>
      <c r="D821" s="153">
        <v>95125.854665825973</v>
      </c>
      <c r="E821" s="153">
        <v>95125.854665825973</v>
      </c>
      <c r="F821" s="153">
        <f t="shared" si="24"/>
        <v>0</v>
      </c>
      <c r="G821" s="153" t="str">
        <f t="shared" si="25"/>
        <v>OK</v>
      </c>
      <c r="H821" s="153" t="b">
        <v>1</v>
      </c>
    </row>
    <row r="822" spans="1:8" x14ac:dyDescent="0.3">
      <c r="A822" s="153" t="s">
        <v>3293</v>
      </c>
      <c r="B822" s="153" t="s">
        <v>2762</v>
      </c>
      <c r="C822" s="153" t="s">
        <v>3294</v>
      </c>
      <c r="D822" s="153">
        <v>833854.29066834808</v>
      </c>
      <c r="E822" s="153">
        <v>833854.29066834808</v>
      </c>
      <c r="F822" s="153">
        <f t="shared" si="24"/>
        <v>0</v>
      </c>
      <c r="G822" s="153" t="str">
        <f t="shared" si="25"/>
        <v>OK</v>
      </c>
      <c r="H822" s="153" t="b">
        <v>1</v>
      </c>
    </row>
    <row r="823" spans="1:8" x14ac:dyDescent="0.3">
      <c r="A823" s="153" t="s">
        <v>3295</v>
      </c>
      <c r="B823" s="153" t="s">
        <v>2762</v>
      </c>
      <c r="C823" s="153" t="s">
        <v>3296</v>
      </c>
      <c r="D823" s="153">
        <v>912964.14533417404</v>
      </c>
      <c r="E823" s="153">
        <v>912964.14533417404</v>
      </c>
      <c r="F823" s="153">
        <f t="shared" si="24"/>
        <v>0</v>
      </c>
      <c r="G823" s="153" t="str">
        <f t="shared" si="25"/>
        <v>OK</v>
      </c>
      <c r="H823" s="153" t="b">
        <v>1</v>
      </c>
    </row>
    <row r="824" spans="1:8" x14ac:dyDescent="0.3">
      <c r="A824" s="153" t="s">
        <v>3297</v>
      </c>
      <c r="B824" s="153" t="s">
        <v>2762</v>
      </c>
      <c r="C824" s="153" t="s">
        <v>3298</v>
      </c>
      <c r="D824" s="153">
        <v>16016</v>
      </c>
      <c r="E824" s="153">
        <v>16016</v>
      </c>
      <c r="F824" s="153">
        <f t="shared" si="24"/>
        <v>0</v>
      </c>
      <c r="G824" s="153" t="str">
        <f t="shared" si="25"/>
        <v>OK</v>
      </c>
      <c r="H824" s="153" t="b">
        <v>1</v>
      </c>
    </row>
    <row r="825" spans="1:8" x14ac:dyDescent="0.3">
      <c r="A825" s="153" t="s">
        <v>3299</v>
      </c>
      <c r="B825" s="153" t="s">
        <v>2762</v>
      </c>
      <c r="C825" s="153" t="s">
        <v>3300</v>
      </c>
      <c r="D825" s="153">
        <v>95125.854665825973</v>
      </c>
      <c r="E825" s="153">
        <v>95125.854665825973</v>
      </c>
      <c r="F825" s="153">
        <f t="shared" si="24"/>
        <v>0</v>
      </c>
      <c r="G825" s="153" t="str">
        <f t="shared" si="25"/>
        <v>OK</v>
      </c>
      <c r="H825" s="153" t="b">
        <v>1</v>
      </c>
    </row>
    <row r="826" spans="1:8" x14ac:dyDescent="0.3">
      <c r="A826" s="153" t="s">
        <v>3301</v>
      </c>
      <c r="B826" s="153" t="s">
        <v>2762</v>
      </c>
      <c r="C826" s="153" t="s">
        <v>3302</v>
      </c>
      <c r="D826" s="153">
        <v>0</v>
      </c>
      <c r="E826" s="153">
        <v>0</v>
      </c>
      <c r="F826" s="153">
        <f t="shared" si="24"/>
        <v>0</v>
      </c>
      <c r="G826" s="153" t="str">
        <f t="shared" si="25"/>
        <v>OK</v>
      </c>
      <c r="H826" s="153" t="b">
        <v>1</v>
      </c>
    </row>
    <row r="827" spans="1:8" x14ac:dyDescent="0.3">
      <c r="A827" s="153" t="s">
        <v>3303</v>
      </c>
      <c r="B827" s="153" t="s">
        <v>2762</v>
      </c>
      <c r="C827" s="153" t="s">
        <v>3304</v>
      </c>
      <c r="D827" s="153">
        <v>0</v>
      </c>
      <c r="E827" s="153">
        <v>0</v>
      </c>
      <c r="F827" s="153">
        <f t="shared" si="24"/>
        <v>0</v>
      </c>
      <c r="G827" s="153" t="str">
        <f t="shared" si="25"/>
        <v>OK</v>
      </c>
      <c r="H827" s="153" t="b">
        <v>1</v>
      </c>
    </row>
    <row r="828" spans="1:8" x14ac:dyDescent="0.3">
      <c r="A828" s="153" t="s">
        <v>3305</v>
      </c>
      <c r="B828" s="153" t="s">
        <v>2762</v>
      </c>
      <c r="C828" s="153" t="s">
        <v>3306</v>
      </c>
      <c r="D828" s="153">
        <v>-79109.854665825973</v>
      </c>
      <c r="E828" s="153">
        <v>-79109.854665825973</v>
      </c>
      <c r="F828" s="153">
        <f t="shared" si="24"/>
        <v>0</v>
      </c>
      <c r="G828" s="153" t="str">
        <f t="shared" si="25"/>
        <v>OK</v>
      </c>
      <c r="H828" s="153" t="b">
        <v>1</v>
      </c>
    </row>
    <row r="829" spans="1:8" x14ac:dyDescent="0.3">
      <c r="A829" s="153" t="s">
        <v>3307</v>
      </c>
      <c r="B829" s="153" t="s">
        <v>2762</v>
      </c>
      <c r="C829" s="153" t="s">
        <v>3308</v>
      </c>
      <c r="D829" s="153">
        <v>0</v>
      </c>
      <c r="E829" s="153">
        <v>0</v>
      </c>
      <c r="F829" s="153">
        <f t="shared" si="24"/>
        <v>0</v>
      </c>
      <c r="G829" s="153" t="str">
        <f t="shared" si="25"/>
        <v>OK</v>
      </c>
      <c r="H829" s="153" t="b">
        <v>1</v>
      </c>
    </row>
    <row r="830" spans="1:8" x14ac:dyDescent="0.3">
      <c r="A830" s="153" t="s">
        <v>3309</v>
      </c>
      <c r="B830" s="153" t="s">
        <v>2762</v>
      </c>
      <c r="C830" s="153" t="s">
        <v>3310</v>
      </c>
      <c r="D830" s="153">
        <v>-79109.854665825958</v>
      </c>
      <c r="E830" s="153">
        <v>-79109.854665825958</v>
      </c>
      <c r="F830" s="153">
        <f t="shared" si="24"/>
        <v>0</v>
      </c>
      <c r="G830" s="153" t="str">
        <f t="shared" si="25"/>
        <v>OK</v>
      </c>
      <c r="H830" s="153" t="b">
        <v>1</v>
      </c>
    </row>
    <row r="831" spans="1:8" x14ac:dyDescent="0.3">
      <c r="A831" s="153" t="s">
        <v>3311</v>
      </c>
      <c r="B831" s="153" t="s">
        <v>2762</v>
      </c>
      <c r="C831" s="153" t="s">
        <v>3312</v>
      </c>
      <c r="D831" s="153">
        <v>833854.29066834808</v>
      </c>
      <c r="E831" s="153">
        <v>833854.29066834808</v>
      </c>
      <c r="F831" s="153">
        <f t="shared" si="24"/>
        <v>0</v>
      </c>
      <c r="G831" s="153" t="str">
        <f t="shared" si="25"/>
        <v>OK</v>
      </c>
      <c r="H831" s="153" t="b">
        <v>1</v>
      </c>
    </row>
    <row r="832" spans="1:8" x14ac:dyDescent="0.3">
      <c r="A832" s="153" t="s">
        <v>3313</v>
      </c>
      <c r="B832" s="153" t="s">
        <v>2762</v>
      </c>
      <c r="C832" s="153" t="s">
        <v>3314</v>
      </c>
      <c r="D832" s="153">
        <v>833854.29066834808</v>
      </c>
      <c r="E832" s="153">
        <v>833854.29066834808</v>
      </c>
      <c r="F832" s="153">
        <f t="shared" si="24"/>
        <v>0</v>
      </c>
      <c r="G832" s="153" t="str">
        <f t="shared" si="25"/>
        <v>OK</v>
      </c>
      <c r="H832" s="153" t="b">
        <v>1</v>
      </c>
    </row>
    <row r="833" spans="1:8" x14ac:dyDescent="0.3">
      <c r="A833" s="153" t="s">
        <v>3315</v>
      </c>
      <c r="B833" s="153" t="s">
        <v>2762</v>
      </c>
      <c r="C833" s="153" t="s">
        <v>3316</v>
      </c>
      <c r="D833" s="153">
        <v>7281.363636363636</v>
      </c>
      <c r="E833" s="153">
        <v>7281.363636363636</v>
      </c>
      <c r="F833" s="153">
        <f t="shared" si="24"/>
        <v>0</v>
      </c>
      <c r="G833" s="153" t="str">
        <f t="shared" si="25"/>
        <v>OK</v>
      </c>
      <c r="H833" s="153" t="b">
        <v>1</v>
      </c>
    </row>
    <row r="834" spans="1:8" x14ac:dyDescent="0.3">
      <c r="A834" s="153" t="s">
        <v>3317</v>
      </c>
      <c r="B834" s="153" t="s">
        <v>2762</v>
      </c>
      <c r="C834" s="153" t="s">
        <v>3318</v>
      </c>
      <c r="D834" s="153">
        <v>99891.686399999991</v>
      </c>
      <c r="E834" s="153">
        <v>99891.686399999991</v>
      </c>
      <c r="F834" s="153">
        <f t="shared" ref="F834:F897" si="26">IF(NOT(H834),"",IF(AND(ISNUMBER(D834),ISNUMBER(E834)),E834-D834,IF(D834=E834,0,1)))</f>
        <v>0</v>
      </c>
      <c r="G834" s="153" t="str">
        <f t="shared" ref="G834:G897" si="27">IF(NOT(H834),"PENDIENTE SIDE",IF(IF(AND(ISNUMBER(D834),ISNUMBER(E834)),IF(MOD(D834,1)=0,D834=E834,ABS(D834-E834)&lt;=0.000000001*MAX(1,ABS(D834),ABS(E834))),D834=E834),"OK","DIFERENCIA"))</f>
        <v>OK</v>
      </c>
      <c r="H834" s="153" t="b">
        <v>1</v>
      </c>
    </row>
    <row r="835" spans="1:8" x14ac:dyDescent="0.3">
      <c r="A835" s="153" t="s">
        <v>3319</v>
      </c>
      <c r="B835" s="153" t="s">
        <v>2762</v>
      </c>
      <c r="C835" s="153" t="s">
        <v>3320</v>
      </c>
      <c r="D835" s="153">
        <v>941027.34070471174</v>
      </c>
      <c r="E835" s="153">
        <v>941027.34070471174</v>
      </c>
      <c r="F835" s="153">
        <f t="shared" si="26"/>
        <v>0</v>
      </c>
      <c r="G835" s="153" t="str">
        <f t="shared" si="27"/>
        <v>OK</v>
      </c>
      <c r="H835" s="153" t="b">
        <v>1</v>
      </c>
    </row>
    <row r="836" spans="1:8" x14ac:dyDescent="0.3">
      <c r="A836" s="153" t="s">
        <v>3321</v>
      </c>
      <c r="B836" s="153" t="s">
        <v>2762</v>
      </c>
      <c r="C836" s="153" t="s">
        <v>3322</v>
      </c>
      <c r="D836" s="153">
        <v>0</v>
      </c>
      <c r="E836" s="153">
        <v>0</v>
      </c>
      <c r="F836" s="153">
        <f t="shared" si="26"/>
        <v>0</v>
      </c>
      <c r="G836" s="153" t="str">
        <f t="shared" si="27"/>
        <v>OK</v>
      </c>
      <c r="H836" s="153" t="b">
        <v>1</v>
      </c>
    </row>
    <row r="837" spans="1:8" x14ac:dyDescent="0.3">
      <c r="A837" s="153" t="s">
        <v>3323</v>
      </c>
      <c r="B837" s="153" t="s">
        <v>2762</v>
      </c>
      <c r="C837" s="153" t="s">
        <v>3324</v>
      </c>
      <c r="D837" s="153">
        <v>941027.34070471174</v>
      </c>
      <c r="E837" s="153">
        <v>941027.34070471174</v>
      </c>
      <c r="F837" s="153">
        <f t="shared" si="26"/>
        <v>0</v>
      </c>
      <c r="G837" s="153" t="str">
        <f t="shared" si="27"/>
        <v>OK</v>
      </c>
      <c r="H837" s="153" t="b">
        <v>1</v>
      </c>
    </row>
    <row r="838" spans="1:8" x14ac:dyDescent="0.3">
      <c r="A838" s="153" t="s">
        <v>3325</v>
      </c>
      <c r="B838" s="153" t="s">
        <v>2762</v>
      </c>
      <c r="C838" s="153" t="s">
        <v>3326</v>
      </c>
      <c r="D838" s="153">
        <v>941027.34070471174</v>
      </c>
      <c r="E838" s="153">
        <v>941027.34070471174</v>
      </c>
      <c r="F838" s="153">
        <f t="shared" si="26"/>
        <v>0</v>
      </c>
      <c r="G838" s="153" t="str">
        <f t="shared" si="27"/>
        <v>OK</v>
      </c>
      <c r="H838" s="153" t="b">
        <v>1</v>
      </c>
    </row>
    <row r="839" spans="1:8" x14ac:dyDescent="0.3">
      <c r="A839" s="153" t="s">
        <v>3327</v>
      </c>
      <c r="B839" s="153" t="s">
        <v>2762</v>
      </c>
      <c r="C839" s="153" t="s">
        <v>3328</v>
      </c>
      <c r="D839" s="153">
        <v>0</v>
      </c>
      <c r="E839" s="153">
        <v>0</v>
      </c>
      <c r="F839" s="153">
        <f t="shared" si="26"/>
        <v>0</v>
      </c>
      <c r="G839" s="153" t="str">
        <f t="shared" si="27"/>
        <v>OK</v>
      </c>
      <c r="H839" s="153" t="b">
        <v>1</v>
      </c>
    </row>
    <row r="840" spans="1:8" x14ac:dyDescent="0.3">
      <c r="A840" s="153" t="s">
        <v>3329</v>
      </c>
      <c r="B840" s="153" t="s">
        <v>2762</v>
      </c>
      <c r="C840" s="153" t="s">
        <v>3330</v>
      </c>
      <c r="D840" s="153">
        <v>23</v>
      </c>
      <c r="E840" s="153">
        <v>23</v>
      </c>
      <c r="F840" s="153">
        <f t="shared" si="26"/>
        <v>0</v>
      </c>
      <c r="G840" s="153" t="str">
        <f t="shared" si="27"/>
        <v>OK</v>
      </c>
      <c r="H840" s="153" t="b">
        <v>1</v>
      </c>
    </row>
    <row r="841" spans="1:8" x14ac:dyDescent="0.3">
      <c r="A841" s="153" t="s">
        <v>3331</v>
      </c>
      <c r="B841" s="153" t="s">
        <v>2762</v>
      </c>
      <c r="C841" s="153" t="s">
        <v>3332</v>
      </c>
      <c r="D841" s="153">
        <v>0</v>
      </c>
      <c r="E841" s="153">
        <v>0</v>
      </c>
      <c r="F841" s="153">
        <f t="shared" si="26"/>
        <v>0</v>
      </c>
      <c r="G841" s="153" t="str">
        <f t="shared" si="27"/>
        <v>OK</v>
      </c>
      <c r="H841" s="153" t="b">
        <v>1</v>
      </c>
    </row>
    <row r="842" spans="1:8" x14ac:dyDescent="0.3">
      <c r="A842" s="153" t="s">
        <v>3333</v>
      </c>
      <c r="B842" s="153" t="s">
        <v>2762</v>
      </c>
      <c r="C842" s="153" t="s">
        <v>3334</v>
      </c>
      <c r="D842" s="153">
        <v>3</v>
      </c>
      <c r="E842" s="153">
        <v>3</v>
      </c>
      <c r="F842" s="153">
        <f t="shared" si="26"/>
        <v>0</v>
      </c>
      <c r="G842" s="153" t="str">
        <f t="shared" si="27"/>
        <v>OK</v>
      </c>
      <c r="H842" s="153" t="b">
        <v>1</v>
      </c>
    </row>
    <row r="843" spans="1:8" x14ac:dyDescent="0.3">
      <c r="A843" s="153" t="s">
        <v>3335</v>
      </c>
      <c r="B843" s="153" t="s">
        <v>2762</v>
      </c>
      <c r="C843" s="153" t="s">
        <v>3336</v>
      </c>
      <c r="D843" s="153">
        <v>0</v>
      </c>
      <c r="E843" s="153">
        <v>0</v>
      </c>
      <c r="F843" s="153">
        <f t="shared" si="26"/>
        <v>0</v>
      </c>
      <c r="G843" s="153" t="str">
        <f t="shared" si="27"/>
        <v>OK</v>
      </c>
      <c r="H843" s="153" t="b">
        <v>1</v>
      </c>
    </row>
    <row r="844" spans="1:8" x14ac:dyDescent="0.3">
      <c r="A844" s="153" t="s">
        <v>3337</v>
      </c>
      <c r="B844" s="153" t="s">
        <v>2762</v>
      </c>
      <c r="C844" s="153" t="s">
        <v>3338</v>
      </c>
      <c r="D844" s="153">
        <v>0</v>
      </c>
      <c r="E844" s="153">
        <v>0</v>
      </c>
      <c r="F844" s="153">
        <f t="shared" si="26"/>
        <v>0</v>
      </c>
      <c r="G844" s="153" t="str">
        <f t="shared" si="27"/>
        <v>OK</v>
      </c>
      <c r="H844" s="153" t="b">
        <v>1</v>
      </c>
    </row>
    <row r="845" spans="1:8" x14ac:dyDescent="0.3">
      <c r="A845" s="153" t="s">
        <v>3339</v>
      </c>
      <c r="B845" s="153" t="s">
        <v>2762</v>
      </c>
      <c r="C845" s="153" t="s">
        <v>3340</v>
      </c>
      <c r="D845" s="153">
        <v>90</v>
      </c>
      <c r="E845" s="153">
        <v>90</v>
      </c>
      <c r="F845" s="153">
        <f t="shared" si="26"/>
        <v>0</v>
      </c>
      <c r="G845" s="153" t="str">
        <f t="shared" si="27"/>
        <v>OK</v>
      </c>
      <c r="H845" s="153" t="b">
        <v>1</v>
      </c>
    </row>
    <row r="846" spans="1:8" x14ac:dyDescent="0.3">
      <c r="A846" s="153" t="s">
        <v>3341</v>
      </c>
      <c r="B846" s="153" t="s">
        <v>2762</v>
      </c>
      <c r="C846" s="153" t="s">
        <v>3342</v>
      </c>
      <c r="D846" s="153">
        <v>90</v>
      </c>
      <c r="E846" s="153">
        <v>90</v>
      </c>
      <c r="F846" s="153">
        <f t="shared" si="26"/>
        <v>0</v>
      </c>
      <c r="G846" s="153" t="str">
        <f t="shared" si="27"/>
        <v>OK</v>
      </c>
      <c r="H846" s="153" t="b">
        <v>1</v>
      </c>
    </row>
    <row r="847" spans="1:8" x14ac:dyDescent="0.3">
      <c r="A847" s="153" t="s">
        <v>3343</v>
      </c>
      <c r="B847" s="153" t="s">
        <v>2762</v>
      </c>
      <c r="C847" s="153" t="s">
        <v>3344</v>
      </c>
      <c r="D847" s="153">
        <v>29525.396291803281</v>
      </c>
      <c r="E847" s="153">
        <v>29525.396291803281</v>
      </c>
      <c r="F847" s="153">
        <f t="shared" si="26"/>
        <v>0</v>
      </c>
      <c r="G847" s="153" t="str">
        <f t="shared" si="27"/>
        <v>OK</v>
      </c>
      <c r="H847" s="153" t="b">
        <v>1</v>
      </c>
    </row>
    <row r="848" spans="1:8" x14ac:dyDescent="0.3">
      <c r="A848" s="153" t="s">
        <v>3345</v>
      </c>
      <c r="B848" s="153" t="s">
        <v>2762</v>
      </c>
      <c r="C848" s="153" t="s">
        <v>3346</v>
      </c>
      <c r="D848" s="153">
        <v>-29435.396291803281</v>
      </c>
      <c r="E848" s="153">
        <v>-29435.396291803281</v>
      </c>
      <c r="F848" s="153">
        <f t="shared" si="26"/>
        <v>0</v>
      </c>
      <c r="G848" s="153" t="str">
        <f t="shared" si="27"/>
        <v>OK</v>
      </c>
      <c r="H848" s="153" t="b">
        <v>1</v>
      </c>
    </row>
    <row r="849" spans="1:8" x14ac:dyDescent="0.3">
      <c r="A849" s="153" t="s">
        <v>3347</v>
      </c>
      <c r="B849" s="153" t="s">
        <v>2762</v>
      </c>
      <c r="C849" s="153" t="s">
        <v>3348</v>
      </c>
      <c r="D849" s="153">
        <v>64.125</v>
      </c>
      <c r="E849" s="153">
        <v>64.125</v>
      </c>
      <c r="F849" s="153">
        <f t="shared" si="26"/>
        <v>0</v>
      </c>
      <c r="G849" s="153" t="str">
        <f t="shared" si="27"/>
        <v>OK</v>
      </c>
      <c r="H849" s="153" t="b">
        <v>1</v>
      </c>
    </row>
    <row r="850" spans="1:8" x14ac:dyDescent="0.3">
      <c r="A850" s="153" t="s">
        <v>3349</v>
      </c>
      <c r="B850" s="153" t="s">
        <v>2762</v>
      </c>
      <c r="C850" s="153" t="s">
        <v>3350</v>
      </c>
      <c r="D850" s="153">
        <v>0</v>
      </c>
      <c r="E850" s="153">
        <v>0</v>
      </c>
      <c r="F850" s="153">
        <f t="shared" si="26"/>
        <v>0</v>
      </c>
      <c r="G850" s="153" t="str">
        <f t="shared" si="27"/>
        <v>OK</v>
      </c>
      <c r="H850" s="153" t="b">
        <v>1</v>
      </c>
    </row>
    <row r="851" spans="1:8" x14ac:dyDescent="0.3">
      <c r="A851" s="153" t="s">
        <v>3351</v>
      </c>
      <c r="B851" s="153" t="s">
        <v>2762</v>
      </c>
      <c r="C851" s="153" t="s">
        <v>3352</v>
      </c>
      <c r="D851" s="153">
        <v>29525.396291803281</v>
      </c>
      <c r="E851" s="153">
        <v>29525.396291803281</v>
      </c>
      <c r="F851" s="153">
        <f t="shared" si="26"/>
        <v>0</v>
      </c>
      <c r="G851" s="153" t="str">
        <f t="shared" si="27"/>
        <v>OK</v>
      </c>
      <c r="H851" s="153" t="b">
        <v>1</v>
      </c>
    </row>
    <row r="852" spans="1:8" x14ac:dyDescent="0.3">
      <c r="A852" s="153" t="s">
        <v>3353</v>
      </c>
      <c r="B852" s="153" t="s">
        <v>2762</v>
      </c>
      <c r="C852" s="153" t="s">
        <v>3354</v>
      </c>
      <c r="D852" s="153">
        <v>944592.83950819669</v>
      </c>
      <c r="E852" s="153">
        <v>944592.83950819669</v>
      </c>
      <c r="F852" s="153">
        <f t="shared" si="26"/>
        <v>0</v>
      </c>
      <c r="G852" s="153" t="str">
        <f t="shared" si="27"/>
        <v>OK</v>
      </c>
      <c r="H852" s="153" t="b">
        <v>1</v>
      </c>
    </row>
    <row r="853" spans="1:8" x14ac:dyDescent="0.3">
      <c r="A853" s="153" t="s">
        <v>3355</v>
      </c>
      <c r="B853" s="153" t="s">
        <v>2762</v>
      </c>
      <c r="C853" s="153" t="s">
        <v>3356</v>
      </c>
      <c r="D853" s="153">
        <v>90</v>
      </c>
      <c r="E853" s="153">
        <v>90</v>
      </c>
      <c r="F853" s="153">
        <f t="shared" si="26"/>
        <v>0</v>
      </c>
      <c r="G853" s="153" t="str">
        <f t="shared" si="27"/>
        <v>OK</v>
      </c>
      <c r="H853" s="153" t="b">
        <v>1</v>
      </c>
    </row>
    <row r="854" spans="1:8" x14ac:dyDescent="0.3">
      <c r="A854" s="153" t="s">
        <v>3357</v>
      </c>
      <c r="B854" s="153" t="s">
        <v>2762</v>
      </c>
      <c r="C854" s="153" t="s">
        <v>3358</v>
      </c>
      <c r="D854" s="153">
        <v>47874.160491803283</v>
      </c>
      <c r="E854" s="153">
        <v>47874.160491803283</v>
      </c>
      <c r="F854" s="153">
        <f t="shared" si="26"/>
        <v>0</v>
      </c>
      <c r="G854" s="153" t="str">
        <f t="shared" si="27"/>
        <v>OK</v>
      </c>
      <c r="H854" s="153" t="b">
        <v>1</v>
      </c>
    </row>
    <row r="855" spans="1:8" x14ac:dyDescent="0.3">
      <c r="A855" s="153" t="s">
        <v>3359</v>
      </c>
      <c r="B855" s="153" t="s">
        <v>2762</v>
      </c>
      <c r="C855" s="153" t="s">
        <v>3360</v>
      </c>
      <c r="D855" s="153">
        <v>896808.67901639338</v>
      </c>
      <c r="E855" s="153">
        <v>896808.67901639338</v>
      </c>
      <c r="F855" s="153">
        <f t="shared" si="26"/>
        <v>0</v>
      </c>
      <c r="G855" s="153" t="str">
        <f t="shared" si="27"/>
        <v>OK</v>
      </c>
      <c r="H855" s="153" t="b">
        <v>1</v>
      </c>
    </row>
    <row r="856" spans="1:8" x14ac:dyDescent="0.3">
      <c r="A856" s="153" t="s">
        <v>3361</v>
      </c>
      <c r="B856" s="153" t="s">
        <v>2762</v>
      </c>
      <c r="C856" s="153" t="s">
        <v>3362</v>
      </c>
      <c r="D856" s="153">
        <v>944592.83950819669</v>
      </c>
      <c r="E856" s="153">
        <v>944592.83950819669</v>
      </c>
      <c r="F856" s="153">
        <f t="shared" si="26"/>
        <v>0</v>
      </c>
      <c r="G856" s="153" t="str">
        <f t="shared" si="27"/>
        <v>OK</v>
      </c>
      <c r="H856" s="153" t="b">
        <v>1</v>
      </c>
    </row>
    <row r="857" spans="1:8" x14ac:dyDescent="0.3">
      <c r="A857" s="153" t="s">
        <v>3363</v>
      </c>
      <c r="B857" s="153" t="s">
        <v>2762</v>
      </c>
      <c r="C857" s="153" t="s">
        <v>3364</v>
      </c>
      <c r="D857" s="153">
        <v>90</v>
      </c>
      <c r="E857" s="153">
        <v>90</v>
      </c>
      <c r="F857" s="153">
        <f t="shared" si="26"/>
        <v>0</v>
      </c>
      <c r="G857" s="153" t="str">
        <f t="shared" si="27"/>
        <v>OK</v>
      </c>
      <c r="H857" s="153" t="b">
        <v>1</v>
      </c>
    </row>
    <row r="858" spans="1:8" x14ac:dyDescent="0.3">
      <c r="A858" s="153" t="s">
        <v>3365</v>
      </c>
      <c r="B858" s="153" t="s">
        <v>2762</v>
      </c>
      <c r="C858" s="153" t="s">
        <v>3366</v>
      </c>
      <c r="D858" s="153">
        <v>47874.160491803283</v>
      </c>
      <c r="E858" s="153">
        <v>47874.160491803283</v>
      </c>
      <c r="F858" s="153">
        <f t="shared" si="26"/>
        <v>0</v>
      </c>
      <c r="G858" s="153" t="str">
        <f t="shared" si="27"/>
        <v>OK</v>
      </c>
      <c r="H858" s="153" t="b">
        <v>1</v>
      </c>
    </row>
    <row r="859" spans="1:8" x14ac:dyDescent="0.3">
      <c r="A859" s="153" t="s">
        <v>3367</v>
      </c>
      <c r="B859" s="153" t="s">
        <v>2762</v>
      </c>
      <c r="C859" s="153" t="s">
        <v>3368</v>
      </c>
      <c r="D859" s="153">
        <v>0</v>
      </c>
      <c r="E859" s="153">
        <v>0</v>
      </c>
      <c r="F859" s="153">
        <f t="shared" si="26"/>
        <v>0</v>
      </c>
      <c r="G859" s="153" t="str">
        <f t="shared" si="27"/>
        <v>OK</v>
      </c>
      <c r="H859" s="153" t="b">
        <v>1</v>
      </c>
    </row>
    <row r="860" spans="1:8" x14ac:dyDescent="0.3">
      <c r="A860" s="153" t="s">
        <v>3369</v>
      </c>
      <c r="B860" s="153" t="s">
        <v>2762</v>
      </c>
      <c r="C860" s="153" t="s">
        <v>3370</v>
      </c>
      <c r="D860" s="153">
        <v>0</v>
      </c>
      <c r="E860" s="153">
        <v>0</v>
      </c>
      <c r="F860" s="153">
        <f t="shared" si="26"/>
        <v>0</v>
      </c>
      <c r="G860" s="153" t="str">
        <f t="shared" si="27"/>
        <v>OK</v>
      </c>
      <c r="H860" s="153" t="b">
        <v>1</v>
      </c>
    </row>
    <row r="861" spans="1:8" x14ac:dyDescent="0.3">
      <c r="A861" s="153" t="s">
        <v>3371</v>
      </c>
      <c r="B861" s="153" t="s">
        <v>2762</v>
      </c>
      <c r="C861" s="153" t="s">
        <v>3372</v>
      </c>
      <c r="D861" s="153">
        <v>-47784.160491803283</v>
      </c>
      <c r="E861" s="153">
        <v>-47784.160491803283</v>
      </c>
      <c r="F861" s="153">
        <f t="shared" si="26"/>
        <v>0</v>
      </c>
      <c r="G861" s="153" t="str">
        <f t="shared" si="27"/>
        <v>OK</v>
      </c>
      <c r="H861" s="153" t="b">
        <v>1</v>
      </c>
    </row>
    <row r="862" spans="1:8" x14ac:dyDescent="0.3">
      <c r="A862" s="153" t="s">
        <v>3373</v>
      </c>
      <c r="B862" s="153" t="s">
        <v>2762</v>
      </c>
      <c r="C862" s="153" t="s">
        <v>3374</v>
      </c>
      <c r="D862" s="153">
        <v>0</v>
      </c>
      <c r="E862" s="153">
        <v>0</v>
      </c>
      <c r="F862" s="153">
        <f t="shared" si="26"/>
        <v>0</v>
      </c>
      <c r="G862" s="153" t="str">
        <f t="shared" si="27"/>
        <v>OK</v>
      </c>
      <c r="H862" s="153" t="b">
        <v>1</v>
      </c>
    </row>
    <row r="863" spans="1:8" x14ac:dyDescent="0.3">
      <c r="A863" s="153" t="s">
        <v>3375</v>
      </c>
      <c r="B863" s="153" t="s">
        <v>2762</v>
      </c>
      <c r="C863" s="153" t="s">
        <v>3376</v>
      </c>
      <c r="D863" s="153">
        <v>-47784.160491803312</v>
      </c>
      <c r="E863" s="153">
        <v>-47784.160491803312</v>
      </c>
      <c r="F863" s="153">
        <f t="shared" si="26"/>
        <v>0</v>
      </c>
      <c r="G863" s="153" t="str">
        <f t="shared" si="27"/>
        <v>OK</v>
      </c>
      <c r="H863" s="153" t="b">
        <v>1</v>
      </c>
    </row>
    <row r="864" spans="1:8" x14ac:dyDescent="0.3">
      <c r="A864" s="153" t="s">
        <v>3377</v>
      </c>
      <c r="B864" s="153" t="s">
        <v>2762</v>
      </c>
      <c r="C864" s="153" t="s">
        <v>3378</v>
      </c>
      <c r="D864" s="153">
        <v>896808.67901639338</v>
      </c>
      <c r="E864" s="153">
        <v>896808.67901639338</v>
      </c>
      <c r="F864" s="153">
        <f t="shared" si="26"/>
        <v>0</v>
      </c>
      <c r="G864" s="153" t="str">
        <f t="shared" si="27"/>
        <v>OK</v>
      </c>
      <c r="H864" s="153" t="b">
        <v>1</v>
      </c>
    </row>
    <row r="865" spans="1:8" x14ac:dyDescent="0.3">
      <c r="A865" s="153" t="s">
        <v>3379</v>
      </c>
      <c r="B865" s="153" t="s">
        <v>2762</v>
      </c>
      <c r="C865" s="153" t="s">
        <v>3380</v>
      </c>
      <c r="D865" s="153">
        <v>896808.67901639338</v>
      </c>
      <c r="E865" s="153">
        <v>896808.67901639338</v>
      </c>
      <c r="F865" s="153">
        <f t="shared" si="26"/>
        <v>0</v>
      </c>
      <c r="G865" s="153" t="str">
        <f t="shared" si="27"/>
        <v>OK</v>
      </c>
      <c r="H865" s="153" t="b">
        <v>1</v>
      </c>
    </row>
    <row r="866" spans="1:8" x14ac:dyDescent="0.3">
      <c r="A866" s="153" t="s">
        <v>3381</v>
      </c>
      <c r="B866" s="153" t="s">
        <v>2762</v>
      </c>
      <c r="C866" s="153" t="s">
        <v>3382</v>
      </c>
      <c r="D866" s="153">
        <v>7371.75</v>
      </c>
      <c r="E866" s="153">
        <v>7371.75</v>
      </c>
      <c r="F866" s="153">
        <f t="shared" si="26"/>
        <v>0</v>
      </c>
      <c r="G866" s="153" t="str">
        <f t="shared" si="27"/>
        <v>OK</v>
      </c>
      <c r="H866" s="153" t="b">
        <v>1</v>
      </c>
    </row>
    <row r="867" spans="1:8" x14ac:dyDescent="0.3">
      <c r="A867" s="153" t="s">
        <v>3383</v>
      </c>
      <c r="B867" s="153" t="s">
        <v>2762</v>
      </c>
      <c r="C867" s="153" t="s">
        <v>3384</v>
      </c>
      <c r="D867" s="153">
        <v>36825.778400000003</v>
      </c>
      <c r="E867" s="153">
        <v>36825.778400000003</v>
      </c>
      <c r="F867" s="153">
        <f t="shared" si="26"/>
        <v>0</v>
      </c>
      <c r="G867" s="153" t="str">
        <f t="shared" si="27"/>
        <v>OK</v>
      </c>
      <c r="H867" s="153" t="b">
        <v>1</v>
      </c>
    </row>
    <row r="868" spans="1:8" x14ac:dyDescent="0.3">
      <c r="A868" s="153" t="s">
        <v>3385</v>
      </c>
      <c r="B868" s="153" t="s">
        <v>2762</v>
      </c>
      <c r="C868" s="153" t="s">
        <v>3386</v>
      </c>
      <c r="D868" s="153">
        <v>941006.20741639333</v>
      </c>
      <c r="E868" s="153">
        <v>941006.20741639333</v>
      </c>
      <c r="F868" s="153">
        <f t="shared" si="26"/>
        <v>0</v>
      </c>
      <c r="G868" s="153" t="str">
        <f t="shared" si="27"/>
        <v>OK</v>
      </c>
      <c r="H868" s="153" t="b">
        <v>1</v>
      </c>
    </row>
    <row r="869" spans="1:8" x14ac:dyDescent="0.3">
      <c r="A869" s="153" t="s">
        <v>3387</v>
      </c>
      <c r="B869" s="153" t="s">
        <v>2762</v>
      </c>
      <c r="C869" s="153" t="s">
        <v>3388</v>
      </c>
      <c r="D869" s="153">
        <v>0</v>
      </c>
      <c r="E869" s="153">
        <v>0</v>
      </c>
      <c r="F869" s="153">
        <f t="shared" si="26"/>
        <v>0</v>
      </c>
      <c r="G869" s="153" t="str">
        <f t="shared" si="27"/>
        <v>OK</v>
      </c>
      <c r="H869" s="153" t="b">
        <v>1</v>
      </c>
    </row>
    <row r="870" spans="1:8" x14ac:dyDescent="0.3">
      <c r="A870" s="153" t="s">
        <v>3389</v>
      </c>
      <c r="B870" s="153" t="s">
        <v>2762</v>
      </c>
      <c r="C870" s="153" t="s">
        <v>3390</v>
      </c>
      <c r="D870" s="153">
        <v>941006.20741639333</v>
      </c>
      <c r="E870" s="153">
        <v>941006.20741639333</v>
      </c>
      <c r="F870" s="153">
        <f t="shared" si="26"/>
        <v>0</v>
      </c>
      <c r="G870" s="153" t="str">
        <f t="shared" si="27"/>
        <v>OK</v>
      </c>
      <c r="H870" s="153" t="b">
        <v>1</v>
      </c>
    </row>
    <row r="871" spans="1:8" x14ac:dyDescent="0.3">
      <c r="A871" s="153" t="s">
        <v>3391</v>
      </c>
      <c r="B871" s="153" t="s">
        <v>2762</v>
      </c>
      <c r="C871" s="153" t="s">
        <v>3392</v>
      </c>
      <c r="D871" s="153">
        <v>941006.20741639333</v>
      </c>
      <c r="E871" s="153">
        <v>941006.20741639333</v>
      </c>
      <c r="F871" s="153">
        <f t="shared" si="26"/>
        <v>0</v>
      </c>
      <c r="G871" s="153" t="str">
        <f t="shared" si="27"/>
        <v>OK</v>
      </c>
      <c r="H871" s="153" t="b">
        <v>1</v>
      </c>
    </row>
    <row r="872" spans="1:8" x14ac:dyDescent="0.3">
      <c r="A872" s="153" t="s">
        <v>3393</v>
      </c>
      <c r="B872" s="153" t="s">
        <v>2762</v>
      </c>
      <c r="C872" s="153" t="s">
        <v>3394</v>
      </c>
      <c r="D872" s="153">
        <v>0</v>
      </c>
      <c r="E872" s="153">
        <v>0</v>
      </c>
      <c r="F872" s="153">
        <f t="shared" si="26"/>
        <v>0</v>
      </c>
      <c r="G872" s="153" t="str">
        <f t="shared" si="27"/>
        <v>OK</v>
      </c>
      <c r="H872" s="153" t="b">
        <v>1</v>
      </c>
    </row>
    <row r="873" spans="1:8" x14ac:dyDescent="0.3">
      <c r="A873" s="153" t="s">
        <v>3395</v>
      </c>
      <c r="B873" s="153" t="s">
        <v>2762</v>
      </c>
      <c r="C873" s="153" t="s">
        <v>3396</v>
      </c>
      <c r="D873" s="153">
        <v>23</v>
      </c>
      <c r="E873" s="153">
        <v>23</v>
      </c>
      <c r="F873" s="153">
        <f t="shared" si="26"/>
        <v>0</v>
      </c>
      <c r="G873" s="153" t="str">
        <f t="shared" si="27"/>
        <v>OK</v>
      </c>
      <c r="H873" s="153" t="b">
        <v>1</v>
      </c>
    </row>
    <row r="874" spans="1:8" x14ac:dyDescent="0.3">
      <c r="A874" s="153" t="s">
        <v>3397</v>
      </c>
      <c r="B874" s="153" t="s">
        <v>2762</v>
      </c>
      <c r="C874" s="153" t="s">
        <v>3398</v>
      </c>
      <c r="D874" s="153">
        <v>0</v>
      </c>
      <c r="E874" s="153">
        <v>0</v>
      </c>
      <c r="F874" s="153">
        <f t="shared" si="26"/>
        <v>0</v>
      </c>
      <c r="G874" s="153" t="str">
        <f t="shared" si="27"/>
        <v>OK</v>
      </c>
      <c r="H874" s="153" t="b">
        <v>1</v>
      </c>
    </row>
    <row r="875" spans="1:8" x14ac:dyDescent="0.3">
      <c r="A875" s="153" t="s">
        <v>3399</v>
      </c>
      <c r="B875" s="153" t="s">
        <v>2762</v>
      </c>
      <c r="C875" s="153" t="s">
        <v>3400</v>
      </c>
      <c r="D875" s="153">
        <v>3</v>
      </c>
      <c r="E875" s="153">
        <v>3</v>
      </c>
      <c r="F875" s="153">
        <f t="shared" si="26"/>
        <v>0</v>
      </c>
      <c r="G875" s="153" t="str">
        <f t="shared" si="27"/>
        <v>OK</v>
      </c>
      <c r="H875" s="153" t="b">
        <v>1</v>
      </c>
    </row>
    <row r="876" spans="1:8" x14ac:dyDescent="0.3">
      <c r="A876" s="153" t="s">
        <v>3401</v>
      </c>
      <c r="B876" s="153" t="s">
        <v>2762</v>
      </c>
      <c r="C876" s="153" t="s">
        <v>3402</v>
      </c>
      <c r="D876" s="153">
        <v>0</v>
      </c>
      <c r="E876" s="153">
        <v>0</v>
      </c>
      <c r="F876" s="153">
        <f t="shared" si="26"/>
        <v>0</v>
      </c>
      <c r="G876" s="153" t="str">
        <f t="shared" si="27"/>
        <v>OK</v>
      </c>
      <c r="H876" s="153" t="b">
        <v>1</v>
      </c>
    </row>
    <row r="877" spans="1:8" x14ac:dyDescent="0.3">
      <c r="A877" s="153" t="s">
        <v>3403</v>
      </c>
      <c r="B877" s="153" t="s">
        <v>2762</v>
      </c>
      <c r="C877" s="153" t="s">
        <v>3404</v>
      </c>
      <c r="D877" s="153">
        <v>0</v>
      </c>
      <c r="E877" s="153">
        <v>0</v>
      </c>
      <c r="F877" s="153">
        <f t="shared" si="26"/>
        <v>0</v>
      </c>
      <c r="G877" s="153" t="str">
        <f t="shared" si="27"/>
        <v>OK</v>
      </c>
      <c r="H877" s="153" t="b">
        <v>1</v>
      </c>
    </row>
    <row r="878" spans="1:8" x14ac:dyDescent="0.3">
      <c r="A878" s="153" t="s">
        <v>2630</v>
      </c>
      <c r="B878" s="153" t="s">
        <v>2762</v>
      </c>
      <c r="C878" s="153" t="s">
        <v>3405</v>
      </c>
      <c r="D878" s="153">
        <v>1520</v>
      </c>
      <c r="E878" s="153">
        <v>1520</v>
      </c>
      <c r="F878" s="153">
        <f t="shared" si="26"/>
        <v>0</v>
      </c>
      <c r="G878" s="153" t="str">
        <f t="shared" si="27"/>
        <v>OK</v>
      </c>
      <c r="H878" s="153" t="b">
        <v>1</v>
      </c>
    </row>
    <row r="879" spans="1:8" x14ac:dyDescent="0.3">
      <c r="A879" s="153" t="s">
        <v>2632</v>
      </c>
      <c r="B879" s="153" t="s">
        <v>2762</v>
      </c>
      <c r="C879" s="153" t="s">
        <v>3406</v>
      </c>
      <c r="D879" s="153">
        <v>1520</v>
      </c>
      <c r="E879" s="153">
        <v>1520</v>
      </c>
      <c r="F879" s="153">
        <f t="shared" si="26"/>
        <v>0</v>
      </c>
      <c r="G879" s="153" t="str">
        <f t="shared" si="27"/>
        <v>OK</v>
      </c>
      <c r="H879" s="153" t="b">
        <v>1</v>
      </c>
    </row>
    <row r="880" spans="1:8" x14ac:dyDescent="0.3">
      <c r="A880" s="153" t="s">
        <v>2634</v>
      </c>
      <c r="B880" s="153" t="s">
        <v>2762</v>
      </c>
      <c r="C880" s="153" t="s">
        <v>3407</v>
      </c>
      <c r="D880" s="153">
        <v>17611.788720955748</v>
      </c>
      <c r="E880" s="153">
        <v>17611.788720955748</v>
      </c>
      <c r="F880" s="153">
        <f t="shared" si="26"/>
        <v>0</v>
      </c>
      <c r="G880" s="153" t="str">
        <f t="shared" si="27"/>
        <v>OK</v>
      </c>
      <c r="H880" s="153" t="b">
        <v>1</v>
      </c>
    </row>
    <row r="881" spans="1:8" x14ac:dyDescent="0.3">
      <c r="A881" s="153" t="s">
        <v>2636</v>
      </c>
      <c r="B881" s="153" t="s">
        <v>2762</v>
      </c>
      <c r="C881" s="153" t="s">
        <v>3408</v>
      </c>
      <c r="D881" s="153">
        <v>-16091.78872095575</v>
      </c>
      <c r="E881" s="153">
        <v>-16091.78872095575</v>
      </c>
      <c r="F881" s="153">
        <f t="shared" si="26"/>
        <v>0</v>
      </c>
      <c r="G881" s="153" t="str">
        <f t="shared" si="27"/>
        <v>OK</v>
      </c>
      <c r="H881" s="153" t="b">
        <v>1</v>
      </c>
    </row>
    <row r="882" spans="1:8" x14ac:dyDescent="0.3">
      <c r="A882" s="153" t="s">
        <v>2638</v>
      </c>
      <c r="B882" s="153" t="s">
        <v>2762</v>
      </c>
      <c r="C882" s="153" t="s">
        <v>3409</v>
      </c>
      <c r="D882" s="153">
        <v>64.125</v>
      </c>
      <c r="E882" s="153">
        <v>64.125</v>
      </c>
      <c r="F882" s="153">
        <f t="shared" si="26"/>
        <v>0</v>
      </c>
      <c r="G882" s="153" t="str">
        <f t="shared" si="27"/>
        <v>OK</v>
      </c>
      <c r="H882" s="153" t="b">
        <v>1</v>
      </c>
    </row>
    <row r="883" spans="1:8" x14ac:dyDescent="0.3">
      <c r="A883" s="153" t="s">
        <v>2640</v>
      </c>
      <c r="B883" s="153" t="s">
        <v>2762</v>
      </c>
      <c r="C883" s="153" t="s">
        <v>3410</v>
      </c>
      <c r="D883" s="153">
        <v>0</v>
      </c>
      <c r="E883" s="153">
        <v>0</v>
      </c>
      <c r="F883" s="153">
        <f t="shared" si="26"/>
        <v>0</v>
      </c>
      <c r="G883" s="153" t="str">
        <f t="shared" si="27"/>
        <v>OK</v>
      </c>
      <c r="H883" s="153" t="b">
        <v>1</v>
      </c>
    </row>
    <row r="884" spans="1:8" x14ac:dyDescent="0.3">
      <c r="A884" s="153" t="s">
        <v>2642</v>
      </c>
      <c r="B884" s="153" t="s">
        <v>2762</v>
      </c>
      <c r="C884" s="153" t="s">
        <v>3411</v>
      </c>
      <c r="D884" s="153">
        <v>17611.788720955748</v>
      </c>
      <c r="E884" s="153">
        <v>17611.788720955748</v>
      </c>
      <c r="F884" s="153">
        <f t="shared" si="26"/>
        <v>0</v>
      </c>
      <c r="G884" s="153" t="str">
        <f t="shared" si="27"/>
        <v>OK</v>
      </c>
      <c r="H884" s="153" t="b">
        <v>1</v>
      </c>
    </row>
    <row r="885" spans="1:8" x14ac:dyDescent="0.3">
      <c r="A885" s="153" t="s">
        <v>2644</v>
      </c>
      <c r="B885" s="153" t="s">
        <v>2762</v>
      </c>
      <c r="C885" s="153" t="s">
        <v>3412</v>
      </c>
      <c r="D885" s="153">
        <v>924072.47423008853</v>
      </c>
      <c r="E885" s="153">
        <v>924072.47423008853</v>
      </c>
      <c r="F885" s="153">
        <f t="shared" si="26"/>
        <v>0</v>
      </c>
      <c r="G885" s="153" t="str">
        <f t="shared" si="27"/>
        <v>OK</v>
      </c>
      <c r="H885" s="153" t="b">
        <v>1</v>
      </c>
    </row>
    <row r="886" spans="1:8" x14ac:dyDescent="0.3">
      <c r="A886" s="153" t="s">
        <v>2646</v>
      </c>
      <c r="B886" s="153" t="s">
        <v>2762</v>
      </c>
      <c r="C886" s="153" t="s">
        <v>3413</v>
      </c>
      <c r="D886" s="153">
        <v>1520</v>
      </c>
      <c r="E886" s="153">
        <v>1520</v>
      </c>
      <c r="F886" s="153">
        <f t="shared" si="26"/>
        <v>0</v>
      </c>
      <c r="G886" s="153" t="str">
        <f t="shared" si="27"/>
        <v>OK</v>
      </c>
      <c r="H886" s="153" t="b">
        <v>1</v>
      </c>
    </row>
    <row r="887" spans="1:8" x14ac:dyDescent="0.3">
      <c r="A887" s="153" t="s">
        <v>2648</v>
      </c>
      <c r="B887" s="153" t="s">
        <v>2762</v>
      </c>
      <c r="C887" s="153" t="s">
        <v>3414</v>
      </c>
      <c r="D887" s="153">
        <v>35777.262884955751</v>
      </c>
      <c r="E887" s="153">
        <v>35777.262884955751</v>
      </c>
      <c r="F887" s="153">
        <f t="shared" si="26"/>
        <v>0</v>
      </c>
      <c r="G887" s="153" t="str">
        <f t="shared" si="27"/>
        <v>OK</v>
      </c>
      <c r="H887" s="153" t="b">
        <v>1</v>
      </c>
    </row>
    <row r="888" spans="1:8" x14ac:dyDescent="0.3">
      <c r="A888" s="153" t="s">
        <v>2650</v>
      </c>
      <c r="B888" s="153" t="s">
        <v>2762</v>
      </c>
      <c r="C888" s="153" t="s">
        <v>3415</v>
      </c>
      <c r="D888" s="153">
        <v>889815.21134513279</v>
      </c>
      <c r="E888" s="153">
        <v>889815.21134513279</v>
      </c>
      <c r="F888" s="153">
        <f t="shared" si="26"/>
        <v>0</v>
      </c>
      <c r="G888" s="153" t="str">
        <f t="shared" si="27"/>
        <v>OK</v>
      </c>
      <c r="H888" s="153" t="b">
        <v>1</v>
      </c>
    </row>
    <row r="889" spans="1:8" x14ac:dyDescent="0.3">
      <c r="A889" s="153" t="s">
        <v>2652</v>
      </c>
      <c r="B889" s="153" t="s">
        <v>2762</v>
      </c>
      <c r="C889" s="153" t="s">
        <v>3416</v>
      </c>
      <c r="D889" s="153">
        <v>924072.47423008853</v>
      </c>
      <c r="E889" s="153">
        <v>924072.47423008853</v>
      </c>
      <c r="F889" s="153">
        <f t="shared" si="26"/>
        <v>0</v>
      </c>
      <c r="G889" s="153" t="str">
        <f t="shared" si="27"/>
        <v>OK</v>
      </c>
      <c r="H889" s="153" t="b">
        <v>1</v>
      </c>
    </row>
    <row r="890" spans="1:8" x14ac:dyDescent="0.3">
      <c r="A890" s="153" t="s">
        <v>2654</v>
      </c>
      <c r="B890" s="153" t="s">
        <v>2762</v>
      </c>
      <c r="C890" s="153" t="s">
        <v>3417</v>
      </c>
      <c r="D890" s="153">
        <v>1520</v>
      </c>
      <c r="E890" s="153">
        <v>1520</v>
      </c>
      <c r="F890" s="153">
        <f t="shared" si="26"/>
        <v>0</v>
      </c>
      <c r="G890" s="153" t="str">
        <f t="shared" si="27"/>
        <v>OK</v>
      </c>
      <c r="H890" s="153" t="b">
        <v>1</v>
      </c>
    </row>
    <row r="891" spans="1:8" x14ac:dyDescent="0.3">
      <c r="A891" s="153" t="s">
        <v>2656</v>
      </c>
      <c r="B891" s="153" t="s">
        <v>2762</v>
      </c>
      <c r="C891" s="153" t="s">
        <v>3418</v>
      </c>
      <c r="D891" s="153">
        <v>35777.262884955751</v>
      </c>
      <c r="E891" s="153">
        <v>35777.262884955751</v>
      </c>
      <c r="F891" s="153">
        <f t="shared" si="26"/>
        <v>0</v>
      </c>
      <c r="G891" s="153" t="str">
        <f t="shared" si="27"/>
        <v>OK</v>
      </c>
      <c r="H891" s="153" t="b">
        <v>1</v>
      </c>
    </row>
    <row r="892" spans="1:8" x14ac:dyDescent="0.3">
      <c r="A892" s="153" t="s">
        <v>2658</v>
      </c>
      <c r="B892" s="153" t="s">
        <v>2762</v>
      </c>
      <c r="C892" s="153" t="s">
        <v>3419</v>
      </c>
      <c r="D892" s="153">
        <v>0</v>
      </c>
      <c r="E892" s="153">
        <v>0</v>
      </c>
      <c r="F892" s="153">
        <f t="shared" si="26"/>
        <v>0</v>
      </c>
      <c r="G892" s="153" t="str">
        <f t="shared" si="27"/>
        <v>OK</v>
      </c>
      <c r="H892" s="153" t="b">
        <v>1</v>
      </c>
    </row>
    <row r="893" spans="1:8" x14ac:dyDescent="0.3">
      <c r="A893" s="153" t="s">
        <v>2660</v>
      </c>
      <c r="B893" s="153" t="s">
        <v>2762</v>
      </c>
      <c r="C893" s="153" t="s">
        <v>3420</v>
      </c>
      <c r="D893" s="153">
        <v>0</v>
      </c>
      <c r="E893" s="153">
        <v>0</v>
      </c>
      <c r="F893" s="153">
        <f t="shared" si="26"/>
        <v>0</v>
      </c>
      <c r="G893" s="153" t="str">
        <f t="shared" si="27"/>
        <v>OK</v>
      </c>
      <c r="H893" s="153" t="b">
        <v>1</v>
      </c>
    </row>
    <row r="894" spans="1:8" x14ac:dyDescent="0.3">
      <c r="A894" s="153" t="s">
        <v>2662</v>
      </c>
      <c r="B894" s="153" t="s">
        <v>2762</v>
      </c>
      <c r="C894" s="153" t="s">
        <v>3421</v>
      </c>
      <c r="D894" s="153">
        <v>-34257.262884955751</v>
      </c>
      <c r="E894" s="153">
        <v>-34257.262884955751</v>
      </c>
      <c r="F894" s="153">
        <f t="shared" si="26"/>
        <v>0</v>
      </c>
      <c r="G894" s="153" t="str">
        <f t="shared" si="27"/>
        <v>OK</v>
      </c>
      <c r="H894" s="153" t="b">
        <v>1</v>
      </c>
    </row>
    <row r="895" spans="1:8" x14ac:dyDescent="0.3">
      <c r="A895" s="153" t="s">
        <v>2664</v>
      </c>
      <c r="B895" s="153" t="s">
        <v>2762</v>
      </c>
      <c r="C895" s="153" t="s">
        <v>3422</v>
      </c>
      <c r="D895" s="153">
        <v>0</v>
      </c>
      <c r="E895" s="153">
        <v>0</v>
      </c>
      <c r="F895" s="153">
        <f t="shared" si="26"/>
        <v>0</v>
      </c>
      <c r="G895" s="153" t="str">
        <f t="shared" si="27"/>
        <v>OK</v>
      </c>
      <c r="H895" s="153" t="b">
        <v>1</v>
      </c>
    </row>
    <row r="896" spans="1:8" x14ac:dyDescent="0.3">
      <c r="A896" s="153" t="s">
        <v>2666</v>
      </c>
      <c r="B896" s="153" t="s">
        <v>2762</v>
      </c>
      <c r="C896" s="153" t="s">
        <v>3423</v>
      </c>
      <c r="D896" s="153">
        <v>-34257.262884955737</v>
      </c>
      <c r="E896" s="153">
        <v>-34257.262884955737</v>
      </c>
      <c r="F896" s="153">
        <f t="shared" si="26"/>
        <v>0</v>
      </c>
      <c r="G896" s="153" t="str">
        <f t="shared" si="27"/>
        <v>OK</v>
      </c>
      <c r="H896" s="153" t="b">
        <v>1</v>
      </c>
    </row>
    <row r="897" spans="1:8" x14ac:dyDescent="0.3">
      <c r="A897" s="153" t="s">
        <v>2668</v>
      </c>
      <c r="B897" s="153" t="s">
        <v>2762</v>
      </c>
      <c r="C897" s="153" t="s">
        <v>3424</v>
      </c>
      <c r="D897" s="153">
        <v>889815.21134513279</v>
      </c>
      <c r="E897" s="153">
        <v>889815.21134513279</v>
      </c>
      <c r="F897" s="153">
        <f t="shared" si="26"/>
        <v>0</v>
      </c>
      <c r="G897" s="153" t="str">
        <f t="shared" si="27"/>
        <v>OK</v>
      </c>
      <c r="H897" s="153" t="b">
        <v>1</v>
      </c>
    </row>
    <row r="898" spans="1:8" x14ac:dyDescent="0.3">
      <c r="A898" s="153" t="s">
        <v>2670</v>
      </c>
      <c r="B898" s="153" t="s">
        <v>2762</v>
      </c>
      <c r="C898" s="153" t="s">
        <v>3425</v>
      </c>
      <c r="D898" s="153">
        <v>889815.21134513279</v>
      </c>
      <c r="E898" s="153">
        <v>889815.21134513279</v>
      </c>
      <c r="F898" s="153">
        <f t="shared" ref="F898:F961" si="28">IF(NOT(H898),"",IF(AND(ISNUMBER(D898),ISNUMBER(E898)),E898-D898,IF(D898=E898,0,1)))</f>
        <v>0</v>
      </c>
      <c r="G898" s="153" t="str">
        <f t="shared" ref="G898:G961" si="29">IF(NOT(H898),"PENDIENTE SIDE",IF(IF(AND(ISNUMBER(D898),ISNUMBER(E898)),IF(MOD(D898,1)=0,D898=E898,ABS(D898-E898)&lt;=0.000000001*MAX(1,ABS(D898),ABS(E898))),D898=E898),"OK","DIFERENCIA"))</f>
        <v>OK</v>
      </c>
      <c r="H898" s="153" t="b">
        <v>1</v>
      </c>
    </row>
    <row r="899" spans="1:8" x14ac:dyDescent="0.3">
      <c r="A899" s="153" t="s">
        <v>2672</v>
      </c>
      <c r="B899" s="153" t="s">
        <v>2762</v>
      </c>
      <c r="C899" s="153" t="s">
        <v>3426</v>
      </c>
      <c r="D899" s="153">
        <v>7307.625</v>
      </c>
      <c r="E899" s="153">
        <v>7307.625</v>
      </c>
      <c r="F899" s="153">
        <f t="shared" si="28"/>
        <v>0</v>
      </c>
      <c r="G899" s="153" t="str">
        <f t="shared" si="29"/>
        <v>OK</v>
      </c>
      <c r="H899" s="153" t="b">
        <v>1</v>
      </c>
    </row>
    <row r="900" spans="1:8" x14ac:dyDescent="0.3">
      <c r="A900" s="153" t="s">
        <v>2674</v>
      </c>
      <c r="B900" s="153" t="s">
        <v>2762</v>
      </c>
      <c r="C900" s="153" t="s">
        <v>3427</v>
      </c>
      <c r="D900" s="153">
        <v>54688.797491999998</v>
      </c>
      <c r="E900" s="153">
        <v>54688.797491999998</v>
      </c>
      <c r="F900" s="153">
        <f t="shared" si="28"/>
        <v>0</v>
      </c>
      <c r="G900" s="153" t="str">
        <f t="shared" si="29"/>
        <v>OK</v>
      </c>
      <c r="H900" s="153" t="b">
        <v>1</v>
      </c>
    </row>
    <row r="901" spans="1:8" x14ac:dyDescent="0.3">
      <c r="A901" s="153" t="s">
        <v>2676</v>
      </c>
      <c r="B901" s="153" t="s">
        <v>2762</v>
      </c>
      <c r="C901" s="153" t="s">
        <v>3428</v>
      </c>
      <c r="D901" s="153">
        <v>951811.63383713283</v>
      </c>
      <c r="E901" s="153">
        <v>951811.63383713283</v>
      </c>
      <c r="F901" s="153">
        <f t="shared" si="28"/>
        <v>0</v>
      </c>
      <c r="G901" s="153" t="str">
        <f t="shared" si="29"/>
        <v>OK</v>
      </c>
      <c r="H901" s="153" t="b">
        <v>1</v>
      </c>
    </row>
    <row r="902" spans="1:8" x14ac:dyDescent="0.3">
      <c r="A902" s="153" t="s">
        <v>2678</v>
      </c>
      <c r="B902" s="153" t="s">
        <v>2762</v>
      </c>
      <c r="C902" s="153" t="s">
        <v>3429</v>
      </c>
      <c r="D902" s="153">
        <v>0</v>
      </c>
      <c r="E902" s="153">
        <v>0</v>
      </c>
      <c r="F902" s="153">
        <f t="shared" si="28"/>
        <v>0</v>
      </c>
      <c r="G902" s="153" t="str">
        <f t="shared" si="29"/>
        <v>OK</v>
      </c>
      <c r="H902" s="153" t="b">
        <v>1</v>
      </c>
    </row>
    <row r="903" spans="1:8" x14ac:dyDescent="0.3">
      <c r="A903" s="153" t="s">
        <v>2680</v>
      </c>
      <c r="B903" s="153" t="s">
        <v>2762</v>
      </c>
      <c r="C903" s="153" t="s">
        <v>3430</v>
      </c>
      <c r="D903" s="153">
        <v>951811.63383713283</v>
      </c>
      <c r="E903" s="153">
        <v>951811.63383713283</v>
      </c>
      <c r="F903" s="153">
        <f t="shared" si="28"/>
        <v>0</v>
      </c>
      <c r="G903" s="153" t="str">
        <f t="shared" si="29"/>
        <v>OK</v>
      </c>
      <c r="H903" s="153" t="b">
        <v>1</v>
      </c>
    </row>
    <row r="904" spans="1:8" x14ac:dyDescent="0.3">
      <c r="A904" s="153" t="s">
        <v>2682</v>
      </c>
      <c r="B904" s="153" t="s">
        <v>2762</v>
      </c>
      <c r="C904" s="153" t="s">
        <v>3431</v>
      </c>
      <c r="D904" s="153">
        <v>951811.63383713283</v>
      </c>
      <c r="E904" s="153">
        <v>951811.63383713283</v>
      </c>
      <c r="F904" s="153">
        <f t="shared" si="28"/>
        <v>0</v>
      </c>
      <c r="G904" s="153" t="str">
        <f t="shared" si="29"/>
        <v>OK</v>
      </c>
      <c r="H904" s="153" t="b">
        <v>1</v>
      </c>
    </row>
    <row r="905" spans="1:8" x14ac:dyDescent="0.3">
      <c r="A905" s="153" t="s">
        <v>2684</v>
      </c>
      <c r="B905" s="153" t="s">
        <v>2762</v>
      </c>
      <c r="C905" s="153" t="s">
        <v>3432</v>
      </c>
      <c r="D905" s="153">
        <v>0</v>
      </c>
      <c r="E905" s="153">
        <v>0</v>
      </c>
      <c r="F905" s="153">
        <f t="shared" si="28"/>
        <v>0</v>
      </c>
      <c r="G905" s="153" t="str">
        <f t="shared" si="29"/>
        <v>OK</v>
      </c>
      <c r="H905" s="153" t="b">
        <v>1</v>
      </c>
    </row>
    <row r="906" spans="1:8" x14ac:dyDescent="0.3">
      <c r="A906" s="153" t="s">
        <v>2686</v>
      </c>
      <c r="B906" s="153" t="s">
        <v>2762</v>
      </c>
      <c r="C906" s="153" t="s">
        <v>3433</v>
      </c>
      <c r="D906" s="153">
        <v>23</v>
      </c>
      <c r="E906" s="153">
        <v>23</v>
      </c>
      <c r="F906" s="153">
        <f t="shared" si="28"/>
        <v>0</v>
      </c>
      <c r="G906" s="153" t="str">
        <f t="shared" si="29"/>
        <v>OK</v>
      </c>
      <c r="H906" s="153" t="b">
        <v>1</v>
      </c>
    </row>
    <row r="907" spans="1:8" x14ac:dyDescent="0.3">
      <c r="A907" s="153" t="s">
        <v>2688</v>
      </c>
      <c r="B907" s="153" t="s">
        <v>2762</v>
      </c>
      <c r="C907" s="153" t="s">
        <v>3434</v>
      </c>
      <c r="D907" s="153">
        <v>0</v>
      </c>
      <c r="E907" s="153">
        <v>0</v>
      </c>
      <c r="F907" s="153">
        <f t="shared" si="28"/>
        <v>0</v>
      </c>
      <c r="G907" s="153" t="str">
        <f t="shared" si="29"/>
        <v>OK</v>
      </c>
      <c r="H907" s="153" t="b">
        <v>1</v>
      </c>
    </row>
    <row r="908" spans="1:8" x14ac:dyDescent="0.3">
      <c r="A908" s="153" t="s">
        <v>2690</v>
      </c>
      <c r="B908" s="153" t="s">
        <v>2762</v>
      </c>
      <c r="C908" s="153" t="s">
        <v>3435</v>
      </c>
      <c r="D908" s="153">
        <v>3</v>
      </c>
      <c r="E908" s="153">
        <v>3</v>
      </c>
      <c r="F908" s="153">
        <f t="shared" si="28"/>
        <v>0</v>
      </c>
      <c r="G908" s="153" t="str">
        <f t="shared" si="29"/>
        <v>OK</v>
      </c>
      <c r="H908" s="153" t="b">
        <v>1</v>
      </c>
    </row>
    <row r="909" spans="1:8" x14ac:dyDescent="0.3">
      <c r="A909" s="153" t="s">
        <v>2692</v>
      </c>
      <c r="B909" s="153" t="s">
        <v>2762</v>
      </c>
      <c r="C909" s="153" t="s">
        <v>3436</v>
      </c>
      <c r="D909" s="153">
        <v>0</v>
      </c>
      <c r="E909" s="153">
        <v>0</v>
      </c>
      <c r="F909" s="153">
        <f t="shared" si="28"/>
        <v>0</v>
      </c>
      <c r="G909" s="153" t="str">
        <f t="shared" si="29"/>
        <v>OK</v>
      </c>
      <c r="H909" s="153" t="b">
        <v>1</v>
      </c>
    </row>
    <row r="910" spans="1:8" x14ac:dyDescent="0.3">
      <c r="A910" s="153" t="s">
        <v>2694</v>
      </c>
      <c r="B910" s="153" t="s">
        <v>2762</v>
      </c>
      <c r="C910" s="153" t="s">
        <v>3437</v>
      </c>
      <c r="D910" s="153">
        <v>0</v>
      </c>
      <c r="E910" s="153">
        <v>0</v>
      </c>
      <c r="F910" s="153">
        <f t="shared" si="28"/>
        <v>0</v>
      </c>
      <c r="G910" s="153" t="str">
        <f t="shared" si="29"/>
        <v>OK</v>
      </c>
      <c r="H910" s="153" t="b">
        <v>1</v>
      </c>
    </row>
    <row r="911" spans="1:8" x14ac:dyDescent="0.3">
      <c r="A911" s="153" t="s">
        <v>2696</v>
      </c>
      <c r="B911" s="153" t="s">
        <v>2762</v>
      </c>
      <c r="C911" s="153" t="s">
        <v>3438</v>
      </c>
      <c r="D911" s="153">
        <v>4840</v>
      </c>
      <c r="E911" s="153">
        <v>4840</v>
      </c>
      <c r="F911" s="153">
        <f t="shared" si="28"/>
        <v>0</v>
      </c>
      <c r="G911" s="153" t="str">
        <f t="shared" si="29"/>
        <v>OK</v>
      </c>
      <c r="H911" s="153" t="b">
        <v>1</v>
      </c>
    </row>
    <row r="912" spans="1:8" x14ac:dyDescent="0.3">
      <c r="A912" s="153" t="s">
        <v>2698</v>
      </c>
      <c r="B912" s="153" t="s">
        <v>2762</v>
      </c>
      <c r="C912" s="153" t="s">
        <v>3439</v>
      </c>
      <c r="D912" s="153">
        <v>4840</v>
      </c>
      <c r="E912" s="153">
        <v>4840</v>
      </c>
      <c r="F912" s="153">
        <f t="shared" si="28"/>
        <v>0</v>
      </c>
      <c r="G912" s="153" t="str">
        <f t="shared" si="29"/>
        <v>OK</v>
      </c>
      <c r="H912" s="153" t="b">
        <v>1</v>
      </c>
    </row>
    <row r="913" spans="1:8" x14ac:dyDescent="0.3">
      <c r="A913" s="153" t="s">
        <v>2700</v>
      </c>
      <c r="B913" s="153" t="s">
        <v>2762</v>
      </c>
      <c r="C913" s="153" t="s">
        <v>3440</v>
      </c>
      <c r="D913" s="153">
        <v>33333.092991803278</v>
      </c>
      <c r="E913" s="153">
        <v>33333.092991803278</v>
      </c>
      <c r="F913" s="153">
        <f t="shared" si="28"/>
        <v>0</v>
      </c>
      <c r="G913" s="153" t="str">
        <f t="shared" si="29"/>
        <v>OK</v>
      </c>
      <c r="H913" s="153" t="b">
        <v>1</v>
      </c>
    </row>
    <row r="914" spans="1:8" x14ac:dyDescent="0.3">
      <c r="A914" s="153" t="s">
        <v>2702</v>
      </c>
      <c r="B914" s="153" t="s">
        <v>2762</v>
      </c>
      <c r="C914" s="153" t="s">
        <v>3441</v>
      </c>
      <c r="D914" s="153">
        <v>-28493.092991803282</v>
      </c>
      <c r="E914" s="153">
        <v>-28493.092991803282</v>
      </c>
      <c r="F914" s="153">
        <f t="shared" si="28"/>
        <v>0</v>
      </c>
      <c r="G914" s="153" t="str">
        <f t="shared" si="29"/>
        <v>OK</v>
      </c>
      <c r="H914" s="153" t="b">
        <v>1</v>
      </c>
    </row>
    <row r="915" spans="1:8" x14ac:dyDescent="0.3">
      <c r="A915" s="153" t="s">
        <v>2704</v>
      </c>
      <c r="B915" s="153" t="s">
        <v>2762</v>
      </c>
      <c r="C915" s="153" t="s">
        <v>3442</v>
      </c>
      <c r="D915" s="153">
        <v>8.692499999999999</v>
      </c>
      <c r="E915" s="153">
        <v>8.692499999999999</v>
      </c>
      <c r="F915" s="153">
        <f t="shared" si="28"/>
        <v>0</v>
      </c>
      <c r="G915" s="153" t="str">
        <f t="shared" si="29"/>
        <v>OK</v>
      </c>
      <c r="H915" s="153" t="b">
        <v>1</v>
      </c>
    </row>
    <row r="916" spans="1:8" x14ac:dyDescent="0.3">
      <c r="A916" s="153" t="s">
        <v>2706</v>
      </c>
      <c r="B916" s="153" t="s">
        <v>2762</v>
      </c>
      <c r="C916" s="153" t="s">
        <v>3443</v>
      </c>
      <c r="D916" s="153">
        <v>0</v>
      </c>
      <c r="E916" s="153">
        <v>0</v>
      </c>
      <c r="F916" s="153">
        <f t="shared" si="28"/>
        <v>0</v>
      </c>
      <c r="G916" s="153" t="str">
        <f t="shared" si="29"/>
        <v>OK</v>
      </c>
      <c r="H916" s="153" t="b">
        <v>1</v>
      </c>
    </row>
    <row r="917" spans="1:8" x14ac:dyDescent="0.3">
      <c r="A917" s="153" t="s">
        <v>2708</v>
      </c>
      <c r="B917" s="153" t="s">
        <v>2762</v>
      </c>
      <c r="C917" s="153" t="s">
        <v>3444</v>
      </c>
      <c r="D917" s="153">
        <v>33333.092991803278</v>
      </c>
      <c r="E917" s="153">
        <v>33333.092991803278</v>
      </c>
      <c r="F917" s="153">
        <f t="shared" si="28"/>
        <v>0</v>
      </c>
      <c r="G917" s="153" t="str">
        <f t="shared" si="29"/>
        <v>OK</v>
      </c>
      <c r="H917" s="153" t="b">
        <v>1</v>
      </c>
    </row>
    <row r="918" spans="1:8" x14ac:dyDescent="0.3">
      <c r="A918" s="153" t="s">
        <v>2710</v>
      </c>
      <c r="B918" s="153" t="s">
        <v>2762</v>
      </c>
      <c r="C918" s="153" t="s">
        <v>3445</v>
      </c>
      <c r="D918" s="153">
        <v>872454.27901639347</v>
      </c>
      <c r="E918" s="153">
        <v>872454.27901639347</v>
      </c>
      <c r="F918" s="153">
        <f t="shared" si="28"/>
        <v>0</v>
      </c>
      <c r="G918" s="153" t="str">
        <f t="shared" si="29"/>
        <v>OK</v>
      </c>
      <c r="H918" s="153" t="b">
        <v>1</v>
      </c>
    </row>
    <row r="919" spans="1:8" x14ac:dyDescent="0.3">
      <c r="A919" s="153" t="s">
        <v>2712</v>
      </c>
      <c r="B919" s="153" t="s">
        <v>2762</v>
      </c>
      <c r="C919" s="153" t="s">
        <v>3446</v>
      </c>
      <c r="D919" s="153">
        <v>4840</v>
      </c>
      <c r="E919" s="153">
        <v>4840</v>
      </c>
      <c r="F919" s="153">
        <f t="shared" si="28"/>
        <v>0</v>
      </c>
      <c r="G919" s="153" t="str">
        <f t="shared" si="29"/>
        <v>OK</v>
      </c>
      <c r="H919" s="153" t="b">
        <v>1</v>
      </c>
    </row>
    <row r="920" spans="1:8" x14ac:dyDescent="0.3">
      <c r="A920" s="153" t="s">
        <v>2714</v>
      </c>
      <c r="B920" s="153" t="s">
        <v>2762</v>
      </c>
      <c r="C920" s="153" t="s">
        <v>3447</v>
      </c>
      <c r="D920" s="153">
        <v>64915.36049180328</v>
      </c>
      <c r="E920" s="153">
        <v>64915.36049180328</v>
      </c>
      <c r="F920" s="153">
        <f t="shared" si="28"/>
        <v>0</v>
      </c>
      <c r="G920" s="153" t="str">
        <f t="shared" si="29"/>
        <v>OK</v>
      </c>
      <c r="H920" s="153" t="b">
        <v>1</v>
      </c>
    </row>
    <row r="921" spans="1:8" x14ac:dyDescent="0.3">
      <c r="A921" s="153" t="s">
        <v>2716</v>
      </c>
      <c r="B921" s="153" t="s">
        <v>2762</v>
      </c>
      <c r="C921" s="153" t="s">
        <v>3448</v>
      </c>
      <c r="D921" s="153">
        <v>812378.9185245902</v>
      </c>
      <c r="E921" s="153">
        <v>812378.9185245902</v>
      </c>
      <c r="F921" s="153">
        <f t="shared" si="28"/>
        <v>0</v>
      </c>
      <c r="G921" s="153" t="str">
        <f t="shared" si="29"/>
        <v>OK</v>
      </c>
      <c r="H921" s="153" t="b">
        <v>1</v>
      </c>
    </row>
    <row r="922" spans="1:8" x14ac:dyDescent="0.3">
      <c r="A922" s="153" t="s">
        <v>2718</v>
      </c>
      <c r="B922" s="153" t="s">
        <v>2762</v>
      </c>
      <c r="C922" s="153" t="s">
        <v>3449</v>
      </c>
      <c r="D922" s="153">
        <v>872454.27901639347</v>
      </c>
      <c r="E922" s="153">
        <v>872454.27901639347</v>
      </c>
      <c r="F922" s="153">
        <f t="shared" si="28"/>
        <v>0</v>
      </c>
      <c r="G922" s="153" t="str">
        <f t="shared" si="29"/>
        <v>OK</v>
      </c>
      <c r="H922" s="153" t="b">
        <v>1</v>
      </c>
    </row>
    <row r="923" spans="1:8" x14ac:dyDescent="0.3">
      <c r="A923" s="153" t="s">
        <v>2720</v>
      </c>
      <c r="B923" s="153" t="s">
        <v>2762</v>
      </c>
      <c r="C923" s="153" t="s">
        <v>3450</v>
      </c>
      <c r="D923" s="153">
        <v>4840</v>
      </c>
      <c r="E923" s="153">
        <v>4840</v>
      </c>
      <c r="F923" s="153">
        <f t="shared" si="28"/>
        <v>0</v>
      </c>
      <c r="G923" s="153" t="str">
        <f t="shared" si="29"/>
        <v>OK</v>
      </c>
      <c r="H923" s="153" t="b">
        <v>1</v>
      </c>
    </row>
    <row r="924" spans="1:8" x14ac:dyDescent="0.3">
      <c r="A924" s="153" t="s">
        <v>2722</v>
      </c>
      <c r="B924" s="153" t="s">
        <v>2762</v>
      </c>
      <c r="C924" s="153" t="s">
        <v>3451</v>
      </c>
      <c r="D924" s="153">
        <v>64915.36049180328</v>
      </c>
      <c r="E924" s="153">
        <v>64915.36049180328</v>
      </c>
      <c r="F924" s="153">
        <f t="shared" si="28"/>
        <v>0</v>
      </c>
      <c r="G924" s="153" t="str">
        <f t="shared" si="29"/>
        <v>OK</v>
      </c>
      <c r="H924" s="153" t="b">
        <v>1</v>
      </c>
    </row>
    <row r="925" spans="1:8" x14ac:dyDescent="0.3">
      <c r="A925" s="153" t="s">
        <v>2724</v>
      </c>
      <c r="B925" s="153" t="s">
        <v>2762</v>
      </c>
      <c r="C925" s="153" t="s">
        <v>3452</v>
      </c>
      <c r="D925" s="153">
        <v>0</v>
      </c>
      <c r="E925" s="153">
        <v>0</v>
      </c>
      <c r="F925" s="153">
        <f t="shared" si="28"/>
        <v>0</v>
      </c>
      <c r="G925" s="153" t="str">
        <f t="shared" si="29"/>
        <v>OK</v>
      </c>
      <c r="H925" s="153" t="b">
        <v>1</v>
      </c>
    </row>
    <row r="926" spans="1:8" x14ac:dyDescent="0.3">
      <c r="A926" s="153" t="s">
        <v>2726</v>
      </c>
      <c r="B926" s="153" t="s">
        <v>2762</v>
      </c>
      <c r="C926" s="153" t="s">
        <v>3453</v>
      </c>
      <c r="D926" s="153">
        <v>0</v>
      </c>
      <c r="E926" s="153">
        <v>0</v>
      </c>
      <c r="F926" s="153">
        <f t="shared" si="28"/>
        <v>0</v>
      </c>
      <c r="G926" s="153" t="str">
        <f t="shared" si="29"/>
        <v>OK</v>
      </c>
      <c r="H926" s="153" t="b">
        <v>1</v>
      </c>
    </row>
    <row r="927" spans="1:8" x14ac:dyDescent="0.3">
      <c r="A927" s="153" t="s">
        <v>2728</v>
      </c>
      <c r="B927" s="153" t="s">
        <v>2762</v>
      </c>
      <c r="C927" s="153" t="s">
        <v>3454</v>
      </c>
      <c r="D927" s="153">
        <v>-60075.36049180328</v>
      </c>
      <c r="E927" s="153">
        <v>-60075.36049180328</v>
      </c>
      <c r="F927" s="153">
        <f t="shared" si="28"/>
        <v>0</v>
      </c>
      <c r="G927" s="153" t="str">
        <f t="shared" si="29"/>
        <v>OK</v>
      </c>
      <c r="H927" s="153" t="b">
        <v>1</v>
      </c>
    </row>
    <row r="928" spans="1:8" x14ac:dyDescent="0.3">
      <c r="A928" s="153" t="s">
        <v>2730</v>
      </c>
      <c r="B928" s="153" t="s">
        <v>2762</v>
      </c>
      <c r="C928" s="153" t="s">
        <v>3455</v>
      </c>
      <c r="D928" s="153">
        <v>0</v>
      </c>
      <c r="E928" s="153">
        <v>0</v>
      </c>
      <c r="F928" s="153">
        <f t="shared" si="28"/>
        <v>0</v>
      </c>
      <c r="G928" s="153" t="str">
        <f t="shared" si="29"/>
        <v>OK</v>
      </c>
      <c r="H928" s="153" t="b">
        <v>1</v>
      </c>
    </row>
    <row r="929" spans="1:8" x14ac:dyDescent="0.3">
      <c r="A929" s="153" t="s">
        <v>2732</v>
      </c>
      <c r="B929" s="153" t="s">
        <v>2762</v>
      </c>
      <c r="C929" s="153" t="s">
        <v>3456</v>
      </c>
      <c r="D929" s="153">
        <v>-60075.360491803272</v>
      </c>
      <c r="E929" s="153">
        <v>-60075.360491803272</v>
      </c>
      <c r="F929" s="153">
        <f t="shared" si="28"/>
        <v>0</v>
      </c>
      <c r="G929" s="153" t="str">
        <f t="shared" si="29"/>
        <v>OK</v>
      </c>
      <c r="H929" s="153" t="b">
        <v>1</v>
      </c>
    </row>
    <row r="930" spans="1:8" x14ac:dyDescent="0.3">
      <c r="A930" s="153" t="s">
        <v>2734</v>
      </c>
      <c r="B930" s="153" t="s">
        <v>2762</v>
      </c>
      <c r="C930" s="153" t="s">
        <v>3457</v>
      </c>
      <c r="D930" s="153">
        <v>812378.9185245902</v>
      </c>
      <c r="E930" s="153">
        <v>812378.9185245902</v>
      </c>
      <c r="F930" s="153">
        <f t="shared" si="28"/>
        <v>0</v>
      </c>
      <c r="G930" s="153" t="str">
        <f t="shared" si="29"/>
        <v>OK</v>
      </c>
      <c r="H930" s="153" t="b">
        <v>1</v>
      </c>
    </row>
    <row r="931" spans="1:8" x14ac:dyDescent="0.3">
      <c r="A931" s="153" t="s">
        <v>2736</v>
      </c>
      <c r="B931" s="153" t="s">
        <v>2762</v>
      </c>
      <c r="C931" s="153" t="s">
        <v>3458</v>
      </c>
      <c r="D931" s="153">
        <v>812378.9185245902</v>
      </c>
      <c r="E931" s="153">
        <v>812378.9185245902</v>
      </c>
      <c r="F931" s="153">
        <f t="shared" si="28"/>
        <v>0</v>
      </c>
      <c r="G931" s="153" t="str">
        <f t="shared" si="29"/>
        <v>OK</v>
      </c>
      <c r="H931" s="153" t="b">
        <v>1</v>
      </c>
    </row>
    <row r="932" spans="1:8" x14ac:dyDescent="0.3">
      <c r="A932" s="153" t="s">
        <v>2738</v>
      </c>
      <c r="B932" s="153" t="s">
        <v>2762</v>
      </c>
      <c r="C932" s="153" t="s">
        <v>3459</v>
      </c>
      <c r="D932" s="153">
        <v>7473.9224999999997</v>
      </c>
      <c r="E932" s="153">
        <v>7473.9224999999997</v>
      </c>
      <c r="F932" s="153">
        <f t="shared" si="28"/>
        <v>0</v>
      </c>
      <c r="G932" s="153" t="str">
        <f t="shared" si="29"/>
        <v>OK</v>
      </c>
      <c r="H932" s="153" t="b">
        <v>1</v>
      </c>
    </row>
    <row r="933" spans="1:8" x14ac:dyDescent="0.3">
      <c r="A933" s="153" t="s">
        <v>2740</v>
      </c>
      <c r="B933" s="153" t="s">
        <v>2762</v>
      </c>
      <c r="C933" s="153" t="s">
        <v>3460</v>
      </c>
      <c r="D933" s="153">
        <v>94772.87999999999</v>
      </c>
      <c r="E933" s="153">
        <v>94772.87999999999</v>
      </c>
      <c r="F933" s="153">
        <f t="shared" si="28"/>
        <v>0</v>
      </c>
      <c r="G933" s="153" t="str">
        <f t="shared" si="29"/>
        <v>OK</v>
      </c>
      <c r="H933" s="153" t="b">
        <v>1</v>
      </c>
    </row>
    <row r="934" spans="1:8" x14ac:dyDescent="0.3">
      <c r="A934" s="153" t="s">
        <v>2742</v>
      </c>
      <c r="B934" s="153" t="s">
        <v>2762</v>
      </c>
      <c r="C934" s="153" t="s">
        <v>3461</v>
      </c>
      <c r="D934" s="153">
        <v>914625.7210245902</v>
      </c>
      <c r="E934" s="153">
        <v>914625.7210245902</v>
      </c>
      <c r="F934" s="153">
        <f t="shared" si="28"/>
        <v>0</v>
      </c>
      <c r="G934" s="153" t="str">
        <f t="shared" si="29"/>
        <v>OK</v>
      </c>
      <c r="H934" s="153" t="b">
        <v>1</v>
      </c>
    </row>
    <row r="935" spans="1:8" x14ac:dyDescent="0.3">
      <c r="A935" s="153" t="s">
        <v>2744</v>
      </c>
      <c r="B935" s="153" t="s">
        <v>2762</v>
      </c>
      <c r="C935" s="153" t="s">
        <v>3462</v>
      </c>
      <c r="D935" s="153">
        <v>0</v>
      </c>
      <c r="E935" s="153">
        <v>0</v>
      </c>
      <c r="F935" s="153">
        <f t="shared" si="28"/>
        <v>0</v>
      </c>
      <c r="G935" s="153" t="str">
        <f t="shared" si="29"/>
        <v>OK</v>
      </c>
      <c r="H935" s="153" t="b">
        <v>1</v>
      </c>
    </row>
    <row r="936" spans="1:8" x14ac:dyDescent="0.3">
      <c r="A936" s="153" t="s">
        <v>2746</v>
      </c>
      <c r="B936" s="153" t="s">
        <v>2762</v>
      </c>
      <c r="C936" s="153" t="s">
        <v>3463</v>
      </c>
      <c r="D936" s="153">
        <v>914625.7210245902</v>
      </c>
      <c r="E936" s="153">
        <v>914625.7210245902</v>
      </c>
      <c r="F936" s="153">
        <f t="shared" si="28"/>
        <v>0</v>
      </c>
      <c r="G936" s="153" t="str">
        <f t="shared" si="29"/>
        <v>OK</v>
      </c>
      <c r="H936" s="153" t="b">
        <v>1</v>
      </c>
    </row>
    <row r="937" spans="1:8" x14ac:dyDescent="0.3">
      <c r="A937" s="153" t="s">
        <v>2748</v>
      </c>
      <c r="B937" s="153" t="s">
        <v>2762</v>
      </c>
      <c r="C937" s="153" t="s">
        <v>3464</v>
      </c>
      <c r="D937" s="153">
        <v>914625.7210245902</v>
      </c>
      <c r="E937" s="153">
        <v>914625.7210245902</v>
      </c>
      <c r="F937" s="153">
        <f t="shared" si="28"/>
        <v>0</v>
      </c>
      <c r="G937" s="153" t="str">
        <f t="shared" si="29"/>
        <v>OK</v>
      </c>
      <c r="H937" s="153" t="b">
        <v>1</v>
      </c>
    </row>
    <row r="938" spans="1:8" x14ac:dyDescent="0.3">
      <c r="A938" s="153" t="s">
        <v>2750</v>
      </c>
      <c r="B938" s="153" t="s">
        <v>2762</v>
      </c>
      <c r="C938" s="153" t="s">
        <v>3465</v>
      </c>
      <c r="D938" s="153">
        <v>0</v>
      </c>
      <c r="E938" s="153">
        <v>0</v>
      </c>
      <c r="F938" s="153">
        <f t="shared" si="28"/>
        <v>0</v>
      </c>
      <c r="G938" s="153" t="str">
        <f t="shared" si="29"/>
        <v>OK</v>
      </c>
      <c r="H938" s="153" t="b">
        <v>1</v>
      </c>
    </row>
    <row r="939" spans="1:8" x14ac:dyDescent="0.3">
      <c r="A939" s="153" t="s">
        <v>2752</v>
      </c>
      <c r="B939" s="153" t="s">
        <v>2762</v>
      </c>
      <c r="C939" s="153" t="s">
        <v>3466</v>
      </c>
      <c r="D939" s="153">
        <v>23</v>
      </c>
      <c r="E939" s="153">
        <v>23</v>
      </c>
      <c r="F939" s="153">
        <f t="shared" si="28"/>
        <v>0</v>
      </c>
      <c r="G939" s="153" t="str">
        <f t="shared" si="29"/>
        <v>OK</v>
      </c>
      <c r="H939" s="153" t="b">
        <v>1</v>
      </c>
    </row>
    <row r="940" spans="1:8" x14ac:dyDescent="0.3">
      <c r="A940" s="153" t="s">
        <v>2754</v>
      </c>
      <c r="B940" s="153" t="s">
        <v>2762</v>
      </c>
      <c r="C940" s="153" t="s">
        <v>3467</v>
      </c>
      <c r="D940" s="153">
        <v>0</v>
      </c>
      <c r="E940" s="153">
        <v>0</v>
      </c>
      <c r="F940" s="153">
        <f t="shared" si="28"/>
        <v>0</v>
      </c>
      <c r="G940" s="153" t="str">
        <f t="shared" si="29"/>
        <v>OK</v>
      </c>
      <c r="H940" s="153" t="b">
        <v>1</v>
      </c>
    </row>
    <row r="941" spans="1:8" x14ac:dyDescent="0.3">
      <c r="A941" s="153" t="s">
        <v>2756</v>
      </c>
      <c r="B941" s="153" t="s">
        <v>2762</v>
      </c>
      <c r="C941" s="153" t="s">
        <v>3468</v>
      </c>
      <c r="D941" s="153">
        <v>3</v>
      </c>
      <c r="E941" s="153">
        <v>3</v>
      </c>
      <c r="F941" s="153">
        <f t="shared" si="28"/>
        <v>0</v>
      </c>
      <c r="G941" s="153" t="str">
        <f t="shared" si="29"/>
        <v>OK</v>
      </c>
      <c r="H941" s="153" t="b">
        <v>1</v>
      </c>
    </row>
    <row r="942" spans="1:8" x14ac:dyDescent="0.3">
      <c r="A942" s="153" t="s">
        <v>2758</v>
      </c>
      <c r="B942" s="153" t="s">
        <v>2762</v>
      </c>
      <c r="C942" s="153" t="s">
        <v>3469</v>
      </c>
      <c r="D942" s="153">
        <v>0</v>
      </c>
      <c r="E942" s="153">
        <v>0</v>
      </c>
      <c r="F942" s="153">
        <f t="shared" si="28"/>
        <v>0</v>
      </c>
      <c r="G942" s="153" t="str">
        <f t="shared" si="29"/>
        <v>OK</v>
      </c>
      <c r="H942" s="153" t="b">
        <v>1</v>
      </c>
    </row>
    <row r="943" spans="1:8" x14ac:dyDescent="0.3">
      <c r="A943" s="153" t="s">
        <v>2760</v>
      </c>
      <c r="B943" s="153" t="s">
        <v>2762</v>
      </c>
      <c r="C943" s="153" t="s">
        <v>3470</v>
      </c>
      <c r="D943" s="153">
        <v>0</v>
      </c>
      <c r="E943" s="153">
        <v>0</v>
      </c>
      <c r="F943" s="153">
        <f t="shared" si="28"/>
        <v>0</v>
      </c>
      <c r="G943" s="153" t="str">
        <f t="shared" si="29"/>
        <v>OK</v>
      </c>
      <c r="H943" s="153" t="b">
        <v>1</v>
      </c>
    </row>
    <row r="944" spans="1:8" x14ac:dyDescent="0.3">
      <c r="A944" s="153" t="s">
        <v>3471</v>
      </c>
      <c r="B944" s="153" t="s">
        <v>2762</v>
      </c>
      <c r="C944" s="153" t="s">
        <v>3472</v>
      </c>
      <c r="D944" s="153">
        <v>16016</v>
      </c>
      <c r="E944" s="153">
        <v>16016</v>
      </c>
      <c r="F944" s="153">
        <f t="shared" si="28"/>
        <v>0</v>
      </c>
      <c r="G944" s="153" t="str">
        <f t="shared" si="29"/>
        <v>OK</v>
      </c>
      <c r="H944" s="153" t="b">
        <v>1</v>
      </c>
    </row>
    <row r="945" spans="1:8" x14ac:dyDescent="0.3">
      <c r="A945" s="153" t="s">
        <v>3473</v>
      </c>
      <c r="B945" s="153" t="s">
        <v>2762</v>
      </c>
      <c r="C945" s="153" t="s">
        <v>3474</v>
      </c>
      <c r="D945" s="153">
        <v>16016</v>
      </c>
      <c r="E945" s="153">
        <v>16016</v>
      </c>
      <c r="F945" s="153">
        <f t="shared" si="28"/>
        <v>0</v>
      </c>
      <c r="G945" s="153" t="str">
        <f t="shared" si="29"/>
        <v>OK</v>
      </c>
      <c r="H945" s="153" t="b">
        <v>1</v>
      </c>
    </row>
    <row r="946" spans="1:8" x14ac:dyDescent="0.3">
      <c r="A946" s="153" t="s">
        <v>3475</v>
      </c>
      <c r="B946" s="153" t="s">
        <v>2762</v>
      </c>
      <c r="C946" s="153" t="s">
        <v>3476</v>
      </c>
      <c r="D946" s="153">
        <v>45445.329647644161</v>
      </c>
      <c r="E946" s="153">
        <v>45445.329647644161</v>
      </c>
      <c r="F946" s="153">
        <f t="shared" si="28"/>
        <v>0</v>
      </c>
      <c r="G946" s="153" t="str">
        <f t="shared" si="29"/>
        <v>OK</v>
      </c>
      <c r="H946" s="153" t="b">
        <v>1</v>
      </c>
    </row>
    <row r="947" spans="1:8" x14ac:dyDescent="0.3">
      <c r="A947" s="153" t="s">
        <v>3477</v>
      </c>
      <c r="B947" s="153" t="s">
        <v>2762</v>
      </c>
      <c r="C947" s="153" t="s">
        <v>3478</v>
      </c>
      <c r="D947" s="153">
        <v>-29429.329647644161</v>
      </c>
      <c r="E947" s="153">
        <v>-29429.329647644161</v>
      </c>
      <c r="F947" s="153">
        <f t="shared" si="28"/>
        <v>0</v>
      </c>
      <c r="G947" s="153" t="str">
        <f t="shared" si="29"/>
        <v>OK</v>
      </c>
      <c r="H947" s="153" t="b">
        <v>1</v>
      </c>
    </row>
    <row r="948" spans="1:8" x14ac:dyDescent="0.3">
      <c r="A948" s="153" t="s">
        <v>3479</v>
      </c>
      <c r="B948" s="153" t="s">
        <v>2762</v>
      </c>
      <c r="C948" s="153" t="s">
        <v>3480</v>
      </c>
      <c r="D948" s="153">
        <v>109.3181818181818</v>
      </c>
      <c r="E948" s="153">
        <v>109.3181818181818</v>
      </c>
      <c r="F948" s="153">
        <f t="shared" si="28"/>
        <v>0</v>
      </c>
      <c r="G948" s="153" t="str">
        <f t="shared" si="29"/>
        <v>OK</v>
      </c>
      <c r="H948" s="153" t="b">
        <v>1</v>
      </c>
    </row>
    <row r="949" spans="1:8" x14ac:dyDescent="0.3">
      <c r="A949" s="153" t="s">
        <v>3481</v>
      </c>
      <c r="B949" s="153" t="s">
        <v>2762</v>
      </c>
      <c r="C949" s="153" t="s">
        <v>3482</v>
      </c>
      <c r="D949" s="153">
        <v>0</v>
      </c>
      <c r="E949" s="153">
        <v>0</v>
      </c>
      <c r="F949" s="153">
        <f t="shared" si="28"/>
        <v>0</v>
      </c>
      <c r="G949" s="153" t="str">
        <f t="shared" si="29"/>
        <v>OK</v>
      </c>
      <c r="H949" s="153" t="b">
        <v>1</v>
      </c>
    </row>
    <row r="950" spans="1:8" x14ac:dyDescent="0.3">
      <c r="A950" s="153" t="s">
        <v>3483</v>
      </c>
      <c r="B950" s="153" t="s">
        <v>2762</v>
      </c>
      <c r="C950" s="153" t="s">
        <v>3484</v>
      </c>
      <c r="D950" s="153">
        <v>45445.329647644161</v>
      </c>
      <c r="E950" s="153">
        <v>45445.329647644161</v>
      </c>
      <c r="F950" s="153">
        <f t="shared" si="28"/>
        <v>0</v>
      </c>
      <c r="G950" s="153" t="str">
        <f t="shared" si="29"/>
        <v>OK</v>
      </c>
      <c r="H950" s="153" t="b">
        <v>1</v>
      </c>
    </row>
    <row r="951" spans="1:8" x14ac:dyDescent="0.3">
      <c r="A951" s="153" t="s">
        <v>3485</v>
      </c>
      <c r="B951" s="153" t="s">
        <v>2762</v>
      </c>
      <c r="C951" s="153" t="s">
        <v>3486</v>
      </c>
      <c r="D951" s="153">
        <v>833854.29066834808</v>
      </c>
      <c r="E951" s="153">
        <v>833854.29066834808</v>
      </c>
      <c r="F951" s="153">
        <f t="shared" si="28"/>
        <v>0</v>
      </c>
      <c r="G951" s="153" t="str">
        <f t="shared" si="29"/>
        <v>OK</v>
      </c>
      <c r="H951" s="153" t="b">
        <v>1</v>
      </c>
    </row>
    <row r="952" spans="1:8" x14ac:dyDescent="0.3">
      <c r="A952" s="153" t="s">
        <v>3487</v>
      </c>
      <c r="B952" s="153" t="s">
        <v>2762</v>
      </c>
      <c r="C952" s="153" t="s">
        <v>3488</v>
      </c>
      <c r="D952" s="153">
        <v>16016</v>
      </c>
      <c r="E952" s="153">
        <v>16016</v>
      </c>
      <c r="F952" s="153">
        <f t="shared" si="28"/>
        <v>0</v>
      </c>
      <c r="G952" s="153" t="str">
        <f t="shared" si="29"/>
        <v>OK</v>
      </c>
      <c r="H952" s="153" t="b">
        <v>1</v>
      </c>
    </row>
    <row r="953" spans="1:8" x14ac:dyDescent="0.3">
      <c r="A953" s="153" t="s">
        <v>3489</v>
      </c>
      <c r="B953" s="153" t="s">
        <v>2762</v>
      </c>
      <c r="C953" s="153" t="s">
        <v>3490</v>
      </c>
      <c r="D953" s="153">
        <v>95281.854665825973</v>
      </c>
      <c r="E953" s="153">
        <v>95281.854665825973</v>
      </c>
      <c r="F953" s="153">
        <f t="shared" si="28"/>
        <v>0</v>
      </c>
      <c r="G953" s="153" t="str">
        <f t="shared" si="29"/>
        <v>OK</v>
      </c>
      <c r="H953" s="153" t="b">
        <v>1</v>
      </c>
    </row>
    <row r="954" spans="1:8" x14ac:dyDescent="0.3">
      <c r="A954" s="153" t="s">
        <v>3491</v>
      </c>
      <c r="B954" s="153" t="s">
        <v>2762</v>
      </c>
      <c r="C954" s="153" t="s">
        <v>3492</v>
      </c>
      <c r="D954" s="153">
        <v>754588.43600252212</v>
      </c>
      <c r="E954" s="153">
        <v>754588.43600252212</v>
      </c>
      <c r="F954" s="153">
        <f t="shared" si="28"/>
        <v>0</v>
      </c>
      <c r="G954" s="153" t="str">
        <f t="shared" si="29"/>
        <v>OK</v>
      </c>
      <c r="H954" s="153" t="b">
        <v>1</v>
      </c>
    </row>
    <row r="955" spans="1:8" x14ac:dyDescent="0.3">
      <c r="A955" s="153" t="s">
        <v>3493</v>
      </c>
      <c r="B955" s="153" t="s">
        <v>2762</v>
      </c>
      <c r="C955" s="153" t="s">
        <v>3494</v>
      </c>
      <c r="D955" s="153">
        <v>833854.29066834808</v>
      </c>
      <c r="E955" s="153">
        <v>833854.29066834808</v>
      </c>
      <c r="F955" s="153">
        <f t="shared" si="28"/>
        <v>0</v>
      </c>
      <c r="G955" s="153" t="str">
        <f t="shared" si="29"/>
        <v>OK</v>
      </c>
      <c r="H955" s="153" t="b">
        <v>1</v>
      </c>
    </row>
    <row r="956" spans="1:8" x14ac:dyDescent="0.3">
      <c r="A956" s="153" t="s">
        <v>3495</v>
      </c>
      <c r="B956" s="153" t="s">
        <v>2762</v>
      </c>
      <c r="C956" s="153" t="s">
        <v>3496</v>
      </c>
      <c r="D956" s="153">
        <v>16016</v>
      </c>
      <c r="E956" s="153">
        <v>16016</v>
      </c>
      <c r="F956" s="153">
        <f t="shared" si="28"/>
        <v>0</v>
      </c>
      <c r="G956" s="153" t="str">
        <f t="shared" si="29"/>
        <v>OK</v>
      </c>
      <c r="H956" s="153" t="b">
        <v>1</v>
      </c>
    </row>
    <row r="957" spans="1:8" x14ac:dyDescent="0.3">
      <c r="A957" s="153" t="s">
        <v>3497</v>
      </c>
      <c r="B957" s="153" t="s">
        <v>2762</v>
      </c>
      <c r="C957" s="153" t="s">
        <v>3498</v>
      </c>
      <c r="D957" s="153">
        <v>95281.854665825973</v>
      </c>
      <c r="E957" s="153">
        <v>95281.854665825973</v>
      </c>
      <c r="F957" s="153">
        <f t="shared" si="28"/>
        <v>0</v>
      </c>
      <c r="G957" s="153" t="str">
        <f t="shared" si="29"/>
        <v>OK</v>
      </c>
      <c r="H957" s="153" t="b">
        <v>1</v>
      </c>
    </row>
    <row r="958" spans="1:8" x14ac:dyDescent="0.3">
      <c r="A958" s="153" t="s">
        <v>3499</v>
      </c>
      <c r="B958" s="153" t="s">
        <v>2762</v>
      </c>
      <c r="C958" s="153" t="s">
        <v>3500</v>
      </c>
      <c r="D958" s="153">
        <v>0</v>
      </c>
      <c r="E958" s="153">
        <v>0</v>
      </c>
      <c r="F958" s="153">
        <f t="shared" si="28"/>
        <v>0</v>
      </c>
      <c r="G958" s="153" t="str">
        <f t="shared" si="29"/>
        <v>OK</v>
      </c>
      <c r="H958" s="153" t="b">
        <v>1</v>
      </c>
    </row>
    <row r="959" spans="1:8" x14ac:dyDescent="0.3">
      <c r="A959" s="153" t="s">
        <v>3501</v>
      </c>
      <c r="B959" s="153" t="s">
        <v>2762</v>
      </c>
      <c r="C959" s="153" t="s">
        <v>3502</v>
      </c>
      <c r="D959" s="153">
        <v>0</v>
      </c>
      <c r="E959" s="153">
        <v>0</v>
      </c>
      <c r="F959" s="153">
        <f t="shared" si="28"/>
        <v>0</v>
      </c>
      <c r="G959" s="153" t="str">
        <f t="shared" si="29"/>
        <v>OK</v>
      </c>
      <c r="H959" s="153" t="b">
        <v>1</v>
      </c>
    </row>
    <row r="960" spans="1:8" x14ac:dyDescent="0.3">
      <c r="A960" s="153" t="s">
        <v>3503</v>
      </c>
      <c r="B960" s="153" t="s">
        <v>2762</v>
      </c>
      <c r="C960" s="153" t="s">
        <v>3504</v>
      </c>
      <c r="D960" s="153">
        <v>-79265.854665825973</v>
      </c>
      <c r="E960" s="153">
        <v>-79265.854665825973</v>
      </c>
      <c r="F960" s="153">
        <f t="shared" si="28"/>
        <v>0</v>
      </c>
      <c r="G960" s="153" t="str">
        <f t="shared" si="29"/>
        <v>OK</v>
      </c>
      <c r="H960" s="153" t="b">
        <v>1</v>
      </c>
    </row>
    <row r="961" spans="1:8" x14ac:dyDescent="0.3">
      <c r="A961" s="153" t="s">
        <v>3505</v>
      </c>
      <c r="B961" s="153" t="s">
        <v>2762</v>
      </c>
      <c r="C961" s="153" t="s">
        <v>3506</v>
      </c>
      <c r="D961" s="153">
        <v>0</v>
      </c>
      <c r="E961" s="153">
        <v>0</v>
      </c>
      <c r="F961" s="153">
        <f t="shared" si="28"/>
        <v>0</v>
      </c>
      <c r="G961" s="153" t="str">
        <f t="shared" si="29"/>
        <v>OK</v>
      </c>
      <c r="H961" s="153" t="b">
        <v>1</v>
      </c>
    </row>
    <row r="962" spans="1:8" x14ac:dyDescent="0.3">
      <c r="A962" s="153" t="s">
        <v>3507</v>
      </c>
      <c r="B962" s="153" t="s">
        <v>2762</v>
      </c>
      <c r="C962" s="153" t="s">
        <v>3508</v>
      </c>
      <c r="D962" s="153">
        <v>-79265.854665825958</v>
      </c>
      <c r="E962" s="153">
        <v>-79265.854665825958</v>
      </c>
      <c r="F962" s="153">
        <f t="shared" ref="F962:F1025" si="30">IF(NOT(H962),"",IF(AND(ISNUMBER(D962),ISNUMBER(E962)),E962-D962,IF(D962=E962,0,1)))</f>
        <v>0</v>
      </c>
      <c r="G962" s="153" t="str">
        <f t="shared" ref="G962:G1025" si="31">IF(NOT(H962),"PENDIENTE SIDE",IF(IF(AND(ISNUMBER(D962),ISNUMBER(E962)),IF(MOD(D962,1)=0,D962=E962,ABS(D962-E962)&lt;=0.000000001*MAX(1,ABS(D962),ABS(E962))),D962=E962),"OK","DIFERENCIA"))</f>
        <v>OK</v>
      </c>
      <c r="H962" s="153" t="b">
        <v>1</v>
      </c>
    </row>
    <row r="963" spans="1:8" x14ac:dyDescent="0.3">
      <c r="A963" s="153" t="s">
        <v>3509</v>
      </c>
      <c r="B963" s="153" t="s">
        <v>2762</v>
      </c>
      <c r="C963" s="153" t="s">
        <v>3510</v>
      </c>
      <c r="D963" s="153">
        <v>754588.43600252212</v>
      </c>
      <c r="E963" s="153">
        <v>754588.43600252212</v>
      </c>
      <c r="F963" s="153">
        <f t="shared" si="30"/>
        <v>0</v>
      </c>
      <c r="G963" s="153" t="str">
        <f t="shared" si="31"/>
        <v>OK</v>
      </c>
      <c r="H963" s="153" t="b">
        <v>1</v>
      </c>
    </row>
    <row r="964" spans="1:8" x14ac:dyDescent="0.3">
      <c r="A964" s="153" t="s">
        <v>3511</v>
      </c>
      <c r="B964" s="153" t="s">
        <v>2762</v>
      </c>
      <c r="C964" s="153" t="s">
        <v>3512</v>
      </c>
      <c r="D964" s="153">
        <v>754588.43600252212</v>
      </c>
      <c r="E964" s="153">
        <v>754588.43600252212</v>
      </c>
      <c r="F964" s="153">
        <f t="shared" si="30"/>
        <v>0</v>
      </c>
      <c r="G964" s="153" t="str">
        <f t="shared" si="31"/>
        <v>OK</v>
      </c>
      <c r="H964" s="153" t="b">
        <v>1</v>
      </c>
    </row>
    <row r="965" spans="1:8" x14ac:dyDescent="0.3">
      <c r="A965" s="153" t="s">
        <v>3513</v>
      </c>
      <c r="B965" s="153" t="s">
        <v>2762</v>
      </c>
      <c r="C965" s="153" t="s">
        <v>3514</v>
      </c>
      <c r="D965" s="153">
        <v>7172.045454545455</v>
      </c>
      <c r="E965" s="153">
        <v>7172.045454545455</v>
      </c>
      <c r="F965" s="153">
        <f t="shared" si="30"/>
        <v>0</v>
      </c>
      <c r="G965" s="153" t="str">
        <f t="shared" si="31"/>
        <v>OK</v>
      </c>
      <c r="H965" s="153" t="b">
        <v>1</v>
      </c>
    </row>
    <row r="966" spans="1:8" x14ac:dyDescent="0.3">
      <c r="A966" s="153" t="s">
        <v>3515</v>
      </c>
      <c r="B966" s="153" t="s">
        <v>2762</v>
      </c>
      <c r="C966" s="153" t="s">
        <v>3516</v>
      </c>
      <c r="D966" s="153">
        <v>149837.52960000001</v>
      </c>
      <c r="E966" s="153">
        <v>149837.52960000001</v>
      </c>
      <c r="F966" s="153">
        <f t="shared" si="30"/>
        <v>0</v>
      </c>
      <c r="G966" s="153" t="str">
        <f t="shared" si="31"/>
        <v>OK</v>
      </c>
      <c r="H966" s="153" t="b">
        <v>1</v>
      </c>
    </row>
    <row r="967" spans="1:8" x14ac:dyDescent="0.3">
      <c r="A967" s="153" t="s">
        <v>3517</v>
      </c>
      <c r="B967" s="153" t="s">
        <v>2762</v>
      </c>
      <c r="C967" s="153" t="s">
        <v>3518</v>
      </c>
      <c r="D967" s="153">
        <v>911598.01105706755</v>
      </c>
      <c r="E967" s="153">
        <v>911598.01105706755</v>
      </c>
      <c r="F967" s="153">
        <f t="shared" si="30"/>
        <v>0</v>
      </c>
      <c r="G967" s="153" t="str">
        <f t="shared" si="31"/>
        <v>OK</v>
      </c>
      <c r="H967" s="153" t="b">
        <v>1</v>
      </c>
    </row>
    <row r="968" spans="1:8" x14ac:dyDescent="0.3">
      <c r="A968" s="153" t="s">
        <v>3519</v>
      </c>
      <c r="B968" s="153" t="s">
        <v>2762</v>
      </c>
      <c r="C968" s="153" t="s">
        <v>3520</v>
      </c>
      <c r="D968" s="153">
        <v>0</v>
      </c>
      <c r="E968" s="153">
        <v>0</v>
      </c>
      <c r="F968" s="153">
        <f t="shared" si="30"/>
        <v>0</v>
      </c>
      <c r="G968" s="153" t="str">
        <f t="shared" si="31"/>
        <v>OK</v>
      </c>
      <c r="H968" s="153" t="b">
        <v>1</v>
      </c>
    </row>
    <row r="969" spans="1:8" x14ac:dyDescent="0.3">
      <c r="A969" s="153" t="s">
        <v>3521</v>
      </c>
      <c r="B969" s="153" t="s">
        <v>2762</v>
      </c>
      <c r="C969" s="153" t="s">
        <v>3522</v>
      </c>
      <c r="D969" s="153">
        <v>911598.01105706755</v>
      </c>
      <c r="E969" s="153">
        <v>911598.01105706755</v>
      </c>
      <c r="F969" s="153">
        <f t="shared" si="30"/>
        <v>0</v>
      </c>
      <c r="G969" s="153" t="str">
        <f t="shared" si="31"/>
        <v>OK</v>
      </c>
      <c r="H969" s="153" t="b">
        <v>1</v>
      </c>
    </row>
    <row r="970" spans="1:8" x14ac:dyDescent="0.3">
      <c r="A970" s="153" t="s">
        <v>3523</v>
      </c>
      <c r="B970" s="153" t="s">
        <v>2762</v>
      </c>
      <c r="C970" s="153" t="s">
        <v>3524</v>
      </c>
      <c r="D970" s="153">
        <v>911598.01105706755</v>
      </c>
      <c r="E970" s="153">
        <v>911598.01105706755</v>
      </c>
      <c r="F970" s="153">
        <f t="shared" si="30"/>
        <v>0</v>
      </c>
      <c r="G970" s="153" t="str">
        <f t="shared" si="31"/>
        <v>OK</v>
      </c>
      <c r="H970" s="153" t="b">
        <v>1</v>
      </c>
    </row>
    <row r="971" spans="1:8" x14ac:dyDescent="0.3">
      <c r="A971" s="153" t="s">
        <v>3525</v>
      </c>
      <c r="B971" s="153" t="s">
        <v>2762</v>
      </c>
      <c r="C971" s="153" t="s">
        <v>3526</v>
      </c>
      <c r="D971" s="153">
        <v>0</v>
      </c>
      <c r="E971" s="153">
        <v>0</v>
      </c>
      <c r="F971" s="153">
        <f t="shared" si="30"/>
        <v>0</v>
      </c>
      <c r="G971" s="153" t="str">
        <f t="shared" si="31"/>
        <v>OK</v>
      </c>
      <c r="H971" s="153" t="b">
        <v>1</v>
      </c>
    </row>
    <row r="972" spans="1:8" x14ac:dyDescent="0.3">
      <c r="A972" s="153" t="s">
        <v>3527</v>
      </c>
      <c r="B972" s="153" t="s">
        <v>2762</v>
      </c>
      <c r="C972" s="153" t="s">
        <v>3528</v>
      </c>
      <c r="D972" s="153">
        <v>23</v>
      </c>
      <c r="E972" s="153">
        <v>23</v>
      </c>
      <c r="F972" s="153">
        <f t="shared" si="30"/>
        <v>0</v>
      </c>
      <c r="G972" s="153" t="str">
        <f t="shared" si="31"/>
        <v>OK</v>
      </c>
      <c r="H972" s="153" t="b">
        <v>1</v>
      </c>
    </row>
    <row r="973" spans="1:8" x14ac:dyDescent="0.3">
      <c r="A973" s="153" t="s">
        <v>3529</v>
      </c>
      <c r="B973" s="153" t="s">
        <v>2762</v>
      </c>
      <c r="C973" s="153" t="s">
        <v>3530</v>
      </c>
      <c r="D973" s="153">
        <v>0</v>
      </c>
      <c r="E973" s="153">
        <v>0</v>
      </c>
      <c r="F973" s="153">
        <f t="shared" si="30"/>
        <v>0</v>
      </c>
      <c r="G973" s="153" t="str">
        <f t="shared" si="31"/>
        <v>OK</v>
      </c>
      <c r="H973" s="153" t="b">
        <v>1</v>
      </c>
    </row>
    <row r="974" spans="1:8" x14ac:dyDescent="0.3">
      <c r="A974" s="153" t="s">
        <v>3531</v>
      </c>
      <c r="B974" s="153" t="s">
        <v>2762</v>
      </c>
      <c r="C974" s="153" t="s">
        <v>3532</v>
      </c>
      <c r="D974" s="153">
        <v>3</v>
      </c>
      <c r="E974" s="153">
        <v>3</v>
      </c>
      <c r="F974" s="153">
        <f t="shared" si="30"/>
        <v>0</v>
      </c>
      <c r="G974" s="153" t="str">
        <f t="shared" si="31"/>
        <v>OK</v>
      </c>
      <c r="H974" s="153" t="b">
        <v>1</v>
      </c>
    </row>
    <row r="975" spans="1:8" x14ac:dyDescent="0.3">
      <c r="A975" s="153" t="s">
        <v>3533</v>
      </c>
      <c r="B975" s="153" t="s">
        <v>2762</v>
      </c>
      <c r="C975" s="153" t="s">
        <v>3534</v>
      </c>
      <c r="D975" s="153">
        <v>0</v>
      </c>
      <c r="E975" s="153">
        <v>0</v>
      </c>
      <c r="F975" s="153">
        <f t="shared" si="30"/>
        <v>0</v>
      </c>
      <c r="G975" s="153" t="str">
        <f t="shared" si="31"/>
        <v>OK</v>
      </c>
      <c r="H975" s="153" t="b">
        <v>1</v>
      </c>
    </row>
    <row r="976" spans="1:8" x14ac:dyDescent="0.3">
      <c r="A976" s="153" t="s">
        <v>3535</v>
      </c>
      <c r="B976" s="153" t="s">
        <v>2762</v>
      </c>
      <c r="C976" s="153" t="s">
        <v>3536</v>
      </c>
      <c r="D976" s="153">
        <v>0</v>
      </c>
      <c r="E976" s="153">
        <v>0</v>
      </c>
      <c r="F976" s="153">
        <f t="shared" si="30"/>
        <v>0</v>
      </c>
      <c r="G976" s="153" t="str">
        <f t="shared" si="31"/>
        <v>OK</v>
      </c>
      <c r="H976" s="153" t="b">
        <v>1</v>
      </c>
    </row>
    <row r="977" spans="1:8" x14ac:dyDescent="0.3">
      <c r="A977" s="153" t="s">
        <v>3537</v>
      </c>
      <c r="B977" s="153" t="s">
        <v>2762</v>
      </c>
      <c r="C977" s="153" t="s">
        <v>3538</v>
      </c>
      <c r="D977" s="153">
        <v>90</v>
      </c>
      <c r="E977" s="153">
        <v>90</v>
      </c>
      <c r="F977" s="153">
        <f t="shared" si="30"/>
        <v>0</v>
      </c>
      <c r="G977" s="153" t="str">
        <f t="shared" si="31"/>
        <v>OK</v>
      </c>
      <c r="H977" s="153" t="b">
        <v>1</v>
      </c>
    </row>
    <row r="978" spans="1:8" x14ac:dyDescent="0.3">
      <c r="A978" s="153" t="s">
        <v>3539</v>
      </c>
      <c r="B978" s="153" t="s">
        <v>2762</v>
      </c>
      <c r="C978" s="153" t="s">
        <v>3540</v>
      </c>
      <c r="D978" s="153">
        <v>90</v>
      </c>
      <c r="E978" s="153">
        <v>90</v>
      </c>
      <c r="F978" s="153">
        <f t="shared" si="30"/>
        <v>0</v>
      </c>
      <c r="G978" s="153" t="str">
        <f t="shared" si="31"/>
        <v>OK</v>
      </c>
      <c r="H978" s="153" t="b">
        <v>1</v>
      </c>
    </row>
    <row r="979" spans="1:8" x14ac:dyDescent="0.3">
      <c r="A979" s="153" t="s">
        <v>3541</v>
      </c>
      <c r="B979" s="153" t="s">
        <v>2762</v>
      </c>
      <c r="C979" s="153" t="s">
        <v>3542</v>
      </c>
      <c r="D979" s="153">
        <v>29765.396291803281</v>
      </c>
      <c r="E979" s="153">
        <v>29765.396291803281</v>
      </c>
      <c r="F979" s="153">
        <f t="shared" si="30"/>
        <v>0</v>
      </c>
      <c r="G979" s="153" t="str">
        <f t="shared" si="31"/>
        <v>OK</v>
      </c>
      <c r="H979" s="153" t="b">
        <v>1</v>
      </c>
    </row>
    <row r="980" spans="1:8" x14ac:dyDescent="0.3">
      <c r="A980" s="153" t="s">
        <v>3543</v>
      </c>
      <c r="B980" s="153" t="s">
        <v>2762</v>
      </c>
      <c r="C980" s="153" t="s">
        <v>3544</v>
      </c>
      <c r="D980" s="153">
        <v>-29675.396291803281</v>
      </c>
      <c r="E980" s="153">
        <v>-29675.396291803281</v>
      </c>
      <c r="F980" s="153">
        <f t="shared" si="30"/>
        <v>0</v>
      </c>
      <c r="G980" s="153" t="str">
        <f t="shared" si="31"/>
        <v>OK</v>
      </c>
      <c r="H980" s="153" t="b">
        <v>1</v>
      </c>
    </row>
    <row r="981" spans="1:8" x14ac:dyDescent="0.3">
      <c r="A981" s="153" t="s">
        <v>3545</v>
      </c>
      <c r="B981" s="153" t="s">
        <v>2762</v>
      </c>
      <c r="C981" s="153" t="s">
        <v>3546</v>
      </c>
      <c r="D981" s="153">
        <v>64.125</v>
      </c>
      <c r="E981" s="153">
        <v>64.125</v>
      </c>
      <c r="F981" s="153">
        <f t="shared" si="30"/>
        <v>0</v>
      </c>
      <c r="G981" s="153" t="str">
        <f t="shared" si="31"/>
        <v>OK</v>
      </c>
      <c r="H981" s="153" t="b">
        <v>1</v>
      </c>
    </row>
    <row r="982" spans="1:8" x14ac:dyDescent="0.3">
      <c r="A982" s="153" t="s">
        <v>3547</v>
      </c>
      <c r="B982" s="153" t="s">
        <v>2762</v>
      </c>
      <c r="C982" s="153" t="s">
        <v>3548</v>
      </c>
      <c r="D982" s="153">
        <v>0</v>
      </c>
      <c r="E982" s="153">
        <v>0</v>
      </c>
      <c r="F982" s="153">
        <f t="shared" si="30"/>
        <v>0</v>
      </c>
      <c r="G982" s="153" t="str">
        <f t="shared" si="31"/>
        <v>OK</v>
      </c>
      <c r="H982" s="153" t="b">
        <v>1</v>
      </c>
    </row>
    <row r="983" spans="1:8" x14ac:dyDescent="0.3">
      <c r="A983" s="153" t="s">
        <v>3549</v>
      </c>
      <c r="B983" s="153" t="s">
        <v>2762</v>
      </c>
      <c r="C983" s="153" t="s">
        <v>3550</v>
      </c>
      <c r="D983" s="153">
        <v>29765.396291803281</v>
      </c>
      <c r="E983" s="153">
        <v>29765.396291803281</v>
      </c>
      <c r="F983" s="153">
        <f t="shared" si="30"/>
        <v>0</v>
      </c>
      <c r="G983" s="153" t="str">
        <f t="shared" si="31"/>
        <v>OK</v>
      </c>
      <c r="H983" s="153" t="b">
        <v>1</v>
      </c>
    </row>
    <row r="984" spans="1:8" x14ac:dyDescent="0.3">
      <c r="A984" s="153" t="s">
        <v>3551</v>
      </c>
      <c r="B984" s="153" t="s">
        <v>2762</v>
      </c>
      <c r="C984" s="153" t="s">
        <v>3552</v>
      </c>
      <c r="D984" s="153">
        <v>896808.67901639338</v>
      </c>
      <c r="E984" s="153">
        <v>896808.67901639338</v>
      </c>
      <c r="F984" s="153">
        <f t="shared" si="30"/>
        <v>0</v>
      </c>
      <c r="G984" s="153" t="str">
        <f t="shared" si="31"/>
        <v>OK</v>
      </c>
      <c r="H984" s="153" t="b">
        <v>1</v>
      </c>
    </row>
    <row r="985" spans="1:8" x14ac:dyDescent="0.3">
      <c r="A985" s="153" t="s">
        <v>3553</v>
      </c>
      <c r="B985" s="153" t="s">
        <v>2762</v>
      </c>
      <c r="C985" s="153" t="s">
        <v>3554</v>
      </c>
      <c r="D985" s="153">
        <v>90</v>
      </c>
      <c r="E985" s="153">
        <v>90</v>
      </c>
      <c r="F985" s="153">
        <f t="shared" si="30"/>
        <v>0</v>
      </c>
      <c r="G985" s="153" t="str">
        <f t="shared" si="31"/>
        <v>OK</v>
      </c>
      <c r="H985" s="153" t="b">
        <v>1</v>
      </c>
    </row>
    <row r="986" spans="1:8" x14ac:dyDescent="0.3">
      <c r="A986" s="153" t="s">
        <v>3555</v>
      </c>
      <c r="B986" s="153" t="s">
        <v>2762</v>
      </c>
      <c r="C986" s="153" t="s">
        <v>3556</v>
      </c>
      <c r="D986" s="153">
        <v>48114.160491803283</v>
      </c>
      <c r="E986" s="153">
        <v>48114.160491803283</v>
      </c>
      <c r="F986" s="153">
        <f t="shared" si="30"/>
        <v>0</v>
      </c>
      <c r="G986" s="153" t="str">
        <f t="shared" si="31"/>
        <v>OK</v>
      </c>
      <c r="H986" s="153" t="b">
        <v>1</v>
      </c>
    </row>
    <row r="987" spans="1:8" x14ac:dyDescent="0.3">
      <c r="A987" s="153" t="s">
        <v>3557</v>
      </c>
      <c r="B987" s="153" t="s">
        <v>2762</v>
      </c>
      <c r="C987" s="153" t="s">
        <v>3558</v>
      </c>
      <c r="D987" s="153">
        <v>848784.51852459006</v>
      </c>
      <c r="E987" s="153">
        <v>848784.51852459006</v>
      </c>
      <c r="F987" s="153">
        <f t="shared" si="30"/>
        <v>0</v>
      </c>
      <c r="G987" s="153" t="str">
        <f t="shared" si="31"/>
        <v>OK</v>
      </c>
      <c r="H987" s="153" t="b">
        <v>1</v>
      </c>
    </row>
    <row r="988" spans="1:8" x14ac:dyDescent="0.3">
      <c r="A988" s="153" t="s">
        <v>3559</v>
      </c>
      <c r="B988" s="153" t="s">
        <v>2762</v>
      </c>
      <c r="C988" s="153" t="s">
        <v>3560</v>
      </c>
      <c r="D988" s="153">
        <v>896808.67901639338</v>
      </c>
      <c r="E988" s="153">
        <v>896808.67901639338</v>
      </c>
      <c r="F988" s="153">
        <f t="shared" si="30"/>
        <v>0</v>
      </c>
      <c r="G988" s="153" t="str">
        <f t="shared" si="31"/>
        <v>OK</v>
      </c>
      <c r="H988" s="153" t="b">
        <v>1</v>
      </c>
    </row>
    <row r="989" spans="1:8" x14ac:dyDescent="0.3">
      <c r="A989" s="153" t="s">
        <v>3561</v>
      </c>
      <c r="B989" s="153" t="s">
        <v>2762</v>
      </c>
      <c r="C989" s="153" t="s">
        <v>3562</v>
      </c>
      <c r="D989" s="153">
        <v>90</v>
      </c>
      <c r="E989" s="153">
        <v>90</v>
      </c>
      <c r="F989" s="153">
        <f t="shared" si="30"/>
        <v>0</v>
      </c>
      <c r="G989" s="153" t="str">
        <f t="shared" si="31"/>
        <v>OK</v>
      </c>
      <c r="H989" s="153" t="b">
        <v>1</v>
      </c>
    </row>
    <row r="990" spans="1:8" x14ac:dyDescent="0.3">
      <c r="A990" s="153" t="s">
        <v>3563</v>
      </c>
      <c r="B990" s="153" t="s">
        <v>2762</v>
      </c>
      <c r="C990" s="153" t="s">
        <v>3564</v>
      </c>
      <c r="D990" s="153">
        <v>48114.160491803283</v>
      </c>
      <c r="E990" s="153">
        <v>48114.160491803283</v>
      </c>
      <c r="F990" s="153">
        <f t="shared" si="30"/>
        <v>0</v>
      </c>
      <c r="G990" s="153" t="str">
        <f t="shared" si="31"/>
        <v>OK</v>
      </c>
      <c r="H990" s="153" t="b">
        <v>1</v>
      </c>
    </row>
    <row r="991" spans="1:8" x14ac:dyDescent="0.3">
      <c r="A991" s="153" t="s">
        <v>3565</v>
      </c>
      <c r="B991" s="153" t="s">
        <v>2762</v>
      </c>
      <c r="C991" s="153" t="s">
        <v>3566</v>
      </c>
      <c r="D991" s="153">
        <v>0</v>
      </c>
      <c r="E991" s="153">
        <v>0</v>
      </c>
      <c r="F991" s="153">
        <f t="shared" si="30"/>
        <v>0</v>
      </c>
      <c r="G991" s="153" t="str">
        <f t="shared" si="31"/>
        <v>OK</v>
      </c>
      <c r="H991" s="153" t="b">
        <v>1</v>
      </c>
    </row>
    <row r="992" spans="1:8" x14ac:dyDescent="0.3">
      <c r="A992" s="153" t="s">
        <v>3567</v>
      </c>
      <c r="B992" s="153" t="s">
        <v>2762</v>
      </c>
      <c r="C992" s="153" t="s">
        <v>3568</v>
      </c>
      <c r="D992" s="153">
        <v>0</v>
      </c>
      <c r="E992" s="153">
        <v>0</v>
      </c>
      <c r="F992" s="153">
        <f t="shared" si="30"/>
        <v>0</v>
      </c>
      <c r="G992" s="153" t="str">
        <f t="shared" si="31"/>
        <v>OK</v>
      </c>
      <c r="H992" s="153" t="b">
        <v>1</v>
      </c>
    </row>
    <row r="993" spans="1:8" x14ac:dyDescent="0.3">
      <c r="A993" s="153" t="s">
        <v>3569</v>
      </c>
      <c r="B993" s="153" t="s">
        <v>2762</v>
      </c>
      <c r="C993" s="153" t="s">
        <v>3570</v>
      </c>
      <c r="D993" s="153">
        <v>-48024.160491803283</v>
      </c>
      <c r="E993" s="153">
        <v>-48024.160491803283</v>
      </c>
      <c r="F993" s="153">
        <f t="shared" si="30"/>
        <v>0</v>
      </c>
      <c r="G993" s="153" t="str">
        <f t="shared" si="31"/>
        <v>OK</v>
      </c>
      <c r="H993" s="153" t="b">
        <v>1</v>
      </c>
    </row>
    <row r="994" spans="1:8" x14ac:dyDescent="0.3">
      <c r="A994" s="153" t="s">
        <v>3571</v>
      </c>
      <c r="B994" s="153" t="s">
        <v>2762</v>
      </c>
      <c r="C994" s="153" t="s">
        <v>3572</v>
      </c>
      <c r="D994" s="153">
        <v>0</v>
      </c>
      <c r="E994" s="153">
        <v>0</v>
      </c>
      <c r="F994" s="153">
        <f t="shared" si="30"/>
        <v>0</v>
      </c>
      <c r="G994" s="153" t="str">
        <f t="shared" si="31"/>
        <v>OK</v>
      </c>
      <c r="H994" s="153" t="b">
        <v>1</v>
      </c>
    </row>
    <row r="995" spans="1:8" x14ac:dyDescent="0.3">
      <c r="A995" s="153" t="s">
        <v>3573</v>
      </c>
      <c r="B995" s="153" t="s">
        <v>2762</v>
      </c>
      <c r="C995" s="153" t="s">
        <v>3574</v>
      </c>
      <c r="D995" s="153">
        <v>-48024.160491803312</v>
      </c>
      <c r="E995" s="153">
        <v>-48024.160491803312</v>
      </c>
      <c r="F995" s="153">
        <f t="shared" si="30"/>
        <v>0</v>
      </c>
      <c r="G995" s="153" t="str">
        <f t="shared" si="31"/>
        <v>OK</v>
      </c>
      <c r="H995" s="153" t="b">
        <v>1</v>
      </c>
    </row>
    <row r="996" spans="1:8" x14ac:dyDescent="0.3">
      <c r="A996" s="153" t="s">
        <v>3575</v>
      </c>
      <c r="B996" s="153" t="s">
        <v>2762</v>
      </c>
      <c r="C996" s="153" t="s">
        <v>3576</v>
      </c>
      <c r="D996" s="153">
        <v>848784.51852459006</v>
      </c>
      <c r="E996" s="153">
        <v>848784.51852459006</v>
      </c>
      <c r="F996" s="153">
        <f t="shared" si="30"/>
        <v>0</v>
      </c>
      <c r="G996" s="153" t="str">
        <f t="shared" si="31"/>
        <v>OK</v>
      </c>
      <c r="H996" s="153" t="b">
        <v>1</v>
      </c>
    </row>
    <row r="997" spans="1:8" x14ac:dyDescent="0.3">
      <c r="A997" s="153" t="s">
        <v>3577</v>
      </c>
      <c r="B997" s="153" t="s">
        <v>2762</v>
      </c>
      <c r="C997" s="153" t="s">
        <v>3578</v>
      </c>
      <c r="D997" s="153">
        <v>848784.51852459006</v>
      </c>
      <c r="E997" s="153">
        <v>848784.51852459006</v>
      </c>
      <c r="F997" s="153">
        <f t="shared" si="30"/>
        <v>0</v>
      </c>
      <c r="G997" s="153" t="str">
        <f t="shared" si="31"/>
        <v>OK</v>
      </c>
      <c r="H997" s="153" t="b">
        <v>1</v>
      </c>
    </row>
    <row r="998" spans="1:8" x14ac:dyDescent="0.3">
      <c r="A998" s="153" t="s">
        <v>3579</v>
      </c>
      <c r="B998" s="153" t="s">
        <v>2762</v>
      </c>
      <c r="C998" s="153" t="s">
        <v>3580</v>
      </c>
      <c r="D998" s="153">
        <v>7307.625</v>
      </c>
      <c r="E998" s="153">
        <v>7307.625</v>
      </c>
      <c r="F998" s="153">
        <f t="shared" si="30"/>
        <v>0</v>
      </c>
      <c r="G998" s="153" t="str">
        <f t="shared" si="31"/>
        <v>OK</v>
      </c>
      <c r="H998" s="153" t="b">
        <v>1</v>
      </c>
    </row>
    <row r="999" spans="1:8" x14ac:dyDescent="0.3">
      <c r="A999" s="153" t="s">
        <v>3581</v>
      </c>
      <c r="B999" s="153" t="s">
        <v>2762</v>
      </c>
      <c r="C999" s="153" t="s">
        <v>3582</v>
      </c>
      <c r="D999" s="153">
        <v>55238.667600000001</v>
      </c>
      <c r="E999" s="153">
        <v>55238.667600000001</v>
      </c>
      <c r="F999" s="153">
        <f t="shared" si="30"/>
        <v>0</v>
      </c>
      <c r="G999" s="153" t="str">
        <f t="shared" si="31"/>
        <v>OK</v>
      </c>
      <c r="H999" s="153" t="b">
        <v>1</v>
      </c>
    </row>
    <row r="1000" spans="1:8" x14ac:dyDescent="0.3">
      <c r="A1000" s="153" t="s">
        <v>3583</v>
      </c>
      <c r="B1000" s="153" t="s">
        <v>2762</v>
      </c>
      <c r="C1000" s="153" t="s">
        <v>3584</v>
      </c>
      <c r="D1000" s="153">
        <v>911330.81112459011</v>
      </c>
      <c r="E1000" s="153">
        <v>911330.81112459011</v>
      </c>
      <c r="F1000" s="153">
        <f t="shared" si="30"/>
        <v>0</v>
      </c>
      <c r="G1000" s="153" t="str">
        <f t="shared" si="31"/>
        <v>OK</v>
      </c>
      <c r="H1000" s="153" t="b">
        <v>1</v>
      </c>
    </row>
    <row r="1001" spans="1:8" x14ac:dyDescent="0.3">
      <c r="A1001" s="153" t="s">
        <v>3585</v>
      </c>
      <c r="B1001" s="153" t="s">
        <v>2762</v>
      </c>
      <c r="C1001" s="153" t="s">
        <v>3586</v>
      </c>
      <c r="D1001" s="153">
        <v>0</v>
      </c>
      <c r="E1001" s="153">
        <v>0</v>
      </c>
      <c r="F1001" s="153">
        <f t="shared" si="30"/>
        <v>0</v>
      </c>
      <c r="G1001" s="153" t="str">
        <f t="shared" si="31"/>
        <v>OK</v>
      </c>
      <c r="H1001" s="153" t="b">
        <v>1</v>
      </c>
    </row>
    <row r="1002" spans="1:8" x14ac:dyDescent="0.3">
      <c r="A1002" s="153" t="s">
        <v>3587</v>
      </c>
      <c r="B1002" s="153" t="s">
        <v>2762</v>
      </c>
      <c r="C1002" s="153" t="s">
        <v>3588</v>
      </c>
      <c r="D1002" s="153">
        <v>911330.81112459011</v>
      </c>
      <c r="E1002" s="153">
        <v>911330.81112459011</v>
      </c>
      <c r="F1002" s="153">
        <f t="shared" si="30"/>
        <v>0</v>
      </c>
      <c r="G1002" s="153" t="str">
        <f t="shared" si="31"/>
        <v>OK</v>
      </c>
      <c r="H1002" s="153" t="b">
        <v>1</v>
      </c>
    </row>
    <row r="1003" spans="1:8" x14ac:dyDescent="0.3">
      <c r="A1003" s="153" t="s">
        <v>3589</v>
      </c>
      <c r="B1003" s="153" t="s">
        <v>2762</v>
      </c>
      <c r="C1003" s="153" t="s">
        <v>3590</v>
      </c>
      <c r="D1003" s="153">
        <v>911330.81112459011</v>
      </c>
      <c r="E1003" s="153">
        <v>911330.81112459011</v>
      </c>
      <c r="F1003" s="153">
        <f t="shared" si="30"/>
        <v>0</v>
      </c>
      <c r="G1003" s="153" t="str">
        <f t="shared" si="31"/>
        <v>OK</v>
      </c>
      <c r="H1003" s="153" t="b">
        <v>1</v>
      </c>
    </row>
    <row r="1004" spans="1:8" x14ac:dyDescent="0.3">
      <c r="A1004" s="153" t="s">
        <v>3591</v>
      </c>
      <c r="B1004" s="153" t="s">
        <v>2762</v>
      </c>
      <c r="C1004" s="153" t="s">
        <v>3592</v>
      </c>
      <c r="D1004" s="153">
        <v>0</v>
      </c>
      <c r="E1004" s="153">
        <v>0</v>
      </c>
      <c r="F1004" s="153">
        <f t="shared" si="30"/>
        <v>0</v>
      </c>
      <c r="G1004" s="153" t="str">
        <f t="shared" si="31"/>
        <v>OK</v>
      </c>
      <c r="H1004" s="153" t="b">
        <v>1</v>
      </c>
    </row>
    <row r="1005" spans="1:8" x14ac:dyDescent="0.3">
      <c r="A1005" s="153" t="s">
        <v>3593</v>
      </c>
      <c r="B1005" s="153" t="s">
        <v>2762</v>
      </c>
      <c r="C1005" s="153" t="s">
        <v>3594</v>
      </c>
      <c r="D1005" s="153">
        <v>23</v>
      </c>
      <c r="E1005" s="153">
        <v>23</v>
      </c>
      <c r="F1005" s="153">
        <f t="shared" si="30"/>
        <v>0</v>
      </c>
      <c r="G1005" s="153" t="str">
        <f t="shared" si="31"/>
        <v>OK</v>
      </c>
      <c r="H1005" s="153" t="b">
        <v>1</v>
      </c>
    </row>
    <row r="1006" spans="1:8" x14ac:dyDescent="0.3">
      <c r="A1006" s="153" t="s">
        <v>3595</v>
      </c>
      <c r="B1006" s="153" t="s">
        <v>2762</v>
      </c>
      <c r="C1006" s="153" t="s">
        <v>3596</v>
      </c>
      <c r="D1006" s="153">
        <v>0</v>
      </c>
      <c r="E1006" s="153">
        <v>0</v>
      </c>
      <c r="F1006" s="153">
        <f t="shared" si="30"/>
        <v>0</v>
      </c>
      <c r="G1006" s="153" t="str">
        <f t="shared" si="31"/>
        <v>OK</v>
      </c>
      <c r="H1006" s="153" t="b">
        <v>1</v>
      </c>
    </row>
    <row r="1007" spans="1:8" x14ac:dyDescent="0.3">
      <c r="A1007" s="153" t="s">
        <v>3597</v>
      </c>
      <c r="B1007" s="153" t="s">
        <v>2762</v>
      </c>
      <c r="C1007" s="153" t="s">
        <v>3598</v>
      </c>
      <c r="D1007" s="153">
        <v>3</v>
      </c>
      <c r="E1007" s="153">
        <v>3</v>
      </c>
      <c r="F1007" s="153">
        <f t="shared" si="30"/>
        <v>0</v>
      </c>
      <c r="G1007" s="153" t="str">
        <f t="shared" si="31"/>
        <v>OK</v>
      </c>
      <c r="H1007" s="153" t="b">
        <v>1</v>
      </c>
    </row>
    <row r="1008" spans="1:8" x14ac:dyDescent="0.3">
      <c r="A1008" s="153" t="s">
        <v>3599</v>
      </c>
      <c r="B1008" s="153" t="s">
        <v>2762</v>
      </c>
      <c r="C1008" s="153" t="s">
        <v>3600</v>
      </c>
      <c r="D1008" s="153">
        <v>0</v>
      </c>
      <c r="E1008" s="153">
        <v>0</v>
      </c>
      <c r="F1008" s="153">
        <f t="shared" si="30"/>
        <v>0</v>
      </c>
      <c r="G1008" s="153" t="str">
        <f t="shared" si="31"/>
        <v>OK</v>
      </c>
      <c r="H1008" s="153" t="b">
        <v>1</v>
      </c>
    </row>
    <row r="1009" spans="1:8" x14ac:dyDescent="0.3">
      <c r="A1009" s="153" t="s">
        <v>3601</v>
      </c>
      <c r="B1009" s="153" t="s">
        <v>2762</v>
      </c>
      <c r="C1009" s="153" t="s">
        <v>3602</v>
      </c>
      <c r="D1009" s="153">
        <v>0</v>
      </c>
      <c r="E1009" s="153">
        <v>0</v>
      </c>
      <c r="F1009" s="153">
        <f t="shared" si="30"/>
        <v>0</v>
      </c>
      <c r="G1009" s="153" t="str">
        <f t="shared" si="31"/>
        <v>OK</v>
      </c>
      <c r="H1009" s="153" t="b">
        <v>1</v>
      </c>
    </row>
  </sheetData>
  <autoFilter ref="A1:H1009"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253"/>
  <sheetViews>
    <sheetView workbookViewId="0">
      <pane xSplit="3" ySplit="1" topLeftCell="D2" activePane="bottomRight" state="frozen"/>
      <selection pane="topRight"/>
      <selection pane="bottomLeft"/>
      <selection pane="bottomRight"/>
    </sheetView>
  </sheetViews>
  <sheetFormatPr baseColWidth="10" defaultColWidth="8.88671875" defaultRowHeight="14.4" x14ac:dyDescent="0.3"/>
  <cols>
    <col min="1" max="1" width="42" customWidth="1"/>
    <col min="2" max="2" width="28" customWidth="1"/>
    <col min="3" max="3" width="14" customWidth="1"/>
    <col min="4" max="5" width="24" customWidth="1"/>
    <col min="6" max="6" width="20" customWidth="1"/>
    <col min="7" max="7" width="22" customWidth="1"/>
  </cols>
  <sheetData>
    <row r="1" spans="1:8" x14ac:dyDescent="0.3">
      <c r="A1" s="154" t="s">
        <v>653</v>
      </c>
      <c r="B1" s="154" t="s">
        <v>654</v>
      </c>
      <c r="C1" s="154" t="s">
        <v>655</v>
      </c>
      <c r="D1" s="154" t="s">
        <v>656</v>
      </c>
      <c r="E1" s="154" t="s">
        <v>657</v>
      </c>
      <c r="F1" s="154" t="s">
        <v>658</v>
      </c>
      <c r="G1" s="154" t="s">
        <v>659</v>
      </c>
      <c r="H1" s="154" t="s">
        <v>660</v>
      </c>
    </row>
    <row r="2" spans="1:8" x14ac:dyDescent="0.3">
      <c r="A2" s="153" t="s">
        <v>1351</v>
      </c>
      <c r="B2" s="153" t="s">
        <v>3603</v>
      </c>
      <c r="C2" s="153" t="s">
        <v>1353</v>
      </c>
      <c r="D2" s="153">
        <v>4</v>
      </c>
      <c r="E2" s="153">
        <v>4</v>
      </c>
      <c r="F2" s="153">
        <f t="shared" ref="F2:F65" si="0">IF(NOT(H2),"",IF(AND(ISNUMBER(D2),ISNUMBER(E2)),E2-D2,IF(D2=E2,0,1)))</f>
        <v>0</v>
      </c>
      <c r="G2" s="153" t="str">
        <f t="shared" ref="G2:G65" si="1">IF(NOT(H2),"PENDIENTE SIDE",IF(IF(AND(ISNUMBER(D2),ISNUMBER(E2)),IF(MOD(D2,1)=0,D2=E2,ABS(D2-E2)&lt;=0.000000001*MAX(1,ABS(D2),ABS(E2))),D2=E2),"OK","DIFERENCIA"))</f>
        <v>OK</v>
      </c>
      <c r="H2" s="153" t="b">
        <v>1</v>
      </c>
    </row>
    <row r="3" spans="1:8" x14ac:dyDescent="0.3">
      <c r="A3" s="153" t="s">
        <v>1354</v>
      </c>
      <c r="B3" s="153" t="s">
        <v>3603</v>
      </c>
      <c r="C3" s="153" t="s">
        <v>1355</v>
      </c>
      <c r="D3" s="153">
        <v>0</v>
      </c>
      <c r="E3" s="153">
        <v>0</v>
      </c>
      <c r="F3" s="153">
        <f t="shared" si="0"/>
        <v>0</v>
      </c>
      <c r="G3" s="153" t="str">
        <f t="shared" si="1"/>
        <v>OK</v>
      </c>
      <c r="H3" s="153" t="b">
        <v>1</v>
      </c>
    </row>
    <row r="4" spans="1:8" x14ac:dyDescent="0.3">
      <c r="A4" s="153" t="s">
        <v>1356</v>
      </c>
      <c r="B4" s="153" t="s">
        <v>3603</v>
      </c>
      <c r="C4" s="153" t="s">
        <v>1357</v>
      </c>
      <c r="D4" s="153">
        <v>2</v>
      </c>
      <c r="E4" s="153">
        <v>2</v>
      </c>
      <c r="F4" s="153">
        <f t="shared" si="0"/>
        <v>0</v>
      </c>
      <c r="G4" s="153" t="str">
        <f t="shared" si="1"/>
        <v>OK</v>
      </c>
      <c r="H4" s="153" t="b">
        <v>1</v>
      </c>
    </row>
    <row r="5" spans="1:8" x14ac:dyDescent="0.3">
      <c r="A5" s="153" t="s">
        <v>1358</v>
      </c>
      <c r="B5" s="153" t="s">
        <v>3603</v>
      </c>
      <c r="C5" s="153" t="s">
        <v>1359</v>
      </c>
      <c r="D5" s="153">
        <v>-1</v>
      </c>
      <c r="E5" s="153">
        <v>-1</v>
      </c>
      <c r="F5" s="153">
        <f t="shared" si="0"/>
        <v>0</v>
      </c>
      <c r="G5" s="153" t="str">
        <f t="shared" si="1"/>
        <v>OK</v>
      </c>
      <c r="H5" s="153" t="b">
        <v>1</v>
      </c>
    </row>
    <row r="6" spans="1:8" x14ac:dyDescent="0.3">
      <c r="A6" s="153" t="s">
        <v>1360</v>
      </c>
      <c r="B6" s="153" t="s">
        <v>3603</v>
      </c>
      <c r="C6" s="153" t="s">
        <v>1361</v>
      </c>
      <c r="D6" s="153">
        <v>5</v>
      </c>
      <c r="E6" s="153">
        <v>5</v>
      </c>
      <c r="F6" s="153">
        <f t="shared" si="0"/>
        <v>0</v>
      </c>
      <c r="G6" s="153" t="str">
        <f t="shared" si="1"/>
        <v>OK</v>
      </c>
      <c r="H6" s="153" t="b">
        <v>1</v>
      </c>
    </row>
    <row r="7" spans="1:8" x14ac:dyDescent="0.3">
      <c r="A7" s="153" t="s">
        <v>1362</v>
      </c>
      <c r="B7" s="153" t="s">
        <v>3603</v>
      </c>
      <c r="C7" s="153" t="s">
        <v>1363</v>
      </c>
      <c r="D7" s="153">
        <v>120</v>
      </c>
      <c r="E7" s="153">
        <v>120</v>
      </c>
      <c r="F7" s="153">
        <f t="shared" si="0"/>
        <v>0</v>
      </c>
      <c r="G7" s="153" t="str">
        <f t="shared" si="1"/>
        <v>OK</v>
      </c>
      <c r="H7" s="153" t="b">
        <v>1</v>
      </c>
    </row>
    <row r="8" spans="1:8" x14ac:dyDescent="0.3">
      <c r="A8" s="153" t="s">
        <v>1364</v>
      </c>
      <c r="B8" s="153" t="s">
        <v>3603</v>
      </c>
      <c r="C8" s="153" t="s">
        <v>1365</v>
      </c>
      <c r="D8" s="153">
        <v>0.9</v>
      </c>
      <c r="E8" s="153">
        <v>0.9</v>
      </c>
      <c r="F8" s="153">
        <f t="shared" si="0"/>
        <v>0</v>
      </c>
      <c r="G8" s="153" t="str">
        <f t="shared" si="1"/>
        <v>OK</v>
      </c>
      <c r="H8" s="153" t="b">
        <v>1</v>
      </c>
    </row>
    <row r="9" spans="1:8" x14ac:dyDescent="0.3">
      <c r="A9" s="153" t="s">
        <v>1366</v>
      </c>
      <c r="B9" s="153" t="s">
        <v>3603</v>
      </c>
      <c r="C9" s="153" t="s">
        <v>1367</v>
      </c>
      <c r="D9" s="153">
        <v>108</v>
      </c>
      <c r="E9" s="153">
        <v>108</v>
      </c>
      <c r="F9" s="153">
        <f t="shared" si="0"/>
        <v>0</v>
      </c>
      <c r="G9" s="153" t="str">
        <f t="shared" si="1"/>
        <v>OK</v>
      </c>
      <c r="H9" s="153" t="b">
        <v>1</v>
      </c>
    </row>
    <row r="10" spans="1:8" x14ac:dyDescent="0.3">
      <c r="A10" s="153" t="s">
        <v>1368</v>
      </c>
      <c r="B10" s="153" t="s">
        <v>3603</v>
      </c>
      <c r="C10" s="153" t="s">
        <v>1369</v>
      </c>
      <c r="D10" s="153">
        <v>71</v>
      </c>
      <c r="E10" s="153">
        <v>71</v>
      </c>
      <c r="F10" s="153">
        <f t="shared" si="0"/>
        <v>0</v>
      </c>
      <c r="G10" s="153" t="str">
        <f t="shared" si="1"/>
        <v>OK</v>
      </c>
      <c r="H10" s="153" t="b">
        <v>1</v>
      </c>
    </row>
    <row r="11" spans="1:8" x14ac:dyDescent="0.3">
      <c r="A11" s="153" t="s">
        <v>1370</v>
      </c>
      <c r="B11" s="153" t="s">
        <v>3603</v>
      </c>
      <c r="C11" s="153" t="s">
        <v>1371</v>
      </c>
      <c r="D11" s="153">
        <v>21.3</v>
      </c>
      <c r="E11" s="153">
        <v>21.3</v>
      </c>
      <c r="F11" s="153">
        <f t="shared" si="0"/>
        <v>0</v>
      </c>
      <c r="G11" s="153" t="str">
        <f t="shared" si="1"/>
        <v>OK</v>
      </c>
      <c r="H11" s="153" t="b">
        <v>1</v>
      </c>
    </row>
    <row r="12" spans="1:8" x14ac:dyDescent="0.3">
      <c r="A12" s="153" t="s">
        <v>1372</v>
      </c>
      <c r="B12" s="153" t="s">
        <v>3603</v>
      </c>
      <c r="C12" s="153" t="s">
        <v>1373</v>
      </c>
      <c r="D12" s="153">
        <v>71</v>
      </c>
      <c r="E12" s="153">
        <v>71</v>
      </c>
      <c r="F12" s="153">
        <f t="shared" si="0"/>
        <v>0</v>
      </c>
      <c r="G12" s="153" t="str">
        <f t="shared" si="1"/>
        <v>OK</v>
      </c>
      <c r="H12" s="153" t="b">
        <v>1</v>
      </c>
    </row>
    <row r="13" spans="1:8" x14ac:dyDescent="0.3">
      <c r="A13" s="153" t="s">
        <v>1374</v>
      </c>
      <c r="B13" s="153" t="s">
        <v>3603</v>
      </c>
      <c r="C13" s="153" t="s">
        <v>1375</v>
      </c>
      <c r="D13" s="153">
        <v>426</v>
      </c>
      <c r="E13" s="153">
        <v>426</v>
      </c>
      <c r="F13" s="153">
        <f t="shared" si="0"/>
        <v>0</v>
      </c>
      <c r="G13" s="153" t="str">
        <f t="shared" si="1"/>
        <v>OK</v>
      </c>
      <c r="H13" s="153" t="b">
        <v>1</v>
      </c>
    </row>
    <row r="14" spans="1:8" x14ac:dyDescent="0.3">
      <c r="A14" s="153" t="s">
        <v>1376</v>
      </c>
      <c r="B14" s="153" t="s">
        <v>3603</v>
      </c>
      <c r="C14" s="153" t="s">
        <v>1377</v>
      </c>
      <c r="D14" s="153">
        <v>7784.7199999999993</v>
      </c>
      <c r="E14" s="153">
        <v>7784.7199999999993</v>
      </c>
      <c r="F14" s="153">
        <f t="shared" si="0"/>
        <v>0</v>
      </c>
      <c r="G14" s="153" t="str">
        <f t="shared" si="1"/>
        <v>OK</v>
      </c>
      <c r="H14" s="153" t="b">
        <v>1</v>
      </c>
    </row>
    <row r="15" spans="1:8" x14ac:dyDescent="0.3">
      <c r="A15" s="153" t="s">
        <v>1378</v>
      </c>
      <c r="B15" s="153" t="s">
        <v>3603</v>
      </c>
      <c r="C15" s="153" t="s">
        <v>1379</v>
      </c>
      <c r="D15" s="153">
        <v>1488.9694</v>
      </c>
      <c r="E15" s="153">
        <v>1488.9694</v>
      </c>
      <c r="F15" s="153">
        <f t="shared" si="0"/>
        <v>0</v>
      </c>
      <c r="G15" s="153" t="str">
        <f t="shared" si="1"/>
        <v>OK</v>
      </c>
      <c r="H15" s="153" t="b">
        <v>1</v>
      </c>
    </row>
    <row r="16" spans="1:8" x14ac:dyDescent="0.3">
      <c r="A16" s="153" t="s">
        <v>1380</v>
      </c>
      <c r="B16" s="153" t="s">
        <v>3603</v>
      </c>
      <c r="C16" s="153" t="s">
        <v>1381</v>
      </c>
      <c r="D16" s="153">
        <v>31.25</v>
      </c>
      <c r="E16" s="153">
        <v>31.25</v>
      </c>
      <c r="F16" s="153">
        <f t="shared" si="0"/>
        <v>0</v>
      </c>
      <c r="G16" s="153" t="str">
        <f t="shared" si="1"/>
        <v>OK</v>
      </c>
      <c r="H16" s="153" t="b">
        <v>1</v>
      </c>
    </row>
    <row r="17" spans="1:8" x14ac:dyDescent="0.3">
      <c r="A17" s="153" t="s">
        <v>1382</v>
      </c>
      <c r="B17" s="153" t="s">
        <v>3603</v>
      </c>
      <c r="C17" s="153" t="s">
        <v>1383</v>
      </c>
      <c r="D17" s="153">
        <v>64.125</v>
      </c>
      <c r="E17" s="153">
        <v>64.125</v>
      </c>
      <c r="F17" s="153">
        <f t="shared" si="0"/>
        <v>0</v>
      </c>
      <c r="G17" s="153" t="str">
        <f t="shared" si="1"/>
        <v>OK</v>
      </c>
      <c r="H17" s="153" t="b">
        <v>1</v>
      </c>
    </row>
    <row r="18" spans="1:8" x14ac:dyDescent="0.3">
      <c r="A18" s="153" t="s">
        <v>1384</v>
      </c>
      <c r="B18" s="153" t="s">
        <v>3603</v>
      </c>
      <c r="C18" s="153" t="s">
        <v>1385</v>
      </c>
      <c r="D18" s="153">
        <v>0</v>
      </c>
      <c r="E18" s="153">
        <v>0</v>
      </c>
      <c r="F18" s="153">
        <f t="shared" si="0"/>
        <v>0</v>
      </c>
      <c r="G18" s="153" t="str">
        <f t="shared" si="1"/>
        <v>OK</v>
      </c>
      <c r="H18" s="153" t="b">
        <v>1</v>
      </c>
    </row>
    <row r="19" spans="1:8" x14ac:dyDescent="0.3">
      <c r="A19" s="153" t="s">
        <v>1386</v>
      </c>
      <c r="B19" s="153" t="s">
        <v>3603</v>
      </c>
      <c r="C19" s="153" t="s">
        <v>1387</v>
      </c>
      <c r="D19" s="153">
        <v>0</v>
      </c>
      <c r="E19" s="153">
        <v>0</v>
      </c>
      <c r="F19" s="153">
        <f t="shared" si="0"/>
        <v>0</v>
      </c>
      <c r="G19" s="153" t="str">
        <f t="shared" si="1"/>
        <v>OK</v>
      </c>
      <c r="H19" s="153" t="b">
        <v>1</v>
      </c>
    </row>
    <row r="20" spans="1:8" x14ac:dyDescent="0.3">
      <c r="A20" s="153" t="s">
        <v>1388</v>
      </c>
      <c r="B20" s="153" t="s">
        <v>3603</v>
      </c>
      <c r="C20" s="153" t="s">
        <v>1391</v>
      </c>
      <c r="D20" s="153">
        <v>3500</v>
      </c>
      <c r="E20" s="153">
        <v>3500</v>
      </c>
      <c r="F20" s="153">
        <f t="shared" si="0"/>
        <v>0</v>
      </c>
      <c r="G20" s="153" t="str">
        <f t="shared" si="1"/>
        <v>OK</v>
      </c>
      <c r="H20" s="153" t="b">
        <v>1</v>
      </c>
    </row>
    <row r="21" spans="1:8" x14ac:dyDescent="0.3">
      <c r="A21" s="153" t="s">
        <v>1390</v>
      </c>
      <c r="B21" s="153" t="s">
        <v>3603</v>
      </c>
      <c r="C21" s="153" t="s">
        <v>1393</v>
      </c>
      <c r="D21" s="153">
        <v>3500</v>
      </c>
      <c r="E21" s="153">
        <v>3500</v>
      </c>
      <c r="F21" s="153">
        <f t="shared" si="0"/>
        <v>0</v>
      </c>
      <c r="G21" s="153" t="str">
        <f t="shared" si="1"/>
        <v>OK</v>
      </c>
      <c r="H21" s="153" t="b">
        <v>1</v>
      </c>
    </row>
    <row r="22" spans="1:8" x14ac:dyDescent="0.3">
      <c r="A22" s="153" t="s">
        <v>1392</v>
      </c>
      <c r="B22" s="153" t="s">
        <v>3603</v>
      </c>
      <c r="C22" s="153" t="s">
        <v>1395</v>
      </c>
      <c r="D22" s="153">
        <v>71</v>
      </c>
      <c r="E22" s="153">
        <v>71</v>
      </c>
      <c r="F22" s="153">
        <f t="shared" si="0"/>
        <v>0</v>
      </c>
      <c r="G22" s="153" t="str">
        <f t="shared" si="1"/>
        <v>OK</v>
      </c>
      <c r="H22" s="153" t="b">
        <v>1</v>
      </c>
    </row>
    <row r="23" spans="1:8" x14ac:dyDescent="0.3">
      <c r="A23" s="153" t="s">
        <v>1394</v>
      </c>
      <c r="B23" s="153" t="s">
        <v>3603</v>
      </c>
      <c r="C23" s="153" t="s">
        <v>1397</v>
      </c>
      <c r="D23" s="153">
        <v>2840</v>
      </c>
      <c r="E23" s="153">
        <v>2840</v>
      </c>
      <c r="F23" s="153">
        <f t="shared" si="0"/>
        <v>0</v>
      </c>
      <c r="G23" s="153" t="str">
        <f t="shared" si="1"/>
        <v>OK</v>
      </c>
      <c r="H23" s="153" t="b">
        <v>1</v>
      </c>
    </row>
    <row r="24" spans="1:8" x14ac:dyDescent="0.3">
      <c r="A24" s="153" t="s">
        <v>1396</v>
      </c>
      <c r="B24" s="153" t="s">
        <v>3603</v>
      </c>
      <c r="C24" s="153" t="s">
        <v>2254</v>
      </c>
      <c r="D24" s="153">
        <v>0</v>
      </c>
      <c r="E24" s="153">
        <v>0</v>
      </c>
      <c r="F24" s="153">
        <f t="shared" si="0"/>
        <v>0</v>
      </c>
      <c r="G24" s="153" t="str">
        <f t="shared" si="1"/>
        <v>OK</v>
      </c>
      <c r="H24" s="153" t="b">
        <v>1</v>
      </c>
    </row>
    <row r="25" spans="1:8" x14ac:dyDescent="0.3">
      <c r="A25" s="153" t="s">
        <v>1398</v>
      </c>
      <c r="B25" s="153" t="s">
        <v>3603</v>
      </c>
      <c r="C25" s="153" t="s">
        <v>1399</v>
      </c>
      <c r="D25" s="153">
        <v>0</v>
      </c>
      <c r="E25" s="153">
        <v>0</v>
      </c>
      <c r="F25" s="153">
        <f t="shared" si="0"/>
        <v>0</v>
      </c>
      <c r="G25" s="153" t="str">
        <f t="shared" si="1"/>
        <v>OK</v>
      </c>
      <c r="H25" s="153" t="b">
        <v>1</v>
      </c>
    </row>
    <row r="26" spans="1:8" x14ac:dyDescent="0.3">
      <c r="A26" s="153" t="s">
        <v>1400</v>
      </c>
      <c r="B26" s="153" t="s">
        <v>3603</v>
      </c>
      <c r="C26" s="153" t="s">
        <v>1401</v>
      </c>
      <c r="D26" s="153">
        <v>1657.8570370370369</v>
      </c>
      <c r="E26" s="153">
        <v>1657.8570370370369</v>
      </c>
      <c r="F26" s="153">
        <f t="shared" si="0"/>
        <v>0</v>
      </c>
      <c r="G26" s="153" t="str">
        <f t="shared" si="1"/>
        <v>OK</v>
      </c>
      <c r="H26" s="153" t="b">
        <v>1</v>
      </c>
    </row>
    <row r="27" spans="1:8" x14ac:dyDescent="0.3">
      <c r="A27" s="153" t="s">
        <v>1402</v>
      </c>
      <c r="B27" s="153" t="s">
        <v>3603</v>
      </c>
      <c r="C27" s="153" t="s">
        <v>1403</v>
      </c>
      <c r="D27" s="153">
        <v>0</v>
      </c>
      <c r="E27" s="153">
        <v>0</v>
      </c>
      <c r="F27" s="153">
        <f t="shared" si="0"/>
        <v>0</v>
      </c>
      <c r="G27" s="153" t="str">
        <f t="shared" si="1"/>
        <v>OK</v>
      </c>
      <c r="H27" s="153" t="b">
        <v>1</v>
      </c>
    </row>
    <row r="28" spans="1:8" x14ac:dyDescent="0.3">
      <c r="A28" s="153" t="s">
        <v>1404</v>
      </c>
      <c r="B28" s="153" t="s">
        <v>3603</v>
      </c>
      <c r="C28" s="153" t="s">
        <v>1405</v>
      </c>
      <c r="D28" s="153">
        <v>1500</v>
      </c>
      <c r="E28" s="153">
        <v>1500</v>
      </c>
      <c r="F28" s="153">
        <f t="shared" si="0"/>
        <v>0</v>
      </c>
      <c r="G28" s="153" t="str">
        <f t="shared" si="1"/>
        <v>OK</v>
      </c>
      <c r="H28" s="153" t="b">
        <v>1</v>
      </c>
    </row>
    <row r="29" spans="1:8" x14ac:dyDescent="0.3">
      <c r="A29" s="153" t="s">
        <v>1406</v>
      </c>
      <c r="B29" s="153" t="s">
        <v>3603</v>
      </c>
      <c r="C29" s="153" t="s">
        <v>1407</v>
      </c>
      <c r="D29" s="153">
        <v>12526.921437037039</v>
      </c>
      <c r="E29" s="153">
        <v>12526.921437037039</v>
      </c>
      <c r="F29" s="153">
        <f t="shared" si="0"/>
        <v>0</v>
      </c>
      <c r="G29" s="153" t="str">
        <f t="shared" si="1"/>
        <v>OK</v>
      </c>
      <c r="H29" s="153" t="b">
        <v>1</v>
      </c>
    </row>
    <row r="30" spans="1:8" x14ac:dyDescent="0.3">
      <c r="A30" s="153" t="s">
        <v>1408</v>
      </c>
      <c r="B30" s="153" t="s">
        <v>3603</v>
      </c>
      <c r="C30" s="153" t="s">
        <v>1409</v>
      </c>
      <c r="D30" s="153">
        <v>-9686.9214370370355</v>
      </c>
      <c r="E30" s="153">
        <v>-9686.9214370370355</v>
      </c>
      <c r="F30" s="153">
        <f t="shared" si="0"/>
        <v>0</v>
      </c>
      <c r="G30" s="153" t="str">
        <f t="shared" si="1"/>
        <v>OK</v>
      </c>
      <c r="H30" s="153" t="b">
        <v>1</v>
      </c>
    </row>
    <row r="31" spans="1:8" x14ac:dyDescent="0.3">
      <c r="A31" s="153" t="s">
        <v>1410</v>
      </c>
      <c r="B31" s="153" t="s">
        <v>3603</v>
      </c>
      <c r="C31" s="153" t="s">
        <v>1411</v>
      </c>
      <c r="D31" s="153">
        <v>1</v>
      </c>
      <c r="E31" s="153">
        <v>1</v>
      </c>
      <c r="F31" s="153">
        <f t="shared" si="0"/>
        <v>0</v>
      </c>
      <c r="G31" s="153" t="str">
        <f t="shared" si="1"/>
        <v>OK</v>
      </c>
      <c r="H31" s="153" t="b">
        <v>1</v>
      </c>
    </row>
    <row r="32" spans="1:8" x14ac:dyDescent="0.3">
      <c r="A32" s="153" t="s">
        <v>1412</v>
      </c>
      <c r="B32" s="153" t="s">
        <v>3603</v>
      </c>
      <c r="C32" s="153" t="s">
        <v>1413</v>
      </c>
      <c r="D32" s="153">
        <v>3</v>
      </c>
      <c r="E32" s="153">
        <v>3</v>
      </c>
      <c r="F32" s="153">
        <f t="shared" si="0"/>
        <v>0</v>
      </c>
      <c r="G32" s="153" t="str">
        <f t="shared" si="1"/>
        <v>OK</v>
      </c>
      <c r="H32" s="153" t="b">
        <v>1</v>
      </c>
    </row>
    <row r="33" spans="1:8" x14ac:dyDescent="0.3">
      <c r="A33" s="153" t="s">
        <v>1414</v>
      </c>
      <c r="B33" s="153" t="s">
        <v>3603</v>
      </c>
      <c r="C33" s="153" t="s">
        <v>1415</v>
      </c>
      <c r="D33" s="153">
        <v>278.7</v>
      </c>
      <c r="E33" s="153">
        <v>278.7</v>
      </c>
      <c r="F33" s="153">
        <f t="shared" si="0"/>
        <v>0</v>
      </c>
      <c r="G33" s="153" t="str">
        <f t="shared" si="1"/>
        <v>OK</v>
      </c>
      <c r="H33" s="153" t="b">
        <v>1</v>
      </c>
    </row>
    <row r="34" spans="1:8" x14ac:dyDescent="0.3">
      <c r="A34" s="153" t="s">
        <v>1416</v>
      </c>
      <c r="B34" s="153" t="s">
        <v>3603</v>
      </c>
      <c r="C34" s="153" t="s">
        <v>1417</v>
      </c>
      <c r="D34" s="153">
        <v>0</v>
      </c>
      <c r="E34" s="153">
        <v>0</v>
      </c>
      <c r="F34" s="153">
        <f t="shared" si="0"/>
        <v>0</v>
      </c>
      <c r="G34" s="153" t="str">
        <f t="shared" si="1"/>
        <v>OK</v>
      </c>
      <c r="H34" s="153" t="b">
        <v>1</v>
      </c>
    </row>
    <row r="35" spans="1:8" x14ac:dyDescent="0.3">
      <c r="A35" s="153" t="s">
        <v>1418</v>
      </c>
      <c r="B35" s="153" t="s">
        <v>3603</v>
      </c>
      <c r="C35" s="153" t="s">
        <v>1419</v>
      </c>
      <c r="D35" s="153">
        <v>0</v>
      </c>
      <c r="E35" s="153">
        <v>0</v>
      </c>
      <c r="F35" s="153">
        <f t="shared" si="0"/>
        <v>0</v>
      </c>
      <c r="G35" s="153" t="str">
        <f t="shared" si="1"/>
        <v>OK</v>
      </c>
      <c r="H35" s="153" t="b">
        <v>1</v>
      </c>
    </row>
    <row r="36" spans="1:8" x14ac:dyDescent="0.3">
      <c r="A36" s="153" t="s">
        <v>1420</v>
      </c>
      <c r="B36" s="153" t="s">
        <v>3603</v>
      </c>
      <c r="C36" s="153" t="s">
        <v>1421</v>
      </c>
      <c r="D36" s="153">
        <v>929</v>
      </c>
      <c r="E36" s="153">
        <v>929</v>
      </c>
      <c r="F36" s="153">
        <f t="shared" si="0"/>
        <v>0</v>
      </c>
      <c r="G36" s="153" t="str">
        <f t="shared" si="1"/>
        <v>OK</v>
      </c>
      <c r="H36" s="153" t="b">
        <v>1</v>
      </c>
    </row>
    <row r="37" spans="1:8" x14ac:dyDescent="0.3">
      <c r="A37" s="153" t="s">
        <v>1422</v>
      </c>
      <c r="B37" s="153" t="s">
        <v>3603</v>
      </c>
      <c r="C37" s="153" t="s">
        <v>1423</v>
      </c>
      <c r="D37" s="153">
        <v>0</v>
      </c>
      <c r="E37" s="153">
        <v>0</v>
      </c>
      <c r="F37" s="153">
        <f t="shared" si="0"/>
        <v>0</v>
      </c>
      <c r="G37" s="153" t="str">
        <f t="shared" si="1"/>
        <v>OK</v>
      </c>
      <c r="H37" s="153" t="b">
        <v>1</v>
      </c>
    </row>
    <row r="38" spans="1:8" x14ac:dyDescent="0.3">
      <c r="A38" s="153" t="s">
        <v>1424</v>
      </c>
      <c r="B38" s="153" t="s">
        <v>3603</v>
      </c>
      <c r="C38" s="153" t="s">
        <v>1425</v>
      </c>
      <c r="D38" s="153">
        <v>5574</v>
      </c>
      <c r="E38" s="153">
        <v>5574</v>
      </c>
      <c r="F38" s="153">
        <f t="shared" si="0"/>
        <v>0</v>
      </c>
      <c r="G38" s="153" t="str">
        <f t="shared" si="1"/>
        <v>OK</v>
      </c>
      <c r="H38" s="153" t="b">
        <v>1</v>
      </c>
    </row>
    <row r="39" spans="1:8" x14ac:dyDescent="0.3">
      <c r="A39" s="153" t="s">
        <v>1426</v>
      </c>
      <c r="B39" s="153" t="s">
        <v>3603</v>
      </c>
      <c r="C39" s="153" t="s">
        <v>1427</v>
      </c>
      <c r="D39" s="153">
        <v>0</v>
      </c>
      <c r="E39" s="153">
        <v>0</v>
      </c>
      <c r="F39" s="153">
        <f t="shared" si="0"/>
        <v>0</v>
      </c>
      <c r="G39" s="153" t="str">
        <f t="shared" si="1"/>
        <v>OK</v>
      </c>
      <c r="H39" s="153" t="b">
        <v>1</v>
      </c>
    </row>
    <row r="40" spans="1:8" x14ac:dyDescent="0.3">
      <c r="A40" s="153" t="s">
        <v>1428</v>
      </c>
      <c r="B40" s="153" t="s">
        <v>3603</v>
      </c>
      <c r="C40" s="153" t="s">
        <v>1429</v>
      </c>
      <c r="D40" s="153">
        <v>0</v>
      </c>
      <c r="E40" s="153">
        <v>0</v>
      </c>
      <c r="F40" s="153">
        <f t="shared" si="0"/>
        <v>0</v>
      </c>
      <c r="G40" s="153" t="str">
        <f t="shared" si="1"/>
        <v>OK</v>
      </c>
      <c r="H40" s="153" t="b">
        <v>1</v>
      </c>
    </row>
    <row r="41" spans="1:8" x14ac:dyDescent="0.3">
      <c r="A41" s="153" t="s">
        <v>1430</v>
      </c>
      <c r="B41" s="153" t="s">
        <v>3603</v>
      </c>
      <c r="C41" s="153" t="s">
        <v>1431</v>
      </c>
      <c r="D41" s="153" t="b">
        <v>0</v>
      </c>
      <c r="E41" s="153" t="b">
        <v>0</v>
      </c>
      <c r="F41" s="153">
        <f t="shared" si="0"/>
        <v>0</v>
      </c>
      <c r="G41" s="153" t="str">
        <f t="shared" si="1"/>
        <v>OK</v>
      </c>
      <c r="H41" s="153" t="b">
        <v>1</v>
      </c>
    </row>
    <row r="42" spans="1:8" x14ac:dyDescent="0.3">
      <c r="A42" s="153" t="s">
        <v>1432</v>
      </c>
      <c r="B42" s="153" t="s">
        <v>3603</v>
      </c>
      <c r="C42" s="153" t="s">
        <v>1433</v>
      </c>
      <c r="D42" s="153" t="b">
        <v>0</v>
      </c>
      <c r="E42" s="153" t="b">
        <v>0</v>
      </c>
      <c r="F42" s="153">
        <f t="shared" si="0"/>
        <v>0</v>
      </c>
      <c r="G42" s="153" t="str">
        <f t="shared" si="1"/>
        <v>OK</v>
      </c>
      <c r="H42" s="153" t="b">
        <v>1</v>
      </c>
    </row>
    <row r="43" spans="1:8" x14ac:dyDescent="0.3">
      <c r="A43" s="153" t="s">
        <v>1434</v>
      </c>
      <c r="B43" s="153" t="s">
        <v>3603</v>
      </c>
      <c r="C43" s="153" t="s">
        <v>1435</v>
      </c>
      <c r="D43" s="153" t="b">
        <v>1</v>
      </c>
      <c r="E43" s="153" t="b">
        <v>1</v>
      </c>
      <c r="F43" s="153">
        <f t="shared" si="0"/>
        <v>0</v>
      </c>
      <c r="G43" s="153" t="str">
        <f t="shared" si="1"/>
        <v>OK</v>
      </c>
      <c r="H43" s="153" t="b">
        <v>1</v>
      </c>
    </row>
    <row r="44" spans="1:8" x14ac:dyDescent="0.3">
      <c r="A44" s="153" t="s">
        <v>1436</v>
      </c>
      <c r="B44" s="153" t="s">
        <v>3603</v>
      </c>
      <c r="C44" s="153" t="s">
        <v>1437</v>
      </c>
      <c r="D44" s="153" t="b">
        <v>0</v>
      </c>
      <c r="E44" s="153" t="b">
        <v>0</v>
      </c>
      <c r="F44" s="153">
        <f t="shared" si="0"/>
        <v>0</v>
      </c>
      <c r="G44" s="153" t="str">
        <f t="shared" si="1"/>
        <v>OK</v>
      </c>
      <c r="H44" s="153" t="b">
        <v>1</v>
      </c>
    </row>
    <row r="45" spans="1:8" x14ac:dyDescent="0.3">
      <c r="A45" s="153" t="s">
        <v>1438</v>
      </c>
      <c r="B45" s="153" t="s">
        <v>3603</v>
      </c>
      <c r="C45" s="153" t="s">
        <v>1439</v>
      </c>
      <c r="D45" s="153" t="b">
        <v>1</v>
      </c>
      <c r="E45" s="153" t="b">
        <v>1</v>
      </c>
      <c r="F45" s="153">
        <f t="shared" si="0"/>
        <v>0</v>
      </c>
      <c r="G45" s="153" t="str">
        <f t="shared" si="1"/>
        <v>OK</v>
      </c>
      <c r="H45" s="153" t="b">
        <v>1</v>
      </c>
    </row>
    <row r="46" spans="1:8" x14ac:dyDescent="0.3">
      <c r="A46" s="153" t="s">
        <v>1440</v>
      </c>
      <c r="B46" s="153" t="s">
        <v>3603</v>
      </c>
      <c r="C46" s="153" t="s">
        <v>1441</v>
      </c>
      <c r="D46" s="153" t="b">
        <v>1</v>
      </c>
      <c r="E46" s="153" t="b">
        <v>1</v>
      </c>
      <c r="F46" s="153">
        <f t="shared" si="0"/>
        <v>0</v>
      </c>
      <c r="G46" s="153" t="str">
        <f t="shared" si="1"/>
        <v>OK</v>
      </c>
      <c r="H46" s="153" t="b">
        <v>1</v>
      </c>
    </row>
    <row r="47" spans="1:8" x14ac:dyDescent="0.3">
      <c r="A47" s="153" t="s">
        <v>1442</v>
      </c>
      <c r="B47" s="153" t="s">
        <v>3603</v>
      </c>
      <c r="C47" s="153" t="s">
        <v>1443</v>
      </c>
      <c r="D47" s="153" t="b">
        <v>0</v>
      </c>
      <c r="E47" s="153" t="b">
        <v>0</v>
      </c>
      <c r="F47" s="153">
        <f t="shared" si="0"/>
        <v>0</v>
      </c>
      <c r="G47" s="153" t="str">
        <f t="shared" si="1"/>
        <v>OK</v>
      </c>
      <c r="H47" s="153" t="b">
        <v>1</v>
      </c>
    </row>
    <row r="48" spans="1:8" x14ac:dyDescent="0.3">
      <c r="A48" s="153" t="s">
        <v>1444</v>
      </c>
      <c r="B48" s="153" t="s">
        <v>3603</v>
      </c>
      <c r="C48" s="153" t="s">
        <v>1445</v>
      </c>
      <c r="D48" s="153" t="b">
        <v>1</v>
      </c>
      <c r="E48" s="153" t="b">
        <v>1</v>
      </c>
      <c r="F48" s="153">
        <f t="shared" si="0"/>
        <v>0</v>
      </c>
      <c r="G48" s="153" t="str">
        <f t="shared" si="1"/>
        <v>OK</v>
      </c>
      <c r="H48" s="153" t="b">
        <v>1</v>
      </c>
    </row>
    <row r="49" spans="1:8" x14ac:dyDescent="0.3">
      <c r="A49" s="153" t="s">
        <v>1446</v>
      </c>
      <c r="B49" s="153" t="s">
        <v>3603</v>
      </c>
      <c r="C49" s="153" t="s">
        <v>1447</v>
      </c>
      <c r="D49" s="153">
        <v>0</v>
      </c>
      <c r="E49" s="153">
        <v>0</v>
      </c>
      <c r="F49" s="153">
        <f t="shared" si="0"/>
        <v>0</v>
      </c>
      <c r="G49" s="153" t="str">
        <f t="shared" si="1"/>
        <v>OK</v>
      </c>
      <c r="H49" s="153" t="b">
        <v>1</v>
      </c>
    </row>
    <row r="50" spans="1:8" x14ac:dyDescent="0.3">
      <c r="A50" s="153" t="s">
        <v>1448</v>
      </c>
      <c r="B50" s="153" t="s">
        <v>3603</v>
      </c>
      <c r="C50" s="153" t="s">
        <v>1449</v>
      </c>
      <c r="D50" s="153">
        <v>20</v>
      </c>
      <c r="E50" s="153">
        <v>20</v>
      </c>
      <c r="F50" s="153">
        <f t="shared" si="0"/>
        <v>0</v>
      </c>
      <c r="G50" s="153" t="str">
        <f t="shared" si="1"/>
        <v>OK</v>
      </c>
      <c r="H50" s="153" t="b">
        <v>1</v>
      </c>
    </row>
    <row r="51" spans="1:8" x14ac:dyDescent="0.3">
      <c r="A51" s="153" t="s">
        <v>1450</v>
      </c>
      <c r="B51" s="153" t="s">
        <v>3603</v>
      </c>
      <c r="C51" s="153" t="s">
        <v>1451</v>
      </c>
      <c r="D51" s="153">
        <v>0</v>
      </c>
      <c r="E51" s="153">
        <v>0</v>
      </c>
      <c r="F51" s="153">
        <f t="shared" si="0"/>
        <v>0</v>
      </c>
      <c r="G51" s="153" t="str">
        <f t="shared" si="1"/>
        <v>OK</v>
      </c>
      <c r="H51" s="153" t="b">
        <v>1</v>
      </c>
    </row>
    <row r="52" spans="1:8" x14ac:dyDescent="0.3">
      <c r="A52" s="153" t="s">
        <v>1452</v>
      </c>
      <c r="B52" s="153" t="s">
        <v>3603</v>
      </c>
      <c r="C52" s="153" t="s">
        <v>1453</v>
      </c>
      <c r="D52" s="153">
        <v>3</v>
      </c>
      <c r="E52" s="153">
        <v>3</v>
      </c>
      <c r="F52" s="153">
        <f t="shared" si="0"/>
        <v>0</v>
      </c>
      <c r="G52" s="153" t="str">
        <f t="shared" si="1"/>
        <v>OK</v>
      </c>
      <c r="H52" s="153" t="b">
        <v>1</v>
      </c>
    </row>
    <row r="53" spans="1:8" x14ac:dyDescent="0.3">
      <c r="A53" s="153" t="s">
        <v>2256</v>
      </c>
      <c r="B53" s="153" t="s">
        <v>3603</v>
      </c>
      <c r="C53" s="153" t="s">
        <v>1455</v>
      </c>
      <c r="D53" s="153">
        <v>4</v>
      </c>
      <c r="E53" s="153">
        <v>4</v>
      </c>
      <c r="F53" s="153">
        <f t="shared" si="0"/>
        <v>0</v>
      </c>
      <c r="G53" s="153" t="str">
        <f t="shared" si="1"/>
        <v>OK</v>
      </c>
      <c r="H53" s="153" t="b">
        <v>1</v>
      </c>
    </row>
    <row r="54" spans="1:8" x14ac:dyDescent="0.3">
      <c r="A54" s="153" t="s">
        <v>2257</v>
      </c>
      <c r="B54" s="153" t="s">
        <v>3603</v>
      </c>
      <c r="C54" s="153" t="s">
        <v>1457</v>
      </c>
      <c r="D54" s="153">
        <v>-4</v>
      </c>
      <c r="E54" s="153">
        <v>-4</v>
      </c>
      <c r="F54" s="153">
        <f t="shared" si="0"/>
        <v>0</v>
      </c>
      <c r="G54" s="153" t="str">
        <f t="shared" si="1"/>
        <v>OK</v>
      </c>
      <c r="H54" s="153" t="b">
        <v>1</v>
      </c>
    </row>
    <row r="55" spans="1:8" x14ac:dyDescent="0.3">
      <c r="A55" s="153" t="s">
        <v>2258</v>
      </c>
      <c r="B55" s="153" t="s">
        <v>3603</v>
      </c>
      <c r="C55" s="153" t="s">
        <v>1459</v>
      </c>
      <c r="D55" s="153">
        <v>0</v>
      </c>
      <c r="E55" s="153">
        <v>0</v>
      </c>
      <c r="F55" s="153">
        <f t="shared" si="0"/>
        <v>0</v>
      </c>
      <c r="G55" s="153" t="str">
        <f t="shared" si="1"/>
        <v>OK</v>
      </c>
      <c r="H55" s="153" t="b">
        <v>1</v>
      </c>
    </row>
    <row r="56" spans="1:8" x14ac:dyDescent="0.3">
      <c r="A56" s="153" t="s">
        <v>2259</v>
      </c>
      <c r="B56" s="153" t="s">
        <v>3603</v>
      </c>
      <c r="C56" s="153" t="s">
        <v>1461</v>
      </c>
      <c r="D56" s="153">
        <v>10</v>
      </c>
      <c r="E56" s="153">
        <v>10</v>
      </c>
      <c r="F56" s="153">
        <f t="shared" si="0"/>
        <v>0</v>
      </c>
      <c r="G56" s="153" t="str">
        <f t="shared" si="1"/>
        <v>OK</v>
      </c>
      <c r="H56" s="153" t="b">
        <v>1</v>
      </c>
    </row>
    <row r="57" spans="1:8" x14ac:dyDescent="0.3">
      <c r="A57" s="153" t="s">
        <v>2260</v>
      </c>
      <c r="B57" s="153" t="s">
        <v>3603</v>
      </c>
      <c r="C57" s="153" t="s">
        <v>1463</v>
      </c>
      <c r="D57" s="153">
        <v>5</v>
      </c>
      <c r="E57" s="153">
        <v>5</v>
      </c>
      <c r="F57" s="153">
        <f t="shared" si="0"/>
        <v>0</v>
      </c>
      <c r="G57" s="153" t="str">
        <f t="shared" si="1"/>
        <v>OK</v>
      </c>
      <c r="H57" s="153" t="b">
        <v>1</v>
      </c>
    </row>
    <row r="58" spans="1:8" x14ac:dyDescent="0.3">
      <c r="A58" s="153" t="s">
        <v>2261</v>
      </c>
      <c r="B58" s="153" t="s">
        <v>3603</v>
      </c>
      <c r="C58" s="153" t="s">
        <v>1465</v>
      </c>
      <c r="D58" s="153">
        <v>120</v>
      </c>
      <c r="E58" s="153">
        <v>120</v>
      </c>
      <c r="F58" s="153">
        <f t="shared" si="0"/>
        <v>0</v>
      </c>
      <c r="G58" s="153" t="str">
        <f t="shared" si="1"/>
        <v>OK</v>
      </c>
      <c r="H58" s="153" t="b">
        <v>1</v>
      </c>
    </row>
    <row r="59" spans="1:8" x14ac:dyDescent="0.3">
      <c r="A59" s="153" t="s">
        <v>2262</v>
      </c>
      <c r="B59" s="153" t="s">
        <v>3603</v>
      </c>
      <c r="C59" s="153" t="s">
        <v>1467</v>
      </c>
      <c r="D59" s="153">
        <v>0.9</v>
      </c>
      <c r="E59" s="153">
        <v>0.9</v>
      </c>
      <c r="F59" s="153">
        <f t="shared" si="0"/>
        <v>0</v>
      </c>
      <c r="G59" s="153" t="str">
        <f t="shared" si="1"/>
        <v>OK</v>
      </c>
      <c r="H59" s="153" t="b">
        <v>1</v>
      </c>
    </row>
    <row r="60" spans="1:8" x14ac:dyDescent="0.3">
      <c r="A60" s="153" t="s">
        <v>2263</v>
      </c>
      <c r="B60" s="153" t="s">
        <v>3603</v>
      </c>
      <c r="C60" s="153" t="s">
        <v>1469</v>
      </c>
      <c r="D60" s="153">
        <v>108</v>
      </c>
      <c r="E60" s="153">
        <v>108</v>
      </c>
      <c r="F60" s="153">
        <f t="shared" si="0"/>
        <v>0</v>
      </c>
      <c r="G60" s="153" t="str">
        <f t="shared" si="1"/>
        <v>OK</v>
      </c>
      <c r="H60" s="153" t="b">
        <v>1</v>
      </c>
    </row>
    <row r="61" spans="1:8" x14ac:dyDescent="0.3">
      <c r="A61" s="153" t="s">
        <v>2264</v>
      </c>
      <c r="B61" s="153" t="s">
        <v>3603</v>
      </c>
      <c r="C61" s="153" t="s">
        <v>1471</v>
      </c>
      <c r="D61" s="153">
        <v>71</v>
      </c>
      <c r="E61" s="153">
        <v>71</v>
      </c>
      <c r="F61" s="153">
        <f t="shared" si="0"/>
        <v>0</v>
      </c>
      <c r="G61" s="153" t="str">
        <f t="shared" si="1"/>
        <v>OK</v>
      </c>
      <c r="H61" s="153" t="b">
        <v>1</v>
      </c>
    </row>
    <row r="62" spans="1:8" x14ac:dyDescent="0.3">
      <c r="A62" s="153" t="s">
        <v>2265</v>
      </c>
      <c r="B62" s="153" t="s">
        <v>3603</v>
      </c>
      <c r="C62" s="153" t="s">
        <v>1473</v>
      </c>
      <c r="D62" s="153">
        <v>21.3</v>
      </c>
      <c r="E62" s="153">
        <v>21.3</v>
      </c>
      <c r="F62" s="153">
        <f t="shared" si="0"/>
        <v>0</v>
      </c>
      <c r="G62" s="153" t="str">
        <f t="shared" si="1"/>
        <v>OK</v>
      </c>
      <c r="H62" s="153" t="b">
        <v>1</v>
      </c>
    </row>
    <row r="63" spans="1:8" x14ac:dyDescent="0.3">
      <c r="A63" s="153" t="s">
        <v>2266</v>
      </c>
      <c r="B63" s="153" t="s">
        <v>3603</v>
      </c>
      <c r="C63" s="153" t="s">
        <v>1475</v>
      </c>
      <c r="D63" s="153">
        <v>71</v>
      </c>
      <c r="E63" s="153">
        <v>71</v>
      </c>
      <c r="F63" s="153">
        <f t="shared" si="0"/>
        <v>0</v>
      </c>
      <c r="G63" s="153" t="str">
        <f t="shared" si="1"/>
        <v>OK</v>
      </c>
      <c r="H63" s="153" t="b">
        <v>1</v>
      </c>
    </row>
    <row r="64" spans="1:8" x14ac:dyDescent="0.3">
      <c r="A64" s="153" t="s">
        <v>2267</v>
      </c>
      <c r="B64" s="153" t="s">
        <v>3603</v>
      </c>
      <c r="C64" s="153" t="s">
        <v>1477</v>
      </c>
      <c r="D64" s="153">
        <v>426</v>
      </c>
      <c r="E64" s="153">
        <v>426</v>
      </c>
      <c r="F64" s="153">
        <f t="shared" si="0"/>
        <v>0</v>
      </c>
      <c r="G64" s="153" t="str">
        <f t="shared" si="1"/>
        <v>OK</v>
      </c>
      <c r="H64" s="153" t="b">
        <v>1</v>
      </c>
    </row>
    <row r="65" spans="1:8" x14ac:dyDescent="0.3">
      <c r="A65" s="153" t="s">
        <v>2268</v>
      </c>
      <c r="B65" s="153" t="s">
        <v>3603</v>
      </c>
      <c r="C65" s="153" t="s">
        <v>1479</v>
      </c>
      <c r="D65" s="153">
        <v>7784.7199999999993</v>
      </c>
      <c r="E65" s="153">
        <v>7784.7199999999993</v>
      </c>
      <c r="F65" s="153">
        <f t="shared" si="0"/>
        <v>0</v>
      </c>
      <c r="G65" s="153" t="str">
        <f t="shared" si="1"/>
        <v>OK</v>
      </c>
      <c r="H65" s="153" t="b">
        <v>1</v>
      </c>
    </row>
    <row r="66" spans="1:8" x14ac:dyDescent="0.3">
      <c r="A66" s="153" t="s">
        <v>2269</v>
      </c>
      <c r="B66" s="153" t="s">
        <v>3603</v>
      </c>
      <c r="C66" s="153" t="s">
        <v>1481</v>
      </c>
      <c r="D66" s="153">
        <v>1504.3196</v>
      </c>
      <c r="E66" s="153">
        <v>1504.3196</v>
      </c>
      <c r="F66" s="153">
        <f t="shared" ref="F66:F129" si="2">IF(NOT(H66),"",IF(AND(ISNUMBER(D66),ISNUMBER(E66)),E66-D66,IF(D66=E66,0,1)))</f>
        <v>0</v>
      </c>
      <c r="G66" s="153" t="str">
        <f t="shared" ref="G66:G129" si="3">IF(NOT(H66),"PENDIENTE SIDE",IF(IF(AND(ISNUMBER(D66),ISNUMBER(E66)),IF(MOD(D66,1)=0,D66=E66,ABS(D66-E66)&lt;=0.000000001*MAX(1,ABS(D66),ABS(E66))),D66=E66),"OK","DIFERENCIA"))</f>
        <v>OK</v>
      </c>
      <c r="H66" s="153" t="b">
        <v>1</v>
      </c>
    </row>
    <row r="67" spans="1:8" x14ac:dyDescent="0.3">
      <c r="A67" s="153" t="s">
        <v>2270</v>
      </c>
      <c r="B67" s="153" t="s">
        <v>3603</v>
      </c>
      <c r="C67" s="153" t="s">
        <v>1483</v>
      </c>
      <c r="D67" s="153">
        <v>31.25</v>
      </c>
      <c r="E67" s="153">
        <v>31.25</v>
      </c>
      <c r="F67" s="153">
        <f t="shared" si="2"/>
        <v>0</v>
      </c>
      <c r="G67" s="153" t="str">
        <f t="shared" si="3"/>
        <v>OK</v>
      </c>
      <c r="H67" s="153" t="b">
        <v>1</v>
      </c>
    </row>
    <row r="68" spans="1:8" x14ac:dyDescent="0.3">
      <c r="A68" s="153" t="s">
        <v>2271</v>
      </c>
      <c r="B68" s="153" t="s">
        <v>3603</v>
      </c>
      <c r="C68" s="153" t="s">
        <v>1485</v>
      </c>
      <c r="D68" s="153">
        <v>5.0587499999999999</v>
      </c>
      <c r="E68" s="153">
        <v>5.0587499999999999</v>
      </c>
      <c r="F68" s="153">
        <f t="shared" si="2"/>
        <v>0</v>
      </c>
      <c r="G68" s="153" t="str">
        <f t="shared" si="3"/>
        <v>OK</v>
      </c>
      <c r="H68" s="153" t="b">
        <v>1</v>
      </c>
    </row>
    <row r="69" spans="1:8" x14ac:dyDescent="0.3">
      <c r="A69" s="153" t="s">
        <v>2272</v>
      </c>
      <c r="B69" s="153" t="s">
        <v>3603</v>
      </c>
      <c r="C69" s="153" t="s">
        <v>1487</v>
      </c>
      <c r="D69" s="153">
        <v>0</v>
      </c>
      <c r="E69" s="153">
        <v>0</v>
      </c>
      <c r="F69" s="153">
        <f t="shared" si="2"/>
        <v>0</v>
      </c>
      <c r="G69" s="153" t="str">
        <f t="shared" si="3"/>
        <v>OK</v>
      </c>
      <c r="H69" s="153" t="b">
        <v>1</v>
      </c>
    </row>
    <row r="70" spans="1:8" x14ac:dyDescent="0.3">
      <c r="A70" s="153" t="s">
        <v>2273</v>
      </c>
      <c r="B70" s="153" t="s">
        <v>3603</v>
      </c>
      <c r="C70" s="153" t="s">
        <v>1489</v>
      </c>
      <c r="D70" s="153">
        <v>0</v>
      </c>
      <c r="E70" s="153">
        <v>0</v>
      </c>
      <c r="F70" s="153">
        <f t="shared" si="2"/>
        <v>0</v>
      </c>
      <c r="G70" s="153" t="str">
        <f t="shared" si="3"/>
        <v>OK</v>
      </c>
      <c r="H70" s="153" t="b">
        <v>1</v>
      </c>
    </row>
    <row r="71" spans="1:8" x14ac:dyDescent="0.3">
      <c r="A71" s="153" t="s">
        <v>2274</v>
      </c>
      <c r="B71" s="153" t="s">
        <v>3603</v>
      </c>
      <c r="C71" s="153" t="s">
        <v>1493</v>
      </c>
      <c r="D71" s="153">
        <v>3500</v>
      </c>
      <c r="E71" s="153">
        <v>3500</v>
      </c>
      <c r="F71" s="153">
        <f t="shared" si="2"/>
        <v>0</v>
      </c>
      <c r="G71" s="153" t="str">
        <f t="shared" si="3"/>
        <v>OK</v>
      </c>
      <c r="H71" s="153" t="b">
        <v>1</v>
      </c>
    </row>
    <row r="72" spans="1:8" x14ac:dyDescent="0.3">
      <c r="A72" s="153" t="s">
        <v>2275</v>
      </c>
      <c r="B72" s="153" t="s">
        <v>3603</v>
      </c>
      <c r="C72" s="153" t="s">
        <v>1495</v>
      </c>
      <c r="D72" s="153">
        <v>2800</v>
      </c>
      <c r="E72" s="153">
        <v>2800</v>
      </c>
      <c r="F72" s="153">
        <f t="shared" si="2"/>
        <v>0</v>
      </c>
      <c r="G72" s="153" t="str">
        <f t="shared" si="3"/>
        <v>OK</v>
      </c>
      <c r="H72" s="153" t="b">
        <v>1</v>
      </c>
    </row>
    <row r="73" spans="1:8" x14ac:dyDescent="0.3">
      <c r="A73" s="153" t="s">
        <v>2276</v>
      </c>
      <c r="B73" s="153" t="s">
        <v>3603</v>
      </c>
      <c r="C73" s="153" t="s">
        <v>1497</v>
      </c>
      <c r="D73" s="153">
        <v>71</v>
      </c>
      <c r="E73" s="153">
        <v>71</v>
      </c>
      <c r="F73" s="153">
        <f t="shared" si="2"/>
        <v>0</v>
      </c>
      <c r="G73" s="153" t="str">
        <f t="shared" si="3"/>
        <v>OK</v>
      </c>
      <c r="H73" s="153" t="b">
        <v>1</v>
      </c>
    </row>
    <row r="74" spans="1:8" x14ac:dyDescent="0.3">
      <c r="A74" s="153" t="s">
        <v>2277</v>
      </c>
      <c r="B74" s="153" t="s">
        <v>3603</v>
      </c>
      <c r="C74" s="153" t="s">
        <v>1499</v>
      </c>
      <c r="D74" s="153">
        <v>2840</v>
      </c>
      <c r="E74" s="153">
        <v>2840</v>
      </c>
      <c r="F74" s="153">
        <f t="shared" si="2"/>
        <v>0</v>
      </c>
      <c r="G74" s="153" t="str">
        <f t="shared" si="3"/>
        <v>OK</v>
      </c>
      <c r="H74" s="153" t="b">
        <v>1</v>
      </c>
    </row>
    <row r="75" spans="1:8" x14ac:dyDescent="0.3">
      <c r="A75" s="153" t="s">
        <v>2278</v>
      </c>
      <c r="B75" s="153" t="s">
        <v>3603</v>
      </c>
      <c r="C75" s="153" t="s">
        <v>2255</v>
      </c>
      <c r="D75" s="153">
        <v>0</v>
      </c>
      <c r="E75" s="153">
        <v>0</v>
      </c>
      <c r="F75" s="153">
        <f t="shared" si="2"/>
        <v>0</v>
      </c>
      <c r="G75" s="153" t="str">
        <f t="shared" si="3"/>
        <v>OK</v>
      </c>
      <c r="H75" s="153" t="b">
        <v>1</v>
      </c>
    </row>
    <row r="76" spans="1:8" x14ac:dyDescent="0.3">
      <c r="A76" s="153" t="s">
        <v>2280</v>
      </c>
      <c r="B76" s="153" t="s">
        <v>3603</v>
      </c>
      <c r="C76" s="153" t="s">
        <v>1501</v>
      </c>
      <c r="D76" s="153">
        <v>0</v>
      </c>
      <c r="E76" s="153">
        <v>0</v>
      </c>
      <c r="F76" s="153">
        <f t="shared" si="2"/>
        <v>0</v>
      </c>
      <c r="G76" s="153" t="str">
        <f t="shared" si="3"/>
        <v>OK</v>
      </c>
      <c r="H76" s="153" t="b">
        <v>1</v>
      </c>
    </row>
    <row r="77" spans="1:8" x14ac:dyDescent="0.3">
      <c r="A77" s="153" t="s">
        <v>2281</v>
      </c>
      <c r="B77" s="153" t="s">
        <v>3603</v>
      </c>
      <c r="C77" s="153" t="s">
        <v>1503</v>
      </c>
      <c r="D77" s="153">
        <v>1657.8570370370369</v>
      </c>
      <c r="E77" s="153">
        <v>1657.8570370370369</v>
      </c>
      <c r="F77" s="153">
        <f t="shared" si="2"/>
        <v>0</v>
      </c>
      <c r="G77" s="153" t="str">
        <f t="shared" si="3"/>
        <v>OK</v>
      </c>
      <c r="H77" s="153" t="b">
        <v>1</v>
      </c>
    </row>
    <row r="78" spans="1:8" x14ac:dyDescent="0.3">
      <c r="A78" s="153" t="s">
        <v>2282</v>
      </c>
      <c r="B78" s="153" t="s">
        <v>3603</v>
      </c>
      <c r="C78" s="153" t="s">
        <v>1505</v>
      </c>
      <c r="D78" s="153">
        <v>0</v>
      </c>
      <c r="E78" s="153">
        <v>0</v>
      </c>
      <c r="F78" s="153">
        <f t="shared" si="2"/>
        <v>0</v>
      </c>
      <c r="G78" s="153" t="str">
        <f t="shared" si="3"/>
        <v>OK</v>
      </c>
      <c r="H78" s="153" t="b">
        <v>1</v>
      </c>
    </row>
    <row r="79" spans="1:8" x14ac:dyDescent="0.3">
      <c r="A79" s="153" t="s">
        <v>2283</v>
      </c>
      <c r="B79" s="153" t="s">
        <v>3603</v>
      </c>
      <c r="C79" s="153" t="s">
        <v>1507</v>
      </c>
      <c r="D79" s="153">
        <v>0</v>
      </c>
      <c r="E79" s="153">
        <v>0</v>
      </c>
      <c r="F79" s="153">
        <f t="shared" si="2"/>
        <v>0</v>
      </c>
      <c r="G79" s="153" t="str">
        <f t="shared" si="3"/>
        <v>OK</v>
      </c>
      <c r="H79" s="153" t="b">
        <v>1</v>
      </c>
    </row>
    <row r="80" spans="1:8" x14ac:dyDescent="0.3">
      <c r="A80" s="153" t="s">
        <v>2284</v>
      </c>
      <c r="B80" s="153" t="s">
        <v>3603</v>
      </c>
      <c r="C80" s="153" t="s">
        <v>1509</v>
      </c>
      <c r="D80" s="153">
        <v>10983.20538703704</v>
      </c>
      <c r="E80" s="153">
        <v>10983.20538703704</v>
      </c>
      <c r="F80" s="153">
        <f t="shared" si="2"/>
        <v>0</v>
      </c>
      <c r="G80" s="153" t="str">
        <f t="shared" si="3"/>
        <v>OK</v>
      </c>
      <c r="H80" s="153" t="b">
        <v>1</v>
      </c>
    </row>
    <row r="81" spans="1:8" x14ac:dyDescent="0.3">
      <c r="A81" s="153" t="s">
        <v>2285</v>
      </c>
      <c r="B81" s="153" t="s">
        <v>3603</v>
      </c>
      <c r="C81" s="153" t="s">
        <v>1511</v>
      </c>
      <c r="D81" s="153">
        <v>-8143.2053870370364</v>
      </c>
      <c r="E81" s="153">
        <v>-8143.2053870370364</v>
      </c>
      <c r="F81" s="153">
        <f t="shared" si="2"/>
        <v>0</v>
      </c>
      <c r="G81" s="153" t="str">
        <f t="shared" si="3"/>
        <v>OK</v>
      </c>
      <c r="H81" s="153" t="b">
        <v>1</v>
      </c>
    </row>
    <row r="82" spans="1:8" x14ac:dyDescent="0.3">
      <c r="A82" s="153" t="s">
        <v>2286</v>
      </c>
      <c r="B82" s="153" t="s">
        <v>3603</v>
      </c>
      <c r="C82" s="153" t="s">
        <v>1513</v>
      </c>
      <c r="D82" s="153">
        <v>2</v>
      </c>
      <c r="E82" s="153">
        <v>2</v>
      </c>
      <c r="F82" s="153">
        <f t="shared" si="2"/>
        <v>0</v>
      </c>
      <c r="G82" s="153" t="str">
        <f t="shared" si="3"/>
        <v>OK</v>
      </c>
      <c r="H82" s="153" t="b">
        <v>1</v>
      </c>
    </row>
    <row r="83" spans="1:8" x14ac:dyDescent="0.3">
      <c r="A83" s="153" t="s">
        <v>2287</v>
      </c>
      <c r="B83" s="153" t="s">
        <v>3603</v>
      </c>
      <c r="C83" s="153" t="s">
        <v>1515</v>
      </c>
      <c r="D83" s="153">
        <v>0</v>
      </c>
      <c r="E83" s="153">
        <v>0</v>
      </c>
      <c r="F83" s="153">
        <f t="shared" si="2"/>
        <v>0</v>
      </c>
      <c r="G83" s="153" t="str">
        <f t="shared" si="3"/>
        <v>OK</v>
      </c>
      <c r="H83" s="153" t="b">
        <v>1</v>
      </c>
    </row>
    <row r="84" spans="1:8" x14ac:dyDescent="0.3">
      <c r="A84" s="153" t="s">
        <v>2288</v>
      </c>
      <c r="B84" s="153" t="s">
        <v>3603</v>
      </c>
      <c r="C84" s="153" t="s">
        <v>1517</v>
      </c>
      <c r="D84" s="153">
        <v>557.40000000000009</v>
      </c>
      <c r="E84" s="153">
        <v>557.4</v>
      </c>
      <c r="F84" s="153">
        <f t="shared" si="2"/>
        <v>-1.1368683772161603E-13</v>
      </c>
      <c r="G84" s="153" t="str">
        <f t="shared" si="3"/>
        <v>OK</v>
      </c>
      <c r="H84" s="153" t="b">
        <v>1</v>
      </c>
    </row>
    <row r="85" spans="1:8" x14ac:dyDescent="0.3">
      <c r="A85" s="153" t="s">
        <v>2289</v>
      </c>
      <c r="B85" s="153" t="s">
        <v>3603</v>
      </c>
      <c r="C85" s="153" t="s">
        <v>1519</v>
      </c>
      <c r="D85" s="153">
        <v>0</v>
      </c>
      <c r="E85" s="153">
        <v>0</v>
      </c>
      <c r="F85" s="153">
        <f t="shared" si="2"/>
        <v>0</v>
      </c>
      <c r="G85" s="153" t="str">
        <f t="shared" si="3"/>
        <v>OK</v>
      </c>
      <c r="H85" s="153" t="b">
        <v>1</v>
      </c>
    </row>
    <row r="86" spans="1:8" x14ac:dyDescent="0.3">
      <c r="A86" s="153" t="s">
        <v>2290</v>
      </c>
      <c r="B86" s="153" t="s">
        <v>3603</v>
      </c>
      <c r="C86" s="153" t="s">
        <v>1521</v>
      </c>
      <c r="D86" s="153">
        <v>0</v>
      </c>
      <c r="E86" s="153">
        <v>0</v>
      </c>
      <c r="F86" s="153">
        <f t="shared" si="2"/>
        <v>0</v>
      </c>
      <c r="G86" s="153" t="str">
        <f t="shared" si="3"/>
        <v>OK</v>
      </c>
      <c r="H86" s="153" t="b">
        <v>1</v>
      </c>
    </row>
    <row r="87" spans="1:8" x14ac:dyDescent="0.3">
      <c r="A87" s="153" t="s">
        <v>2291</v>
      </c>
      <c r="B87" s="153" t="s">
        <v>3603</v>
      </c>
      <c r="C87" s="153" t="s">
        <v>1523</v>
      </c>
      <c r="D87" s="153">
        <v>1858</v>
      </c>
      <c r="E87" s="153">
        <v>1858</v>
      </c>
      <c r="F87" s="153">
        <f t="shared" si="2"/>
        <v>0</v>
      </c>
      <c r="G87" s="153" t="str">
        <f t="shared" si="3"/>
        <v>OK</v>
      </c>
      <c r="H87" s="153" t="b">
        <v>1</v>
      </c>
    </row>
    <row r="88" spans="1:8" x14ac:dyDescent="0.3">
      <c r="A88" s="153" t="s">
        <v>2292</v>
      </c>
      <c r="B88" s="153" t="s">
        <v>3603</v>
      </c>
      <c r="C88" s="153" t="s">
        <v>1525</v>
      </c>
      <c r="D88" s="153">
        <v>0</v>
      </c>
      <c r="E88" s="153">
        <v>0</v>
      </c>
      <c r="F88" s="153">
        <f t="shared" si="2"/>
        <v>0</v>
      </c>
      <c r="G88" s="153" t="str">
        <f t="shared" si="3"/>
        <v>OK</v>
      </c>
      <c r="H88" s="153" t="b">
        <v>1</v>
      </c>
    </row>
    <row r="89" spans="1:8" x14ac:dyDescent="0.3">
      <c r="A89" s="153" t="s">
        <v>2293</v>
      </c>
      <c r="B89" s="153" t="s">
        <v>3603</v>
      </c>
      <c r="C89" s="153" t="s">
        <v>1527</v>
      </c>
      <c r="D89" s="153">
        <v>11148</v>
      </c>
      <c r="E89" s="153">
        <v>11148</v>
      </c>
      <c r="F89" s="153">
        <f t="shared" si="2"/>
        <v>0</v>
      </c>
      <c r="G89" s="153" t="str">
        <f t="shared" si="3"/>
        <v>OK</v>
      </c>
      <c r="H89" s="153" t="b">
        <v>1</v>
      </c>
    </row>
    <row r="90" spans="1:8" x14ac:dyDescent="0.3">
      <c r="A90" s="153" t="s">
        <v>2294</v>
      </c>
      <c r="B90" s="153" t="s">
        <v>3603</v>
      </c>
      <c r="C90" s="153" t="s">
        <v>1529</v>
      </c>
      <c r="D90" s="153">
        <v>0</v>
      </c>
      <c r="E90" s="153">
        <v>0</v>
      </c>
      <c r="F90" s="153">
        <f t="shared" si="2"/>
        <v>0</v>
      </c>
      <c r="G90" s="153" t="str">
        <f t="shared" si="3"/>
        <v>OK</v>
      </c>
      <c r="H90" s="153" t="b">
        <v>1</v>
      </c>
    </row>
    <row r="91" spans="1:8" x14ac:dyDescent="0.3">
      <c r="A91" s="153" t="s">
        <v>2295</v>
      </c>
      <c r="B91" s="153" t="s">
        <v>3603</v>
      </c>
      <c r="C91" s="153" t="s">
        <v>1531</v>
      </c>
      <c r="D91" s="153">
        <v>0</v>
      </c>
      <c r="E91" s="153">
        <v>0</v>
      </c>
      <c r="F91" s="153">
        <f t="shared" si="2"/>
        <v>0</v>
      </c>
      <c r="G91" s="153" t="str">
        <f t="shared" si="3"/>
        <v>OK</v>
      </c>
      <c r="H91" s="153" t="b">
        <v>1</v>
      </c>
    </row>
    <row r="92" spans="1:8" x14ac:dyDescent="0.3">
      <c r="A92" s="153" t="s">
        <v>2296</v>
      </c>
      <c r="B92" s="153" t="s">
        <v>3603</v>
      </c>
      <c r="C92" s="153" t="s">
        <v>1533</v>
      </c>
      <c r="D92" s="153" t="b">
        <v>0</v>
      </c>
      <c r="E92" s="153" t="b">
        <v>0</v>
      </c>
      <c r="F92" s="153">
        <f t="shared" si="2"/>
        <v>0</v>
      </c>
      <c r="G92" s="153" t="str">
        <f t="shared" si="3"/>
        <v>OK</v>
      </c>
      <c r="H92" s="153" t="b">
        <v>1</v>
      </c>
    </row>
    <row r="93" spans="1:8" x14ac:dyDescent="0.3">
      <c r="A93" s="153" t="s">
        <v>2297</v>
      </c>
      <c r="B93" s="153" t="s">
        <v>3603</v>
      </c>
      <c r="C93" s="153" t="s">
        <v>1535</v>
      </c>
      <c r="D93" s="153" t="b">
        <v>0</v>
      </c>
      <c r="E93" s="153" t="b">
        <v>0</v>
      </c>
      <c r="F93" s="153">
        <f t="shared" si="2"/>
        <v>0</v>
      </c>
      <c r="G93" s="153" t="str">
        <f t="shared" si="3"/>
        <v>OK</v>
      </c>
      <c r="H93" s="153" t="b">
        <v>1</v>
      </c>
    </row>
    <row r="94" spans="1:8" x14ac:dyDescent="0.3">
      <c r="A94" s="153" t="s">
        <v>2298</v>
      </c>
      <c r="B94" s="153" t="s">
        <v>3603</v>
      </c>
      <c r="C94" s="153" t="s">
        <v>1537</v>
      </c>
      <c r="D94" s="153" t="b">
        <v>1</v>
      </c>
      <c r="E94" s="153" t="b">
        <v>1</v>
      </c>
      <c r="F94" s="153">
        <f t="shared" si="2"/>
        <v>0</v>
      </c>
      <c r="G94" s="153" t="str">
        <f t="shared" si="3"/>
        <v>OK</v>
      </c>
      <c r="H94" s="153" t="b">
        <v>1</v>
      </c>
    </row>
    <row r="95" spans="1:8" x14ac:dyDescent="0.3">
      <c r="A95" s="153" t="s">
        <v>2299</v>
      </c>
      <c r="B95" s="153" t="s">
        <v>3603</v>
      </c>
      <c r="C95" s="153" t="s">
        <v>1539</v>
      </c>
      <c r="D95" s="153" t="b">
        <v>1</v>
      </c>
      <c r="E95" s="153" t="b">
        <v>1</v>
      </c>
      <c r="F95" s="153">
        <f t="shared" si="2"/>
        <v>0</v>
      </c>
      <c r="G95" s="153" t="str">
        <f t="shared" si="3"/>
        <v>OK</v>
      </c>
      <c r="H95" s="153" t="b">
        <v>1</v>
      </c>
    </row>
    <row r="96" spans="1:8" x14ac:dyDescent="0.3">
      <c r="A96" s="153" t="s">
        <v>2300</v>
      </c>
      <c r="B96" s="153" t="s">
        <v>3603</v>
      </c>
      <c r="C96" s="153" t="s">
        <v>1541</v>
      </c>
      <c r="D96" s="153" t="b">
        <v>0</v>
      </c>
      <c r="E96" s="153" t="b">
        <v>0</v>
      </c>
      <c r="F96" s="153">
        <f t="shared" si="2"/>
        <v>0</v>
      </c>
      <c r="G96" s="153" t="str">
        <f t="shared" si="3"/>
        <v>OK</v>
      </c>
      <c r="H96" s="153" t="b">
        <v>1</v>
      </c>
    </row>
    <row r="97" spans="1:8" x14ac:dyDescent="0.3">
      <c r="A97" s="153" t="s">
        <v>2301</v>
      </c>
      <c r="B97" s="153" t="s">
        <v>3603</v>
      </c>
      <c r="C97" s="153" t="s">
        <v>1543</v>
      </c>
      <c r="D97" s="153" t="b">
        <v>1</v>
      </c>
      <c r="E97" s="153" t="b">
        <v>1</v>
      </c>
      <c r="F97" s="153">
        <f t="shared" si="2"/>
        <v>0</v>
      </c>
      <c r="G97" s="153" t="str">
        <f t="shared" si="3"/>
        <v>OK</v>
      </c>
      <c r="H97" s="153" t="b">
        <v>1</v>
      </c>
    </row>
    <row r="98" spans="1:8" x14ac:dyDescent="0.3">
      <c r="A98" s="153" t="s">
        <v>2302</v>
      </c>
      <c r="B98" s="153" t="s">
        <v>3603</v>
      </c>
      <c r="C98" s="153" t="s">
        <v>1545</v>
      </c>
      <c r="D98" s="153" t="b">
        <v>0</v>
      </c>
      <c r="E98" s="153" t="b">
        <v>0</v>
      </c>
      <c r="F98" s="153">
        <f t="shared" si="2"/>
        <v>0</v>
      </c>
      <c r="G98" s="153" t="str">
        <f t="shared" si="3"/>
        <v>OK</v>
      </c>
      <c r="H98" s="153" t="b">
        <v>1</v>
      </c>
    </row>
    <row r="99" spans="1:8" x14ac:dyDescent="0.3">
      <c r="A99" s="153" t="s">
        <v>2303</v>
      </c>
      <c r="B99" s="153" t="s">
        <v>3603</v>
      </c>
      <c r="C99" s="153" t="s">
        <v>1547</v>
      </c>
      <c r="D99" s="153" t="b">
        <v>1</v>
      </c>
      <c r="E99" s="153" t="b">
        <v>1</v>
      </c>
      <c r="F99" s="153">
        <f t="shared" si="2"/>
        <v>0</v>
      </c>
      <c r="G99" s="153" t="str">
        <f t="shared" si="3"/>
        <v>OK</v>
      </c>
      <c r="H99" s="153" t="b">
        <v>1</v>
      </c>
    </row>
    <row r="100" spans="1:8" x14ac:dyDescent="0.3">
      <c r="A100" s="153" t="s">
        <v>2304</v>
      </c>
      <c r="B100" s="153" t="s">
        <v>3603</v>
      </c>
      <c r="C100" s="153" t="s">
        <v>1549</v>
      </c>
      <c r="D100" s="153">
        <v>0</v>
      </c>
      <c r="E100" s="153">
        <v>0</v>
      </c>
      <c r="F100" s="153">
        <f t="shared" si="2"/>
        <v>0</v>
      </c>
      <c r="G100" s="153" t="str">
        <f t="shared" si="3"/>
        <v>OK</v>
      </c>
      <c r="H100" s="153" t="b">
        <v>1</v>
      </c>
    </row>
    <row r="101" spans="1:8" x14ac:dyDescent="0.3">
      <c r="A101" s="153" t="s">
        <v>2305</v>
      </c>
      <c r="B101" s="153" t="s">
        <v>3603</v>
      </c>
      <c r="C101" s="153" t="s">
        <v>1551</v>
      </c>
      <c r="D101" s="153">
        <v>23</v>
      </c>
      <c r="E101" s="153">
        <v>23</v>
      </c>
      <c r="F101" s="153">
        <f t="shared" si="2"/>
        <v>0</v>
      </c>
      <c r="G101" s="153" t="str">
        <f t="shared" si="3"/>
        <v>OK</v>
      </c>
      <c r="H101" s="153" t="b">
        <v>1</v>
      </c>
    </row>
    <row r="102" spans="1:8" x14ac:dyDescent="0.3">
      <c r="A102" s="153" t="s">
        <v>2306</v>
      </c>
      <c r="B102" s="153" t="s">
        <v>3603</v>
      </c>
      <c r="C102" s="153" t="s">
        <v>1553</v>
      </c>
      <c r="D102" s="153">
        <v>0</v>
      </c>
      <c r="E102" s="153">
        <v>0</v>
      </c>
      <c r="F102" s="153">
        <f t="shared" si="2"/>
        <v>0</v>
      </c>
      <c r="G102" s="153" t="str">
        <f t="shared" si="3"/>
        <v>OK</v>
      </c>
      <c r="H102" s="153" t="b">
        <v>1</v>
      </c>
    </row>
    <row r="103" spans="1:8" x14ac:dyDescent="0.3">
      <c r="A103" s="153" t="s">
        <v>2307</v>
      </c>
      <c r="B103" s="153" t="s">
        <v>3603</v>
      </c>
      <c r="C103" s="153" t="s">
        <v>1555</v>
      </c>
      <c r="D103" s="153">
        <v>3</v>
      </c>
      <c r="E103" s="153">
        <v>3</v>
      </c>
      <c r="F103" s="153">
        <f t="shared" si="2"/>
        <v>0</v>
      </c>
      <c r="G103" s="153" t="str">
        <f t="shared" si="3"/>
        <v>OK</v>
      </c>
      <c r="H103" s="153" t="b">
        <v>1</v>
      </c>
    </row>
    <row r="104" spans="1:8" x14ac:dyDescent="0.3">
      <c r="A104" s="153" t="s">
        <v>2360</v>
      </c>
      <c r="B104" s="153" t="s">
        <v>3603</v>
      </c>
      <c r="C104" s="153" t="s">
        <v>1557</v>
      </c>
      <c r="D104" s="153">
        <v>4</v>
      </c>
      <c r="E104" s="153">
        <v>4</v>
      </c>
      <c r="F104" s="153">
        <f t="shared" si="2"/>
        <v>0</v>
      </c>
      <c r="G104" s="153" t="str">
        <f t="shared" si="3"/>
        <v>OK</v>
      </c>
      <c r="H104" s="153" t="b">
        <v>1</v>
      </c>
    </row>
    <row r="105" spans="1:8" x14ac:dyDescent="0.3">
      <c r="A105" s="153" t="s">
        <v>2362</v>
      </c>
      <c r="B105" s="153" t="s">
        <v>3603</v>
      </c>
      <c r="C105" s="153" t="s">
        <v>1559</v>
      </c>
      <c r="D105" s="153">
        <v>-4</v>
      </c>
      <c r="E105" s="153">
        <v>-4</v>
      </c>
      <c r="F105" s="153">
        <f t="shared" si="2"/>
        <v>0</v>
      </c>
      <c r="G105" s="153" t="str">
        <f t="shared" si="3"/>
        <v>OK</v>
      </c>
      <c r="H105" s="153" t="b">
        <v>1</v>
      </c>
    </row>
    <row r="106" spans="1:8" x14ac:dyDescent="0.3">
      <c r="A106" s="153" t="s">
        <v>2364</v>
      </c>
      <c r="B106" s="153" t="s">
        <v>3603</v>
      </c>
      <c r="C106" s="153" t="s">
        <v>1561</v>
      </c>
      <c r="D106" s="153">
        <v>-1</v>
      </c>
      <c r="E106" s="153">
        <v>-1</v>
      </c>
      <c r="F106" s="153">
        <f t="shared" si="2"/>
        <v>0</v>
      </c>
      <c r="G106" s="153" t="str">
        <f t="shared" si="3"/>
        <v>OK</v>
      </c>
      <c r="H106" s="153" t="b">
        <v>1</v>
      </c>
    </row>
    <row r="107" spans="1:8" x14ac:dyDescent="0.3">
      <c r="A107" s="153" t="s">
        <v>2366</v>
      </c>
      <c r="B107" s="153" t="s">
        <v>3603</v>
      </c>
      <c r="C107" s="153" t="s">
        <v>1563</v>
      </c>
      <c r="D107" s="153">
        <v>8</v>
      </c>
      <c r="E107" s="153">
        <v>8</v>
      </c>
      <c r="F107" s="153">
        <f t="shared" si="2"/>
        <v>0</v>
      </c>
      <c r="G107" s="153" t="str">
        <f t="shared" si="3"/>
        <v>OK</v>
      </c>
      <c r="H107" s="153" t="b">
        <v>1</v>
      </c>
    </row>
    <row r="108" spans="1:8" x14ac:dyDescent="0.3">
      <c r="A108" s="153" t="s">
        <v>2368</v>
      </c>
      <c r="B108" s="153" t="s">
        <v>3603</v>
      </c>
      <c r="C108" s="153" t="s">
        <v>1565</v>
      </c>
      <c r="D108" s="153">
        <v>5</v>
      </c>
      <c r="E108" s="153">
        <v>5</v>
      </c>
      <c r="F108" s="153">
        <f t="shared" si="2"/>
        <v>0</v>
      </c>
      <c r="G108" s="153" t="str">
        <f t="shared" si="3"/>
        <v>OK</v>
      </c>
      <c r="H108" s="153" t="b">
        <v>1</v>
      </c>
    </row>
    <row r="109" spans="1:8" x14ac:dyDescent="0.3">
      <c r="A109" s="153" t="s">
        <v>2370</v>
      </c>
      <c r="B109" s="153" t="s">
        <v>3603</v>
      </c>
      <c r="C109" s="153" t="s">
        <v>1567</v>
      </c>
      <c r="D109" s="153">
        <v>120</v>
      </c>
      <c r="E109" s="153">
        <v>120</v>
      </c>
      <c r="F109" s="153">
        <f t="shared" si="2"/>
        <v>0</v>
      </c>
      <c r="G109" s="153" t="str">
        <f t="shared" si="3"/>
        <v>OK</v>
      </c>
      <c r="H109" s="153" t="b">
        <v>1</v>
      </c>
    </row>
    <row r="110" spans="1:8" x14ac:dyDescent="0.3">
      <c r="A110" s="153" t="s">
        <v>2372</v>
      </c>
      <c r="B110" s="153" t="s">
        <v>3603</v>
      </c>
      <c r="C110" s="153" t="s">
        <v>1569</v>
      </c>
      <c r="D110" s="153">
        <v>0.9</v>
      </c>
      <c r="E110" s="153">
        <v>0.9</v>
      </c>
      <c r="F110" s="153">
        <f t="shared" si="2"/>
        <v>0</v>
      </c>
      <c r="G110" s="153" t="str">
        <f t="shared" si="3"/>
        <v>OK</v>
      </c>
      <c r="H110" s="153" t="b">
        <v>1</v>
      </c>
    </row>
    <row r="111" spans="1:8" x14ac:dyDescent="0.3">
      <c r="A111" s="153" t="s">
        <v>2374</v>
      </c>
      <c r="B111" s="153" t="s">
        <v>3603</v>
      </c>
      <c r="C111" s="153" t="s">
        <v>1571</v>
      </c>
      <c r="D111" s="153">
        <v>108</v>
      </c>
      <c r="E111" s="153">
        <v>108</v>
      </c>
      <c r="F111" s="153">
        <f t="shared" si="2"/>
        <v>0</v>
      </c>
      <c r="G111" s="153" t="str">
        <f t="shared" si="3"/>
        <v>OK</v>
      </c>
      <c r="H111" s="153" t="b">
        <v>1</v>
      </c>
    </row>
    <row r="112" spans="1:8" x14ac:dyDescent="0.3">
      <c r="A112" s="153" t="s">
        <v>2376</v>
      </c>
      <c r="B112" s="153" t="s">
        <v>3603</v>
      </c>
      <c r="C112" s="153" t="s">
        <v>1573</v>
      </c>
      <c r="D112" s="153">
        <v>71</v>
      </c>
      <c r="E112" s="153">
        <v>71</v>
      </c>
      <c r="F112" s="153">
        <f t="shared" si="2"/>
        <v>0</v>
      </c>
      <c r="G112" s="153" t="str">
        <f t="shared" si="3"/>
        <v>OK</v>
      </c>
      <c r="H112" s="153" t="b">
        <v>1</v>
      </c>
    </row>
    <row r="113" spans="1:8" x14ac:dyDescent="0.3">
      <c r="A113" s="153" t="s">
        <v>2378</v>
      </c>
      <c r="B113" s="153" t="s">
        <v>3603</v>
      </c>
      <c r="C113" s="153" t="s">
        <v>1575</v>
      </c>
      <c r="D113" s="153">
        <v>21.3</v>
      </c>
      <c r="E113" s="153">
        <v>21.3</v>
      </c>
      <c r="F113" s="153">
        <f t="shared" si="2"/>
        <v>0</v>
      </c>
      <c r="G113" s="153" t="str">
        <f t="shared" si="3"/>
        <v>OK</v>
      </c>
      <c r="H113" s="153" t="b">
        <v>1</v>
      </c>
    </row>
    <row r="114" spans="1:8" x14ac:dyDescent="0.3">
      <c r="A114" s="153" t="s">
        <v>2380</v>
      </c>
      <c r="B114" s="153" t="s">
        <v>3603</v>
      </c>
      <c r="C114" s="153" t="s">
        <v>1577</v>
      </c>
      <c r="D114" s="153">
        <v>71</v>
      </c>
      <c r="E114" s="153">
        <v>71</v>
      </c>
      <c r="F114" s="153">
        <f t="shared" si="2"/>
        <v>0</v>
      </c>
      <c r="G114" s="153" t="str">
        <f t="shared" si="3"/>
        <v>OK</v>
      </c>
      <c r="H114" s="153" t="b">
        <v>1</v>
      </c>
    </row>
    <row r="115" spans="1:8" x14ac:dyDescent="0.3">
      <c r="A115" s="153" t="s">
        <v>2382</v>
      </c>
      <c r="B115" s="153" t="s">
        <v>3603</v>
      </c>
      <c r="C115" s="153" t="s">
        <v>1579</v>
      </c>
      <c r="D115" s="153">
        <v>426</v>
      </c>
      <c r="E115" s="153">
        <v>426</v>
      </c>
      <c r="F115" s="153">
        <f t="shared" si="2"/>
        <v>0</v>
      </c>
      <c r="G115" s="153" t="str">
        <f t="shared" si="3"/>
        <v>OK</v>
      </c>
      <c r="H115" s="153" t="b">
        <v>1</v>
      </c>
    </row>
    <row r="116" spans="1:8" x14ac:dyDescent="0.3">
      <c r="A116" s="153" t="s">
        <v>2384</v>
      </c>
      <c r="B116" s="153" t="s">
        <v>3603</v>
      </c>
      <c r="C116" s="153" t="s">
        <v>1581</v>
      </c>
      <c r="D116" s="153">
        <v>7784.7199999999993</v>
      </c>
      <c r="E116" s="153">
        <v>7784.7199999999993</v>
      </c>
      <c r="F116" s="153">
        <f t="shared" si="2"/>
        <v>0</v>
      </c>
      <c r="G116" s="153" t="str">
        <f t="shared" si="3"/>
        <v>OK</v>
      </c>
      <c r="H116" s="153" t="b">
        <v>1</v>
      </c>
    </row>
    <row r="117" spans="1:8" x14ac:dyDescent="0.3">
      <c r="A117" s="153" t="s">
        <v>2386</v>
      </c>
      <c r="B117" s="153" t="s">
        <v>3603</v>
      </c>
      <c r="C117" s="153" t="s">
        <v>1583</v>
      </c>
      <c r="D117" s="153">
        <v>1504.3196</v>
      </c>
      <c r="E117" s="153">
        <v>1504.3196</v>
      </c>
      <c r="F117" s="153">
        <f t="shared" si="2"/>
        <v>0</v>
      </c>
      <c r="G117" s="153" t="str">
        <f t="shared" si="3"/>
        <v>OK</v>
      </c>
      <c r="H117" s="153" t="b">
        <v>1</v>
      </c>
    </row>
    <row r="118" spans="1:8" x14ac:dyDescent="0.3">
      <c r="A118" s="153" t="s">
        <v>2388</v>
      </c>
      <c r="B118" s="153" t="s">
        <v>3603</v>
      </c>
      <c r="C118" s="153" t="s">
        <v>1585</v>
      </c>
      <c r="D118" s="153">
        <v>31.25</v>
      </c>
      <c r="E118" s="153">
        <v>31.25</v>
      </c>
      <c r="F118" s="153">
        <f t="shared" si="2"/>
        <v>0</v>
      </c>
      <c r="G118" s="153" t="str">
        <f t="shared" si="3"/>
        <v>OK</v>
      </c>
      <c r="H118" s="153" t="b">
        <v>1</v>
      </c>
    </row>
    <row r="119" spans="1:8" x14ac:dyDescent="0.3">
      <c r="A119" s="153" t="s">
        <v>2390</v>
      </c>
      <c r="B119" s="153" t="s">
        <v>3603</v>
      </c>
      <c r="C119" s="153" t="s">
        <v>1587</v>
      </c>
      <c r="D119" s="153">
        <v>5.0587499999999999</v>
      </c>
      <c r="E119" s="153">
        <v>5.0587499999999999</v>
      </c>
      <c r="F119" s="153">
        <f t="shared" si="2"/>
        <v>0</v>
      </c>
      <c r="G119" s="153" t="str">
        <f t="shared" si="3"/>
        <v>OK</v>
      </c>
      <c r="H119" s="153" t="b">
        <v>1</v>
      </c>
    </row>
    <row r="120" spans="1:8" x14ac:dyDescent="0.3">
      <c r="A120" s="153" t="s">
        <v>2392</v>
      </c>
      <c r="B120" s="153" t="s">
        <v>3603</v>
      </c>
      <c r="C120" s="153" t="s">
        <v>1589</v>
      </c>
      <c r="D120" s="153">
        <v>0</v>
      </c>
      <c r="E120" s="153">
        <v>0</v>
      </c>
      <c r="F120" s="153">
        <f t="shared" si="2"/>
        <v>0</v>
      </c>
      <c r="G120" s="153" t="str">
        <f t="shared" si="3"/>
        <v>OK</v>
      </c>
      <c r="H120" s="153" t="b">
        <v>1</v>
      </c>
    </row>
    <row r="121" spans="1:8" x14ac:dyDescent="0.3">
      <c r="A121" s="153" t="s">
        <v>2394</v>
      </c>
      <c r="B121" s="153" t="s">
        <v>3603</v>
      </c>
      <c r="C121" s="153" t="s">
        <v>1591</v>
      </c>
      <c r="D121" s="153">
        <v>0</v>
      </c>
      <c r="E121" s="153">
        <v>0</v>
      </c>
      <c r="F121" s="153">
        <f t="shared" si="2"/>
        <v>0</v>
      </c>
      <c r="G121" s="153" t="str">
        <f t="shared" si="3"/>
        <v>OK</v>
      </c>
      <c r="H121" s="153" t="b">
        <v>1</v>
      </c>
    </row>
    <row r="122" spans="1:8" x14ac:dyDescent="0.3">
      <c r="A122" s="153" t="s">
        <v>2396</v>
      </c>
      <c r="B122" s="153" t="s">
        <v>3603</v>
      </c>
      <c r="C122" s="153" t="s">
        <v>1595</v>
      </c>
      <c r="D122" s="153">
        <v>3500</v>
      </c>
      <c r="E122" s="153">
        <v>3500</v>
      </c>
      <c r="F122" s="153">
        <f t="shared" si="2"/>
        <v>0</v>
      </c>
      <c r="G122" s="153" t="str">
        <f t="shared" si="3"/>
        <v>OK</v>
      </c>
      <c r="H122" s="153" t="b">
        <v>1</v>
      </c>
    </row>
    <row r="123" spans="1:8" x14ac:dyDescent="0.3">
      <c r="A123" s="153" t="s">
        <v>2398</v>
      </c>
      <c r="B123" s="153" t="s">
        <v>3603</v>
      </c>
      <c r="C123" s="153" t="s">
        <v>1597</v>
      </c>
      <c r="D123" s="153">
        <v>2800</v>
      </c>
      <c r="E123" s="153">
        <v>2800</v>
      </c>
      <c r="F123" s="153">
        <f t="shared" si="2"/>
        <v>0</v>
      </c>
      <c r="G123" s="153" t="str">
        <f t="shared" si="3"/>
        <v>OK</v>
      </c>
      <c r="H123" s="153" t="b">
        <v>1</v>
      </c>
    </row>
    <row r="124" spans="1:8" x14ac:dyDescent="0.3">
      <c r="A124" s="153" t="s">
        <v>2400</v>
      </c>
      <c r="B124" s="153" t="s">
        <v>3603</v>
      </c>
      <c r="C124" s="153" t="s">
        <v>1599</v>
      </c>
      <c r="D124" s="153">
        <v>71</v>
      </c>
      <c r="E124" s="153">
        <v>71</v>
      </c>
      <c r="F124" s="153">
        <f t="shared" si="2"/>
        <v>0</v>
      </c>
      <c r="G124" s="153" t="str">
        <f t="shared" si="3"/>
        <v>OK</v>
      </c>
      <c r="H124" s="153" t="b">
        <v>1</v>
      </c>
    </row>
    <row r="125" spans="1:8" x14ac:dyDescent="0.3">
      <c r="A125" s="153" t="s">
        <v>2402</v>
      </c>
      <c r="B125" s="153" t="s">
        <v>3603</v>
      </c>
      <c r="C125" s="153" t="s">
        <v>1601</v>
      </c>
      <c r="D125" s="153">
        <v>2840</v>
      </c>
      <c r="E125" s="153">
        <v>2840</v>
      </c>
      <c r="F125" s="153">
        <f t="shared" si="2"/>
        <v>0</v>
      </c>
      <c r="G125" s="153" t="str">
        <f t="shared" si="3"/>
        <v>OK</v>
      </c>
      <c r="H125" s="153" t="b">
        <v>1</v>
      </c>
    </row>
    <row r="126" spans="1:8" x14ac:dyDescent="0.3">
      <c r="A126" s="153" t="s">
        <v>2404</v>
      </c>
      <c r="B126" s="153" t="s">
        <v>3603</v>
      </c>
      <c r="C126" s="153" t="s">
        <v>2279</v>
      </c>
      <c r="D126" s="153">
        <v>0</v>
      </c>
      <c r="E126" s="153">
        <v>0</v>
      </c>
      <c r="F126" s="153">
        <f t="shared" si="2"/>
        <v>0</v>
      </c>
      <c r="G126" s="153" t="str">
        <f t="shared" si="3"/>
        <v>OK</v>
      </c>
      <c r="H126" s="153" t="b">
        <v>1</v>
      </c>
    </row>
    <row r="127" spans="1:8" x14ac:dyDescent="0.3">
      <c r="A127" s="153" t="s">
        <v>2406</v>
      </c>
      <c r="B127" s="153" t="s">
        <v>3603</v>
      </c>
      <c r="C127" s="153" t="s">
        <v>1603</v>
      </c>
      <c r="D127" s="153">
        <v>0</v>
      </c>
      <c r="E127" s="153">
        <v>0</v>
      </c>
      <c r="F127" s="153">
        <f t="shared" si="2"/>
        <v>0</v>
      </c>
      <c r="G127" s="153" t="str">
        <f t="shared" si="3"/>
        <v>OK</v>
      </c>
      <c r="H127" s="153" t="b">
        <v>1</v>
      </c>
    </row>
    <row r="128" spans="1:8" x14ac:dyDescent="0.3">
      <c r="A128" s="153" t="s">
        <v>2408</v>
      </c>
      <c r="B128" s="153" t="s">
        <v>3603</v>
      </c>
      <c r="C128" s="153" t="s">
        <v>1605</v>
      </c>
      <c r="D128" s="153">
        <v>1657.8570370370369</v>
      </c>
      <c r="E128" s="153">
        <v>1657.8570370370369</v>
      </c>
      <c r="F128" s="153">
        <f t="shared" si="2"/>
        <v>0</v>
      </c>
      <c r="G128" s="153" t="str">
        <f t="shared" si="3"/>
        <v>OK</v>
      </c>
      <c r="H128" s="153" t="b">
        <v>1</v>
      </c>
    </row>
    <row r="129" spans="1:8" x14ac:dyDescent="0.3">
      <c r="A129" s="153" t="s">
        <v>2410</v>
      </c>
      <c r="B129" s="153" t="s">
        <v>3603</v>
      </c>
      <c r="C129" s="153" t="s">
        <v>1607</v>
      </c>
      <c r="D129" s="153">
        <v>0</v>
      </c>
      <c r="E129" s="153">
        <v>0</v>
      </c>
      <c r="F129" s="153">
        <f t="shared" si="2"/>
        <v>0</v>
      </c>
      <c r="G129" s="153" t="str">
        <f t="shared" si="3"/>
        <v>OK</v>
      </c>
      <c r="H129" s="153" t="b">
        <v>1</v>
      </c>
    </row>
    <row r="130" spans="1:8" x14ac:dyDescent="0.3">
      <c r="A130" s="153" t="s">
        <v>2412</v>
      </c>
      <c r="B130" s="153" t="s">
        <v>3603</v>
      </c>
      <c r="C130" s="153" t="s">
        <v>1609</v>
      </c>
      <c r="D130" s="153">
        <v>0</v>
      </c>
      <c r="E130" s="153">
        <v>0</v>
      </c>
      <c r="F130" s="153">
        <f t="shared" ref="F130:F193" si="4">IF(NOT(H130),"",IF(AND(ISNUMBER(D130),ISNUMBER(E130)),E130-D130,IF(D130=E130,0,1)))</f>
        <v>0</v>
      </c>
      <c r="G130" s="153" t="str">
        <f t="shared" ref="G130:G193" si="5">IF(NOT(H130),"PENDIENTE SIDE",IF(IF(AND(ISNUMBER(D130),ISNUMBER(E130)),IF(MOD(D130,1)=0,D130=E130,ABS(D130-E130)&lt;=0.000000001*MAX(1,ABS(D130),ABS(E130))),D130=E130),"OK","DIFERENCIA"))</f>
        <v>OK</v>
      </c>
      <c r="H130" s="153" t="b">
        <v>1</v>
      </c>
    </row>
    <row r="131" spans="1:8" x14ac:dyDescent="0.3">
      <c r="A131" s="153" t="s">
        <v>2414</v>
      </c>
      <c r="B131" s="153" t="s">
        <v>3603</v>
      </c>
      <c r="C131" s="153" t="s">
        <v>1611</v>
      </c>
      <c r="D131" s="153">
        <v>10983.20538703704</v>
      </c>
      <c r="E131" s="153">
        <v>10983.20538703704</v>
      </c>
      <c r="F131" s="153">
        <f t="shared" si="4"/>
        <v>0</v>
      </c>
      <c r="G131" s="153" t="str">
        <f t="shared" si="5"/>
        <v>OK</v>
      </c>
      <c r="H131" s="153" t="b">
        <v>1</v>
      </c>
    </row>
    <row r="132" spans="1:8" x14ac:dyDescent="0.3">
      <c r="A132" s="153" t="s">
        <v>2416</v>
      </c>
      <c r="B132" s="153" t="s">
        <v>3603</v>
      </c>
      <c r="C132" s="153" t="s">
        <v>1613</v>
      </c>
      <c r="D132" s="153">
        <v>-8143.2053870370364</v>
      </c>
      <c r="E132" s="153">
        <v>-8143.2053870370364</v>
      </c>
      <c r="F132" s="153">
        <f t="shared" si="4"/>
        <v>0</v>
      </c>
      <c r="G132" s="153" t="str">
        <f t="shared" si="5"/>
        <v>OK</v>
      </c>
      <c r="H132" s="153" t="b">
        <v>1</v>
      </c>
    </row>
    <row r="133" spans="1:8" x14ac:dyDescent="0.3">
      <c r="A133" s="153" t="s">
        <v>2418</v>
      </c>
      <c r="B133" s="153" t="s">
        <v>3603</v>
      </c>
      <c r="C133" s="153" t="s">
        <v>1615</v>
      </c>
      <c r="D133" s="153">
        <v>3</v>
      </c>
      <c r="E133" s="153">
        <v>3</v>
      </c>
      <c r="F133" s="153">
        <f t="shared" si="4"/>
        <v>0</v>
      </c>
      <c r="G133" s="153" t="str">
        <f t="shared" si="5"/>
        <v>OK</v>
      </c>
      <c r="H133" s="153" t="b">
        <v>1</v>
      </c>
    </row>
    <row r="134" spans="1:8" x14ac:dyDescent="0.3">
      <c r="A134" s="153" t="s">
        <v>2420</v>
      </c>
      <c r="B134" s="153" t="s">
        <v>3603</v>
      </c>
      <c r="C134" s="153" t="s">
        <v>1617</v>
      </c>
      <c r="D134" s="153">
        <v>0</v>
      </c>
      <c r="E134" s="153">
        <v>0</v>
      </c>
      <c r="F134" s="153">
        <f t="shared" si="4"/>
        <v>0</v>
      </c>
      <c r="G134" s="153" t="str">
        <f t="shared" si="5"/>
        <v>OK</v>
      </c>
      <c r="H134" s="153" t="b">
        <v>1</v>
      </c>
    </row>
    <row r="135" spans="1:8" x14ac:dyDescent="0.3">
      <c r="A135" s="153" t="s">
        <v>2422</v>
      </c>
      <c r="B135" s="153" t="s">
        <v>3603</v>
      </c>
      <c r="C135" s="153" t="s">
        <v>1619</v>
      </c>
      <c r="D135" s="153">
        <v>836.10000000000014</v>
      </c>
      <c r="E135" s="153">
        <v>836.1</v>
      </c>
      <c r="F135" s="153">
        <f t="shared" si="4"/>
        <v>-1.1368683772161603E-13</v>
      </c>
      <c r="G135" s="153" t="str">
        <f t="shared" si="5"/>
        <v>OK</v>
      </c>
      <c r="H135" s="153" t="b">
        <v>1</v>
      </c>
    </row>
    <row r="136" spans="1:8" x14ac:dyDescent="0.3">
      <c r="A136" s="153" t="s">
        <v>2424</v>
      </c>
      <c r="B136" s="153" t="s">
        <v>3603</v>
      </c>
      <c r="C136" s="153" t="s">
        <v>1621</v>
      </c>
      <c r="D136" s="153">
        <v>0</v>
      </c>
      <c r="E136" s="153">
        <v>0</v>
      </c>
      <c r="F136" s="153">
        <f t="shared" si="4"/>
        <v>0</v>
      </c>
      <c r="G136" s="153" t="str">
        <f t="shared" si="5"/>
        <v>OK</v>
      </c>
      <c r="H136" s="153" t="b">
        <v>1</v>
      </c>
    </row>
    <row r="137" spans="1:8" x14ac:dyDescent="0.3">
      <c r="A137" s="153" t="s">
        <v>2426</v>
      </c>
      <c r="B137" s="153" t="s">
        <v>3603</v>
      </c>
      <c r="C137" s="153" t="s">
        <v>1623</v>
      </c>
      <c r="D137" s="153">
        <v>0</v>
      </c>
      <c r="E137" s="153">
        <v>0</v>
      </c>
      <c r="F137" s="153">
        <f t="shared" si="4"/>
        <v>0</v>
      </c>
      <c r="G137" s="153" t="str">
        <f t="shared" si="5"/>
        <v>OK</v>
      </c>
      <c r="H137" s="153" t="b">
        <v>1</v>
      </c>
    </row>
    <row r="138" spans="1:8" x14ac:dyDescent="0.3">
      <c r="A138" s="153" t="s">
        <v>2428</v>
      </c>
      <c r="B138" s="153" t="s">
        <v>3603</v>
      </c>
      <c r="C138" s="153" t="s">
        <v>1625</v>
      </c>
      <c r="D138" s="153">
        <v>2787</v>
      </c>
      <c r="E138" s="153">
        <v>2787</v>
      </c>
      <c r="F138" s="153">
        <f t="shared" si="4"/>
        <v>0</v>
      </c>
      <c r="G138" s="153" t="str">
        <f t="shared" si="5"/>
        <v>OK</v>
      </c>
      <c r="H138" s="153" t="b">
        <v>1</v>
      </c>
    </row>
    <row r="139" spans="1:8" x14ac:dyDescent="0.3">
      <c r="A139" s="153" t="s">
        <v>2430</v>
      </c>
      <c r="B139" s="153" t="s">
        <v>3603</v>
      </c>
      <c r="C139" s="153" t="s">
        <v>1627</v>
      </c>
      <c r="D139" s="153">
        <v>0</v>
      </c>
      <c r="E139" s="153">
        <v>0</v>
      </c>
      <c r="F139" s="153">
        <f t="shared" si="4"/>
        <v>0</v>
      </c>
      <c r="G139" s="153" t="str">
        <f t="shared" si="5"/>
        <v>OK</v>
      </c>
      <c r="H139" s="153" t="b">
        <v>1</v>
      </c>
    </row>
    <row r="140" spans="1:8" x14ac:dyDescent="0.3">
      <c r="A140" s="153" t="s">
        <v>2432</v>
      </c>
      <c r="B140" s="153" t="s">
        <v>3603</v>
      </c>
      <c r="C140" s="153" t="s">
        <v>1629</v>
      </c>
      <c r="D140" s="153">
        <v>16722</v>
      </c>
      <c r="E140" s="153">
        <v>16722</v>
      </c>
      <c r="F140" s="153">
        <f t="shared" si="4"/>
        <v>0</v>
      </c>
      <c r="G140" s="153" t="str">
        <f t="shared" si="5"/>
        <v>OK</v>
      </c>
      <c r="H140" s="153" t="b">
        <v>1</v>
      </c>
    </row>
    <row r="141" spans="1:8" x14ac:dyDescent="0.3">
      <c r="A141" s="153" t="s">
        <v>2434</v>
      </c>
      <c r="B141" s="153" t="s">
        <v>3603</v>
      </c>
      <c r="C141" s="153" t="s">
        <v>1631</v>
      </c>
      <c r="D141" s="153">
        <v>0</v>
      </c>
      <c r="E141" s="153">
        <v>0</v>
      </c>
      <c r="F141" s="153">
        <f t="shared" si="4"/>
        <v>0</v>
      </c>
      <c r="G141" s="153" t="str">
        <f t="shared" si="5"/>
        <v>OK</v>
      </c>
      <c r="H141" s="153" t="b">
        <v>1</v>
      </c>
    </row>
    <row r="142" spans="1:8" x14ac:dyDescent="0.3">
      <c r="A142" s="153" t="s">
        <v>2436</v>
      </c>
      <c r="B142" s="153" t="s">
        <v>3603</v>
      </c>
      <c r="C142" s="153" t="s">
        <v>1633</v>
      </c>
      <c r="D142" s="153">
        <v>0</v>
      </c>
      <c r="E142" s="153">
        <v>0</v>
      </c>
      <c r="F142" s="153">
        <f t="shared" si="4"/>
        <v>0</v>
      </c>
      <c r="G142" s="153" t="str">
        <f t="shared" si="5"/>
        <v>OK</v>
      </c>
      <c r="H142" s="153" t="b">
        <v>1</v>
      </c>
    </row>
    <row r="143" spans="1:8" x14ac:dyDescent="0.3">
      <c r="A143" s="153" t="s">
        <v>2438</v>
      </c>
      <c r="B143" s="153" t="s">
        <v>3603</v>
      </c>
      <c r="C143" s="153" t="s">
        <v>1635</v>
      </c>
      <c r="D143" s="153" t="b">
        <v>0</v>
      </c>
      <c r="E143" s="153" t="b">
        <v>0</v>
      </c>
      <c r="F143" s="153">
        <f t="shared" si="4"/>
        <v>0</v>
      </c>
      <c r="G143" s="153" t="str">
        <f t="shared" si="5"/>
        <v>OK</v>
      </c>
      <c r="H143" s="153" t="b">
        <v>1</v>
      </c>
    </row>
    <row r="144" spans="1:8" x14ac:dyDescent="0.3">
      <c r="A144" s="153" t="s">
        <v>2440</v>
      </c>
      <c r="B144" s="153" t="s">
        <v>3603</v>
      </c>
      <c r="C144" s="153" t="s">
        <v>1637</v>
      </c>
      <c r="D144" s="153" t="b">
        <v>0</v>
      </c>
      <c r="E144" s="153" t="b">
        <v>0</v>
      </c>
      <c r="F144" s="153">
        <f t="shared" si="4"/>
        <v>0</v>
      </c>
      <c r="G144" s="153" t="str">
        <f t="shared" si="5"/>
        <v>OK</v>
      </c>
      <c r="H144" s="153" t="b">
        <v>1</v>
      </c>
    </row>
    <row r="145" spans="1:8" x14ac:dyDescent="0.3">
      <c r="A145" s="153" t="s">
        <v>2442</v>
      </c>
      <c r="B145" s="153" t="s">
        <v>3603</v>
      </c>
      <c r="C145" s="153" t="s">
        <v>1639</v>
      </c>
      <c r="D145" s="153" t="b">
        <v>1</v>
      </c>
      <c r="E145" s="153" t="b">
        <v>1</v>
      </c>
      <c r="F145" s="153">
        <f t="shared" si="4"/>
        <v>0</v>
      </c>
      <c r="G145" s="153" t="str">
        <f t="shared" si="5"/>
        <v>OK</v>
      </c>
      <c r="H145" s="153" t="b">
        <v>1</v>
      </c>
    </row>
    <row r="146" spans="1:8" x14ac:dyDescent="0.3">
      <c r="A146" s="153" t="s">
        <v>2444</v>
      </c>
      <c r="B146" s="153" t="s">
        <v>3603</v>
      </c>
      <c r="C146" s="153" t="s">
        <v>1641</v>
      </c>
      <c r="D146" s="153" t="b">
        <v>1</v>
      </c>
      <c r="E146" s="153" t="b">
        <v>1</v>
      </c>
      <c r="F146" s="153">
        <f t="shared" si="4"/>
        <v>0</v>
      </c>
      <c r="G146" s="153" t="str">
        <f t="shared" si="5"/>
        <v>OK</v>
      </c>
      <c r="H146" s="153" t="b">
        <v>1</v>
      </c>
    </row>
    <row r="147" spans="1:8" x14ac:dyDescent="0.3">
      <c r="A147" s="153" t="s">
        <v>2446</v>
      </c>
      <c r="B147" s="153" t="s">
        <v>3603</v>
      </c>
      <c r="C147" s="153" t="s">
        <v>1643</v>
      </c>
      <c r="D147" s="153" t="b">
        <v>0</v>
      </c>
      <c r="E147" s="153" t="b">
        <v>0</v>
      </c>
      <c r="F147" s="153">
        <f t="shared" si="4"/>
        <v>0</v>
      </c>
      <c r="G147" s="153" t="str">
        <f t="shared" si="5"/>
        <v>OK</v>
      </c>
      <c r="H147" s="153" t="b">
        <v>1</v>
      </c>
    </row>
    <row r="148" spans="1:8" x14ac:dyDescent="0.3">
      <c r="A148" s="153" t="s">
        <v>2448</v>
      </c>
      <c r="B148" s="153" t="s">
        <v>3603</v>
      </c>
      <c r="C148" s="153" t="s">
        <v>1645</v>
      </c>
      <c r="D148" s="153" t="b">
        <v>1</v>
      </c>
      <c r="E148" s="153" t="b">
        <v>1</v>
      </c>
      <c r="F148" s="153">
        <f t="shared" si="4"/>
        <v>0</v>
      </c>
      <c r="G148" s="153" t="str">
        <f t="shared" si="5"/>
        <v>OK</v>
      </c>
      <c r="H148" s="153" t="b">
        <v>1</v>
      </c>
    </row>
    <row r="149" spans="1:8" x14ac:dyDescent="0.3">
      <c r="A149" s="153" t="s">
        <v>2450</v>
      </c>
      <c r="B149" s="153" t="s">
        <v>3603</v>
      </c>
      <c r="C149" s="153" t="s">
        <v>1647</v>
      </c>
      <c r="D149" s="153" t="b">
        <v>0</v>
      </c>
      <c r="E149" s="153" t="b">
        <v>0</v>
      </c>
      <c r="F149" s="153">
        <f t="shared" si="4"/>
        <v>0</v>
      </c>
      <c r="G149" s="153" t="str">
        <f t="shared" si="5"/>
        <v>OK</v>
      </c>
      <c r="H149" s="153" t="b">
        <v>1</v>
      </c>
    </row>
    <row r="150" spans="1:8" x14ac:dyDescent="0.3">
      <c r="A150" s="153" t="s">
        <v>2452</v>
      </c>
      <c r="B150" s="153" t="s">
        <v>3603</v>
      </c>
      <c r="C150" s="153" t="s">
        <v>1649</v>
      </c>
      <c r="D150" s="153" t="b">
        <v>1</v>
      </c>
      <c r="E150" s="153" t="b">
        <v>1</v>
      </c>
      <c r="F150" s="153">
        <f t="shared" si="4"/>
        <v>0</v>
      </c>
      <c r="G150" s="153" t="str">
        <f t="shared" si="5"/>
        <v>OK</v>
      </c>
      <c r="H150" s="153" t="b">
        <v>1</v>
      </c>
    </row>
    <row r="151" spans="1:8" x14ac:dyDescent="0.3">
      <c r="A151" s="153" t="s">
        <v>2454</v>
      </c>
      <c r="B151" s="153" t="s">
        <v>3603</v>
      </c>
      <c r="C151" s="153" t="s">
        <v>1651</v>
      </c>
      <c r="D151" s="153">
        <v>5000</v>
      </c>
      <c r="E151" s="153">
        <v>5000</v>
      </c>
      <c r="F151" s="153">
        <f t="shared" si="4"/>
        <v>0</v>
      </c>
      <c r="G151" s="153" t="str">
        <f t="shared" si="5"/>
        <v>OK</v>
      </c>
      <c r="H151" s="153" t="b">
        <v>1</v>
      </c>
    </row>
    <row r="152" spans="1:8" x14ac:dyDescent="0.3">
      <c r="A152" s="153" t="s">
        <v>2456</v>
      </c>
      <c r="B152" s="153" t="s">
        <v>3603</v>
      </c>
      <c r="C152" s="153" t="s">
        <v>1653</v>
      </c>
      <c r="D152" s="153">
        <v>23</v>
      </c>
      <c r="E152" s="153">
        <v>23</v>
      </c>
      <c r="F152" s="153">
        <f t="shared" si="4"/>
        <v>0</v>
      </c>
      <c r="G152" s="153" t="str">
        <f t="shared" si="5"/>
        <v>OK</v>
      </c>
      <c r="H152" s="153" t="b">
        <v>1</v>
      </c>
    </row>
    <row r="153" spans="1:8" x14ac:dyDescent="0.3">
      <c r="A153" s="153" t="s">
        <v>2458</v>
      </c>
      <c r="B153" s="153" t="s">
        <v>3603</v>
      </c>
      <c r="C153" s="153" t="s">
        <v>1655</v>
      </c>
      <c r="D153" s="153">
        <v>5000</v>
      </c>
      <c r="E153" s="153">
        <v>5000</v>
      </c>
      <c r="F153" s="153">
        <f t="shared" si="4"/>
        <v>0</v>
      </c>
      <c r="G153" s="153" t="str">
        <f t="shared" si="5"/>
        <v>OK</v>
      </c>
      <c r="H153" s="153" t="b">
        <v>1</v>
      </c>
    </row>
    <row r="154" spans="1:8" x14ac:dyDescent="0.3">
      <c r="A154" s="153" t="s">
        <v>2460</v>
      </c>
      <c r="B154" s="153" t="s">
        <v>3603</v>
      </c>
      <c r="C154" s="153" t="s">
        <v>1657</v>
      </c>
      <c r="D154" s="153">
        <v>0</v>
      </c>
      <c r="E154" s="153">
        <v>0</v>
      </c>
      <c r="F154" s="153">
        <f t="shared" si="4"/>
        <v>0</v>
      </c>
      <c r="G154" s="153" t="str">
        <f t="shared" si="5"/>
        <v>OK</v>
      </c>
      <c r="H154" s="153" t="b">
        <v>1</v>
      </c>
    </row>
    <row r="155" spans="1:8" x14ac:dyDescent="0.3">
      <c r="A155" s="153" t="s">
        <v>1989</v>
      </c>
      <c r="B155" s="153" t="s">
        <v>3603</v>
      </c>
      <c r="C155" s="153" t="s">
        <v>1990</v>
      </c>
      <c r="D155" s="153">
        <v>2840</v>
      </c>
      <c r="E155" s="153">
        <v>2840</v>
      </c>
      <c r="F155" s="153">
        <f t="shared" si="4"/>
        <v>0</v>
      </c>
      <c r="G155" s="153" t="str">
        <f t="shared" si="5"/>
        <v>OK</v>
      </c>
      <c r="H155" s="153" t="b">
        <v>1</v>
      </c>
    </row>
    <row r="156" spans="1:8" x14ac:dyDescent="0.3">
      <c r="A156" s="153" t="s">
        <v>1991</v>
      </c>
      <c r="B156" s="153" t="s">
        <v>3603</v>
      </c>
      <c r="C156" s="153" t="s">
        <v>1992</v>
      </c>
      <c r="D156" s="153">
        <v>2840</v>
      </c>
      <c r="E156" s="153">
        <v>2840</v>
      </c>
      <c r="F156" s="153">
        <f t="shared" si="4"/>
        <v>0</v>
      </c>
      <c r="G156" s="153" t="str">
        <f t="shared" si="5"/>
        <v>OK</v>
      </c>
      <c r="H156" s="153" t="b">
        <v>1</v>
      </c>
    </row>
    <row r="157" spans="1:8" x14ac:dyDescent="0.3">
      <c r="A157" s="153" t="s">
        <v>1993</v>
      </c>
      <c r="B157" s="153" t="s">
        <v>3603</v>
      </c>
      <c r="C157" s="153" t="s">
        <v>1994</v>
      </c>
      <c r="D157" s="153">
        <v>12526.921437037039</v>
      </c>
      <c r="E157" s="153">
        <v>12526.921437037039</v>
      </c>
      <c r="F157" s="153">
        <f t="shared" si="4"/>
        <v>0</v>
      </c>
      <c r="G157" s="153" t="str">
        <f t="shared" si="5"/>
        <v>OK</v>
      </c>
      <c r="H157" s="153" t="b">
        <v>1</v>
      </c>
    </row>
    <row r="158" spans="1:8" x14ac:dyDescent="0.3">
      <c r="A158" s="153" t="s">
        <v>1995</v>
      </c>
      <c r="B158" s="153" t="s">
        <v>3603</v>
      </c>
      <c r="C158" s="153" t="s">
        <v>1996</v>
      </c>
      <c r="D158" s="153">
        <v>-9686.9214370370355</v>
      </c>
      <c r="E158" s="153">
        <v>-9686.9214370370355</v>
      </c>
      <c r="F158" s="153">
        <f t="shared" si="4"/>
        <v>0</v>
      </c>
      <c r="G158" s="153" t="str">
        <f t="shared" si="5"/>
        <v>OK</v>
      </c>
      <c r="H158" s="153" t="b">
        <v>1</v>
      </c>
    </row>
    <row r="159" spans="1:8" x14ac:dyDescent="0.3">
      <c r="A159" s="153" t="s">
        <v>1997</v>
      </c>
      <c r="B159" s="153" t="s">
        <v>3603</v>
      </c>
      <c r="C159" s="153" t="s">
        <v>1998</v>
      </c>
      <c r="D159" s="153">
        <v>64.125</v>
      </c>
      <c r="E159" s="153">
        <v>64.125</v>
      </c>
      <c r="F159" s="153">
        <f t="shared" si="4"/>
        <v>0</v>
      </c>
      <c r="G159" s="153" t="str">
        <f t="shared" si="5"/>
        <v>OK</v>
      </c>
      <c r="H159" s="153" t="b">
        <v>1</v>
      </c>
    </row>
    <row r="160" spans="1:8" x14ac:dyDescent="0.3">
      <c r="A160" s="153" t="s">
        <v>1999</v>
      </c>
      <c r="B160" s="153" t="s">
        <v>3603</v>
      </c>
      <c r="C160" s="153" t="s">
        <v>2000</v>
      </c>
      <c r="D160" s="153">
        <v>0</v>
      </c>
      <c r="E160" s="153">
        <v>0</v>
      </c>
      <c r="F160" s="153">
        <f t="shared" si="4"/>
        <v>0</v>
      </c>
      <c r="G160" s="153" t="str">
        <f t="shared" si="5"/>
        <v>OK</v>
      </c>
      <c r="H160" s="153" t="b">
        <v>1</v>
      </c>
    </row>
    <row r="161" spans="1:8" x14ac:dyDescent="0.3">
      <c r="A161" s="153" t="s">
        <v>2001</v>
      </c>
      <c r="B161" s="153" t="s">
        <v>3603</v>
      </c>
      <c r="C161" s="153" t="s">
        <v>2002</v>
      </c>
      <c r="D161" s="153">
        <v>12526.921437037039</v>
      </c>
      <c r="E161" s="153">
        <v>12526.921437037039</v>
      </c>
      <c r="F161" s="153">
        <f t="shared" si="4"/>
        <v>0</v>
      </c>
      <c r="G161" s="153" t="str">
        <f t="shared" si="5"/>
        <v>OK</v>
      </c>
      <c r="H161" s="153" t="b">
        <v>1</v>
      </c>
    </row>
    <row r="162" spans="1:8" x14ac:dyDescent="0.3">
      <c r="A162" s="153" t="s">
        <v>2003</v>
      </c>
      <c r="B162" s="153" t="s">
        <v>3603</v>
      </c>
      <c r="C162" s="153" t="s">
        <v>2004</v>
      </c>
      <c r="D162" s="153">
        <v>1000000</v>
      </c>
      <c r="E162" s="153">
        <v>1000000</v>
      </c>
      <c r="F162" s="153">
        <f t="shared" si="4"/>
        <v>0</v>
      </c>
      <c r="G162" s="153" t="str">
        <f t="shared" si="5"/>
        <v>OK</v>
      </c>
      <c r="H162" s="153" t="b">
        <v>1</v>
      </c>
    </row>
    <row r="163" spans="1:8" x14ac:dyDescent="0.3">
      <c r="A163" s="153" t="s">
        <v>2005</v>
      </c>
      <c r="B163" s="153" t="s">
        <v>3603</v>
      </c>
      <c r="C163" s="153" t="s">
        <v>2006</v>
      </c>
      <c r="D163" s="153">
        <v>2840</v>
      </c>
      <c r="E163" s="153">
        <v>2840</v>
      </c>
      <c r="F163" s="153">
        <f t="shared" si="4"/>
        <v>0</v>
      </c>
      <c r="G163" s="153" t="str">
        <f t="shared" si="5"/>
        <v>OK</v>
      </c>
      <c r="H163" s="153" t="b">
        <v>1</v>
      </c>
    </row>
    <row r="164" spans="1:8" x14ac:dyDescent="0.3">
      <c r="A164" s="153" t="s">
        <v>2007</v>
      </c>
      <c r="B164" s="153" t="s">
        <v>3603</v>
      </c>
      <c r="C164" s="153" t="s">
        <v>2008</v>
      </c>
      <c r="D164" s="153">
        <v>39808.227037037032</v>
      </c>
      <c r="E164" s="153">
        <v>39808.227037037032</v>
      </c>
      <c r="F164" s="153">
        <f t="shared" si="4"/>
        <v>0</v>
      </c>
      <c r="G164" s="153" t="str">
        <f t="shared" si="5"/>
        <v>OK</v>
      </c>
      <c r="H164" s="153" t="b">
        <v>1</v>
      </c>
    </row>
    <row r="165" spans="1:8" x14ac:dyDescent="0.3">
      <c r="A165" s="153" t="s">
        <v>2009</v>
      </c>
      <c r="B165" s="153" t="s">
        <v>3603</v>
      </c>
      <c r="C165" s="153" t="s">
        <v>2010</v>
      </c>
      <c r="D165" s="153">
        <v>963031.77296296298</v>
      </c>
      <c r="E165" s="153">
        <v>963031.77296296298</v>
      </c>
      <c r="F165" s="153">
        <f t="shared" si="4"/>
        <v>0</v>
      </c>
      <c r="G165" s="153" t="str">
        <f t="shared" si="5"/>
        <v>OK</v>
      </c>
      <c r="H165" s="153" t="b">
        <v>1</v>
      </c>
    </row>
    <row r="166" spans="1:8" x14ac:dyDescent="0.3">
      <c r="A166" s="153" t="s">
        <v>2011</v>
      </c>
      <c r="B166" s="153" t="s">
        <v>3603</v>
      </c>
      <c r="C166" s="153" t="s">
        <v>2012</v>
      </c>
      <c r="D166" s="153">
        <v>1000000</v>
      </c>
      <c r="E166" s="153">
        <v>1000000</v>
      </c>
      <c r="F166" s="153">
        <f t="shared" si="4"/>
        <v>0</v>
      </c>
      <c r="G166" s="153" t="str">
        <f t="shared" si="5"/>
        <v>OK</v>
      </c>
      <c r="H166" s="153" t="b">
        <v>1</v>
      </c>
    </row>
    <row r="167" spans="1:8" x14ac:dyDescent="0.3">
      <c r="A167" s="153" t="s">
        <v>2013</v>
      </c>
      <c r="B167" s="153" t="s">
        <v>3603</v>
      </c>
      <c r="C167" s="153" t="s">
        <v>2014</v>
      </c>
      <c r="D167" s="153">
        <v>2840</v>
      </c>
      <c r="E167" s="153">
        <v>2840</v>
      </c>
      <c r="F167" s="153">
        <f t="shared" si="4"/>
        <v>0</v>
      </c>
      <c r="G167" s="153" t="str">
        <f t="shared" si="5"/>
        <v>OK</v>
      </c>
      <c r="H167" s="153" t="b">
        <v>1</v>
      </c>
    </row>
    <row r="168" spans="1:8" x14ac:dyDescent="0.3">
      <c r="A168" s="153" t="s">
        <v>2015</v>
      </c>
      <c r="B168" s="153" t="s">
        <v>3603</v>
      </c>
      <c r="C168" s="153" t="s">
        <v>2016</v>
      </c>
      <c r="D168" s="153">
        <v>31945.227037037032</v>
      </c>
      <c r="E168" s="153">
        <v>31945.227037037032</v>
      </c>
      <c r="F168" s="153">
        <f t="shared" si="4"/>
        <v>0</v>
      </c>
      <c r="G168" s="153" t="str">
        <f t="shared" si="5"/>
        <v>OK</v>
      </c>
      <c r="H168" s="153" t="b">
        <v>1</v>
      </c>
    </row>
    <row r="169" spans="1:8" x14ac:dyDescent="0.3">
      <c r="A169" s="153" t="s">
        <v>2017</v>
      </c>
      <c r="B169" s="153" t="s">
        <v>3603</v>
      </c>
      <c r="C169" s="153" t="s">
        <v>2018</v>
      </c>
      <c r="D169" s="153">
        <v>7863</v>
      </c>
      <c r="E169" s="153">
        <v>7863</v>
      </c>
      <c r="F169" s="153">
        <f t="shared" si="4"/>
        <v>0</v>
      </c>
      <c r="G169" s="153" t="str">
        <f t="shared" si="5"/>
        <v>OK</v>
      </c>
      <c r="H169" s="153" t="b">
        <v>1</v>
      </c>
    </row>
    <row r="170" spans="1:8" x14ac:dyDescent="0.3">
      <c r="A170" s="153" t="s">
        <v>2019</v>
      </c>
      <c r="B170" s="153" t="s">
        <v>3603</v>
      </c>
      <c r="C170" s="153" t="s">
        <v>2020</v>
      </c>
      <c r="D170" s="153">
        <v>0</v>
      </c>
      <c r="E170" s="153">
        <v>0</v>
      </c>
      <c r="F170" s="153">
        <f t="shared" si="4"/>
        <v>0</v>
      </c>
      <c r="G170" s="153" t="str">
        <f t="shared" si="5"/>
        <v>OK</v>
      </c>
      <c r="H170" s="153" t="b">
        <v>1</v>
      </c>
    </row>
    <row r="171" spans="1:8" x14ac:dyDescent="0.3">
      <c r="A171" s="153" t="s">
        <v>2021</v>
      </c>
      <c r="B171" s="153" t="s">
        <v>3603</v>
      </c>
      <c r="C171" s="153" t="s">
        <v>2022</v>
      </c>
      <c r="D171" s="153">
        <v>-29105.227037037032</v>
      </c>
      <c r="E171" s="153">
        <v>-29105.227037037032</v>
      </c>
      <c r="F171" s="153">
        <f t="shared" si="4"/>
        <v>0</v>
      </c>
      <c r="G171" s="153" t="str">
        <f t="shared" si="5"/>
        <v>OK</v>
      </c>
      <c r="H171" s="153" t="b">
        <v>1</v>
      </c>
    </row>
    <row r="172" spans="1:8" x14ac:dyDescent="0.3">
      <c r="A172" s="153" t="s">
        <v>2023</v>
      </c>
      <c r="B172" s="153" t="s">
        <v>3603</v>
      </c>
      <c r="C172" s="153" t="s">
        <v>2024</v>
      </c>
      <c r="D172" s="153">
        <v>-7863</v>
      </c>
      <c r="E172" s="153">
        <v>-7863</v>
      </c>
      <c r="F172" s="153">
        <f t="shared" si="4"/>
        <v>0</v>
      </c>
      <c r="G172" s="153" t="str">
        <f t="shared" si="5"/>
        <v>OK</v>
      </c>
      <c r="H172" s="153" t="b">
        <v>1</v>
      </c>
    </row>
    <row r="173" spans="1:8" x14ac:dyDescent="0.3">
      <c r="A173" s="153" t="s">
        <v>2025</v>
      </c>
      <c r="B173" s="153" t="s">
        <v>3603</v>
      </c>
      <c r="C173" s="153" t="s">
        <v>2026</v>
      </c>
      <c r="D173" s="153">
        <v>-36968.227037037017</v>
      </c>
      <c r="E173" s="153">
        <v>-36968.227037037017</v>
      </c>
      <c r="F173" s="153">
        <f t="shared" si="4"/>
        <v>0</v>
      </c>
      <c r="G173" s="153" t="str">
        <f t="shared" si="5"/>
        <v>OK</v>
      </c>
      <c r="H173" s="153" t="b">
        <v>1</v>
      </c>
    </row>
    <row r="174" spans="1:8" x14ac:dyDescent="0.3">
      <c r="A174" s="153" t="s">
        <v>2027</v>
      </c>
      <c r="B174" s="153" t="s">
        <v>3603</v>
      </c>
      <c r="C174" s="153" t="s">
        <v>2028</v>
      </c>
      <c r="D174" s="153">
        <v>963031.77296296298</v>
      </c>
      <c r="E174" s="153">
        <v>963031.77296296298</v>
      </c>
      <c r="F174" s="153">
        <f t="shared" si="4"/>
        <v>0</v>
      </c>
      <c r="G174" s="153" t="str">
        <f t="shared" si="5"/>
        <v>OK</v>
      </c>
      <c r="H174" s="153" t="b">
        <v>1</v>
      </c>
    </row>
    <row r="175" spans="1:8" x14ac:dyDescent="0.3">
      <c r="A175" s="153" t="s">
        <v>2029</v>
      </c>
      <c r="B175" s="153" t="s">
        <v>3603</v>
      </c>
      <c r="C175" s="153" t="s">
        <v>2030</v>
      </c>
      <c r="D175" s="153">
        <v>963031.77296296298</v>
      </c>
      <c r="E175" s="153">
        <v>963031.77296296298</v>
      </c>
      <c r="F175" s="153">
        <f t="shared" si="4"/>
        <v>0</v>
      </c>
      <c r="G175" s="153" t="str">
        <f t="shared" si="5"/>
        <v>OK</v>
      </c>
      <c r="H175" s="153" t="b">
        <v>1</v>
      </c>
    </row>
    <row r="176" spans="1:8" x14ac:dyDescent="0.3">
      <c r="A176" s="153" t="s">
        <v>2031</v>
      </c>
      <c r="B176" s="153" t="s">
        <v>3603</v>
      </c>
      <c r="C176" s="153" t="s">
        <v>2032</v>
      </c>
      <c r="D176" s="153">
        <v>7435.875</v>
      </c>
      <c r="E176" s="153">
        <v>7435.875</v>
      </c>
      <c r="F176" s="153">
        <f t="shared" si="4"/>
        <v>0</v>
      </c>
      <c r="G176" s="153" t="str">
        <f t="shared" si="5"/>
        <v>OK</v>
      </c>
      <c r="H176" s="153" t="b">
        <v>1</v>
      </c>
    </row>
    <row r="177" spans="1:8" x14ac:dyDescent="0.3">
      <c r="A177" s="153" t="s">
        <v>2033</v>
      </c>
      <c r="B177" s="153" t="s">
        <v>3603</v>
      </c>
      <c r="C177" s="153" t="s">
        <v>2034</v>
      </c>
      <c r="D177" s="153">
        <v>19482.4306</v>
      </c>
      <c r="E177" s="153">
        <v>19482.4306</v>
      </c>
      <c r="F177" s="153">
        <f t="shared" si="4"/>
        <v>0</v>
      </c>
      <c r="G177" s="153" t="str">
        <f t="shared" si="5"/>
        <v>OK</v>
      </c>
      <c r="H177" s="153" t="b">
        <v>1</v>
      </c>
    </row>
    <row r="178" spans="1:8" x14ac:dyDescent="0.3">
      <c r="A178" s="153" t="s">
        <v>2035</v>
      </c>
      <c r="B178" s="153" t="s">
        <v>3603</v>
      </c>
      <c r="C178" s="153" t="s">
        <v>2036</v>
      </c>
      <c r="D178" s="153">
        <v>989950.07856296294</v>
      </c>
      <c r="E178" s="153">
        <v>989950.07856296294</v>
      </c>
      <c r="F178" s="153">
        <f t="shared" si="4"/>
        <v>0</v>
      </c>
      <c r="G178" s="153" t="str">
        <f t="shared" si="5"/>
        <v>OK</v>
      </c>
      <c r="H178" s="153" t="b">
        <v>1</v>
      </c>
    </row>
    <row r="179" spans="1:8" x14ac:dyDescent="0.3">
      <c r="A179" s="153" t="s">
        <v>2037</v>
      </c>
      <c r="B179" s="153" t="s">
        <v>3603</v>
      </c>
      <c r="C179" s="153" t="s">
        <v>2038</v>
      </c>
      <c r="D179" s="153">
        <v>0</v>
      </c>
      <c r="E179" s="153">
        <v>0</v>
      </c>
      <c r="F179" s="153">
        <f t="shared" si="4"/>
        <v>0</v>
      </c>
      <c r="G179" s="153" t="str">
        <f t="shared" si="5"/>
        <v>OK</v>
      </c>
      <c r="H179" s="153" t="b">
        <v>1</v>
      </c>
    </row>
    <row r="180" spans="1:8" x14ac:dyDescent="0.3">
      <c r="A180" s="153" t="s">
        <v>2039</v>
      </c>
      <c r="B180" s="153" t="s">
        <v>3603</v>
      </c>
      <c r="C180" s="153" t="s">
        <v>2040</v>
      </c>
      <c r="D180" s="153">
        <v>989950.07856296294</v>
      </c>
      <c r="E180" s="153">
        <v>989950.07856296294</v>
      </c>
      <c r="F180" s="153">
        <f t="shared" si="4"/>
        <v>0</v>
      </c>
      <c r="G180" s="153" t="str">
        <f t="shared" si="5"/>
        <v>OK</v>
      </c>
      <c r="H180" s="153" t="b">
        <v>1</v>
      </c>
    </row>
    <row r="181" spans="1:8" x14ac:dyDescent="0.3">
      <c r="A181" s="153" t="s">
        <v>2041</v>
      </c>
      <c r="B181" s="153" t="s">
        <v>3603</v>
      </c>
      <c r="C181" s="153" t="s">
        <v>2042</v>
      </c>
      <c r="D181" s="153">
        <v>989950.07856296294</v>
      </c>
      <c r="E181" s="153">
        <v>989950.07856296294</v>
      </c>
      <c r="F181" s="153">
        <f t="shared" si="4"/>
        <v>0</v>
      </c>
      <c r="G181" s="153" t="str">
        <f t="shared" si="5"/>
        <v>OK</v>
      </c>
      <c r="H181" s="153" t="b">
        <v>1</v>
      </c>
    </row>
    <row r="182" spans="1:8" x14ac:dyDescent="0.3">
      <c r="A182" s="153" t="s">
        <v>2043</v>
      </c>
      <c r="B182" s="153" t="s">
        <v>3603</v>
      </c>
      <c r="C182" s="153" t="s">
        <v>2044</v>
      </c>
      <c r="D182" s="153">
        <v>0</v>
      </c>
      <c r="E182" s="153">
        <v>0</v>
      </c>
      <c r="F182" s="153">
        <f t="shared" si="4"/>
        <v>0</v>
      </c>
      <c r="G182" s="153" t="str">
        <f t="shared" si="5"/>
        <v>OK</v>
      </c>
      <c r="H182" s="153" t="b">
        <v>1</v>
      </c>
    </row>
    <row r="183" spans="1:8" x14ac:dyDescent="0.3">
      <c r="A183" s="153" t="s">
        <v>2045</v>
      </c>
      <c r="B183" s="153" t="s">
        <v>3603</v>
      </c>
      <c r="C183" s="153" t="s">
        <v>2046</v>
      </c>
      <c r="D183" s="153">
        <v>20</v>
      </c>
      <c r="E183" s="153">
        <v>20</v>
      </c>
      <c r="F183" s="153">
        <f t="shared" si="4"/>
        <v>0</v>
      </c>
      <c r="G183" s="153" t="str">
        <f t="shared" si="5"/>
        <v>OK</v>
      </c>
      <c r="H183" s="153" t="b">
        <v>1</v>
      </c>
    </row>
    <row r="184" spans="1:8" x14ac:dyDescent="0.3">
      <c r="A184" s="153" t="s">
        <v>2047</v>
      </c>
      <c r="B184" s="153" t="s">
        <v>3603</v>
      </c>
      <c r="C184" s="153" t="s">
        <v>2048</v>
      </c>
      <c r="D184" s="153">
        <v>0</v>
      </c>
      <c r="E184" s="153">
        <v>0</v>
      </c>
      <c r="F184" s="153">
        <f t="shared" si="4"/>
        <v>0</v>
      </c>
      <c r="G184" s="153" t="str">
        <f t="shared" si="5"/>
        <v>OK</v>
      </c>
      <c r="H184" s="153" t="b">
        <v>1</v>
      </c>
    </row>
    <row r="185" spans="1:8" x14ac:dyDescent="0.3">
      <c r="A185" s="153" t="s">
        <v>2049</v>
      </c>
      <c r="B185" s="153" t="s">
        <v>3603</v>
      </c>
      <c r="C185" s="153" t="s">
        <v>2050</v>
      </c>
      <c r="D185" s="153">
        <v>3</v>
      </c>
      <c r="E185" s="153">
        <v>3</v>
      </c>
      <c r="F185" s="153">
        <f t="shared" si="4"/>
        <v>0</v>
      </c>
      <c r="G185" s="153" t="str">
        <f t="shared" si="5"/>
        <v>OK</v>
      </c>
      <c r="H185" s="153" t="b">
        <v>1</v>
      </c>
    </row>
    <row r="186" spans="1:8" x14ac:dyDescent="0.3">
      <c r="A186" s="153" t="s">
        <v>2051</v>
      </c>
      <c r="B186" s="153" t="s">
        <v>3603</v>
      </c>
      <c r="C186" s="153" t="s">
        <v>2052</v>
      </c>
      <c r="D186" s="153">
        <v>0</v>
      </c>
      <c r="E186" s="153">
        <v>0</v>
      </c>
      <c r="F186" s="153">
        <f t="shared" si="4"/>
        <v>0</v>
      </c>
      <c r="G186" s="153" t="str">
        <f t="shared" si="5"/>
        <v>OK</v>
      </c>
      <c r="H186" s="153" t="b">
        <v>1</v>
      </c>
    </row>
    <row r="187" spans="1:8" x14ac:dyDescent="0.3">
      <c r="A187" s="153" t="s">
        <v>2053</v>
      </c>
      <c r="B187" s="153" t="s">
        <v>3603</v>
      </c>
      <c r="C187" s="153" t="s">
        <v>2054</v>
      </c>
      <c r="D187" s="153">
        <v>0</v>
      </c>
      <c r="E187" s="153">
        <v>0</v>
      </c>
      <c r="F187" s="153">
        <f t="shared" si="4"/>
        <v>0</v>
      </c>
      <c r="G187" s="153" t="str">
        <f t="shared" si="5"/>
        <v>OK</v>
      </c>
      <c r="H187" s="153" t="b">
        <v>1</v>
      </c>
    </row>
    <row r="188" spans="1:8" x14ac:dyDescent="0.3">
      <c r="A188" s="153" t="s">
        <v>2564</v>
      </c>
      <c r="B188" s="153" t="s">
        <v>3603</v>
      </c>
      <c r="C188" s="153" t="s">
        <v>2056</v>
      </c>
      <c r="D188" s="153">
        <v>2840</v>
      </c>
      <c r="E188" s="153">
        <v>2840</v>
      </c>
      <c r="F188" s="153">
        <f t="shared" si="4"/>
        <v>0</v>
      </c>
      <c r="G188" s="153" t="str">
        <f t="shared" si="5"/>
        <v>OK</v>
      </c>
      <c r="H188" s="153" t="b">
        <v>1</v>
      </c>
    </row>
    <row r="189" spans="1:8" x14ac:dyDescent="0.3">
      <c r="A189" s="153" t="s">
        <v>2565</v>
      </c>
      <c r="B189" s="153" t="s">
        <v>3603</v>
      </c>
      <c r="C189" s="153" t="s">
        <v>2058</v>
      </c>
      <c r="D189" s="153">
        <v>2840</v>
      </c>
      <c r="E189" s="153">
        <v>2840</v>
      </c>
      <c r="F189" s="153">
        <f t="shared" si="4"/>
        <v>0</v>
      </c>
      <c r="G189" s="153" t="str">
        <f t="shared" si="5"/>
        <v>OK</v>
      </c>
      <c r="H189" s="153" t="b">
        <v>1</v>
      </c>
    </row>
    <row r="190" spans="1:8" x14ac:dyDescent="0.3">
      <c r="A190" s="153" t="s">
        <v>2566</v>
      </c>
      <c r="B190" s="153" t="s">
        <v>3603</v>
      </c>
      <c r="C190" s="153" t="s">
        <v>2060</v>
      </c>
      <c r="D190" s="153">
        <v>10983.20538703704</v>
      </c>
      <c r="E190" s="153">
        <v>10983.20538703704</v>
      </c>
      <c r="F190" s="153">
        <f t="shared" si="4"/>
        <v>0</v>
      </c>
      <c r="G190" s="153" t="str">
        <f t="shared" si="5"/>
        <v>OK</v>
      </c>
      <c r="H190" s="153" t="b">
        <v>1</v>
      </c>
    </row>
    <row r="191" spans="1:8" x14ac:dyDescent="0.3">
      <c r="A191" s="153" t="s">
        <v>2567</v>
      </c>
      <c r="B191" s="153" t="s">
        <v>3603</v>
      </c>
      <c r="C191" s="153" t="s">
        <v>2062</v>
      </c>
      <c r="D191" s="153">
        <v>-8143.2053870370364</v>
      </c>
      <c r="E191" s="153">
        <v>-8143.2053870370364</v>
      </c>
      <c r="F191" s="153">
        <f t="shared" si="4"/>
        <v>0</v>
      </c>
      <c r="G191" s="153" t="str">
        <f t="shared" si="5"/>
        <v>OK</v>
      </c>
      <c r="H191" s="153" t="b">
        <v>1</v>
      </c>
    </row>
    <row r="192" spans="1:8" x14ac:dyDescent="0.3">
      <c r="A192" s="153" t="s">
        <v>2568</v>
      </c>
      <c r="B192" s="153" t="s">
        <v>3603</v>
      </c>
      <c r="C192" s="153" t="s">
        <v>2064</v>
      </c>
      <c r="D192" s="153">
        <v>5.0587499999999999</v>
      </c>
      <c r="E192" s="153">
        <v>5.0587499999999999</v>
      </c>
      <c r="F192" s="153">
        <f t="shared" si="4"/>
        <v>0</v>
      </c>
      <c r="G192" s="153" t="str">
        <f t="shared" si="5"/>
        <v>OK</v>
      </c>
      <c r="H192" s="153" t="b">
        <v>1</v>
      </c>
    </row>
    <row r="193" spans="1:8" x14ac:dyDescent="0.3">
      <c r="A193" s="153" t="s">
        <v>2569</v>
      </c>
      <c r="B193" s="153" t="s">
        <v>3603</v>
      </c>
      <c r="C193" s="153" t="s">
        <v>2066</v>
      </c>
      <c r="D193" s="153">
        <v>0</v>
      </c>
      <c r="E193" s="153">
        <v>0</v>
      </c>
      <c r="F193" s="153">
        <f t="shared" si="4"/>
        <v>0</v>
      </c>
      <c r="G193" s="153" t="str">
        <f t="shared" si="5"/>
        <v>OK</v>
      </c>
      <c r="H193" s="153" t="b">
        <v>1</v>
      </c>
    </row>
    <row r="194" spans="1:8" x14ac:dyDescent="0.3">
      <c r="A194" s="153" t="s">
        <v>2570</v>
      </c>
      <c r="B194" s="153" t="s">
        <v>3603</v>
      </c>
      <c r="C194" s="153" t="s">
        <v>2068</v>
      </c>
      <c r="D194" s="153">
        <v>10983.20538703704</v>
      </c>
      <c r="E194" s="153">
        <v>10983.20538703704</v>
      </c>
      <c r="F194" s="153">
        <f t="shared" ref="F194:F257" si="6">IF(NOT(H194),"",IF(AND(ISNUMBER(D194),ISNUMBER(E194)),E194-D194,IF(D194=E194,0,1)))</f>
        <v>0</v>
      </c>
      <c r="G194" s="153" t="str">
        <f t="shared" ref="G194:G257" si="7">IF(NOT(H194),"PENDIENTE SIDE",IF(IF(AND(ISNUMBER(D194),ISNUMBER(E194)),IF(MOD(D194,1)=0,D194=E194,ABS(D194-E194)&lt;=0.000000001*MAX(1,ABS(D194),ABS(E194))),D194=E194),"OK","DIFERENCIA"))</f>
        <v>OK</v>
      </c>
      <c r="H194" s="153" t="b">
        <v>1</v>
      </c>
    </row>
    <row r="195" spans="1:8" x14ac:dyDescent="0.3">
      <c r="A195" s="153" t="s">
        <v>2571</v>
      </c>
      <c r="B195" s="153" t="s">
        <v>3603</v>
      </c>
      <c r="C195" s="153" t="s">
        <v>2070</v>
      </c>
      <c r="D195" s="153">
        <v>963031.77296296298</v>
      </c>
      <c r="E195" s="153">
        <v>963031.77296296298</v>
      </c>
      <c r="F195" s="153">
        <f t="shared" si="6"/>
        <v>0</v>
      </c>
      <c r="G195" s="153" t="str">
        <f t="shared" si="7"/>
        <v>OK</v>
      </c>
      <c r="H195" s="153" t="b">
        <v>1</v>
      </c>
    </row>
    <row r="196" spans="1:8" x14ac:dyDescent="0.3">
      <c r="A196" s="153" t="s">
        <v>2572</v>
      </c>
      <c r="B196" s="153" t="s">
        <v>3603</v>
      </c>
      <c r="C196" s="153" t="s">
        <v>2072</v>
      </c>
      <c r="D196" s="153">
        <v>2840</v>
      </c>
      <c r="E196" s="153">
        <v>2840</v>
      </c>
      <c r="F196" s="153">
        <f t="shared" si="6"/>
        <v>0</v>
      </c>
      <c r="G196" s="153" t="str">
        <f t="shared" si="7"/>
        <v>OK</v>
      </c>
      <c r="H196" s="153" t="b">
        <v>1</v>
      </c>
    </row>
    <row r="197" spans="1:8" x14ac:dyDescent="0.3">
      <c r="A197" s="153" t="s">
        <v>2573</v>
      </c>
      <c r="B197" s="153" t="s">
        <v>3603</v>
      </c>
      <c r="C197" s="153" t="s">
        <v>2074</v>
      </c>
      <c r="D197" s="153">
        <v>30661.42703703704</v>
      </c>
      <c r="E197" s="153">
        <v>30661.42703703704</v>
      </c>
      <c r="F197" s="153">
        <f t="shared" si="6"/>
        <v>0</v>
      </c>
      <c r="G197" s="153" t="str">
        <f t="shared" si="7"/>
        <v>OK</v>
      </c>
      <c r="H197" s="153" t="b">
        <v>1</v>
      </c>
    </row>
    <row r="198" spans="1:8" x14ac:dyDescent="0.3">
      <c r="A198" s="153" t="s">
        <v>2574</v>
      </c>
      <c r="B198" s="153" t="s">
        <v>3603</v>
      </c>
      <c r="C198" s="153" t="s">
        <v>2076</v>
      </c>
      <c r="D198" s="153">
        <v>935210.345925926</v>
      </c>
      <c r="E198" s="153">
        <v>935210.345925926</v>
      </c>
      <c r="F198" s="153">
        <f t="shared" si="6"/>
        <v>0</v>
      </c>
      <c r="G198" s="153" t="str">
        <f t="shared" si="7"/>
        <v>OK</v>
      </c>
      <c r="H198" s="153" t="b">
        <v>1</v>
      </c>
    </row>
    <row r="199" spans="1:8" x14ac:dyDescent="0.3">
      <c r="A199" s="153" t="s">
        <v>2575</v>
      </c>
      <c r="B199" s="153" t="s">
        <v>3603</v>
      </c>
      <c r="C199" s="153" t="s">
        <v>2078</v>
      </c>
      <c r="D199" s="153">
        <v>963031.77296296298</v>
      </c>
      <c r="E199" s="153">
        <v>963031.77296296298</v>
      </c>
      <c r="F199" s="153">
        <f t="shared" si="6"/>
        <v>0</v>
      </c>
      <c r="G199" s="153" t="str">
        <f t="shared" si="7"/>
        <v>OK</v>
      </c>
      <c r="H199" s="153" t="b">
        <v>1</v>
      </c>
    </row>
    <row r="200" spans="1:8" x14ac:dyDescent="0.3">
      <c r="A200" s="153" t="s">
        <v>2576</v>
      </c>
      <c r="B200" s="153" t="s">
        <v>3603</v>
      </c>
      <c r="C200" s="153" t="s">
        <v>2080</v>
      </c>
      <c r="D200" s="153">
        <v>2840</v>
      </c>
      <c r="E200" s="153">
        <v>2840</v>
      </c>
      <c r="F200" s="153">
        <f t="shared" si="6"/>
        <v>0</v>
      </c>
      <c r="G200" s="153" t="str">
        <f t="shared" si="7"/>
        <v>OK</v>
      </c>
      <c r="H200" s="153" t="b">
        <v>1</v>
      </c>
    </row>
    <row r="201" spans="1:8" x14ac:dyDescent="0.3">
      <c r="A201" s="153" t="s">
        <v>2577</v>
      </c>
      <c r="B201" s="153" t="s">
        <v>3603</v>
      </c>
      <c r="C201" s="153" t="s">
        <v>2082</v>
      </c>
      <c r="D201" s="153">
        <v>30661.42703703704</v>
      </c>
      <c r="E201" s="153">
        <v>30661.42703703704</v>
      </c>
      <c r="F201" s="153">
        <f t="shared" si="6"/>
        <v>0</v>
      </c>
      <c r="G201" s="153" t="str">
        <f t="shared" si="7"/>
        <v>OK</v>
      </c>
      <c r="H201" s="153" t="b">
        <v>1</v>
      </c>
    </row>
    <row r="202" spans="1:8" x14ac:dyDescent="0.3">
      <c r="A202" s="153" t="s">
        <v>2578</v>
      </c>
      <c r="B202" s="153" t="s">
        <v>3603</v>
      </c>
      <c r="C202" s="153" t="s">
        <v>2084</v>
      </c>
      <c r="D202" s="153">
        <v>0</v>
      </c>
      <c r="E202" s="153">
        <v>0</v>
      </c>
      <c r="F202" s="153">
        <f t="shared" si="6"/>
        <v>0</v>
      </c>
      <c r="G202" s="153" t="str">
        <f t="shared" si="7"/>
        <v>OK</v>
      </c>
      <c r="H202" s="153" t="b">
        <v>1</v>
      </c>
    </row>
    <row r="203" spans="1:8" x14ac:dyDescent="0.3">
      <c r="A203" s="153" t="s">
        <v>2579</v>
      </c>
      <c r="B203" s="153" t="s">
        <v>3603</v>
      </c>
      <c r="C203" s="153" t="s">
        <v>2086</v>
      </c>
      <c r="D203" s="153">
        <v>0</v>
      </c>
      <c r="E203" s="153">
        <v>0</v>
      </c>
      <c r="F203" s="153">
        <f t="shared" si="6"/>
        <v>0</v>
      </c>
      <c r="G203" s="153" t="str">
        <f t="shared" si="7"/>
        <v>OK</v>
      </c>
      <c r="H203" s="153" t="b">
        <v>1</v>
      </c>
    </row>
    <row r="204" spans="1:8" x14ac:dyDescent="0.3">
      <c r="A204" s="153" t="s">
        <v>2580</v>
      </c>
      <c r="B204" s="153" t="s">
        <v>3603</v>
      </c>
      <c r="C204" s="153" t="s">
        <v>2088</v>
      </c>
      <c r="D204" s="153">
        <v>-27821.42703703704</v>
      </c>
      <c r="E204" s="153">
        <v>-27821.42703703704</v>
      </c>
      <c r="F204" s="153">
        <f t="shared" si="6"/>
        <v>0</v>
      </c>
      <c r="G204" s="153" t="str">
        <f t="shared" si="7"/>
        <v>OK</v>
      </c>
      <c r="H204" s="153" t="b">
        <v>1</v>
      </c>
    </row>
    <row r="205" spans="1:8" x14ac:dyDescent="0.3">
      <c r="A205" s="153" t="s">
        <v>2581</v>
      </c>
      <c r="B205" s="153" t="s">
        <v>3603</v>
      </c>
      <c r="C205" s="153" t="s">
        <v>2090</v>
      </c>
      <c r="D205" s="153">
        <v>0</v>
      </c>
      <c r="E205" s="153">
        <v>0</v>
      </c>
      <c r="F205" s="153">
        <f t="shared" si="6"/>
        <v>0</v>
      </c>
      <c r="G205" s="153" t="str">
        <f t="shared" si="7"/>
        <v>OK</v>
      </c>
      <c r="H205" s="153" t="b">
        <v>1</v>
      </c>
    </row>
    <row r="206" spans="1:8" x14ac:dyDescent="0.3">
      <c r="A206" s="153" t="s">
        <v>2582</v>
      </c>
      <c r="B206" s="153" t="s">
        <v>3603</v>
      </c>
      <c r="C206" s="153" t="s">
        <v>2092</v>
      </c>
      <c r="D206" s="153">
        <v>-27821.427037036981</v>
      </c>
      <c r="E206" s="153">
        <v>-27821.427037036981</v>
      </c>
      <c r="F206" s="153">
        <f t="shared" si="6"/>
        <v>0</v>
      </c>
      <c r="G206" s="153" t="str">
        <f t="shared" si="7"/>
        <v>OK</v>
      </c>
      <c r="H206" s="153" t="b">
        <v>1</v>
      </c>
    </row>
    <row r="207" spans="1:8" x14ac:dyDescent="0.3">
      <c r="A207" s="153" t="s">
        <v>2583</v>
      </c>
      <c r="B207" s="153" t="s">
        <v>3603</v>
      </c>
      <c r="C207" s="153" t="s">
        <v>2094</v>
      </c>
      <c r="D207" s="153">
        <v>935210.345925926</v>
      </c>
      <c r="E207" s="153">
        <v>935210.345925926</v>
      </c>
      <c r="F207" s="153">
        <f t="shared" si="6"/>
        <v>0</v>
      </c>
      <c r="G207" s="153" t="str">
        <f t="shared" si="7"/>
        <v>OK</v>
      </c>
      <c r="H207" s="153" t="b">
        <v>1</v>
      </c>
    </row>
    <row r="208" spans="1:8" x14ac:dyDescent="0.3">
      <c r="A208" s="153" t="s">
        <v>2584</v>
      </c>
      <c r="B208" s="153" t="s">
        <v>3603</v>
      </c>
      <c r="C208" s="153" t="s">
        <v>2096</v>
      </c>
      <c r="D208" s="153">
        <v>935210.345925926</v>
      </c>
      <c r="E208" s="153">
        <v>935210.345925926</v>
      </c>
      <c r="F208" s="153">
        <f t="shared" si="6"/>
        <v>0</v>
      </c>
      <c r="G208" s="153" t="str">
        <f t="shared" si="7"/>
        <v>OK</v>
      </c>
      <c r="H208" s="153" t="b">
        <v>1</v>
      </c>
    </row>
    <row r="209" spans="1:8" x14ac:dyDescent="0.3">
      <c r="A209" s="153" t="s">
        <v>2585</v>
      </c>
      <c r="B209" s="153" t="s">
        <v>3603</v>
      </c>
      <c r="C209" s="153" t="s">
        <v>2098</v>
      </c>
      <c r="D209" s="153">
        <v>7430.8162499999999</v>
      </c>
      <c r="E209" s="153">
        <v>7430.8162499999999</v>
      </c>
      <c r="F209" s="153">
        <f t="shared" si="6"/>
        <v>0</v>
      </c>
      <c r="G209" s="153" t="str">
        <f t="shared" si="7"/>
        <v>OK</v>
      </c>
      <c r="H209" s="153" t="b">
        <v>1</v>
      </c>
    </row>
    <row r="210" spans="1:8" x14ac:dyDescent="0.3">
      <c r="A210" s="153" t="s">
        <v>2586</v>
      </c>
      <c r="B210" s="153" t="s">
        <v>3603</v>
      </c>
      <c r="C210" s="153" t="s">
        <v>2100</v>
      </c>
      <c r="D210" s="153">
        <v>39366.560799999999</v>
      </c>
      <c r="E210" s="153">
        <v>39366.560800000007</v>
      </c>
      <c r="F210" s="153">
        <f t="shared" si="6"/>
        <v>7.2759576141834259E-12</v>
      </c>
      <c r="G210" s="153" t="str">
        <f t="shared" si="7"/>
        <v>OK</v>
      </c>
      <c r="H210" s="153" t="b">
        <v>1</v>
      </c>
    </row>
    <row r="211" spans="1:8" x14ac:dyDescent="0.3">
      <c r="A211" s="153" t="s">
        <v>2587</v>
      </c>
      <c r="B211" s="153" t="s">
        <v>3603</v>
      </c>
      <c r="C211" s="153" t="s">
        <v>2102</v>
      </c>
      <c r="D211" s="153">
        <v>982007.72297592601</v>
      </c>
      <c r="E211" s="153">
        <v>982007.72297592601</v>
      </c>
      <c r="F211" s="153">
        <f t="shared" si="6"/>
        <v>0</v>
      </c>
      <c r="G211" s="153" t="str">
        <f t="shared" si="7"/>
        <v>OK</v>
      </c>
      <c r="H211" s="153" t="b">
        <v>1</v>
      </c>
    </row>
    <row r="212" spans="1:8" x14ac:dyDescent="0.3">
      <c r="A212" s="153" t="s">
        <v>2588</v>
      </c>
      <c r="B212" s="153" t="s">
        <v>3603</v>
      </c>
      <c r="C212" s="153" t="s">
        <v>2104</v>
      </c>
      <c r="D212" s="153">
        <v>0</v>
      </c>
      <c r="E212" s="153">
        <v>0</v>
      </c>
      <c r="F212" s="153">
        <f t="shared" si="6"/>
        <v>0</v>
      </c>
      <c r="G212" s="153" t="str">
        <f t="shared" si="7"/>
        <v>OK</v>
      </c>
      <c r="H212" s="153" t="b">
        <v>1</v>
      </c>
    </row>
    <row r="213" spans="1:8" x14ac:dyDescent="0.3">
      <c r="A213" s="153" t="s">
        <v>2589</v>
      </c>
      <c r="B213" s="153" t="s">
        <v>3603</v>
      </c>
      <c r="C213" s="153" t="s">
        <v>2106</v>
      </c>
      <c r="D213" s="153">
        <v>982007.72297592601</v>
      </c>
      <c r="E213" s="153">
        <v>982007.72297592601</v>
      </c>
      <c r="F213" s="153">
        <f t="shared" si="6"/>
        <v>0</v>
      </c>
      <c r="G213" s="153" t="str">
        <f t="shared" si="7"/>
        <v>OK</v>
      </c>
      <c r="H213" s="153" t="b">
        <v>1</v>
      </c>
    </row>
    <row r="214" spans="1:8" x14ac:dyDescent="0.3">
      <c r="A214" s="153" t="s">
        <v>2590</v>
      </c>
      <c r="B214" s="153" t="s">
        <v>3603</v>
      </c>
      <c r="C214" s="153" t="s">
        <v>2108</v>
      </c>
      <c r="D214" s="153">
        <v>982007.72297592601</v>
      </c>
      <c r="E214" s="153">
        <v>982007.72297592601</v>
      </c>
      <c r="F214" s="153">
        <f t="shared" si="6"/>
        <v>0</v>
      </c>
      <c r="G214" s="153" t="str">
        <f t="shared" si="7"/>
        <v>OK</v>
      </c>
      <c r="H214" s="153" t="b">
        <v>1</v>
      </c>
    </row>
    <row r="215" spans="1:8" x14ac:dyDescent="0.3">
      <c r="A215" s="153" t="s">
        <v>2591</v>
      </c>
      <c r="B215" s="153" t="s">
        <v>3603</v>
      </c>
      <c r="C215" s="153" t="s">
        <v>2110</v>
      </c>
      <c r="D215" s="153">
        <v>0</v>
      </c>
      <c r="E215" s="153">
        <v>0</v>
      </c>
      <c r="F215" s="153">
        <f t="shared" si="6"/>
        <v>0</v>
      </c>
      <c r="G215" s="153" t="str">
        <f t="shared" si="7"/>
        <v>OK</v>
      </c>
      <c r="H215" s="153" t="b">
        <v>1</v>
      </c>
    </row>
    <row r="216" spans="1:8" x14ac:dyDescent="0.3">
      <c r="A216" s="153" t="s">
        <v>2592</v>
      </c>
      <c r="B216" s="153" t="s">
        <v>3603</v>
      </c>
      <c r="C216" s="153" t="s">
        <v>2112</v>
      </c>
      <c r="D216" s="153">
        <v>23</v>
      </c>
      <c r="E216" s="153">
        <v>23</v>
      </c>
      <c r="F216" s="153">
        <f t="shared" si="6"/>
        <v>0</v>
      </c>
      <c r="G216" s="153" t="str">
        <f t="shared" si="7"/>
        <v>OK</v>
      </c>
      <c r="H216" s="153" t="b">
        <v>1</v>
      </c>
    </row>
    <row r="217" spans="1:8" x14ac:dyDescent="0.3">
      <c r="A217" s="153" t="s">
        <v>2593</v>
      </c>
      <c r="B217" s="153" t="s">
        <v>3603</v>
      </c>
      <c r="C217" s="153" t="s">
        <v>2114</v>
      </c>
      <c r="D217" s="153">
        <v>0</v>
      </c>
      <c r="E217" s="153">
        <v>0</v>
      </c>
      <c r="F217" s="153">
        <f t="shared" si="6"/>
        <v>0</v>
      </c>
      <c r="G217" s="153" t="str">
        <f t="shared" si="7"/>
        <v>OK</v>
      </c>
      <c r="H217" s="153" t="b">
        <v>1</v>
      </c>
    </row>
    <row r="218" spans="1:8" x14ac:dyDescent="0.3">
      <c r="A218" s="153" t="s">
        <v>2594</v>
      </c>
      <c r="B218" s="153" t="s">
        <v>3603</v>
      </c>
      <c r="C218" s="153" t="s">
        <v>2116</v>
      </c>
      <c r="D218" s="153">
        <v>3</v>
      </c>
      <c r="E218" s="153">
        <v>3</v>
      </c>
      <c r="F218" s="153">
        <f t="shared" si="6"/>
        <v>0</v>
      </c>
      <c r="G218" s="153" t="str">
        <f t="shared" si="7"/>
        <v>OK</v>
      </c>
      <c r="H218" s="153" t="b">
        <v>1</v>
      </c>
    </row>
    <row r="219" spans="1:8" x14ac:dyDescent="0.3">
      <c r="A219" s="153" t="s">
        <v>2595</v>
      </c>
      <c r="B219" s="153" t="s">
        <v>3603</v>
      </c>
      <c r="C219" s="153" t="s">
        <v>2118</v>
      </c>
      <c r="D219" s="153">
        <v>0</v>
      </c>
      <c r="E219" s="153">
        <v>0</v>
      </c>
      <c r="F219" s="153">
        <f t="shared" si="6"/>
        <v>0</v>
      </c>
      <c r="G219" s="153" t="str">
        <f t="shared" si="7"/>
        <v>OK</v>
      </c>
      <c r="H219" s="153" t="b">
        <v>1</v>
      </c>
    </row>
    <row r="220" spans="1:8" x14ac:dyDescent="0.3">
      <c r="A220" s="153" t="s">
        <v>2596</v>
      </c>
      <c r="B220" s="153" t="s">
        <v>3603</v>
      </c>
      <c r="C220" s="153" t="s">
        <v>2120</v>
      </c>
      <c r="D220" s="153">
        <v>0</v>
      </c>
      <c r="E220" s="153">
        <v>0</v>
      </c>
      <c r="F220" s="153">
        <f t="shared" si="6"/>
        <v>0</v>
      </c>
      <c r="G220" s="153" t="str">
        <f t="shared" si="7"/>
        <v>OK</v>
      </c>
      <c r="H220" s="153" t="b">
        <v>1</v>
      </c>
    </row>
    <row r="221" spans="1:8" x14ac:dyDescent="0.3">
      <c r="A221" s="153" t="s">
        <v>2630</v>
      </c>
      <c r="B221" s="153" t="s">
        <v>3603</v>
      </c>
      <c r="C221" s="153" t="s">
        <v>2122</v>
      </c>
      <c r="D221" s="153">
        <v>2840</v>
      </c>
      <c r="E221" s="153">
        <v>2840</v>
      </c>
      <c r="F221" s="153">
        <f t="shared" si="6"/>
        <v>0</v>
      </c>
      <c r="G221" s="153" t="str">
        <f t="shared" si="7"/>
        <v>OK</v>
      </c>
      <c r="H221" s="153" t="b">
        <v>1</v>
      </c>
    </row>
    <row r="222" spans="1:8" x14ac:dyDescent="0.3">
      <c r="A222" s="153" t="s">
        <v>2632</v>
      </c>
      <c r="B222" s="153" t="s">
        <v>3603</v>
      </c>
      <c r="C222" s="153" t="s">
        <v>2124</v>
      </c>
      <c r="D222" s="153">
        <v>2840</v>
      </c>
      <c r="E222" s="153">
        <v>2840</v>
      </c>
      <c r="F222" s="153">
        <f t="shared" si="6"/>
        <v>0</v>
      </c>
      <c r="G222" s="153" t="str">
        <f t="shared" si="7"/>
        <v>OK</v>
      </c>
      <c r="H222" s="153" t="b">
        <v>1</v>
      </c>
    </row>
    <row r="223" spans="1:8" x14ac:dyDescent="0.3">
      <c r="A223" s="153" t="s">
        <v>2634</v>
      </c>
      <c r="B223" s="153" t="s">
        <v>3603</v>
      </c>
      <c r="C223" s="153" t="s">
        <v>2126</v>
      </c>
      <c r="D223" s="153">
        <v>11070.209595897941</v>
      </c>
      <c r="E223" s="153">
        <v>11070.209595897941</v>
      </c>
      <c r="F223" s="153">
        <f t="shared" si="6"/>
        <v>0</v>
      </c>
      <c r="G223" s="153" t="str">
        <f t="shared" si="7"/>
        <v>OK</v>
      </c>
      <c r="H223" s="153" t="b">
        <v>1</v>
      </c>
    </row>
    <row r="224" spans="1:8" x14ac:dyDescent="0.3">
      <c r="A224" s="153" t="s">
        <v>2636</v>
      </c>
      <c r="B224" s="153" t="s">
        <v>3603</v>
      </c>
      <c r="C224" s="153" t="s">
        <v>2128</v>
      </c>
      <c r="D224" s="153">
        <v>-8230.2095958979444</v>
      </c>
      <c r="E224" s="153">
        <v>-8230.2095958979444</v>
      </c>
      <c r="F224" s="153">
        <f t="shared" si="6"/>
        <v>0</v>
      </c>
      <c r="G224" s="153" t="str">
        <f t="shared" si="7"/>
        <v>OK</v>
      </c>
      <c r="H224" s="153" t="b">
        <v>1</v>
      </c>
    </row>
    <row r="225" spans="1:8" x14ac:dyDescent="0.3">
      <c r="A225" s="153" t="s">
        <v>2638</v>
      </c>
      <c r="B225" s="153" t="s">
        <v>3603</v>
      </c>
      <c r="C225" s="153" t="s">
        <v>2130</v>
      </c>
      <c r="D225" s="153">
        <v>5.0587499999999999</v>
      </c>
      <c r="E225" s="153">
        <v>5.0587499999999999</v>
      </c>
      <c r="F225" s="153">
        <f t="shared" si="6"/>
        <v>0</v>
      </c>
      <c r="G225" s="153" t="str">
        <f t="shared" si="7"/>
        <v>OK</v>
      </c>
      <c r="H225" s="153" t="b">
        <v>1</v>
      </c>
    </row>
    <row r="226" spans="1:8" x14ac:dyDescent="0.3">
      <c r="A226" s="153" t="s">
        <v>2640</v>
      </c>
      <c r="B226" s="153" t="s">
        <v>3603</v>
      </c>
      <c r="C226" s="153" t="s">
        <v>2132</v>
      </c>
      <c r="D226" s="153">
        <v>87.00420886090798</v>
      </c>
      <c r="E226" s="153">
        <v>87.00420886090798</v>
      </c>
      <c r="F226" s="153">
        <f t="shared" si="6"/>
        <v>0</v>
      </c>
      <c r="G226" s="153" t="str">
        <f t="shared" si="7"/>
        <v>OK</v>
      </c>
      <c r="H226" s="153" t="b">
        <v>1</v>
      </c>
    </row>
    <row r="227" spans="1:8" x14ac:dyDescent="0.3">
      <c r="A227" s="153" t="s">
        <v>2642</v>
      </c>
      <c r="B227" s="153" t="s">
        <v>3603</v>
      </c>
      <c r="C227" s="153" t="s">
        <v>2134</v>
      </c>
      <c r="D227" s="153">
        <v>10983.20538703704</v>
      </c>
      <c r="E227" s="153">
        <v>10983.20538703704</v>
      </c>
      <c r="F227" s="153">
        <f t="shared" si="6"/>
        <v>0</v>
      </c>
      <c r="G227" s="153" t="str">
        <f t="shared" si="7"/>
        <v>OK</v>
      </c>
      <c r="H227" s="153" t="b">
        <v>1</v>
      </c>
    </row>
    <row r="228" spans="1:8" x14ac:dyDescent="0.3">
      <c r="A228" s="153" t="s">
        <v>2644</v>
      </c>
      <c r="B228" s="153" t="s">
        <v>3603</v>
      </c>
      <c r="C228" s="153" t="s">
        <v>2136</v>
      </c>
      <c r="D228" s="153">
        <v>935210.345925926</v>
      </c>
      <c r="E228" s="153">
        <v>935210.345925926</v>
      </c>
      <c r="F228" s="153">
        <f t="shared" si="6"/>
        <v>0</v>
      </c>
      <c r="G228" s="153" t="str">
        <f t="shared" si="7"/>
        <v>OK</v>
      </c>
      <c r="H228" s="153" t="b">
        <v>1</v>
      </c>
    </row>
    <row r="229" spans="1:8" x14ac:dyDescent="0.3">
      <c r="A229" s="153" t="s">
        <v>2646</v>
      </c>
      <c r="B229" s="153" t="s">
        <v>3603</v>
      </c>
      <c r="C229" s="153" t="s">
        <v>2138</v>
      </c>
      <c r="D229" s="153">
        <v>7840</v>
      </c>
      <c r="E229" s="153">
        <v>7840</v>
      </c>
      <c r="F229" s="153">
        <f t="shared" si="6"/>
        <v>0</v>
      </c>
      <c r="G229" s="153" t="str">
        <f t="shared" si="7"/>
        <v>OK</v>
      </c>
      <c r="H229" s="153" t="b">
        <v>1</v>
      </c>
    </row>
    <row r="230" spans="1:8" x14ac:dyDescent="0.3">
      <c r="A230" s="153" t="s">
        <v>2648</v>
      </c>
      <c r="B230" s="153" t="s">
        <v>3603</v>
      </c>
      <c r="C230" s="153" t="s">
        <v>2140</v>
      </c>
      <c r="D230" s="153">
        <v>30748.43124589794</v>
      </c>
      <c r="E230" s="153">
        <v>30748.43124589794</v>
      </c>
      <c r="F230" s="153">
        <f t="shared" si="6"/>
        <v>0</v>
      </c>
      <c r="G230" s="153" t="str">
        <f t="shared" si="7"/>
        <v>OK</v>
      </c>
      <c r="H230" s="153" t="b">
        <v>1</v>
      </c>
    </row>
    <row r="231" spans="1:8" x14ac:dyDescent="0.3">
      <c r="A231" s="153" t="s">
        <v>2650</v>
      </c>
      <c r="B231" s="153" t="s">
        <v>3603</v>
      </c>
      <c r="C231" s="153" t="s">
        <v>2142</v>
      </c>
      <c r="D231" s="153">
        <v>912301.9146800281</v>
      </c>
      <c r="E231" s="153">
        <v>912301.9146800281</v>
      </c>
      <c r="F231" s="153">
        <f t="shared" si="6"/>
        <v>0</v>
      </c>
      <c r="G231" s="153" t="str">
        <f t="shared" si="7"/>
        <v>OK</v>
      </c>
      <c r="H231" s="153" t="b">
        <v>1</v>
      </c>
    </row>
    <row r="232" spans="1:8" x14ac:dyDescent="0.3">
      <c r="A232" s="153" t="s">
        <v>2652</v>
      </c>
      <c r="B232" s="153" t="s">
        <v>3603</v>
      </c>
      <c r="C232" s="153" t="s">
        <v>2144</v>
      </c>
      <c r="D232" s="153">
        <v>935210.345925926</v>
      </c>
      <c r="E232" s="153">
        <v>935210.345925926</v>
      </c>
      <c r="F232" s="153">
        <f t="shared" si="6"/>
        <v>0</v>
      </c>
      <c r="G232" s="153" t="str">
        <f t="shared" si="7"/>
        <v>OK</v>
      </c>
      <c r="H232" s="153" t="b">
        <v>1</v>
      </c>
    </row>
    <row r="233" spans="1:8" x14ac:dyDescent="0.3">
      <c r="A233" s="153" t="s">
        <v>2654</v>
      </c>
      <c r="B233" s="153" t="s">
        <v>3603</v>
      </c>
      <c r="C233" s="153" t="s">
        <v>2146</v>
      </c>
      <c r="D233" s="153">
        <v>2840</v>
      </c>
      <c r="E233" s="153">
        <v>2840</v>
      </c>
      <c r="F233" s="153">
        <f t="shared" si="6"/>
        <v>0</v>
      </c>
      <c r="G233" s="153" t="str">
        <f t="shared" si="7"/>
        <v>OK</v>
      </c>
      <c r="H233" s="153" t="b">
        <v>1</v>
      </c>
    </row>
    <row r="234" spans="1:8" x14ac:dyDescent="0.3">
      <c r="A234" s="153" t="s">
        <v>2656</v>
      </c>
      <c r="B234" s="153" t="s">
        <v>3603</v>
      </c>
      <c r="C234" s="153" t="s">
        <v>2148</v>
      </c>
      <c r="D234" s="153">
        <v>30748.43124589794</v>
      </c>
      <c r="E234" s="153">
        <v>30748.43124589794</v>
      </c>
      <c r="F234" s="153">
        <f t="shared" si="6"/>
        <v>0</v>
      </c>
      <c r="G234" s="153" t="str">
        <f t="shared" si="7"/>
        <v>OK</v>
      </c>
      <c r="H234" s="153" t="b">
        <v>1</v>
      </c>
    </row>
    <row r="235" spans="1:8" x14ac:dyDescent="0.3">
      <c r="A235" s="153" t="s">
        <v>2658</v>
      </c>
      <c r="B235" s="153" t="s">
        <v>3603</v>
      </c>
      <c r="C235" s="153" t="s">
        <v>2150</v>
      </c>
      <c r="D235" s="153">
        <v>0</v>
      </c>
      <c r="E235" s="153">
        <v>0</v>
      </c>
      <c r="F235" s="153">
        <f t="shared" si="6"/>
        <v>0</v>
      </c>
      <c r="G235" s="153" t="str">
        <f t="shared" si="7"/>
        <v>OK</v>
      </c>
      <c r="H235" s="153" t="b">
        <v>1</v>
      </c>
    </row>
    <row r="236" spans="1:8" x14ac:dyDescent="0.3">
      <c r="A236" s="153" t="s">
        <v>2660</v>
      </c>
      <c r="B236" s="153" t="s">
        <v>3603</v>
      </c>
      <c r="C236" s="153" t="s">
        <v>2152</v>
      </c>
      <c r="D236" s="153">
        <v>5000</v>
      </c>
      <c r="E236" s="153">
        <v>5000</v>
      </c>
      <c r="F236" s="153">
        <f t="shared" si="6"/>
        <v>0</v>
      </c>
      <c r="G236" s="153" t="str">
        <f t="shared" si="7"/>
        <v>OK</v>
      </c>
      <c r="H236" s="153" t="b">
        <v>1</v>
      </c>
    </row>
    <row r="237" spans="1:8" x14ac:dyDescent="0.3">
      <c r="A237" s="153" t="s">
        <v>2662</v>
      </c>
      <c r="B237" s="153" t="s">
        <v>3603</v>
      </c>
      <c r="C237" s="153" t="s">
        <v>2154</v>
      </c>
      <c r="D237" s="153">
        <v>-27908.43124589794</v>
      </c>
      <c r="E237" s="153">
        <v>-27908.43124589794</v>
      </c>
      <c r="F237" s="153">
        <f t="shared" si="6"/>
        <v>0</v>
      </c>
      <c r="G237" s="153" t="str">
        <f t="shared" si="7"/>
        <v>OK</v>
      </c>
      <c r="H237" s="153" t="b">
        <v>1</v>
      </c>
    </row>
    <row r="238" spans="1:8" x14ac:dyDescent="0.3">
      <c r="A238" s="153" t="s">
        <v>2664</v>
      </c>
      <c r="B238" s="153" t="s">
        <v>3603</v>
      </c>
      <c r="C238" s="153" t="s">
        <v>2156</v>
      </c>
      <c r="D238" s="153">
        <v>0</v>
      </c>
      <c r="E238" s="153">
        <v>0</v>
      </c>
      <c r="F238" s="153">
        <f t="shared" si="6"/>
        <v>0</v>
      </c>
      <c r="G238" s="153" t="str">
        <f t="shared" si="7"/>
        <v>OK</v>
      </c>
      <c r="H238" s="153" t="b">
        <v>1</v>
      </c>
    </row>
    <row r="239" spans="1:8" x14ac:dyDescent="0.3">
      <c r="A239" s="153" t="s">
        <v>2666</v>
      </c>
      <c r="B239" s="153" t="s">
        <v>3603</v>
      </c>
      <c r="C239" s="153" t="s">
        <v>2158</v>
      </c>
      <c r="D239" s="153">
        <v>-22908.4312458979</v>
      </c>
      <c r="E239" s="153">
        <v>-22908.4312458979</v>
      </c>
      <c r="F239" s="153">
        <f t="shared" si="6"/>
        <v>0</v>
      </c>
      <c r="G239" s="153" t="str">
        <f t="shared" si="7"/>
        <v>OK</v>
      </c>
      <c r="H239" s="153" t="b">
        <v>1</v>
      </c>
    </row>
    <row r="240" spans="1:8" x14ac:dyDescent="0.3">
      <c r="A240" s="153" t="s">
        <v>2668</v>
      </c>
      <c r="B240" s="153" t="s">
        <v>3603</v>
      </c>
      <c r="C240" s="153" t="s">
        <v>2160</v>
      </c>
      <c r="D240" s="153">
        <v>912301.9146800281</v>
      </c>
      <c r="E240" s="153">
        <v>912301.9146800281</v>
      </c>
      <c r="F240" s="153">
        <f t="shared" si="6"/>
        <v>0</v>
      </c>
      <c r="G240" s="153" t="str">
        <f t="shared" si="7"/>
        <v>OK</v>
      </c>
      <c r="H240" s="153" t="b">
        <v>1</v>
      </c>
    </row>
    <row r="241" spans="1:8" x14ac:dyDescent="0.3">
      <c r="A241" s="153" t="s">
        <v>2670</v>
      </c>
      <c r="B241" s="153" t="s">
        <v>3603</v>
      </c>
      <c r="C241" s="153" t="s">
        <v>2162</v>
      </c>
      <c r="D241" s="153">
        <v>912301.9146800281</v>
      </c>
      <c r="E241" s="153">
        <v>912301.9146800281</v>
      </c>
      <c r="F241" s="153">
        <f t="shared" si="6"/>
        <v>0</v>
      </c>
      <c r="G241" s="153" t="str">
        <f t="shared" si="7"/>
        <v>OK</v>
      </c>
      <c r="H241" s="153" t="b">
        <v>1</v>
      </c>
    </row>
    <row r="242" spans="1:8" x14ac:dyDescent="0.3">
      <c r="A242" s="153" t="s">
        <v>2672</v>
      </c>
      <c r="B242" s="153" t="s">
        <v>3603</v>
      </c>
      <c r="C242" s="153" t="s">
        <v>2164</v>
      </c>
      <c r="D242" s="153">
        <v>7425.7574999999997</v>
      </c>
      <c r="E242" s="153">
        <v>7425.7574999999997</v>
      </c>
      <c r="F242" s="153">
        <f t="shared" si="6"/>
        <v>0</v>
      </c>
      <c r="G242" s="153" t="str">
        <f t="shared" si="7"/>
        <v>OK</v>
      </c>
      <c r="H242" s="153" t="b">
        <v>1</v>
      </c>
    </row>
    <row r="243" spans="1:8" x14ac:dyDescent="0.3">
      <c r="A243" s="153" t="s">
        <v>2674</v>
      </c>
      <c r="B243" s="153" t="s">
        <v>3603</v>
      </c>
      <c r="C243" s="153" t="s">
        <v>2166</v>
      </c>
      <c r="D243" s="153">
        <v>59049.841200000003</v>
      </c>
      <c r="E243" s="153">
        <v>59049.841200000003</v>
      </c>
      <c r="F243" s="153">
        <f t="shared" si="6"/>
        <v>0</v>
      </c>
      <c r="G243" s="153" t="str">
        <f t="shared" si="7"/>
        <v>OK</v>
      </c>
      <c r="H243" s="153" t="b">
        <v>1</v>
      </c>
    </row>
    <row r="244" spans="1:8" x14ac:dyDescent="0.3">
      <c r="A244" s="153" t="s">
        <v>2676</v>
      </c>
      <c r="B244" s="153" t="s">
        <v>3603</v>
      </c>
      <c r="C244" s="153" t="s">
        <v>2168</v>
      </c>
      <c r="D244" s="153">
        <v>978777.51338002807</v>
      </c>
      <c r="E244" s="153">
        <v>978777.51338002807</v>
      </c>
      <c r="F244" s="153">
        <f t="shared" si="6"/>
        <v>0</v>
      </c>
      <c r="G244" s="153" t="str">
        <f t="shared" si="7"/>
        <v>OK</v>
      </c>
      <c r="H244" s="153" t="b">
        <v>1</v>
      </c>
    </row>
    <row r="245" spans="1:8" x14ac:dyDescent="0.3">
      <c r="A245" s="153" t="s">
        <v>2678</v>
      </c>
      <c r="B245" s="153" t="s">
        <v>3603</v>
      </c>
      <c r="C245" s="153" t="s">
        <v>2170</v>
      </c>
      <c r="D245" s="153">
        <v>5000</v>
      </c>
      <c r="E245" s="153">
        <v>5000</v>
      </c>
      <c r="F245" s="153">
        <f t="shared" si="6"/>
        <v>0</v>
      </c>
      <c r="G245" s="153" t="str">
        <f t="shared" si="7"/>
        <v>OK</v>
      </c>
      <c r="H245" s="153" t="b">
        <v>1</v>
      </c>
    </row>
    <row r="246" spans="1:8" x14ac:dyDescent="0.3">
      <c r="A246" s="153" t="s">
        <v>2680</v>
      </c>
      <c r="B246" s="153" t="s">
        <v>3603</v>
      </c>
      <c r="C246" s="153" t="s">
        <v>2172</v>
      </c>
      <c r="D246" s="153">
        <v>973777.51338002807</v>
      </c>
      <c r="E246" s="153">
        <v>973777.51338002807</v>
      </c>
      <c r="F246" s="153">
        <f t="shared" si="6"/>
        <v>0</v>
      </c>
      <c r="G246" s="153" t="str">
        <f t="shared" si="7"/>
        <v>OK</v>
      </c>
      <c r="H246" s="153" t="b">
        <v>1</v>
      </c>
    </row>
    <row r="247" spans="1:8" x14ac:dyDescent="0.3">
      <c r="A247" s="153" t="s">
        <v>2682</v>
      </c>
      <c r="B247" s="153" t="s">
        <v>3603</v>
      </c>
      <c r="C247" s="153" t="s">
        <v>2174</v>
      </c>
      <c r="D247" s="153">
        <v>978777.51338002807</v>
      </c>
      <c r="E247" s="153">
        <v>978777.51338002807</v>
      </c>
      <c r="F247" s="153">
        <f t="shared" si="6"/>
        <v>0</v>
      </c>
      <c r="G247" s="153" t="str">
        <f t="shared" si="7"/>
        <v>OK</v>
      </c>
      <c r="H247" s="153" t="b">
        <v>1</v>
      </c>
    </row>
    <row r="248" spans="1:8" x14ac:dyDescent="0.3">
      <c r="A248" s="153" t="s">
        <v>2684</v>
      </c>
      <c r="B248" s="153" t="s">
        <v>3603</v>
      </c>
      <c r="C248" s="153" t="s">
        <v>2176</v>
      </c>
      <c r="D248" s="153">
        <v>5000</v>
      </c>
      <c r="E248" s="153">
        <v>5000</v>
      </c>
      <c r="F248" s="153">
        <f t="shared" si="6"/>
        <v>0</v>
      </c>
      <c r="G248" s="153" t="str">
        <f t="shared" si="7"/>
        <v>OK</v>
      </c>
      <c r="H248" s="153" t="b">
        <v>1</v>
      </c>
    </row>
    <row r="249" spans="1:8" x14ac:dyDescent="0.3">
      <c r="A249" s="153" t="s">
        <v>2686</v>
      </c>
      <c r="B249" s="153" t="s">
        <v>3603</v>
      </c>
      <c r="C249" s="153" t="s">
        <v>2178</v>
      </c>
      <c r="D249" s="153">
        <v>23</v>
      </c>
      <c r="E249" s="153">
        <v>23</v>
      </c>
      <c r="F249" s="153">
        <f t="shared" si="6"/>
        <v>0</v>
      </c>
      <c r="G249" s="153" t="str">
        <f t="shared" si="7"/>
        <v>OK</v>
      </c>
      <c r="H249" s="153" t="b">
        <v>1</v>
      </c>
    </row>
    <row r="250" spans="1:8" x14ac:dyDescent="0.3">
      <c r="A250" s="153" t="s">
        <v>2688</v>
      </c>
      <c r="B250" s="153" t="s">
        <v>3603</v>
      </c>
      <c r="C250" s="153" t="s">
        <v>2180</v>
      </c>
      <c r="D250" s="153">
        <v>5000</v>
      </c>
      <c r="E250" s="153">
        <v>5000</v>
      </c>
      <c r="F250" s="153">
        <f t="shared" si="6"/>
        <v>0</v>
      </c>
      <c r="G250" s="153" t="str">
        <f t="shared" si="7"/>
        <v>OK</v>
      </c>
      <c r="H250" s="153" t="b">
        <v>1</v>
      </c>
    </row>
    <row r="251" spans="1:8" x14ac:dyDescent="0.3">
      <c r="A251" s="153" t="s">
        <v>2690</v>
      </c>
      <c r="B251" s="153" t="s">
        <v>3603</v>
      </c>
      <c r="C251" s="153" t="s">
        <v>2182</v>
      </c>
      <c r="D251" s="153">
        <v>0</v>
      </c>
      <c r="E251" s="153">
        <v>0</v>
      </c>
      <c r="F251" s="153">
        <f t="shared" si="6"/>
        <v>0</v>
      </c>
      <c r="G251" s="153" t="str">
        <f t="shared" si="7"/>
        <v>OK</v>
      </c>
      <c r="H251" s="153" t="b">
        <v>1</v>
      </c>
    </row>
    <row r="252" spans="1:8" x14ac:dyDescent="0.3">
      <c r="A252" s="153" t="s">
        <v>2692</v>
      </c>
      <c r="B252" s="153" t="s">
        <v>3603</v>
      </c>
      <c r="C252" s="153" t="s">
        <v>2184</v>
      </c>
      <c r="D252" s="153">
        <v>1.74008417721816E-2</v>
      </c>
      <c r="E252" s="153">
        <v>1.74008417721816E-2</v>
      </c>
      <c r="F252" s="153">
        <f t="shared" si="6"/>
        <v>0</v>
      </c>
      <c r="G252" s="153" t="str">
        <f t="shared" si="7"/>
        <v>OK</v>
      </c>
      <c r="H252" s="153" t="b">
        <v>1</v>
      </c>
    </row>
    <row r="253" spans="1:8" x14ac:dyDescent="0.3">
      <c r="A253" s="153" t="s">
        <v>2694</v>
      </c>
      <c r="B253" s="153" t="s">
        <v>3603</v>
      </c>
      <c r="C253" s="153" t="s">
        <v>2186</v>
      </c>
      <c r="D253" s="153">
        <v>87.00420886090798</v>
      </c>
      <c r="E253" s="153">
        <v>87.00420886090798</v>
      </c>
      <c r="F253" s="153">
        <f t="shared" si="6"/>
        <v>0</v>
      </c>
      <c r="G253" s="153" t="str">
        <f t="shared" si="7"/>
        <v>OK</v>
      </c>
      <c r="H253" s="153" t="b">
        <v>1</v>
      </c>
    </row>
  </sheetData>
  <autoFilter ref="A1:H253" xr:uid="{00000000-0009-0000-0000-000011000000}"/>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253"/>
  <sheetViews>
    <sheetView workbookViewId="0">
      <pane xSplit="3" ySplit="1" topLeftCell="D2" activePane="bottomRight" state="frozen"/>
      <selection pane="topRight"/>
      <selection pane="bottomLeft"/>
      <selection pane="bottomRight"/>
    </sheetView>
  </sheetViews>
  <sheetFormatPr baseColWidth="10" defaultColWidth="8.88671875" defaultRowHeight="14.4" x14ac:dyDescent="0.3"/>
  <cols>
    <col min="1" max="1" width="42" customWidth="1"/>
    <col min="2" max="2" width="28" customWidth="1"/>
    <col min="3" max="3" width="14" customWidth="1"/>
    <col min="4" max="5" width="24" customWidth="1"/>
    <col min="6" max="6" width="20" customWidth="1"/>
    <col min="7" max="7" width="22" customWidth="1"/>
  </cols>
  <sheetData>
    <row r="1" spans="1:8" x14ac:dyDescent="0.3">
      <c r="A1" s="154" t="s">
        <v>653</v>
      </c>
      <c r="B1" s="154" t="s">
        <v>654</v>
      </c>
      <c r="C1" s="154" t="s">
        <v>655</v>
      </c>
      <c r="D1" s="154" t="s">
        <v>656</v>
      </c>
      <c r="E1" s="154" t="s">
        <v>657</v>
      </c>
      <c r="F1" s="154" t="s">
        <v>658</v>
      </c>
      <c r="G1" s="154" t="s">
        <v>659</v>
      </c>
      <c r="H1" s="154" t="s">
        <v>660</v>
      </c>
    </row>
    <row r="2" spans="1:8" x14ac:dyDescent="0.3">
      <c r="A2" s="153" t="s">
        <v>1351</v>
      </c>
      <c r="B2" s="153" t="s">
        <v>3604</v>
      </c>
      <c r="C2" s="153" t="s">
        <v>1353</v>
      </c>
      <c r="D2" s="153">
        <v>4</v>
      </c>
      <c r="E2" s="153">
        <v>4</v>
      </c>
      <c r="F2" s="153">
        <f t="shared" ref="F2:F65" si="0">IF(NOT(H2),"",IF(AND(ISNUMBER(D2),ISNUMBER(E2)),E2-D2,IF(D2=E2,0,1)))</f>
        <v>0</v>
      </c>
      <c r="G2" s="153" t="str">
        <f t="shared" ref="G2:G65" si="1">IF(NOT(H2),"PENDIENTE SIDE",IF(IF(AND(ISNUMBER(D2),ISNUMBER(E2)),IF(MOD(D2,1)=0,D2=E2,ABS(D2-E2)&lt;=0.000000001*MAX(1,ABS(D2),ABS(E2))),D2=E2),"OK","DIFERENCIA"))</f>
        <v>OK</v>
      </c>
      <c r="H2" s="153" t="b">
        <v>1</v>
      </c>
    </row>
    <row r="3" spans="1:8" x14ac:dyDescent="0.3">
      <c r="A3" s="153" t="s">
        <v>1354</v>
      </c>
      <c r="B3" s="153" t="s">
        <v>3604</v>
      </c>
      <c r="C3" s="153" t="s">
        <v>1355</v>
      </c>
      <c r="D3" s="153">
        <v>0</v>
      </c>
      <c r="E3" s="153">
        <v>0</v>
      </c>
      <c r="F3" s="153">
        <f t="shared" si="0"/>
        <v>0</v>
      </c>
      <c r="G3" s="153" t="str">
        <f t="shared" si="1"/>
        <v>OK</v>
      </c>
      <c r="H3" s="153" t="b">
        <v>1</v>
      </c>
    </row>
    <row r="4" spans="1:8" x14ac:dyDescent="0.3">
      <c r="A4" s="153" t="s">
        <v>1356</v>
      </c>
      <c r="B4" s="153" t="s">
        <v>3604</v>
      </c>
      <c r="C4" s="153" t="s">
        <v>1357</v>
      </c>
      <c r="D4" s="153">
        <v>1</v>
      </c>
      <c r="E4" s="153">
        <v>1</v>
      </c>
      <c r="F4" s="153">
        <f t="shared" si="0"/>
        <v>0</v>
      </c>
      <c r="G4" s="153" t="str">
        <f t="shared" si="1"/>
        <v>OK</v>
      </c>
      <c r="H4" s="153" t="b">
        <v>1</v>
      </c>
    </row>
    <row r="5" spans="1:8" x14ac:dyDescent="0.3">
      <c r="A5" s="153" t="s">
        <v>1358</v>
      </c>
      <c r="B5" s="153" t="s">
        <v>3604</v>
      </c>
      <c r="C5" s="153" t="s">
        <v>1359</v>
      </c>
      <c r="D5" s="153">
        <v>-3</v>
      </c>
      <c r="E5" s="153">
        <v>-3</v>
      </c>
      <c r="F5" s="153">
        <f t="shared" si="0"/>
        <v>0</v>
      </c>
      <c r="G5" s="153" t="str">
        <f t="shared" si="1"/>
        <v>OK</v>
      </c>
      <c r="H5" s="153" t="b">
        <v>1</v>
      </c>
    </row>
    <row r="6" spans="1:8" x14ac:dyDescent="0.3">
      <c r="A6" s="153" t="s">
        <v>1360</v>
      </c>
      <c r="B6" s="153" t="s">
        <v>3604</v>
      </c>
      <c r="C6" s="153" t="s">
        <v>1361</v>
      </c>
      <c r="D6" s="153">
        <v>5</v>
      </c>
      <c r="E6" s="153">
        <v>5</v>
      </c>
      <c r="F6" s="153">
        <f t="shared" si="0"/>
        <v>0</v>
      </c>
      <c r="G6" s="153" t="str">
        <f t="shared" si="1"/>
        <v>OK</v>
      </c>
      <c r="H6" s="153" t="b">
        <v>1</v>
      </c>
    </row>
    <row r="7" spans="1:8" x14ac:dyDescent="0.3">
      <c r="A7" s="153" t="s">
        <v>1362</v>
      </c>
      <c r="B7" s="153" t="s">
        <v>3604</v>
      </c>
      <c r="C7" s="153" t="s">
        <v>1363</v>
      </c>
      <c r="D7" s="153">
        <v>120</v>
      </c>
      <c r="E7" s="153">
        <v>120</v>
      </c>
      <c r="F7" s="153">
        <f t="shared" si="0"/>
        <v>0</v>
      </c>
      <c r="G7" s="153" t="str">
        <f t="shared" si="1"/>
        <v>OK</v>
      </c>
      <c r="H7" s="153" t="b">
        <v>1</v>
      </c>
    </row>
    <row r="8" spans="1:8" x14ac:dyDescent="0.3">
      <c r="A8" s="153" t="s">
        <v>1364</v>
      </c>
      <c r="B8" s="153" t="s">
        <v>3604</v>
      </c>
      <c r="C8" s="153" t="s">
        <v>1365</v>
      </c>
      <c r="D8" s="153">
        <v>0.9</v>
      </c>
      <c r="E8" s="153">
        <v>0.9</v>
      </c>
      <c r="F8" s="153">
        <f t="shared" si="0"/>
        <v>0</v>
      </c>
      <c r="G8" s="153" t="str">
        <f t="shared" si="1"/>
        <v>OK</v>
      </c>
      <c r="H8" s="153" t="b">
        <v>1</v>
      </c>
    </row>
    <row r="9" spans="1:8" x14ac:dyDescent="0.3">
      <c r="A9" s="153" t="s">
        <v>1366</v>
      </c>
      <c r="B9" s="153" t="s">
        <v>3604</v>
      </c>
      <c r="C9" s="153" t="s">
        <v>1367</v>
      </c>
      <c r="D9" s="153">
        <v>108</v>
      </c>
      <c r="E9" s="153">
        <v>108</v>
      </c>
      <c r="F9" s="153">
        <f t="shared" si="0"/>
        <v>0</v>
      </c>
      <c r="G9" s="153" t="str">
        <f t="shared" si="1"/>
        <v>OK</v>
      </c>
      <c r="H9" s="153" t="b">
        <v>1</v>
      </c>
    </row>
    <row r="10" spans="1:8" x14ac:dyDescent="0.3">
      <c r="A10" s="153" t="s">
        <v>1368</v>
      </c>
      <c r="B10" s="153" t="s">
        <v>3604</v>
      </c>
      <c r="C10" s="153" t="s">
        <v>1369</v>
      </c>
      <c r="D10" s="153">
        <v>71</v>
      </c>
      <c r="E10" s="153">
        <v>71</v>
      </c>
      <c r="F10" s="153">
        <f t="shared" si="0"/>
        <v>0</v>
      </c>
      <c r="G10" s="153" t="str">
        <f t="shared" si="1"/>
        <v>OK</v>
      </c>
      <c r="H10" s="153" t="b">
        <v>1</v>
      </c>
    </row>
    <row r="11" spans="1:8" x14ac:dyDescent="0.3">
      <c r="A11" s="153" t="s">
        <v>1370</v>
      </c>
      <c r="B11" s="153" t="s">
        <v>3604</v>
      </c>
      <c r="C11" s="153" t="s">
        <v>1371</v>
      </c>
      <c r="D11" s="153">
        <v>21.3</v>
      </c>
      <c r="E11" s="153">
        <v>21.3</v>
      </c>
      <c r="F11" s="153">
        <f t="shared" si="0"/>
        <v>0</v>
      </c>
      <c r="G11" s="153" t="str">
        <f t="shared" si="1"/>
        <v>OK</v>
      </c>
      <c r="H11" s="153" t="b">
        <v>1</v>
      </c>
    </row>
    <row r="12" spans="1:8" x14ac:dyDescent="0.3">
      <c r="A12" s="153" t="s">
        <v>1372</v>
      </c>
      <c r="B12" s="153" t="s">
        <v>3604</v>
      </c>
      <c r="C12" s="153" t="s">
        <v>1373</v>
      </c>
      <c r="D12" s="153">
        <v>71</v>
      </c>
      <c r="E12" s="153">
        <v>71</v>
      </c>
      <c r="F12" s="153">
        <f t="shared" si="0"/>
        <v>0</v>
      </c>
      <c r="G12" s="153" t="str">
        <f t="shared" si="1"/>
        <v>OK</v>
      </c>
      <c r="H12" s="153" t="b">
        <v>1</v>
      </c>
    </row>
    <row r="13" spans="1:8" x14ac:dyDescent="0.3">
      <c r="A13" s="153" t="s">
        <v>1374</v>
      </c>
      <c r="B13" s="153" t="s">
        <v>3604</v>
      </c>
      <c r="C13" s="153" t="s">
        <v>1375</v>
      </c>
      <c r="D13" s="153">
        <v>426</v>
      </c>
      <c r="E13" s="153">
        <v>426</v>
      </c>
      <c r="F13" s="153">
        <f t="shared" si="0"/>
        <v>0</v>
      </c>
      <c r="G13" s="153" t="str">
        <f t="shared" si="1"/>
        <v>OK</v>
      </c>
      <c r="H13" s="153" t="b">
        <v>1</v>
      </c>
    </row>
    <row r="14" spans="1:8" x14ac:dyDescent="0.3">
      <c r="A14" s="153" t="s">
        <v>1376</v>
      </c>
      <c r="B14" s="153" t="s">
        <v>3604</v>
      </c>
      <c r="C14" s="153" t="s">
        <v>1377</v>
      </c>
      <c r="D14" s="153">
        <v>7784.7199999999993</v>
      </c>
      <c r="E14" s="153">
        <v>7784.7199999999993</v>
      </c>
      <c r="F14" s="153">
        <f t="shared" si="0"/>
        <v>0</v>
      </c>
      <c r="G14" s="153" t="str">
        <f t="shared" si="1"/>
        <v>OK</v>
      </c>
      <c r="H14" s="153" t="b">
        <v>1</v>
      </c>
    </row>
    <row r="15" spans="1:8" x14ac:dyDescent="0.3">
      <c r="A15" s="153" t="s">
        <v>1378</v>
      </c>
      <c r="B15" s="153" t="s">
        <v>3604</v>
      </c>
      <c r="C15" s="153" t="s">
        <v>1379</v>
      </c>
      <c r="D15" s="153">
        <v>1488.9694</v>
      </c>
      <c r="E15" s="153">
        <v>1488.9694</v>
      </c>
      <c r="F15" s="153">
        <f t="shared" si="0"/>
        <v>0</v>
      </c>
      <c r="G15" s="153" t="str">
        <f t="shared" si="1"/>
        <v>OK</v>
      </c>
      <c r="H15" s="153" t="b">
        <v>1</v>
      </c>
    </row>
    <row r="16" spans="1:8" x14ac:dyDescent="0.3">
      <c r="A16" s="153" t="s">
        <v>1380</v>
      </c>
      <c r="B16" s="153" t="s">
        <v>3604</v>
      </c>
      <c r="C16" s="153" t="s">
        <v>1381</v>
      </c>
      <c r="D16" s="153">
        <v>31.25</v>
      </c>
      <c r="E16" s="153">
        <v>31.25</v>
      </c>
      <c r="F16" s="153">
        <f t="shared" si="0"/>
        <v>0</v>
      </c>
      <c r="G16" s="153" t="str">
        <f t="shared" si="1"/>
        <v>OK</v>
      </c>
      <c r="H16" s="153" t="b">
        <v>1</v>
      </c>
    </row>
    <row r="17" spans="1:8" x14ac:dyDescent="0.3">
      <c r="A17" s="153" t="s">
        <v>1382</v>
      </c>
      <c r="B17" s="153" t="s">
        <v>3604</v>
      </c>
      <c r="C17" s="153" t="s">
        <v>1383</v>
      </c>
      <c r="D17" s="153">
        <v>64.125</v>
      </c>
      <c r="E17" s="153">
        <v>64.125</v>
      </c>
      <c r="F17" s="153">
        <f t="shared" si="0"/>
        <v>0</v>
      </c>
      <c r="G17" s="153" t="str">
        <f t="shared" si="1"/>
        <v>OK</v>
      </c>
      <c r="H17" s="153" t="b">
        <v>1</v>
      </c>
    </row>
    <row r="18" spans="1:8" x14ac:dyDescent="0.3">
      <c r="A18" s="153" t="s">
        <v>1384</v>
      </c>
      <c r="B18" s="153" t="s">
        <v>3604</v>
      </c>
      <c r="C18" s="153" t="s">
        <v>1385</v>
      </c>
      <c r="D18" s="153">
        <v>0</v>
      </c>
      <c r="E18" s="153">
        <v>0</v>
      </c>
      <c r="F18" s="153">
        <f t="shared" si="0"/>
        <v>0</v>
      </c>
      <c r="G18" s="153" t="str">
        <f t="shared" si="1"/>
        <v>OK</v>
      </c>
      <c r="H18" s="153" t="b">
        <v>1</v>
      </c>
    </row>
    <row r="19" spans="1:8" x14ac:dyDescent="0.3">
      <c r="A19" s="153" t="s">
        <v>1386</v>
      </c>
      <c r="B19" s="153" t="s">
        <v>3604</v>
      </c>
      <c r="C19" s="153" t="s">
        <v>1387</v>
      </c>
      <c r="D19" s="153">
        <v>0</v>
      </c>
      <c r="E19" s="153">
        <v>0</v>
      </c>
      <c r="F19" s="153">
        <f t="shared" si="0"/>
        <v>0</v>
      </c>
      <c r="G19" s="153" t="str">
        <f t="shared" si="1"/>
        <v>OK</v>
      </c>
      <c r="H19" s="153" t="b">
        <v>1</v>
      </c>
    </row>
    <row r="20" spans="1:8" x14ac:dyDescent="0.3">
      <c r="A20" s="153" t="s">
        <v>1388</v>
      </c>
      <c r="B20" s="153" t="s">
        <v>3604</v>
      </c>
      <c r="C20" s="153" t="s">
        <v>1391</v>
      </c>
      <c r="D20" s="153">
        <v>3500</v>
      </c>
      <c r="E20" s="153">
        <v>3500</v>
      </c>
      <c r="F20" s="153">
        <f t="shared" si="0"/>
        <v>0</v>
      </c>
      <c r="G20" s="153" t="str">
        <f t="shared" si="1"/>
        <v>OK</v>
      </c>
      <c r="H20" s="153" t="b">
        <v>1</v>
      </c>
    </row>
    <row r="21" spans="1:8" x14ac:dyDescent="0.3">
      <c r="A21" s="153" t="s">
        <v>1390</v>
      </c>
      <c r="B21" s="153" t="s">
        <v>3604</v>
      </c>
      <c r="C21" s="153" t="s">
        <v>1393</v>
      </c>
      <c r="D21" s="153">
        <v>3500</v>
      </c>
      <c r="E21" s="153">
        <v>3500</v>
      </c>
      <c r="F21" s="153">
        <f t="shared" si="0"/>
        <v>0</v>
      </c>
      <c r="G21" s="153" t="str">
        <f t="shared" si="1"/>
        <v>OK</v>
      </c>
      <c r="H21" s="153" t="b">
        <v>1</v>
      </c>
    </row>
    <row r="22" spans="1:8" x14ac:dyDescent="0.3">
      <c r="A22" s="153" t="s">
        <v>1392</v>
      </c>
      <c r="B22" s="153" t="s">
        <v>3604</v>
      </c>
      <c r="C22" s="153" t="s">
        <v>1395</v>
      </c>
      <c r="D22" s="153">
        <v>71</v>
      </c>
      <c r="E22" s="153">
        <v>71</v>
      </c>
      <c r="F22" s="153">
        <f t="shared" si="0"/>
        <v>0</v>
      </c>
      <c r="G22" s="153" t="str">
        <f t="shared" si="1"/>
        <v>OK</v>
      </c>
      <c r="H22" s="153" t="b">
        <v>1</v>
      </c>
    </row>
    <row r="23" spans="1:8" x14ac:dyDescent="0.3">
      <c r="A23" s="153" t="s">
        <v>1394</v>
      </c>
      <c r="B23" s="153" t="s">
        <v>3604</v>
      </c>
      <c r="C23" s="153" t="s">
        <v>1397</v>
      </c>
      <c r="D23" s="153">
        <v>2840</v>
      </c>
      <c r="E23" s="153">
        <v>2840</v>
      </c>
      <c r="F23" s="153">
        <f t="shared" si="0"/>
        <v>0</v>
      </c>
      <c r="G23" s="153" t="str">
        <f t="shared" si="1"/>
        <v>OK</v>
      </c>
      <c r="H23" s="153" t="b">
        <v>1</v>
      </c>
    </row>
    <row r="24" spans="1:8" x14ac:dyDescent="0.3">
      <c r="A24" s="153" t="s">
        <v>1396</v>
      </c>
      <c r="B24" s="153" t="s">
        <v>3604</v>
      </c>
      <c r="C24" s="153" t="s">
        <v>2254</v>
      </c>
      <c r="D24" s="153">
        <v>0</v>
      </c>
      <c r="E24" s="153">
        <v>0</v>
      </c>
      <c r="F24" s="153">
        <f t="shared" si="0"/>
        <v>0</v>
      </c>
      <c r="G24" s="153" t="str">
        <f t="shared" si="1"/>
        <v>OK</v>
      </c>
      <c r="H24" s="153" t="b">
        <v>1</v>
      </c>
    </row>
    <row r="25" spans="1:8" x14ac:dyDescent="0.3">
      <c r="A25" s="153" t="s">
        <v>1398</v>
      </c>
      <c r="B25" s="153" t="s">
        <v>3604</v>
      </c>
      <c r="C25" s="153" t="s">
        <v>1399</v>
      </c>
      <c r="D25" s="153">
        <v>0</v>
      </c>
      <c r="E25" s="153">
        <v>0</v>
      </c>
      <c r="F25" s="153">
        <f t="shared" si="0"/>
        <v>0</v>
      </c>
      <c r="G25" s="153" t="str">
        <f t="shared" si="1"/>
        <v>OK</v>
      </c>
      <c r="H25" s="153" t="b">
        <v>1</v>
      </c>
    </row>
    <row r="26" spans="1:8" x14ac:dyDescent="0.3">
      <c r="A26" s="153" t="s">
        <v>1400</v>
      </c>
      <c r="B26" s="153" t="s">
        <v>3604</v>
      </c>
      <c r="C26" s="153" t="s">
        <v>1401</v>
      </c>
      <c r="D26" s="153">
        <v>1657.8570370370369</v>
      </c>
      <c r="E26" s="153">
        <v>1657.8570370370369</v>
      </c>
      <c r="F26" s="153">
        <f t="shared" si="0"/>
        <v>0</v>
      </c>
      <c r="G26" s="153" t="str">
        <f t="shared" si="1"/>
        <v>OK</v>
      </c>
      <c r="H26" s="153" t="b">
        <v>1</v>
      </c>
    </row>
    <row r="27" spans="1:8" x14ac:dyDescent="0.3">
      <c r="A27" s="153" t="s">
        <v>1402</v>
      </c>
      <c r="B27" s="153" t="s">
        <v>3604</v>
      </c>
      <c r="C27" s="153" t="s">
        <v>1403</v>
      </c>
      <c r="D27" s="153">
        <v>0</v>
      </c>
      <c r="E27" s="153">
        <v>0</v>
      </c>
      <c r="F27" s="153">
        <f t="shared" si="0"/>
        <v>0</v>
      </c>
      <c r="G27" s="153" t="str">
        <f t="shared" si="1"/>
        <v>OK</v>
      </c>
      <c r="H27" s="153" t="b">
        <v>1</v>
      </c>
    </row>
    <row r="28" spans="1:8" x14ac:dyDescent="0.3">
      <c r="A28" s="153" t="s">
        <v>1404</v>
      </c>
      <c r="B28" s="153" t="s">
        <v>3604</v>
      </c>
      <c r="C28" s="153" t="s">
        <v>1405</v>
      </c>
      <c r="D28" s="153">
        <v>1500</v>
      </c>
      <c r="E28" s="153">
        <v>1500</v>
      </c>
      <c r="F28" s="153">
        <f t="shared" si="0"/>
        <v>0</v>
      </c>
      <c r="G28" s="153" t="str">
        <f t="shared" si="1"/>
        <v>OK</v>
      </c>
      <c r="H28" s="153" t="b">
        <v>1</v>
      </c>
    </row>
    <row r="29" spans="1:8" x14ac:dyDescent="0.3">
      <c r="A29" s="153" t="s">
        <v>1406</v>
      </c>
      <c r="B29" s="153" t="s">
        <v>3604</v>
      </c>
      <c r="C29" s="153" t="s">
        <v>1407</v>
      </c>
      <c r="D29" s="153">
        <v>12526.921437037039</v>
      </c>
      <c r="E29" s="153">
        <v>12526.921437037039</v>
      </c>
      <c r="F29" s="153">
        <f t="shared" si="0"/>
        <v>0</v>
      </c>
      <c r="G29" s="153" t="str">
        <f t="shared" si="1"/>
        <v>OK</v>
      </c>
      <c r="H29" s="153" t="b">
        <v>1</v>
      </c>
    </row>
    <row r="30" spans="1:8" x14ac:dyDescent="0.3">
      <c r="A30" s="153" t="s">
        <v>1408</v>
      </c>
      <c r="B30" s="153" t="s">
        <v>3604</v>
      </c>
      <c r="C30" s="153" t="s">
        <v>1409</v>
      </c>
      <c r="D30" s="153">
        <v>-9686.9214370370355</v>
      </c>
      <c r="E30" s="153">
        <v>-9686.9214370370355</v>
      </c>
      <c r="F30" s="153">
        <f t="shared" si="0"/>
        <v>0</v>
      </c>
      <c r="G30" s="153" t="str">
        <f t="shared" si="1"/>
        <v>OK</v>
      </c>
      <c r="H30" s="153" t="b">
        <v>1</v>
      </c>
    </row>
    <row r="31" spans="1:8" x14ac:dyDescent="0.3">
      <c r="A31" s="153" t="s">
        <v>1410</v>
      </c>
      <c r="B31" s="153" t="s">
        <v>3604</v>
      </c>
      <c r="C31" s="153" t="s">
        <v>1411</v>
      </c>
      <c r="D31" s="153">
        <v>1</v>
      </c>
      <c r="E31" s="153">
        <v>1</v>
      </c>
      <c r="F31" s="153">
        <f t="shared" si="0"/>
        <v>0</v>
      </c>
      <c r="G31" s="153" t="str">
        <f t="shared" si="1"/>
        <v>OK</v>
      </c>
      <c r="H31" s="153" t="b">
        <v>1</v>
      </c>
    </row>
    <row r="32" spans="1:8" x14ac:dyDescent="0.3">
      <c r="A32" s="153" t="s">
        <v>1412</v>
      </c>
      <c r="B32" s="153" t="s">
        <v>3604</v>
      </c>
      <c r="C32" s="153" t="s">
        <v>1413</v>
      </c>
      <c r="D32" s="153">
        <v>3</v>
      </c>
      <c r="E32" s="153">
        <v>3</v>
      </c>
      <c r="F32" s="153">
        <f t="shared" si="0"/>
        <v>0</v>
      </c>
      <c r="G32" s="153" t="str">
        <f t="shared" si="1"/>
        <v>OK</v>
      </c>
      <c r="H32" s="153" t="b">
        <v>1</v>
      </c>
    </row>
    <row r="33" spans="1:8" x14ac:dyDescent="0.3">
      <c r="A33" s="153" t="s">
        <v>1414</v>
      </c>
      <c r="B33" s="153" t="s">
        <v>3604</v>
      </c>
      <c r="C33" s="153" t="s">
        <v>1415</v>
      </c>
      <c r="D33" s="153">
        <v>278.7</v>
      </c>
      <c r="E33" s="153">
        <v>278.7</v>
      </c>
      <c r="F33" s="153">
        <f t="shared" si="0"/>
        <v>0</v>
      </c>
      <c r="G33" s="153" t="str">
        <f t="shared" si="1"/>
        <v>OK</v>
      </c>
      <c r="H33" s="153" t="b">
        <v>1</v>
      </c>
    </row>
    <row r="34" spans="1:8" x14ac:dyDescent="0.3">
      <c r="A34" s="153" t="s">
        <v>1416</v>
      </c>
      <c r="B34" s="153" t="s">
        <v>3604</v>
      </c>
      <c r="C34" s="153" t="s">
        <v>1417</v>
      </c>
      <c r="D34" s="153">
        <v>0</v>
      </c>
      <c r="E34" s="153">
        <v>0</v>
      </c>
      <c r="F34" s="153">
        <f t="shared" si="0"/>
        <v>0</v>
      </c>
      <c r="G34" s="153" t="str">
        <f t="shared" si="1"/>
        <v>OK</v>
      </c>
      <c r="H34" s="153" t="b">
        <v>1</v>
      </c>
    </row>
    <row r="35" spans="1:8" x14ac:dyDescent="0.3">
      <c r="A35" s="153" t="s">
        <v>1418</v>
      </c>
      <c r="B35" s="153" t="s">
        <v>3604</v>
      </c>
      <c r="C35" s="153" t="s">
        <v>1419</v>
      </c>
      <c r="D35" s="153">
        <v>0</v>
      </c>
      <c r="E35" s="153">
        <v>0</v>
      </c>
      <c r="F35" s="153">
        <f t="shared" si="0"/>
        <v>0</v>
      </c>
      <c r="G35" s="153" t="str">
        <f t="shared" si="1"/>
        <v>OK</v>
      </c>
      <c r="H35" s="153" t="b">
        <v>1</v>
      </c>
    </row>
    <row r="36" spans="1:8" x14ac:dyDescent="0.3">
      <c r="A36" s="153" t="s">
        <v>1420</v>
      </c>
      <c r="B36" s="153" t="s">
        <v>3604</v>
      </c>
      <c r="C36" s="153" t="s">
        <v>1421</v>
      </c>
      <c r="D36" s="153">
        <v>929</v>
      </c>
      <c r="E36" s="153">
        <v>929</v>
      </c>
      <c r="F36" s="153">
        <f t="shared" si="0"/>
        <v>0</v>
      </c>
      <c r="G36" s="153" t="str">
        <f t="shared" si="1"/>
        <v>OK</v>
      </c>
      <c r="H36" s="153" t="b">
        <v>1</v>
      </c>
    </row>
    <row r="37" spans="1:8" x14ac:dyDescent="0.3">
      <c r="A37" s="153" t="s">
        <v>1422</v>
      </c>
      <c r="B37" s="153" t="s">
        <v>3604</v>
      </c>
      <c r="C37" s="153" t="s">
        <v>1423</v>
      </c>
      <c r="D37" s="153">
        <v>0</v>
      </c>
      <c r="E37" s="153">
        <v>0</v>
      </c>
      <c r="F37" s="153">
        <f t="shared" si="0"/>
        <v>0</v>
      </c>
      <c r="G37" s="153" t="str">
        <f t="shared" si="1"/>
        <v>OK</v>
      </c>
      <c r="H37" s="153" t="b">
        <v>1</v>
      </c>
    </row>
    <row r="38" spans="1:8" x14ac:dyDescent="0.3">
      <c r="A38" s="153" t="s">
        <v>1424</v>
      </c>
      <c r="B38" s="153" t="s">
        <v>3604</v>
      </c>
      <c r="C38" s="153" t="s">
        <v>1425</v>
      </c>
      <c r="D38" s="153">
        <v>5574</v>
      </c>
      <c r="E38" s="153">
        <v>5574</v>
      </c>
      <c r="F38" s="153">
        <f t="shared" si="0"/>
        <v>0</v>
      </c>
      <c r="G38" s="153" t="str">
        <f t="shared" si="1"/>
        <v>OK</v>
      </c>
      <c r="H38" s="153" t="b">
        <v>1</v>
      </c>
    </row>
    <row r="39" spans="1:8" x14ac:dyDescent="0.3">
      <c r="A39" s="153" t="s">
        <v>1426</v>
      </c>
      <c r="B39" s="153" t="s">
        <v>3604</v>
      </c>
      <c r="C39" s="153" t="s">
        <v>1427</v>
      </c>
      <c r="D39" s="153">
        <v>0</v>
      </c>
      <c r="E39" s="153">
        <v>0</v>
      </c>
      <c r="F39" s="153">
        <f t="shared" si="0"/>
        <v>0</v>
      </c>
      <c r="G39" s="153" t="str">
        <f t="shared" si="1"/>
        <v>OK</v>
      </c>
      <c r="H39" s="153" t="b">
        <v>1</v>
      </c>
    </row>
    <row r="40" spans="1:8" x14ac:dyDescent="0.3">
      <c r="A40" s="153" t="s">
        <v>1428</v>
      </c>
      <c r="B40" s="153" t="s">
        <v>3604</v>
      </c>
      <c r="C40" s="153" t="s">
        <v>1429</v>
      </c>
      <c r="D40" s="153">
        <v>0</v>
      </c>
      <c r="E40" s="153">
        <v>0</v>
      </c>
      <c r="F40" s="153">
        <f t="shared" si="0"/>
        <v>0</v>
      </c>
      <c r="G40" s="153" t="str">
        <f t="shared" si="1"/>
        <v>OK</v>
      </c>
      <c r="H40" s="153" t="b">
        <v>1</v>
      </c>
    </row>
    <row r="41" spans="1:8" x14ac:dyDescent="0.3">
      <c r="A41" s="153" t="s">
        <v>1430</v>
      </c>
      <c r="B41" s="153" t="s">
        <v>3604</v>
      </c>
      <c r="C41" s="153" t="s">
        <v>1431</v>
      </c>
      <c r="D41" s="153" t="b">
        <v>0</v>
      </c>
      <c r="E41" s="153" t="b">
        <v>0</v>
      </c>
      <c r="F41" s="153">
        <f t="shared" si="0"/>
        <v>0</v>
      </c>
      <c r="G41" s="153" t="str">
        <f t="shared" si="1"/>
        <v>OK</v>
      </c>
      <c r="H41" s="153" t="b">
        <v>1</v>
      </c>
    </row>
    <row r="42" spans="1:8" x14ac:dyDescent="0.3">
      <c r="A42" s="153" t="s">
        <v>1432</v>
      </c>
      <c r="B42" s="153" t="s">
        <v>3604</v>
      </c>
      <c r="C42" s="153" t="s">
        <v>1433</v>
      </c>
      <c r="D42" s="153" t="b">
        <v>0</v>
      </c>
      <c r="E42" s="153" t="b">
        <v>0</v>
      </c>
      <c r="F42" s="153">
        <f t="shared" si="0"/>
        <v>0</v>
      </c>
      <c r="G42" s="153" t="str">
        <f t="shared" si="1"/>
        <v>OK</v>
      </c>
      <c r="H42" s="153" t="b">
        <v>1</v>
      </c>
    </row>
    <row r="43" spans="1:8" x14ac:dyDescent="0.3">
      <c r="A43" s="153" t="s">
        <v>1434</v>
      </c>
      <c r="B43" s="153" t="s">
        <v>3604</v>
      </c>
      <c r="C43" s="153" t="s">
        <v>1435</v>
      </c>
      <c r="D43" s="153" t="b">
        <v>1</v>
      </c>
      <c r="E43" s="153" t="b">
        <v>1</v>
      </c>
      <c r="F43" s="153">
        <f t="shared" si="0"/>
        <v>0</v>
      </c>
      <c r="G43" s="153" t="str">
        <f t="shared" si="1"/>
        <v>OK</v>
      </c>
      <c r="H43" s="153" t="b">
        <v>1</v>
      </c>
    </row>
    <row r="44" spans="1:8" x14ac:dyDescent="0.3">
      <c r="A44" s="153" t="s">
        <v>1436</v>
      </c>
      <c r="B44" s="153" t="s">
        <v>3604</v>
      </c>
      <c r="C44" s="153" t="s">
        <v>1437</v>
      </c>
      <c r="D44" s="153" t="b">
        <v>0</v>
      </c>
      <c r="E44" s="153" t="b">
        <v>0</v>
      </c>
      <c r="F44" s="153">
        <f t="shared" si="0"/>
        <v>0</v>
      </c>
      <c r="G44" s="153" t="str">
        <f t="shared" si="1"/>
        <v>OK</v>
      </c>
      <c r="H44" s="153" t="b">
        <v>1</v>
      </c>
    </row>
    <row r="45" spans="1:8" x14ac:dyDescent="0.3">
      <c r="A45" s="153" t="s">
        <v>1438</v>
      </c>
      <c r="B45" s="153" t="s">
        <v>3604</v>
      </c>
      <c r="C45" s="153" t="s">
        <v>1439</v>
      </c>
      <c r="D45" s="153" t="b">
        <v>1</v>
      </c>
      <c r="E45" s="153" t="b">
        <v>1</v>
      </c>
      <c r="F45" s="153">
        <f t="shared" si="0"/>
        <v>0</v>
      </c>
      <c r="G45" s="153" t="str">
        <f t="shared" si="1"/>
        <v>OK</v>
      </c>
      <c r="H45" s="153" t="b">
        <v>1</v>
      </c>
    </row>
    <row r="46" spans="1:8" x14ac:dyDescent="0.3">
      <c r="A46" s="153" t="s">
        <v>1440</v>
      </c>
      <c r="B46" s="153" t="s">
        <v>3604</v>
      </c>
      <c r="C46" s="153" t="s">
        <v>1441</v>
      </c>
      <c r="D46" s="153" t="b">
        <v>1</v>
      </c>
      <c r="E46" s="153" t="b">
        <v>1</v>
      </c>
      <c r="F46" s="153">
        <f t="shared" si="0"/>
        <v>0</v>
      </c>
      <c r="G46" s="153" t="str">
        <f t="shared" si="1"/>
        <v>OK</v>
      </c>
      <c r="H46" s="153" t="b">
        <v>1</v>
      </c>
    </row>
    <row r="47" spans="1:8" x14ac:dyDescent="0.3">
      <c r="A47" s="153" t="s">
        <v>1442</v>
      </c>
      <c r="B47" s="153" t="s">
        <v>3604</v>
      </c>
      <c r="C47" s="153" t="s">
        <v>1443</v>
      </c>
      <c r="D47" s="153" t="b">
        <v>0</v>
      </c>
      <c r="E47" s="153" t="b">
        <v>0</v>
      </c>
      <c r="F47" s="153">
        <f t="shared" si="0"/>
        <v>0</v>
      </c>
      <c r="G47" s="153" t="str">
        <f t="shared" si="1"/>
        <v>OK</v>
      </c>
      <c r="H47" s="153" t="b">
        <v>1</v>
      </c>
    </row>
    <row r="48" spans="1:8" x14ac:dyDescent="0.3">
      <c r="A48" s="153" t="s">
        <v>1444</v>
      </c>
      <c r="B48" s="153" t="s">
        <v>3604</v>
      </c>
      <c r="C48" s="153" t="s">
        <v>1445</v>
      </c>
      <c r="D48" s="153" t="b">
        <v>1</v>
      </c>
      <c r="E48" s="153" t="b">
        <v>1</v>
      </c>
      <c r="F48" s="153">
        <f t="shared" si="0"/>
        <v>0</v>
      </c>
      <c r="G48" s="153" t="str">
        <f t="shared" si="1"/>
        <v>OK</v>
      </c>
      <c r="H48" s="153" t="b">
        <v>1</v>
      </c>
    </row>
    <row r="49" spans="1:8" x14ac:dyDescent="0.3">
      <c r="A49" s="153" t="s">
        <v>1446</v>
      </c>
      <c r="B49" s="153" t="s">
        <v>3604</v>
      </c>
      <c r="C49" s="153" t="s">
        <v>1447</v>
      </c>
      <c r="D49" s="153">
        <v>5000</v>
      </c>
      <c r="E49" s="153">
        <v>5000</v>
      </c>
      <c r="F49" s="153">
        <f t="shared" si="0"/>
        <v>0</v>
      </c>
      <c r="G49" s="153" t="str">
        <f t="shared" si="1"/>
        <v>OK</v>
      </c>
      <c r="H49" s="153" t="b">
        <v>1</v>
      </c>
    </row>
    <row r="50" spans="1:8" x14ac:dyDescent="0.3">
      <c r="A50" s="153" t="s">
        <v>1448</v>
      </c>
      <c r="B50" s="153" t="s">
        <v>3604</v>
      </c>
      <c r="C50" s="153" t="s">
        <v>1449</v>
      </c>
      <c r="D50" s="153">
        <v>20</v>
      </c>
      <c r="E50" s="153">
        <v>20</v>
      </c>
      <c r="F50" s="153">
        <f t="shared" si="0"/>
        <v>0</v>
      </c>
      <c r="G50" s="153" t="str">
        <f t="shared" si="1"/>
        <v>OK</v>
      </c>
      <c r="H50" s="153" t="b">
        <v>1</v>
      </c>
    </row>
    <row r="51" spans="1:8" x14ac:dyDescent="0.3">
      <c r="A51" s="153" t="s">
        <v>1450</v>
      </c>
      <c r="B51" s="153" t="s">
        <v>3604</v>
      </c>
      <c r="C51" s="153" t="s">
        <v>1451</v>
      </c>
      <c r="D51" s="153">
        <v>5000</v>
      </c>
      <c r="E51" s="153">
        <v>5000</v>
      </c>
      <c r="F51" s="153">
        <f t="shared" si="0"/>
        <v>0</v>
      </c>
      <c r="G51" s="153" t="str">
        <f t="shared" si="1"/>
        <v>OK</v>
      </c>
      <c r="H51" s="153" t="b">
        <v>1</v>
      </c>
    </row>
    <row r="52" spans="1:8" x14ac:dyDescent="0.3">
      <c r="A52" s="153" t="s">
        <v>1452</v>
      </c>
      <c r="B52" s="153" t="s">
        <v>3604</v>
      </c>
      <c r="C52" s="153" t="s">
        <v>1453</v>
      </c>
      <c r="D52" s="153">
        <v>3</v>
      </c>
      <c r="E52" s="153">
        <v>3</v>
      </c>
      <c r="F52" s="153">
        <f t="shared" si="0"/>
        <v>0</v>
      </c>
      <c r="G52" s="153" t="str">
        <f t="shared" si="1"/>
        <v>OK</v>
      </c>
      <c r="H52" s="153" t="b">
        <v>1</v>
      </c>
    </row>
    <row r="53" spans="1:8" x14ac:dyDescent="0.3">
      <c r="A53" s="153" t="s">
        <v>2256</v>
      </c>
      <c r="B53" s="153" t="s">
        <v>3604</v>
      </c>
      <c r="C53" s="153" t="s">
        <v>1455</v>
      </c>
      <c r="D53" s="153">
        <v>4</v>
      </c>
      <c r="E53" s="153">
        <v>4</v>
      </c>
      <c r="F53" s="153">
        <f t="shared" si="0"/>
        <v>0</v>
      </c>
      <c r="G53" s="153" t="str">
        <f t="shared" si="1"/>
        <v>OK</v>
      </c>
      <c r="H53" s="153" t="b">
        <v>1</v>
      </c>
    </row>
    <row r="54" spans="1:8" x14ac:dyDescent="0.3">
      <c r="A54" s="153" t="s">
        <v>2257</v>
      </c>
      <c r="B54" s="153" t="s">
        <v>3604</v>
      </c>
      <c r="C54" s="153" t="s">
        <v>1457</v>
      </c>
      <c r="D54" s="153">
        <v>-4</v>
      </c>
      <c r="E54" s="153">
        <v>-4</v>
      </c>
      <c r="F54" s="153">
        <f t="shared" si="0"/>
        <v>0</v>
      </c>
      <c r="G54" s="153" t="str">
        <f t="shared" si="1"/>
        <v>OK</v>
      </c>
      <c r="H54" s="153" t="b">
        <v>1</v>
      </c>
    </row>
    <row r="55" spans="1:8" x14ac:dyDescent="0.3">
      <c r="A55" s="153" t="s">
        <v>2258</v>
      </c>
      <c r="B55" s="153" t="s">
        <v>3604</v>
      </c>
      <c r="C55" s="153" t="s">
        <v>1459</v>
      </c>
      <c r="D55" s="153">
        <v>0</v>
      </c>
      <c r="E55" s="153">
        <v>0</v>
      </c>
      <c r="F55" s="153">
        <f t="shared" si="0"/>
        <v>0</v>
      </c>
      <c r="G55" s="153" t="str">
        <f t="shared" si="1"/>
        <v>OK</v>
      </c>
      <c r="H55" s="153" t="b">
        <v>1</v>
      </c>
    </row>
    <row r="56" spans="1:8" x14ac:dyDescent="0.3">
      <c r="A56" s="153" t="s">
        <v>2259</v>
      </c>
      <c r="B56" s="153" t="s">
        <v>3604</v>
      </c>
      <c r="C56" s="153" t="s">
        <v>1461</v>
      </c>
      <c r="D56" s="153">
        <v>10</v>
      </c>
      <c r="E56" s="153">
        <v>10</v>
      </c>
      <c r="F56" s="153">
        <f t="shared" si="0"/>
        <v>0</v>
      </c>
      <c r="G56" s="153" t="str">
        <f t="shared" si="1"/>
        <v>OK</v>
      </c>
      <c r="H56" s="153" t="b">
        <v>1</v>
      </c>
    </row>
    <row r="57" spans="1:8" x14ac:dyDescent="0.3">
      <c r="A57" s="153" t="s">
        <v>2260</v>
      </c>
      <c r="B57" s="153" t="s">
        <v>3604</v>
      </c>
      <c r="C57" s="153" t="s">
        <v>1463</v>
      </c>
      <c r="D57" s="153">
        <v>5</v>
      </c>
      <c r="E57" s="153">
        <v>5</v>
      </c>
      <c r="F57" s="153">
        <f t="shared" si="0"/>
        <v>0</v>
      </c>
      <c r="G57" s="153" t="str">
        <f t="shared" si="1"/>
        <v>OK</v>
      </c>
      <c r="H57" s="153" t="b">
        <v>1</v>
      </c>
    </row>
    <row r="58" spans="1:8" x14ac:dyDescent="0.3">
      <c r="A58" s="153" t="s">
        <v>2261</v>
      </c>
      <c r="B58" s="153" t="s">
        <v>3604</v>
      </c>
      <c r="C58" s="153" t="s">
        <v>1465</v>
      </c>
      <c r="D58" s="153">
        <v>120</v>
      </c>
      <c r="E58" s="153">
        <v>120</v>
      </c>
      <c r="F58" s="153">
        <f t="shared" si="0"/>
        <v>0</v>
      </c>
      <c r="G58" s="153" t="str">
        <f t="shared" si="1"/>
        <v>OK</v>
      </c>
      <c r="H58" s="153" t="b">
        <v>1</v>
      </c>
    </row>
    <row r="59" spans="1:8" x14ac:dyDescent="0.3">
      <c r="A59" s="153" t="s">
        <v>2262</v>
      </c>
      <c r="B59" s="153" t="s">
        <v>3604</v>
      </c>
      <c r="C59" s="153" t="s">
        <v>1467</v>
      </c>
      <c r="D59" s="153">
        <v>0.9</v>
      </c>
      <c r="E59" s="153">
        <v>0.9</v>
      </c>
      <c r="F59" s="153">
        <f t="shared" si="0"/>
        <v>0</v>
      </c>
      <c r="G59" s="153" t="str">
        <f t="shared" si="1"/>
        <v>OK</v>
      </c>
      <c r="H59" s="153" t="b">
        <v>1</v>
      </c>
    </row>
    <row r="60" spans="1:8" x14ac:dyDescent="0.3">
      <c r="A60" s="153" t="s">
        <v>2263</v>
      </c>
      <c r="B60" s="153" t="s">
        <v>3604</v>
      </c>
      <c r="C60" s="153" t="s">
        <v>1469</v>
      </c>
      <c r="D60" s="153">
        <v>108</v>
      </c>
      <c r="E60" s="153">
        <v>108</v>
      </c>
      <c r="F60" s="153">
        <f t="shared" si="0"/>
        <v>0</v>
      </c>
      <c r="G60" s="153" t="str">
        <f t="shared" si="1"/>
        <v>OK</v>
      </c>
      <c r="H60" s="153" t="b">
        <v>1</v>
      </c>
    </row>
    <row r="61" spans="1:8" x14ac:dyDescent="0.3">
      <c r="A61" s="153" t="s">
        <v>2264</v>
      </c>
      <c r="B61" s="153" t="s">
        <v>3604</v>
      </c>
      <c r="C61" s="153" t="s">
        <v>1471</v>
      </c>
      <c r="D61" s="153">
        <v>71</v>
      </c>
      <c r="E61" s="153">
        <v>71</v>
      </c>
      <c r="F61" s="153">
        <f t="shared" si="0"/>
        <v>0</v>
      </c>
      <c r="G61" s="153" t="str">
        <f t="shared" si="1"/>
        <v>OK</v>
      </c>
      <c r="H61" s="153" t="b">
        <v>1</v>
      </c>
    </row>
    <row r="62" spans="1:8" x14ac:dyDescent="0.3">
      <c r="A62" s="153" t="s">
        <v>2265</v>
      </c>
      <c r="B62" s="153" t="s">
        <v>3604</v>
      </c>
      <c r="C62" s="153" t="s">
        <v>1473</v>
      </c>
      <c r="D62" s="153">
        <v>21.3</v>
      </c>
      <c r="E62" s="153">
        <v>21.3</v>
      </c>
      <c r="F62" s="153">
        <f t="shared" si="0"/>
        <v>0</v>
      </c>
      <c r="G62" s="153" t="str">
        <f t="shared" si="1"/>
        <v>OK</v>
      </c>
      <c r="H62" s="153" t="b">
        <v>1</v>
      </c>
    </row>
    <row r="63" spans="1:8" x14ac:dyDescent="0.3">
      <c r="A63" s="153" t="s">
        <v>2266</v>
      </c>
      <c r="B63" s="153" t="s">
        <v>3604</v>
      </c>
      <c r="C63" s="153" t="s">
        <v>1475</v>
      </c>
      <c r="D63" s="153">
        <v>71</v>
      </c>
      <c r="E63" s="153">
        <v>71</v>
      </c>
      <c r="F63" s="153">
        <f t="shared" si="0"/>
        <v>0</v>
      </c>
      <c r="G63" s="153" t="str">
        <f t="shared" si="1"/>
        <v>OK</v>
      </c>
      <c r="H63" s="153" t="b">
        <v>1</v>
      </c>
    </row>
    <row r="64" spans="1:8" x14ac:dyDescent="0.3">
      <c r="A64" s="153" t="s">
        <v>2267</v>
      </c>
      <c r="B64" s="153" t="s">
        <v>3604</v>
      </c>
      <c r="C64" s="153" t="s">
        <v>1477</v>
      </c>
      <c r="D64" s="153">
        <v>426</v>
      </c>
      <c r="E64" s="153">
        <v>426</v>
      </c>
      <c r="F64" s="153">
        <f t="shared" si="0"/>
        <v>0</v>
      </c>
      <c r="G64" s="153" t="str">
        <f t="shared" si="1"/>
        <v>OK</v>
      </c>
      <c r="H64" s="153" t="b">
        <v>1</v>
      </c>
    </row>
    <row r="65" spans="1:8" x14ac:dyDescent="0.3">
      <c r="A65" s="153" t="s">
        <v>2268</v>
      </c>
      <c r="B65" s="153" t="s">
        <v>3604</v>
      </c>
      <c r="C65" s="153" t="s">
        <v>1479</v>
      </c>
      <c r="D65" s="153">
        <v>7784.7199999999993</v>
      </c>
      <c r="E65" s="153">
        <v>7784.7199999999993</v>
      </c>
      <c r="F65" s="153">
        <f t="shared" si="0"/>
        <v>0</v>
      </c>
      <c r="G65" s="153" t="str">
        <f t="shared" si="1"/>
        <v>OK</v>
      </c>
      <c r="H65" s="153" t="b">
        <v>1</v>
      </c>
    </row>
    <row r="66" spans="1:8" x14ac:dyDescent="0.3">
      <c r="A66" s="153" t="s">
        <v>2269</v>
      </c>
      <c r="B66" s="153" t="s">
        <v>3604</v>
      </c>
      <c r="C66" s="153" t="s">
        <v>1481</v>
      </c>
      <c r="D66" s="153">
        <v>1504.3196</v>
      </c>
      <c r="E66" s="153">
        <v>1504.3196</v>
      </c>
      <c r="F66" s="153">
        <f t="shared" ref="F66:F129" si="2">IF(NOT(H66),"",IF(AND(ISNUMBER(D66),ISNUMBER(E66)),E66-D66,IF(D66=E66,0,1)))</f>
        <v>0</v>
      </c>
      <c r="G66" s="153" t="str">
        <f t="shared" ref="G66:G129" si="3">IF(NOT(H66),"PENDIENTE SIDE",IF(IF(AND(ISNUMBER(D66),ISNUMBER(E66)),IF(MOD(D66,1)=0,D66=E66,ABS(D66-E66)&lt;=0.000000001*MAX(1,ABS(D66),ABS(E66))),D66=E66),"OK","DIFERENCIA"))</f>
        <v>OK</v>
      </c>
      <c r="H66" s="153" t="b">
        <v>1</v>
      </c>
    </row>
    <row r="67" spans="1:8" x14ac:dyDescent="0.3">
      <c r="A67" s="153" t="s">
        <v>2270</v>
      </c>
      <c r="B67" s="153" t="s">
        <v>3604</v>
      </c>
      <c r="C67" s="153" t="s">
        <v>1483</v>
      </c>
      <c r="D67" s="153">
        <v>31.25</v>
      </c>
      <c r="E67" s="153">
        <v>31.25</v>
      </c>
      <c r="F67" s="153">
        <f t="shared" si="2"/>
        <v>0</v>
      </c>
      <c r="G67" s="153" t="str">
        <f t="shared" si="3"/>
        <v>OK</v>
      </c>
      <c r="H67" s="153" t="b">
        <v>1</v>
      </c>
    </row>
    <row r="68" spans="1:8" x14ac:dyDescent="0.3">
      <c r="A68" s="153" t="s">
        <v>2271</v>
      </c>
      <c r="B68" s="153" t="s">
        <v>3604</v>
      </c>
      <c r="C68" s="153" t="s">
        <v>1485</v>
      </c>
      <c r="D68" s="153">
        <v>5.0587499999999999</v>
      </c>
      <c r="E68" s="153">
        <v>5.0587499999999999</v>
      </c>
      <c r="F68" s="153">
        <f t="shared" si="2"/>
        <v>0</v>
      </c>
      <c r="G68" s="153" t="str">
        <f t="shared" si="3"/>
        <v>OK</v>
      </c>
      <c r="H68" s="153" t="b">
        <v>1</v>
      </c>
    </row>
    <row r="69" spans="1:8" x14ac:dyDescent="0.3">
      <c r="A69" s="153" t="s">
        <v>2272</v>
      </c>
      <c r="B69" s="153" t="s">
        <v>3604</v>
      </c>
      <c r="C69" s="153" t="s">
        <v>1487</v>
      </c>
      <c r="D69" s="153">
        <v>0</v>
      </c>
      <c r="E69" s="153">
        <v>0</v>
      </c>
      <c r="F69" s="153">
        <f t="shared" si="2"/>
        <v>0</v>
      </c>
      <c r="G69" s="153" t="str">
        <f t="shared" si="3"/>
        <v>OK</v>
      </c>
      <c r="H69" s="153" t="b">
        <v>1</v>
      </c>
    </row>
    <row r="70" spans="1:8" x14ac:dyDescent="0.3">
      <c r="A70" s="153" t="s">
        <v>2273</v>
      </c>
      <c r="B70" s="153" t="s">
        <v>3604</v>
      </c>
      <c r="C70" s="153" t="s">
        <v>1489</v>
      </c>
      <c r="D70" s="153">
        <v>0</v>
      </c>
      <c r="E70" s="153">
        <v>0</v>
      </c>
      <c r="F70" s="153">
        <f t="shared" si="2"/>
        <v>0</v>
      </c>
      <c r="G70" s="153" t="str">
        <f t="shared" si="3"/>
        <v>OK</v>
      </c>
      <c r="H70" s="153" t="b">
        <v>1</v>
      </c>
    </row>
    <row r="71" spans="1:8" x14ac:dyDescent="0.3">
      <c r="A71" s="153" t="s">
        <v>2274</v>
      </c>
      <c r="B71" s="153" t="s">
        <v>3604</v>
      </c>
      <c r="C71" s="153" t="s">
        <v>1493</v>
      </c>
      <c r="D71" s="153">
        <v>3500</v>
      </c>
      <c r="E71" s="153">
        <v>3500</v>
      </c>
      <c r="F71" s="153">
        <f t="shared" si="2"/>
        <v>0</v>
      </c>
      <c r="G71" s="153" t="str">
        <f t="shared" si="3"/>
        <v>OK</v>
      </c>
      <c r="H71" s="153" t="b">
        <v>1</v>
      </c>
    </row>
    <row r="72" spans="1:8" x14ac:dyDescent="0.3">
      <c r="A72" s="153" t="s">
        <v>2275</v>
      </c>
      <c r="B72" s="153" t="s">
        <v>3604</v>
      </c>
      <c r="C72" s="153" t="s">
        <v>1495</v>
      </c>
      <c r="D72" s="153">
        <v>2800</v>
      </c>
      <c r="E72" s="153">
        <v>2800</v>
      </c>
      <c r="F72" s="153">
        <f t="shared" si="2"/>
        <v>0</v>
      </c>
      <c r="G72" s="153" t="str">
        <f t="shared" si="3"/>
        <v>OK</v>
      </c>
      <c r="H72" s="153" t="b">
        <v>1</v>
      </c>
    </row>
    <row r="73" spans="1:8" x14ac:dyDescent="0.3">
      <c r="A73" s="153" t="s">
        <v>2276</v>
      </c>
      <c r="B73" s="153" t="s">
        <v>3604</v>
      </c>
      <c r="C73" s="153" t="s">
        <v>1497</v>
      </c>
      <c r="D73" s="153">
        <v>71</v>
      </c>
      <c r="E73" s="153">
        <v>71</v>
      </c>
      <c r="F73" s="153">
        <f t="shared" si="2"/>
        <v>0</v>
      </c>
      <c r="G73" s="153" t="str">
        <f t="shared" si="3"/>
        <v>OK</v>
      </c>
      <c r="H73" s="153" t="b">
        <v>1</v>
      </c>
    </row>
    <row r="74" spans="1:8" x14ac:dyDescent="0.3">
      <c r="A74" s="153" t="s">
        <v>2277</v>
      </c>
      <c r="B74" s="153" t="s">
        <v>3604</v>
      </c>
      <c r="C74" s="153" t="s">
        <v>1499</v>
      </c>
      <c r="D74" s="153">
        <v>2840</v>
      </c>
      <c r="E74" s="153">
        <v>2840</v>
      </c>
      <c r="F74" s="153">
        <f t="shared" si="2"/>
        <v>0</v>
      </c>
      <c r="G74" s="153" t="str">
        <f t="shared" si="3"/>
        <v>OK</v>
      </c>
      <c r="H74" s="153" t="b">
        <v>1</v>
      </c>
    </row>
    <row r="75" spans="1:8" x14ac:dyDescent="0.3">
      <c r="A75" s="153" t="s">
        <v>2278</v>
      </c>
      <c r="B75" s="153" t="s">
        <v>3604</v>
      </c>
      <c r="C75" s="153" t="s">
        <v>2255</v>
      </c>
      <c r="D75" s="153">
        <v>0</v>
      </c>
      <c r="E75" s="153">
        <v>0</v>
      </c>
      <c r="F75" s="153">
        <f t="shared" si="2"/>
        <v>0</v>
      </c>
      <c r="G75" s="153" t="str">
        <f t="shared" si="3"/>
        <v>OK</v>
      </c>
      <c r="H75" s="153" t="b">
        <v>1</v>
      </c>
    </row>
    <row r="76" spans="1:8" x14ac:dyDescent="0.3">
      <c r="A76" s="153" t="s">
        <v>2280</v>
      </c>
      <c r="B76" s="153" t="s">
        <v>3604</v>
      </c>
      <c r="C76" s="153" t="s">
        <v>1501</v>
      </c>
      <c r="D76" s="153">
        <v>0</v>
      </c>
      <c r="E76" s="153">
        <v>0</v>
      </c>
      <c r="F76" s="153">
        <f t="shared" si="2"/>
        <v>0</v>
      </c>
      <c r="G76" s="153" t="str">
        <f t="shared" si="3"/>
        <v>OK</v>
      </c>
      <c r="H76" s="153" t="b">
        <v>1</v>
      </c>
    </row>
    <row r="77" spans="1:8" x14ac:dyDescent="0.3">
      <c r="A77" s="153" t="s">
        <v>2281</v>
      </c>
      <c r="B77" s="153" t="s">
        <v>3604</v>
      </c>
      <c r="C77" s="153" t="s">
        <v>1503</v>
      </c>
      <c r="D77" s="153">
        <v>1657.8570370370369</v>
      </c>
      <c r="E77" s="153">
        <v>1657.8570370370369</v>
      </c>
      <c r="F77" s="153">
        <f t="shared" si="2"/>
        <v>0</v>
      </c>
      <c r="G77" s="153" t="str">
        <f t="shared" si="3"/>
        <v>OK</v>
      </c>
      <c r="H77" s="153" t="b">
        <v>1</v>
      </c>
    </row>
    <row r="78" spans="1:8" x14ac:dyDescent="0.3">
      <c r="A78" s="153" t="s">
        <v>2282</v>
      </c>
      <c r="B78" s="153" t="s">
        <v>3604</v>
      </c>
      <c r="C78" s="153" t="s">
        <v>1505</v>
      </c>
      <c r="D78" s="153">
        <v>0</v>
      </c>
      <c r="E78" s="153">
        <v>0</v>
      </c>
      <c r="F78" s="153">
        <f t="shared" si="2"/>
        <v>0</v>
      </c>
      <c r="G78" s="153" t="str">
        <f t="shared" si="3"/>
        <v>OK</v>
      </c>
      <c r="H78" s="153" t="b">
        <v>1</v>
      </c>
    </row>
    <row r="79" spans="1:8" x14ac:dyDescent="0.3">
      <c r="A79" s="153" t="s">
        <v>2283</v>
      </c>
      <c r="B79" s="153" t="s">
        <v>3604</v>
      </c>
      <c r="C79" s="153" t="s">
        <v>1507</v>
      </c>
      <c r="D79" s="153">
        <v>0</v>
      </c>
      <c r="E79" s="153">
        <v>0</v>
      </c>
      <c r="F79" s="153">
        <f t="shared" si="2"/>
        <v>0</v>
      </c>
      <c r="G79" s="153" t="str">
        <f t="shared" si="3"/>
        <v>OK</v>
      </c>
      <c r="H79" s="153" t="b">
        <v>1</v>
      </c>
    </row>
    <row r="80" spans="1:8" x14ac:dyDescent="0.3">
      <c r="A80" s="153" t="s">
        <v>2284</v>
      </c>
      <c r="B80" s="153" t="s">
        <v>3604</v>
      </c>
      <c r="C80" s="153" t="s">
        <v>1509</v>
      </c>
      <c r="D80" s="153">
        <v>10983.20538703704</v>
      </c>
      <c r="E80" s="153">
        <v>10983.20538703704</v>
      </c>
      <c r="F80" s="153">
        <f t="shared" si="2"/>
        <v>0</v>
      </c>
      <c r="G80" s="153" t="str">
        <f t="shared" si="3"/>
        <v>OK</v>
      </c>
      <c r="H80" s="153" t="b">
        <v>1</v>
      </c>
    </row>
    <row r="81" spans="1:8" x14ac:dyDescent="0.3">
      <c r="A81" s="153" t="s">
        <v>2285</v>
      </c>
      <c r="B81" s="153" t="s">
        <v>3604</v>
      </c>
      <c r="C81" s="153" t="s">
        <v>1511</v>
      </c>
      <c r="D81" s="153">
        <v>-8143.2053870370364</v>
      </c>
      <c r="E81" s="153">
        <v>-8143.2053870370364</v>
      </c>
      <c r="F81" s="153">
        <f t="shared" si="2"/>
        <v>0</v>
      </c>
      <c r="G81" s="153" t="str">
        <f t="shared" si="3"/>
        <v>OK</v>
      </c>
      <c r="H81" s="153" t="b">
        <v>1</v>
      </c>
    </row>
    <row r="82" spans="1:8" x14ac:dyDescent="0.3">
      <c r="A82" s="153" t="s">
        <v>2286</v>
      </c>
      <c r="B82" s="153" t="s">
        <v>3604</v>
      </c>
      <c r="C82" s="153" t="s">
        <v>1513</v>
      </c>
      <c r="D82" s="153">
        <v>2</v>
      </c>
      <c r="E82" s="153">
        <v>2</v>
      </c>
      <c r="F82" s="153">
        <f t="shared" si="2"/>
        <v>0</v>
      </c>
      <c r="G82" s="153" t="str">
        <f t="shared" si="3"/>
        <v>OK</v>
      </c>
      <c r="H82" s="153" t="b">
        <v>1</v>
      </c>
    </row>
    <row r="83" spans="1:8" x14ac:dyDescent="0.3">
      <c r="A83" s="153" t="s">
        <v>2287</v>
      </c>
      <c r="B83" s="153" t="s">
        <v>3604</v>
      </c>
      <c r="C83" s="153" t="s">
        <v>1515</v>
      </c>
      <c r="D83" s="153">
        <v>0</v>
      </c>
      <c r="E83" s="153">
        <v>0</v>
      </c>
      <c r="F83" s="153">
        <f t="shared" si="2"/>
        <v>0</v>
      </c>
      <c r="G83" s="153" t="str">
        <f t="shared" si="3"/>
        <v>OK</v>
      </c>
      <c r="H83" s="153" t="b">
        <v>1</v>
      </c>
    </row>
    <row r="84" spans="1:8" x14ac:dyDescent="0.3">
      <c r="A84" s="153" t="s">
        <v>2288</v>
      </c>
      <c r="B84" s="153" t="s">
        <v>3604</v>
      </c>
      <c r="C84" s="153" t="s">
        <v>1517</v>
      </c>
      <c r="D84" s="153">
        <v>557.40000000000009</v>
      </c>
      <c r="E84" s="153">
        <v>557.4</v>
      </c>
      <c r="F84" s="153">
        <f t="shared" si="2"/>
        <v>-1.1368683772161603E-13</v>
      </c>
      <c r="G84" s="153" t="str">
        <f t="shared" si="3"/>
        <v>OK</v>
      </c>
      <c r="H84" s="153" t="b">
        <v>1</v>
      </c>
    </row>
    <row r="85" spans="1:8" x14ac:dyDescent="0.3">
      <c r="A85" s="153" t="s">
        <v>2289</v>
      </c>
      <c r="B85" s="153" t="s">
        <v>3604</v>
      </c>
      <c r="C85" s="153" t="s">
        <v>1519</v>
      </c>
      <c r="D85" s="153">
        <v>0</v>
      </c>
      <c r="E85" s="153">
        <v>0</v>
      </c>
      <c r="F85" s="153">
        <f t="shared" si="2"/>
        <v>0</v>
      </c>
      <c r="G85" s="153" t="str">
        <f t="shared" si="3"/>
        <v>OK</v>
      </c>
      <c r="H85" s="153" t="b">
        <v>1</v>
      </c>
    </row>
    <row r="86" spans="1:8" x14ac:dyDescent="0.3">
      <c r="A86" s="153" t="s">
        <v>2290</v>
      </c>
      <c r="B86" s="153" t="s">
        <v>3604</v>
      </c>
      <c r="C86" s="153" t="s">
        <v>1521</v>
      </c>
      <c r="D86" s="153">
        <v>0</v>
      </c>
      <c r="E86" s="153">
        <v>0</v>
      </c>
      <c r="F86" s="153">
        <f t="shared" si="2"/>
        <v>0</v>
      </c>
      <c r="G86" s="153" t="str">
        <f t="shared" si="3"/>
        <v>OK</v>
      </c>
      <c r="H86" s="153" t="b">
        <v>1</v>
      </c>
    </row>
    <row r="87" spans="1:8" x14ac:dyDescent="0.3">
      <c r="A87" s="153" t="s">
        <v>2291</v>
      </c>
      <c r="B87" s="153" t="s">
        <v>3604</v>
      </c>
      <c r="C87" s="153" t="s">
        <v>1523</v>
      </c>
      <c r="D87" s="153">
        <v>1858</v>
      </c>
      <c r="E87" s="153">
        <v>1858</v>
      </c>
      <c r="F87" s="153">
        <f t="shared" si="2"/>
        <v>0</v>
      </c>
      <c r="G87" s="153" t="str">
        <f t="shared" si="3"/>
        <v>OK</v>
      </c>
      <c r="H87" s="153" t="b">
        <v>1</v>
      </c>
    </row>
    <row r="88" spans="1:8" x14ac:dyDescent="0.3">
      <c r="A88" s="153" t="s">
        <v>2292</v>
      </c>
      <c r="B88" s="153" t="s">
        <v>3604</v>
      </c>
      <c r="C88" s="153" t="s">
        <v>1525</v>
      </c>
      <c r="D88" s="153">
        <v>0</v>
      </c>
      <c r="E88" s="153">
        <v>0</v>
      </c>
      <c r="F88" s="153">
        <f t="shared" si="2"/>
        <v>0</v>
      </c>
      <c r="G88" s="153" t="str">
        <f t="shared" si="3"/>
        <v>OK</v>
      </c>
      <c r="H88" s="153" t="b">
        <v>1</v>
      </c>
    </row>
    <row r="89" spans="1:8" x14ac:dyDescent="0.3">
      <c r="A89" s="153" t="s">
        <v>2293</v>
      </c>
      <c r="B89" s="153" t="s">
        <v>3604</v>
      </c>
      <c r="C89" s="153" t="s">
        <v>1527</v>
      </c>
      <c r="D89" s="153">
        <v>11148</v>
      </c>
      <c r="E89" s="153">
        <v>11148</v>
      </c>
      <c r="F89" s="153">
        <f t="shared" si="2"/>
        <v>0</v>
      </c>
      <c r="G89" s="153" t="str">
        <f t="shared" si="3"/>
        <v>OK</v>
      </c>
      <c r="H89" s="153" t="b">
        <v>1</v>
      </c>
    </row>
    <row r="90" spans="1:8" x14ac:dyDescent="0.3">
      <c r="A90" s="153" t="s">
        <v>2294</v>
      </c>
      <c r="B90" s="153" t="s">
        <v>3604</v>
      </c>
      <c r="C90" s="153" t="s">
        <v>1529</v>
      </c>
      <c r="D90" s="153">
        <v>0</v>
      </c>
      <c r="E90" s="153">
        <v>0</v>
      </c>
      <c r="F90" s="153">
        <f t="shared" si="2"/>
        <v>0</v>
      </c>
      <c r="G90" s="153" t="str">
        <f t="shared" si="3"/>
        <v>OK</v>
      </c>
      <c r="H90" s="153" t="b">
        <v>1</v>
      </c>
    </row>
    <row r="91" spans="1:8" x14ac:dyDescent="0.3">
      <c r="A91" s="153" t="s">
        <v>2295</v>
      </c>
      <c r="B91" s="153" t="s">
        <v>3604</v>
      </c>
      <c r="C91" s="153" t="s">
        <v>1531</v>
      </c>
      <c r="D91" s="153">
        <v>0</v>
      </c>
      <c r="E91" s="153">
        <v>0</v>
      </c>
      <c r="F91" s="153">
        <f t="shared" si="2"/>
        <v>0</v>
      </c>
      <c r="G91" s="153" t="str">
        <f t="shared" si="3"/>
        <v>OK</v>
      </c>
      <c r="H91" s="153" t="b">
        <v>1</v>
      </c>
    </row>
    <row r="92" spans="1:8" x14ac:dyDescent="0.3">
      <c r="A92" s="153" t="s">
        <v>2296</v>
      </c>
      <c r="B92" s="153" t="s">
        <v>3604</v>
      </c>
      <c r="C92" s="153" t="s">
        <v>1533</v>
      </c>
      <c r="D92" s="153" t="b">
        <v>0</v>
      </c>
      <c r="E92" s="153" t="b">
        <v>0</v>
      </c>
      <c r="F92" s="153">
        <f t="shared" si="2"/>
        <v>0</v>
      </c>
      <c r="G92" s="153" t="str">
        <f t="shared" si="3"/>
        <v>OK</v>
      </c>
      <c r="H92" s="153" t="b">
        <v>1</v>
      </c>
    </row>
    <row r="93" spans="1:8" x14ac:dyDescent="0.3">
      <c r="A93" s="153" t="s">
        <v>2297</v>
      </c>
      <c r="B93" s="153" t="s">
        <v>3604</v>
      </c>
      <c r="C93" s="153" t="s">
        <v>1535</v>
      </c>
      <c r="D93" s="153" t="b">
        <v>0</v>
      </c>
      <c r="E93" s="153" t="b">
        <v>0</v>
      </c>
      <c r="F93" s="153">
        <f t="shared" si="2"/>
        <v>0</v>
      </c>
      <c r="G93" s="153" t="str">
        <f t="shared" si="3"/>
        <v>OK</v>
      </c>
      <c r="H93" s="153" t="b">
        <v>1</v>
      </c>
    </row>
    <row r="94" spans="1:8" x14ac:dyDescent="0.3">
      <c r="A94" s="153" t="s">
        <v>2298</v>
      </c>
      <c r="B94" s="153" t="s">
        <v>3604</v>
      </c>
      <c r="C94" s="153" t="s">
        <v>1537</v>
      </c>
      <c r="D94" s="153" t="b">
        <v>1</v>
      </c>
      <c r="E94" s="153" t="b">
        <v>1</v>
      </c>
      <c r="F94" s="153">
        <f t="shared" si="2"/>
        <v>0</v>
      </c>
      <c r="G94" s="153" t="str">
        <f t="shared" si="3"/>
        <v>OK</v>
      </c>
      <c r="H94" s="153" t="b">
        <v>1</v>
      </c>
    </row>
    <row r="95" spans="1:8" x14ac:dyDescent="0.3">
      <c r="A95" s="153" t="s">
        <v>2299</v>
      </c>
      <c r="B95" s="153" t="s">
        <v>3604</v>
      </c>
      <c r="C95" s="153" t="s">
        <v>1539</v>
      </c>
      <c r="D95" s="153" t="b">
        <v>1</v>
      </c>
      <c r="E95" s="153" t="b">
        <v>1</v>
      </c>
      <c r="F95" s="153">
        <f t="shared" si="2"/>
        <v>0</v>
      </c>
      <c r="G95" s="153" t="str">
        <f t="shared" si="3"/>
        <v>OK</v>
      </c>
      <c r="H95" s="153" t="b">
        <v>1</v>
      </c>
    </row>
    <row r="96" spans="1:8" x14ac:dyDescent="0.3">
      <c r="A96" s="153" t="s">
        <v>2300</v>
      </c>
      <c r="B96" s="153" t="s">
        <v>3604</v>
      </c>
      <c r="C96" s="153" t="s">
        <v>1541</v>
      </c>
      <c r="D96" s="153" t="b">
        <v>0</v>
      </c>
      <c r="E96" s="153" t="b">
        <v>0</v>
      </c>
      <c r="F96" s="153">
        <f t="shared" si="2"/>
        <v>0</v>
      </c>
      <c r="G96" s="153" t="str">
        <f t="shared" si="3"/>
        <v>OK</v>
      </c>
      <c r="H96" s="153" t="b">
        <v>1</v>
      </c>
    </row>
    <row r="97" spans="1:8" x14ac:dyDescent="0.3">
      <c r="A97" s="153" t="s">
        <v>2301</v>
      </c>
      <c r="B97" s="153" t="s">
        <v>3604</v>
      </c>
      <c r="C97" s="153" t="s">
        <v>1543</v>
      </c>
      <c r="D97" s="153" t="b">
        <v>1</v>
      </c>
      <c r="E97" s="153" t="b">
        <v>1</v>
      </c>
      <c r="F97" s="153">
        <f t="shared" si="2"/>
        <v>0</v>
      </c>
      <c r="G97" s="153" t="str">
        <f t="shared" si="3"/>
        <v>OK</v>
      </c>
      <c r="H97" s="153" t="b">
        <v>1</v>
      </c>
    </row>
    <row r="98" spans="1:8" x14ac:dyDescent="0.3">
      <c r="A98" s="153" t="s">
        <v>2302</v>
      </c>
      <c r="B98" s="153" t="s">
        <v>3604</v>
      </c>
      <c r="C98" s="153" t="s">
        <v>1545</v>
      </c>
      <c r="D98" s="153" t="b">
        <v>0</v>
      </c>
      <c r="E98" s="153" t="b">
        <v>0</v>
      </c>
      <c r="F98" s="153">
        <f t="shared" si="2"/>
        <v>0</v>
      </c>
      <c r="G98" s="153" t="str">
        <f t="shared" si="3"/>
        <v>OK</v>
      </c>
      <c r="H98" s="153" t="b">
        <v>1</v>
      </c>
    </row>
    <row r="99" spans="1:8" x14ac:dyDescent="0.3">
      <c r="A99" s="153" t="s">
        <v>2303</v>
      </c>
      <c r="B99" s="153" t="s">
        <v>3604</v>
      </c>
      <c r="C99" s="153" t="s">
        <v>1547</v>
      </c>
      <c r="D99" s="153" t="b">
        <v>1</v>
      </c>
      <c r="E99" s="153" t="b">
        <v>1</v>
      </c>
      <c r="F99" s="153">
        <f t="shared" si="2"/>
        <v>0</v>
      </c>
      <c r="G99" s="153" t="str">
        <f t="shared" si="3"/>
        <v>OK</v>
      </c>
      <c r="H99" s="153" t="b">
        <v>1</v>
      </c>
    </row>
    <row r="100" spans="1:8" x14ac:dyDescent="0.3">
      <c r="A100" s="153" t="s">
        <v>2304</v>
      </c>
      <c r="B100" s="153" t="s">
        <v>3604</v>
      </c>
      <c r="C100" s="153" t="s">
        <v>1549</v>
      </c>
      <c r="D100" s="153">
        <v>0</v>
      </c>
      <c r="E100" s="153">
        <v>0</v>
      </c>
      <c r="F100" s="153">
        <f t="shared" si="2"/>
        <v>0</v>
      </c>
      <c r="G100" s="153" t="str">
        <f t="shared" si="3"/>
        <v>OK</v>
      </c>
      <c r="H100" s="153" t="b">
        <v>1</v>
      </c>
    </row>
    <row r="101" spans="1:8" x14ac:dyDescent="0.3">
      <c r="A101" s="153" t="s">
        <v>2305</v>
      </c>
      <c r="B101" s="153" t="s">
        <v>3604</v>
      </c>
      <c r="C101" s="153" t="s">
        <v>1551</v>
      </c>
      <c r="D101" s="153">
        <v>23</v>
      </c>
      <c r="E101" s="153">
        <v>23</v>
      </c>
      <c r="F101" s="153">
        <f t="shared" si="2"/>
        <v>0</v>
      </c>
      <c r="G101" s="153" t="str">
        <f t="shared" si="3"/>
        <v>OK</v>
      </c>
      <c r="H101" s="153" t="b">
        <v>1</v>
      </c>
    </row>
    <row r="102" spans="1:8" x14ac:dyDescent="0.3">
      <c r="A102" s="153" t="s">
        <v>2306</v>
      </c>
      <c r="B102" s="153" t="s">
        <v>3604</v>
      </c>
      <c r="C102" s="153" t="s">
        <v>1553</v>
      </c>
      <c r="D102" s="153">
        <v>5000</v>
      </c>
      <c r="E102" s="153">
        <v>5000</v>
      </c>
      <c r="F102" s="153">
        <f t="shared" si="2"/>
        <v>0</v>
      </c>
      <c r="G102" s="153" t="str">
        <f t="shared" si="3"/>
        <v>OK</v>
      </c>
      <c r="H102" s="153" t="b">
        <v>1</v>
      </c>
    </row>
    <row r="103" spans="1:8" x14ac:dyDescent="0.3">
      <c r="A103" s="153" t="s">
        <v>2307</v>
      </c>
      <c r="B103" s="153" t="s">
        <v>3604</v>
      </c>
      <c r="C103" s="153" t="s">
        <v>1555</v>
      </c>
      <c r="D103" s="153">
        <v>3</v>
      </c>
      <c r="E103" s="153">
        <v>3</v>
      </c>
      <c r="F103" s="153">
        <f t="shared" si="2"/>
        <v>0</v>
      </c>
      <c r="G103" s="153" t="str">
        <f t="shared" si="3"/>
        <v>OK</v>
      </c>
      <c r="H103" s="153" t="b">
        <v>1</v>
      </c>
    </row>
    <row r="104" spans="1:8" x14ac:dyDescent="0.3">
      <c r="A104" s="153" t="s">
        <v>2360</v>
      </c>
      <c r="B104" s="153" t="s">
        <v>3604</v>
      </c>
      <c r="C104" s="153" t="s">
        <v>1557</v>
      </c>
      <c r="D104" s="153">
        <v>4</v>
      </c>
      <c r="E104" s="153">
        <v>4</v>
      </c>
      <c r="F104" s="153">
        <f t="shared" si="2"/>
        <v>0</v>
      </c>
      <c r="G104" s="153" t="str">
        <f t="shared" si="3"/>
        <v>OK</v>
      </c>
      <c r="H104" s="153" t="b">
        <v>1</v>
      </c>
    </row>
    <row r="105" spans="1:8" x14ac:dyDescent="0.3">
      <c r="A105" s="153" t="s">
        <v>2362</v>
      </c>
      <c r="B105" s="153" t="s">
        <v>3604</v>
      </c>
      <c r="C105" s="153" t="s">
        <v>1559</v>
      </c>
      <c r="D105" s="153">
        <v>-4</v>
      </c>
      <c r="E105" s="153">
        <v>-4</v>
      </c>
      <c r="F105" s="153">
        <f t="shared" si="2"/>
        <v>0</v>
      </c>
      <c r="G105" s="153" t="str">
        <f t="shared" si="3"/>
        <v>OK</v>
      </c>
      <c r="H105" s="153" t="b">
        <v>1</v>
      </c>
    </row>
    <row r="106" spans="1:8" x14ac:dyDescent="0.3">
      <c r="A106" s="153" t="s">
        <v>2364</v>
      </c>
      <c r="B106" s="153" t="s">
        <v>3604</v>
      </c>
      <c r="C106" s="153" t="s">
        <v>1561</v>
      </c>
      <c r="D106" s="153">
        <v>-1</v>
      </c>
      <c r="E106" s="153">
        <v>-1</v>
      </c>
      <c r="F106" s="153">
        <f t="shared" si="2"/>
        <v>0</v>
      </c>
      <c r="G106" s="153" t="str">
        <f t="shared" si="3"/>
        <v>OK</v>
      </c>
      <c r="H106" s="153" t="b">
        <v>1</v>
      </c>
    </row>
    <row r="107" spans="1:8" x14ac:dyDescent="0.3">
      <c r="A107" s="153" t="s">
        <v>2366</v>
      </c>
      <c r="B107" s="153" t="s">
        <v>3604</v>
      </c>
      <c r="C107" s="153" t="s">
        <v>1563</v>
      </c>
      <c r="D107" s="153">
        <v>8</v>
      </c>
      <c r="E107" s="153">
        <v>8</v>
      </c>
      <c r="F107" s="153">
        <f t="shared" si="2"/>
        <v>0</v>
      </c>
      <c r="G107" s="153" t="str">
        <f t="shared" si="3"/>
        <v>OK</v>
      </c>
      <c r="H107" s="153" t="b">
        <v>1</v>
      </c>
    </row>
    <row r="108" spans="1:8" x14ac:dyDescent="0.3">
      <c r="A108" s="153" t="s">
        <v>2368</v>
      </c>
      <c r="B108" s="153" t="s">
        <v>3604</v>
      </c>
      <c r="C108" s="153" t="s">
        <v>1565</v>
      </c>
      <c r="D108" s="153">
        <v>5</v>
      </c>
      <c r="E108" s="153">
        <v>5</v>
      </c>
      <c r="F108" s="153">
        <f t="shared" si="2"/>
        <v>0</v>
      </c>
      <c r="G108" s="153" t="str">
        <f t="shared" si="3"/>
        <v>OK</v>
      </c>
      <c r="H108" s="153" t="b">
        <v>1</v>
      </c>
    </row>
    <row r="109" spans="1:8" x14ac:dyDescent="0.3">
      <c r="A109" s="153" t="s">
        <v>2370</v>
      </c>
      <c r="B109" s="153" t="s">
        <v>3604</v>
      </c>
      <c r="C109" s="153" t="s">
        <v>1567</v>
      </c>
      <c r="D109" s="153">
        <v>120</v>
      </c>
      <c r="E109" s="153">
        <v>120</v>
      </c>
      <c r="F109" s="153">
        <f t="shared" si="2"/>
        <v>0</v>
      </c>
      <c r="G109" s="153" t="str">
        <f t="shared" si="3"/>
        <v>OK</v>
      </c>
      <c r="H109" s="153" t="b">
        <v>1</v>
      </c>
    </row>
    <row r="110" spans="1:8" x14ac:dyDescent="0.3">
      <c r="A110" s="153" t="s">
        <v>2372</v>
      </c>
      <c r="B110" s="153" t="s">
        <v>3604</v>
      </c>
      <c r="C110" s="153" t="s">
        <v>1569</v>
      </c>
      <c r="D110" s="153">
        <v>0.9</v>
      </c>
      <c r="E110" s="153">
        <v>0.9</v>
      </c>
      <c r="F110" s="153">
        <f t="shared" si="2"/>
        <v>0</v>
      </c>
      <c r="G110" s="153" t="str">
        <f t="shared" si="3"/>
        <v>OK</v>
      </c>
      <c r="H110" s="153" t="b">
        <v>1</v>
      </c>
    </row>
    <row r="111" spans="1:8" x14ac:dyDescent="0.3">
      <c r="A111" s="153" t="s">
        <v>2374</v>
      </c>
      <c r="B111" s="153" t="s">
        <v>3604</v>
      </c>
      <c r="C111" s="153" t="s">
        <v>1571</v>
      </c>
      <c r="D111" s="153">
        <v>108</v>
      </c>
      <c r="E111" s="153">
        <v>108</v>
      </c>
      <c r="F111" s="153">
        <f t="shared" si="2"/>
        <v>0</v>
      </c>
      <c r="G111" s="153" t="str">
        <f t="shared" si="3"/>
        <v>OK</v>
      </c>
      <c r="H111" s="153" t="b">
        <v>1</v>
      </c>
    </row>
    <row r="112" spans="1:8" x14ac:dyDescent="0.3">
      <c r="A112" s="153" t="s">
        <v>2376</v>
      </c>
      <c r="B112" s="153" t="s">
        <v>3604</v>
      </c>
      <c r="C112" s="153" t="s">
        <v>1573</v>
      </c>
      <c r="D112" s="153">
        <v>71</v>
      </c>
      <c r="E112" s="153">
        <v>71</v>
      </c>
      <c r="F112" s="153">
        <f t="shared" si="2"/>
        <v>0</v>
      </c>
      <c r="G112" s="153" t="str">
        <f t="shared" si="3"/>
        <v>OK</v>
      </c>
      <c r="H112" s="153" t="b">
        <v>1</v>
      </c>
    </row>
    <row r="113" spans="1:8" x14ac:dyDescent="0.3">
      <c r="A113" s="153" t="s">
        <v>2378</v>
      </c>
      <c r="B113" s="153" t="s">
        <v>3604</v>
      </c>
      <c r="C113" s="153" t="s">
        <v>1575</v>
      </c>
      <c r="D113" s="153">
        <v>21.3</v>
      </c>
      <c r="E113" s="153">
        <v>21.3</v>
      </c>
      <c r="F113" s="153">
        <f t="shared" si="2"/>
        <v>0</v>
      </c>
      <c r="G113" s="153" t="str">
        <f t="shared" si="3"/>
        <v>OK</v>
      </c>
      <c r="H113" s="153" t="b">
        <v>1</v>
      </c>
    </row>
    <row r="114" spans="1:8" x14ac:dyDescent="0.3">
      <c r="A114" s="153" t="s">
        <v>2380</v>
      </c>
      <c r="B114" s="153" t="s">
        <v>3604</v>
      </c>
      <c r="C114" s="153" t="s">
        <v>1577</v>
      </c>
      <c r="D114" s="153">
        <v>71</v>
      </c>
      <c r="E114" s="153">
        <v>71</v>
      </c>
      <c r="F114" s="153">
        <f t="shared" si="2"/>
        <v>0</v>
      </c>
      <c r="G114" s="153" t="str">
        <f t="shared" si="3"/>
        <v>OK</v>
      </c>
      <c r="H114" s="153" t="b">
        <v>1</v>
      </c>
    </row>
    <row r="115" spans="1:8" x14ac:dyDescent="0.3">
      <c r="A115" s="153" t="s">
        <v>2382</v>
      </c>
      <c r="B115" s="153" t="s">
        <v>3604</v>
      </c>
      <c r="C115" s="153" t="s">
        <v>1579</v>
      </c>
      <c r="D115" s="153">
        <v>426</v>
      </c>
      <c r="E115" s="153">
        <v>426</v>
      </c>
      <c r="F115" s="153">
        <f t="shared" si="2"/>
        <v>0</v>
      </c>
      <c r="G115" s="153" t="str">
        <f t="shared" si="3"/>
        <v>OK</v>
      </c>
      <c r="H115" s="153" t="b">
        <v>1</v>
      </c>
    </row>
    <row r="116" spans="1:8" x14ac:dyDescent="0.3">
      <c r="A116" s="153" t="s">
        <v>2384</v>
      </c>
      <c r="B116" s="153" t="s">
        <v>3604</v>
      </c>
      <c r="C116" s="153" t="s">
        <v>1581</v>
      </c>
      <c r="D116" s="153">
        <v>7784.7199999999993</v>
      </c>
      <c r="E116" s="153">
        <v>7784.7199999999993</v>
      </c>
      <c r="F116" s="153">
        <f t="shared" si="2"/>
        <v>0</v>
      </c>
      <c r="G116" s="153" t="str">
        <f t="shared" si="3"/>
        <v>OK</v>
      </c>
      <c r="H116" s="153" t="b">
        <v>1</v>
      </c>
    </row>
    <row r="117" spans="1:8" x14ac:dyDescent="0.3">
      <c r="A117" s="153" t="s">
        <v>2386</v>
      </c>
      <c r="B117" s="153" t="s">
        <v>3604</v>
      </c>
      <c r="C117" s="153" t="s">
        <v>1583</v>
      </c>
      <c r="D117" s="153">
        <v>1504.3196</v>
      </c>
      <c r="E117" s="153">
        <v>1504.3196</v>
      </c>
      <c r="F117" s="153">
        <f t="shared" si="2"/>
        <v>0</v>
      </c>
      <c r="G117" s="153" t="str">
        <f t="shared" si="3"/>
        <v>OK</v>
      </c>
      <c r="H117" s="153" t="b">
        <v>1</v>
      </c>
    </row>
    <row r="118" spans="1:8" x14ac:dyDescent="0.3">
      <c r="A118" s="153" t="s">
        <v>2388</v>
      </c>
      <c r="B118" s="153" t="s">
        <v>3604</v>
      </c>
      <c r="C118" s="153" t="s">
        <v>1585</v>
      </c>
      <c r="D118" s="153">
        <v>31.25</v>
      </c>
      <c r="E118" s="153">
        <v>31.25</v>
      </c>
      <c r="F118" s="153">
        <f t="shared" si="2"/>
        <v>0</v>
      </c>
      <c r="G118" s="153" t="str">
        <f t="shared" si="3"/>
        <v>OK</v>
      </c>
      <c r="H118" s="153" t="b">
        <v>1</v>
      </c>
    </row>
    <row r="119" spans="1:8" x14ac:dyDescent="0.3">
      <c r="A119" s="153" t="s">
        <v>2390</v>
      </c>
      <c r="B119" s="153" t="s">
        <v>3604</v>
      </c>
      <c r="C119" s="153" t="s">
        <v>1587</v>
      </c>
      <c r="D119" s="153">
        <v>5.0587499999999999</v>
      </c>
      <c r="E119" s="153">
        <v>5.0587499999999999</v>
      </c>
      <c r="F119" s="153">
        <f t="shared" si="2"/>
        <v>0</v>
      </c>
      <c r="G119" s="153" t="str">
        <f t="shared" si="3"/>
        <v>OK</v>
      </c>
      <c r="H119" s="153" t="b">
        <v>1</v>
      </c>
    </row>
    <row r="120" spans="1:8" x14ac:dyDescent="0.3">
      <c r="A120" s="153" t="s">
        <v>2392</v>
      </c>
      <c r="B120" s="153" t="s">
        <v>3604</v>
      </c>
      <c r="C120" s="153" t="s">
        <v>1589</v>
      </c>
      <c r="D120" s="153">
        <v>0</v>
      </c>
      <c r="E120" s="153">
        <v>0</v>
      </c>
      <c r="F120" s="153">
        <f t="shared" si="2"/>
        <v>0</v>
      </c>
      <c r="G120" s="153" t="str">
        <f t="shared" si="3"/>
        <v>OK</v>
      </c>
      <c r="H120" s="153" t="b">
        <v>1</v>
      </c>
    </row>
    <row r="121" spans="1:8" x14ac:dyDescent="0.3">
      <c r="A121" s="153" t="s">
        <v>2394</v>
      </c>
      <c r="B121" s="153" t="s">
        <v>3604</v>
      </c>
      <c r="C121" s="153" t="s">
        <v>1591</v>
      </c>
      <c r="D121" s="153">
        <v>0</v>
      </c>
      <c r="E121" s="153">
        <v>0</v>
      </c>
      <c r="F121" s="153">
        <f t="shared" si="2"/>
        <v>0</v>
      </c>
      <c r="G121" s="153" t="str">
        <f t="shared" si="3"/>
        <v>OK</v>
      </c>
      <c r="H121" s="153" t="b">
        <v>1</v>
      </c>
    </row>
    <row r="122" spans="1:8" x14ac:dyDescent="0.3">
      <c r="A122" s="153" t="s">
        <v>2396</v>
      </c>
      <c r="B122" s="153" t="s">
        <v>3604</v>
      </c>
      <c r="C122" s="153" t="s">
        <v>1595</v>
      </c>
      <c r="D122" s="153">
        <v>3500</v>
      </c>
      <c r="E122" s="153">
        <v>3500</v>
      </c>
      <c r="F122" s="153">
        <f t="shared" si="2"/>
        <v>0</v>
      </c>
      <c r="G122" s="153" t="str">
        <f t="shared" si="3"/>
        <v>OK</v>
      </c>
      <c r="H122" s="153" t="b">
        <v>1</v>
      </c>
    </row>
    <row r="123" spans="1:8" x14ac:dyDescent="0.3">
      <c r="A123" s="153" t="s">
        <v>2398</v>
      </c>
      <c r="B123" s="153" t="s">
        <v>3604</v>
      </c>
      <c r="C123" s="153" t="s">
        <v>1597</v>
      </c>
      <c r="D123" s="153">
        <v>2800</v>
      </c>
      <c r="E123" s="153">
        <v>2800</v>
      </c>
      <c r="F123" s="153">
        <f t="shared" si="2"/>
        <v>0</v>
      </c>
      <c r="G123" s="153" t="str">
        <f t="shared" si="3"/>
        <v>OK</v>
      </c>
      <c r="H123" s="153" t="b">
        <v>1</v>
      </c>
    </row>
    <row r="124" spans="1:8" x14ac:dyDescent="0.3">
      <c r="A124" s="153" t="s">
        <v>2400</v>
      </c>
      <c r="B124" s="153" t="s">
        <v>3604</v>
      </c>
      <c r="C124" s="153" t="s">
        <v>1599</v>
      </c>
      <c r="D124" s="153">
        <v>71</v>
      </c>
      <c r="E124" s="153">
        <v>71</v>
      </c>
      <c r="F124" s="153">
        <f t="shared" si="2"/>
        <v>0</v>
      </c>
      <c r="G124" s="153" t="str">
        <f t="shared" si="3"/>
        <v>OK</v>
      </c>
      <c r="H124" s="153" t="b">
        <v>1</v>
      </c>
    </row>
    <row r="125" spans="1:8" x14ac:dyDescent="0.3">
      <c r="A125" s="153" t="s">
        <v>2402</v>
      </c>
      <c r="B125" s="153" t="s">
        <v>3604</v>
      </c>
      <c r="C125" s="153" t="s">
        <v>1601</v>
      </c>
      <c r="D125" s="153">
        <v>2840</v>
      </c>
      <c r="E125" s="153">
        <v>2840</v>
      </c>
      <c r="F125" s="153">
        <f t="shared" si="2"/>
        <v>0</v>
      </c>
      <c r="G125" s="153" t="str">
        <f t="shared" si="3"/>
        <v>OK</v>
      </c>
      <c r="H125" s="153" t="b">
        <v>1</v>
      </c>
    </row>
    <row r="126" spans="1:8" x14ac:dyDescent="0.3">
      <c r="A126" s="153" t="s">
        <v>2404</v>
      </c>
      <c r="B126" s="153" t="s">
        <v>3604</v>
      </c>
      <c r="C126" s="153" t="s">
        <v>2279</v>
      </c>
      <c r="D126" s="153">
        <v>0</v>
      </c>
      <c r="E126" s="153">
        <v>0</v>
      </c>
      <c r="F126" s="153">
        <f t="shared" si="2"/>
        <v>0</v>
      </c>
      <c r="G126" s="153" t="str">
        <f t="shared" si="3"/>
        <v>OK</v>
      </c>
      <c r="H126" s="153" t="b">
        <v>1</v>
      </c>
    </row>
    <row r="127" spans="1:8" x14ac:dyDescent="0.3">
      <c r="A127" s="153" t="s">
        <v>2406</v>
      </c>
      <c r="B127" s="153" t="s">
        <v>3604</v>
      </c>
      <c r="C127" s="153" t="s">
        <v>1603</v>
      </c>
      <c r="D127" s="153">
        <v>0</v>
      </c>
      <c r="E127" s="153">
        <v>0</v>
      </c>
      <c r="F127" s="153">
        <f t="shared" si="2"/>
        <v>0</v>
      </c>
      <c r="G127" s="153" t="str">
        <f t="shared" si="3"/>
        <v>OK</v>
      </c>
      <c r="H127" s="153" t="b">
        <v>1</v>
      </c>
    </row>
    <row r="128" spans="1:8" x14ac:dyDescent="0.3">
      <c r="A128" s="153" t="s">
        <v>2408</v>
      </c>
      <c r="B128" s="153" t="s">
        <v>3604</v>
      </c>
      <c r="C128" s="153" t="s">
        <v>1605</v>
      </c>
      <c r="D128" s="153">
        <v>1657.8570370370369</v>
      </c>
      <c r="E128" s="153">
        <v>1657.8570370370369</v>
      </c>
      <c r="F128" s="153">
        <f t="shared" si="2"/>
        <v>0</v>
      </c>
      <c r="G128" s="153" t="str">
        <f t="shared" si="3"/>
        <v>OK</v>
      </c>
      <c r="H128" s="153" t="b">
        <v>1</v>
      </c>
    </row>
    <row r="129" spans="1:8" x14ac:dyDescent="0.3">
      <c r="A129" s="153" t="s">
        <v>2410</v>
      </c>
      <c r="B129" s="153" t="s">
        <v>3604</v>
      </c>
      <c r="C129" s="153" t="s">
        <v>1607</v>
      </c>
      <c r="D129" s="153">
        <v>0</v>
      </c>
      <c r="E129" s="153">
        <v>0</v>
      </c>
      <c r="F129" s="153">
        <f t="shared" si="2"/>
        <v>0</v>
      </c>
      <c r="G129" s="153" t="str">
        <f t="shared" si="3"/>
        <v>OK</v>
      </c>
      <c r="H129" s="153" t="b">
        <v>1</v>
      </c>
    </row>
    <row r="130" spans="1:8" x14ac:dyDescent="0.3">
      <c r="A130" s="153" t="s">
        <v>2412</v>
      </c>
      <c r="B130" s="153" t="s">
        <v>3604</v>
      </c>
      <c r="C130" s="153" t="s">
        <v>1609</v>
      </c>
      <c r="D130" s="153">
        <v>0</v>
      </c>
      <c r="E130" s="153">
        <v>0</v>
      </c>
      <c r="F130" s="153">
        <f t="shared" ref="F130:F193" si="4">IF(NOT(H130),"",IF(AND(ISNUMBER(D130),ISNUMBER(E130)),E130-D130,IF(D130=E130,0,1)))</f>
        <v>0</v>
      </c>
      <c r="G130" s="153" t="str">
        <f t="shared" ref="G130:G193" si="5">IF(NOT(H130),"PENDIENTE SIDE",IF(IF(AND(ISNUMBER(D130),ISNUMBER(E130)),IF(MOD(D130,1)=0,D130=E130,ABS(D130-E130)&lt;=0.000000001*MAX(1,ABS(D130),ABS(E130))),D130=E130),"OK","DIFERENCIA"))</f>
        <v>OK</v>
      </c>
      <c r="H130" s="153" t="b">
        <v>1</v>
      </c>
    </row>
    <row r="131" spans="1:8" x14ac:dyDescent="0.3">
      <c r="A131" s="153" t="s">
        <v>2414</v>
      </c>
      <c r="B131" s="153" t="s">
        <v>3604</v>
      </c>
      <c r="C131" s="153" t="s">
        <v>1611</v>
      </c>
      <c r="D131" s="153">
        <v>10983.20538703704</v>
      </c>
      <c r="E131" s="153">
        <v>10983.20538703704</v>
      </c>
      <c r="F131" s="153">
        <f t="shared" si="4"/>
        <v>0</v>
      </c>
      <c r="G131" s="153" t="str">
        <f t="shared" si="5"/>
        <v>OK</v>
      </c>
      <c r="H131" s="153" t="b">
        <v>1</v>
      </c>
    </row>
    <row r="132" spans="1:8" x14ac:dyDescent="0.3">
      <c r="A132" s="153" t="s">
        <v>2416</v>
      </c>
      <c r="B132" s="153" t="s">
        <v>3604</v>
      </c>
      <c r="C132" s="153" t="s">
        <v>1613</v>
      </c>
      <c r="D132" s="153">
        <v>-8143.2053870370364</v>
      </c>
      <c r="E132" s="153">
        <v>-8143.2053870370364</v>
      </c>
      <c r="F132" s="153">
        <f t="shared" si="4"/>
        <v>0</v>
      </c>
      <c r="G132" s="153" t="str">
        <f t="shared" si="5"/>
        <v>OK</v>
      </c>
      <c r="H132" s="153" t="b">
        <v>1</v>
      </c>
    </row>
    <row r="133" spans="1:8" x14ac:dyDescent="0.3">
      <c r="A133" s="153" t="s">
        <v>2418</v>
      </c>
      <c r="B133" s="153" t="s">
        <v>3604</v>
      </c>
      <c r="C133" s="153" t="s">
        <v>1615</v>
      </c>
      <c r="D133" s="153">
        <v>3</v>
      </c>
      <c r="E133" s="153">
        <v>3</v>
      </c>
      <c r="F133" s="153">
        <f t="shared" si="4"/>
        <v>0</v>
      </c>
      <c r="G133" s="153" t="str">
        <f t="shared" si="5"/>
        <v>OK</v>
      </c>
      <c r="H133" s="153" t="b">
        <v>1</v>
      </c>
    </row>
    <row r="134" spans="1:8" x14ac:dyDescent="0.3">
      <c r="A134" s="153" t="s">
        <v>2420</v>
      </c>
      <c r="B134" s="153" t="s">
        <v>3604</v>
      </c>
      <c r="C134" s="153" t="s">
        <v>1617</v>
      </c>
      <c r="D134" s="153">
        <v>0</v>
      </c>
      <c r="E134" s="153">
        <v>0</v>
      </c>
      <c r="F134" s="153">
        <f t="shared" si="4"/>
        <v>0</v>
      </c>
      <c r="G134" s="153" t="str">
        <f t="shared" si="5"/>
        <v>OK</v>
      </c>
      <c r="H134" s="153" t="b">
        <v>1</v>
      </c>
    </row>
    <row r="135" spans="1:8" x14ac:dyDescent="0.3">
      <c r="A135" s="153" t="s">
        <v>2422</v>
      </c>
      <c r="B135" s="153" t="s">
        <v>3604</v>
      </c>
      <c r="C135" s="153" t="s">
        <v>1619</v>
      </c>
      <c r="D135" s="153">
        <v>836.10000000000014</v>
      </c>
      <c r="E135" s="153">
        <v>836.1</v>
      </c>
      <c r="F135" s="153">
        <f t="shared" si="4"/>
        <v>-1.1368683772161603E-13</v>
      </c>
      <c r="G135" s="153" t="str">
        <f t="shared" si="5"/>
        <v>OK</v>
      </c>
      <c r="H135" s="153" t="b">
        <v>1</v>
      </c>
    </row>
    <row r="136" spans="1:8" x14ac:dyDescent="0.3">
      <c r="A136" s="153" t="s">
        <v>2424</v>
      </c>
      <c r="B136" s="153" t="s">
        <v>3604</v>
      </c>
      <c r="C136" s="153" t="s">
        <v>1621</v>
      </c>
      <c r="D136" s="153">
        <v>0</v>
      </c>
      <c r="E136" s="153">
        <v>0</v>
      </c>
      <c r="F136" s="153">
        <f t="shared" si="4"/>
        <v>0</v>
      </c>
      <c r="G136" s="153" t="str">
        <f t="shared" si="5"/>
        <v>OK</v>
      </c>
      <c r="H136" s="153" t="b">
        <v>1</v>
      </c>
    </row>
    <row r="137" spans="1:8" x14ac:dyDescent="0.3">
      <c r="A137" s="153" t="s">
        <v>2426</v>
      </c>
      <c r="B137" s="153" t="s">
        <v>3604</v>
      </c>
      <c r="C137" s="153" t="s">
        <v>1623</v>
      </c>
      <c r="D137" s="153">
        <v>0</v>
      </c>
      <c r="E137" s="153">
        <v>0</v>
      </c>
      <c r="F137" s="153">
        <f t="shared" si="4"/>
        <v>0</v>
      </c>
      <c r="G137" s="153" t="str">
        <f t="shared" si="5"/>
        <v>OK</v>
      </c>
      <c r="H137" s="153" t="b">
        <v>1</v>
      </c>
    </row>
    <row r="138" spans="1:8" x14ac:dyDescent="0.3">
      <c r="A138" s="153" t="s">
        <v>2428</v>
      </c>
      <c r="B138" s="153" t="s">
        <v>3604</v>
      </c>
      <c r="C138" s="153" t="s">
        <v>1625</v>
      </c>
      <c r="D138" s="153">
        <v>2787</v>
      </c>
      <c r="E138" s="153">
        <v>2787</v>
      </c>
      <c r="F138" s="153">
        <f t="shared" si="4"/>
        <v>0</v>
      </c>
      <c r="G138" s="153" t="str">
        <f t="shared" si="5"/>
        <v>OK</v>
      </c>
      <c r="H138" s="153" t="b">
        <v>1</v>
      </c>
    </row>
    <row r="139" spans="1:8" x14ac:dyDescent="0.3">
      <c r="A139" s="153" t="s">
        <v>2430</v>
      </c>
      <c r="B139" s="153" t="s">
        <v>3604</v>
      </c>
      <c r="C139" s="153" t="s">
        <v>1627</v>
      </c>
      <c r="D139" s="153">
        <v>0</v>
      </c>
      <c r="E139" s="153">
        <v>0</v>
      </c>
      <c r="F139" s="153">
        <f t="shared" si="4"/>
        <v>0</v>
      </c>
      <c r="G139" s="153" t="str">
        <f t="shared" si="5"/>
        <v>OK</v>
      </c>
      <c r="H139" s="153" t="b">
        <v>1</v>
      </c>
    </row>
    <row r="140" spans="1:8" x14ac:dyDescent="0.3">
      <c r="A140" s="153" t="s">
        <v>2432</v>
      </c>
      <c r="B140" s="153" t="s">
        <v>3604</v>
      </c>
      <c r="C140" s="153" t="s">
        <v>1629</v>
      </c>
      <c r="D140" s="153">
        <v>16722</v>
      </c>
      <c r="E140" s="153">
        <v>16722</v>
      </c>
      <c r="F140" s="153">
        <f t="shared" si="4"/>
        <v>0</v>
      </c>
      <c r="G140" s="153" t="str">
        <f t="shared" si="5"/>
        <v>OK</v>
      </c>
      <c r="H140" s="153" t="b">
        <v>1</v>
      </c>
    </row>
    <row r="141" spans="1:8" x14ac:dyDescent="0.3">
      <c r="A141" s="153" t="s">
        <v>2434</v>
      </c>
      <c r="B141" s="153" t="s">
        <v>3604</v>
      </c>
      <c r="C141" s="153" t="s">
        <v>1631</v>
      </c>
      <c r="D141" s="153">
        <v>0</v>
      </c>
      <c r="E141" s="153">
        <v>0</v>
      </c>
      <c r="F141" s="153">
        <f t="shared" si="4"/>
        <v>0</v>
      </c>
      <c r="G141" s="153" t="str">
        <f t="shared" si="5"/>
        <v>OK</v>
      </c>
      <c r="H141" s="153" t="b">
        <v>1</v>
      </c>
    </row>
    <row r="142" spans="1:8" x14ac:dyDescent="0.3">
      <c r="A142" s="153" t="s">
        <v>2436</v>
      </c>
      <c r="B142" s="153" t="s">
        <v>3604</v>
      </c>
      <c r="C142" s="153" t="s">
        <v>1633</v>
      </c>
      <c r="D142" s="153">
        <v>0</v>
      </c>
      <c r="E142" s="153">
        <v>0</v>
      </c>
      <c r="F142" s="153">
        <f t="shared" si="4"/>
        <v>0</v>
      </c>
      <c r="G142" s="153" t="str">
        <f t="shared" si="5"/>
        <v>OK</v>
      </c>
      <c r="H142" s="153" t="b">
        <v>1</v>
      </c>
    </row>
    <row r="143" spans="1:8" x14ac:dyDescent="0.3">
      <c r="A143" s="153" t="s">
        <v>2438</v>
      </c>
      <c r="B143" s="153" t="s">
        <v>3604</v>
      </c>
      <c r="C143" s="153" t="s">
        <v>1635</v>
      </c>
      <c r="D143" s="153" t="b">
        <v>0</v>
      </c>
      <c r="E143" s="153" t="b">
        <v>0</v>
      </c>
      <c r="F143" s="153">
        <f t="shared" si="4"/>
        <v>0</v>
      </c>
      <c r="G143" s="153" t="str">
        <f t="shared" si="5"/>
        <v>OK</v>
      </c>
      <c r="H143" s="153" t="b">
        <v>1</v>
      </c>
    </row>
    <row r="144" spans="1:8" x14ac:dyDescent="0.3">
      <c r="A144" s="153" t="s">
        <v>2440</v>
      </c>
      <c r="B144" s="153" t="s">
        <v>3604</v>
      </c>
      <c r="C144" s="153" t="s">
        <v>1637</v>
      </c>
      <c r="D144" s="153" t="b">
        <v>0</v>
      </c>
      <c r="E144" s="153" t="b">
        <v>0</v>
      </c>
      <c r="F144" s="153">
        <f t="shared" si="4"/>
        <v>0</v>
      </c>
      <c r="G144" s="153" t="str">
        <f t="shared" si="5"/>
        <v>OK</v>
      </c>
      <c r="H144" s="153" t="b">
        <v>1</v>
      </c>
    </row>
    <row r="145" spans="1:8" x14ac:dyDescent="0.3">
      <c r="A145" s="153" t="s">
        <v>2442</v>
      </c>
      <c r="B145" s="153" t="s">
        <v>3604</v>
      </c>
      <c r="C145" s="153" t="s">
        <v>1639</v>
      </c>
      <c r="D145" s="153" t="b">
        <v>1</v>
      </c>
      <c r="E145" s="153" t="b">
        <v>1</v>
      </c>
      <c r="F145" s="153">
        <f t="shared" si="4"/>
        <v>0</v>
      </c>
      <c r="G145" s="153" t="str">
        <f t="shared" si="5"/>
        <v>OK</v>
      </c>
      <c r="H145" s="153" t="b">
        <v>1</v>
      </c>
    </row>
    <row r="146" spans="1:8" x14ac:dyDescent="0.3">
      <c r="A146" s="153" t="s">
        <v>2444</v>
      </c>
      <c r="B146" s="153" t="s">
        <v>3604</v>
      </c>
      <c r="C146" s="153" t="s">
        <v>1641</v>
      </c>
      <c r="D146" s="153" t="b">
        <v>1</v>
      </c>
      <c r="E146" s="153" t="b">
        <v>1</v>
      </c>
      <c r="F146" s="153">
        <f t="shared" si="4"/>
        <v>0</v>
      </c>
      <c r="G146" s="153" t="str">
        <f t="shared" si="5"/>
        <v>OK</v>
      </c>
      <c r="H146" s="153" t="b">
        <v>1</v>
      </c>
    </row>
    <row r="147" spans="1:8" x14ac:dyDescent="0.3">
      <c r="A147" s="153" t="s">
        <v>2446</v>
      </c>
      <c r="B147" s="153" t="s">
        <v>3604</v>
      </c>
      <c r="C147" s="153" t="s">
        <v>1643</v>
      </c>
      <c r="D147" s="153" t="b">
        <v>0</v>
      </c>
      <c r="E147" s="153" t="b">
        <v>0</v>
      </c>
      <c r="F147" s="153">
        <f t="shared" si="4"/>
        <v>0</v>
      </c>
      <c r="G147" s="153" t="str">
        <f t="shared" si="5"/>
        <v>OK</v>
      </c>
      <c r="H147" s="153" t="b">
        <v>1</v>
      </c>
    </row>
    <row r="148" spans="1:8" x14ac:dyDescent="0.3">
      <c r="A148" s="153" t="s">
        <v>2448</v>
      </c>
      <c r="B148" s="153" t="s">
        <v>3604</v>
      </c>
      <c r="C148" s="153" t="s">
        <v>1645</v>
      </c>
      <c r="D148" s="153" t="b">
        <v>1</v>
      </c>
      <c r="E148" s="153" t="b">
        <v>1</v>
      </c>
      <c r="F148" s="153">
        <f t="shared" si="4"/>
        <v>0</v>
      </c>
      <c r="G148" s="153" t="str">
        <f t="shared" si="5"/>
        <v>OK</v>
      </c>
      <c r="H148" s="153" t="b">
        <v>1</v>
      </c>
    </row>
    <row r="149" spans="1:8" x14ac:dyDescent="0.3">
      <c r="A149" s="153" t="s">
        <v>2450</v>
      </c>
      <c r="B149" s="153" t="s">
        <v>3604</v>
      </c>
      <c r="C149" s="153" t="s">
        <v>1647</v>
      </c>
      <c r="D149" s="153" t="b">
        <v>0</v>
      </c>
      <c r="E149" s="153" t="b">
        <v>0</v>
      </c>
      <c r="F149" s="153">
        <f t="shared" si="4"/>
        <v>0</v>
      </c>
      <c r="G149" s="153" t="str">
        <f t="shared" si="5"/>
        <v>OK</v>
      </c>
      <c r="H149" s="153" t="b">
        <v>1</v>
      </c>
    </row>
    <row r="150" spans="1:8" x14ac:dyDescent="0.3">
      <c r="A150" s="153" t="s">
        <v>2452</v>
      </c>
      <c r="B150" s="153" t="s">
        <v>3604</v>
      </c>
      <c r="C150" s="153" t="s">
        <v>1649</v>
      </c>
      <c r="D150" s="153" t="b">
        <v>1</v>
      </c>
      <c r="E150" s="153" t="b">
        <v>1</v>
      </c>
      <c r="F150" s="153">
        <f t="shared" si="4"/>
        <v>0</v>
      </c>
      <c r="G150" s="153" t="str">
        <f t="shared" si="5"/>
        <v>OK</v>
      </c>
      <c r="H150" s="153" t="b">
        <v>1</v>
      </c>
    </row>
    <row r="151" spans="1:8" x14ac:dyDescent="0.3">
      <c r="A151" s="153" t="s">
        <v>2454</v>
      </c>
      <c r="B151" s="153" t="s">
        <v>3604</v>
      </c>
      <c r="C151" s="153" t="s">
        <v>1651</v>
      </c>
      <c r="D151" s="153">
        <v>5000</v>
      </c>
      <c r="E151" s="153">
        <v>5000</v>
      </c>
      <c r="F151" s="153">
        <f t="shared" si="4"/>
        <v>0</v>
      </c>
      <c r="G151" s="153" t="str">
        <f t="shared" si="5"/>
        <v>OK</v>
      </c>
      <c r="H151" s="153" t="b">
        <v>1</v>
      </c>
    </row>
    <row r="152" spans="1:8" x14ac:dyDescent="0.3">
      <c r="A152" s="153" t="s">
        <v>2456</v>
      </c>
      <c r="B152" s="153" t="s">
        <v>3604</v>
      </c>
      <c r="C152" s="153" t="s">
        <v>1653</v>
      </c>
      <c r="D152" s="153">
        <v>23</v>
      </c>
      <c r="E152" s="153">
        <v>23</v>
      </c>
      <c r="F152" s="153">
        <f t="shared" si="4"/>
        <v>0</v>
      </c>
      <c r="G152" s="153" t="str">
        <f t="shared" si="5"/>
        <v>OK</v>
      </c>
      <c r="H152" s="153" t="b">
        <v>1</v>
      </c>
    </row>
    <row r="153" spans="1:8" x14ac:dyDescent="0.3">
      <c r="A153" s="153" t="s">
        <v>2458</v>
      </c>
      <c r="B153" s="153" t="s">
        <v>3604</v>
      </c>
      <c r="C153" s="153" t="s">
        <v>1655</v>
      </c>
      <c r="D153" s="153">
        <v>10000</v>
      </c>
      <c r="E153" s="153">
        <v>10000</v>
      </c>
      <c r="F153" s="153">
        <f t="shared" si="4"/>
        <v>0</v>
      </c>
      <c r="G153" s="153" t="str">
        <f t="shared" si="5"/>
        <v>OK</v>
      </c>
      <c r="H153" s="153" t="b">
        <v>1</v>
      </c>
    </row>
    <row r="154" spans="1:8" x14ac:dyDescent="0.3">
      <c r="A154" s="153" t="s">
        <v>2460</v>
      </c>
      <c r="B154" s="153" t="s">
        <v>3604</v>
      </c>
      <c r="C154" s="153" t="s">
        <v>1657</v>
      </c>
      <c r="D154" s="153">
        <v>0</v>
      </c>
      <c r="E154" s="153">
        <v>0</v>
      </c>
      <c r="F154" s="153">
        <f t="shared" si="4"/>
        <v>0</v>
      </c>
      <c r="G154" s="153" t="str">
        <f t="shared" si="5"/>
        <v>OK</v>
      </c>
      <c r="H154" s="153" t="b">
        <v>1</v>
      </c>
    </row>
    <row r="155" spans="1:8" x14ac:dyDescent="0.3">
      <c r="A155" s="153" t="s">
        <v>1989</v>
      </c>
      <c r="B155" s="153" t="s">
        <v>3604</v>
      </c>
      <c r="C155" s="153" t="s">
        <v>1990</v>
      </c>
      <c r="D155" s="153">
        <v>2840</v>
      </c>
      <c r="E155" s="153">
        <v>2840</v>
      </c>
      <c r="F155" s="153">
        <f t="shared" si="4"/>
        <v>0</v>
      </c>
      <c r="G155" s="153" t="str">
        <f t="shared" si="5"/>
        <v>OK</v>
      </c>
      <c r="H155" s="153" t="b">
        <v>1</v>
      </c>
    </row>
    <row r="156" spans="1:8" x14ac:dyDescent="0.3">
      <c r="A156" s="153" t="s">
        <v>1991</v>
      </c>
      <c r="B156" s="153" t="s">
        <v>3604</v>
      </c>
      <c r="C156" s="153" t="s">
        <v>1992</v>
      </c>
      <c r="D156" s="153">
        <v>2840</v>
      </c>
      <c r="E156" s="153">
        <v>2840</v>
      </c>
      <c r="F156" s="153">
        <f t="shared" si="4"/>
        <v>0</v>
      </c>
      <c r="G156" s="153" t="str">
        <f t="shared" si="5"/>
        <v>OK</v>
      </c>
      <c r="H156" s="153" t="b">
        <v>1</v>
      </c>
    </row>
    <row r="157" spans="1:8" x14ac:dyDescent="0.3">
      <c r="A157" s="153" t="s">
        <v>1993</v>
      </c>
      <c r="B157" s="153" t="s">
        <v>3604</v>
      </c>
      <c r="C157" s="153" t="s">
        <v>1994</v>
      </c>
      <c r="D157" s="153">
        <v>12603.468789535689</v>
      </c>
      <c r="E157" s="153">
        <v>12603.468789535689</v>
      </c>
      <c r="F157" s="153">
        <f t="shared" si="4"/>
        <v>0</v>
      </c>
      <c r="G157" s="153" t="str">
        <f t="shared" si="5"/>
        <v>OK</v>
      </c>
      <c r="H157" s="153" t="b">
        <v>1</v>
      </c>
    </row>
    <row r="158" spans="1:8" x14ac:dyDescent="0.3">
      <c r="A158" s="153" t="s">
        <v>1995</v>
      </c>
      <c r="B158" s="153" t="s">
        <v>3604</v>
      </c>
      <c r="C158" s="153" t="s">
        <v>1996</v>
      </c>
      <c r="D158" s="153">
        <v>-9763.468789535691</v>
      </c>
      <c r="E158" s="153">
        <v>-9763.468789535691</v>
      </c>
      <c r="F158" s="153">
        <f t="shared" si="4"/>
        <v>0</v>
      </c>
      <c r="G158" s="153" t="str">
        <f t="shared" si="5"/>
        <v>OK</v>
      </c>
      <c r="H158" s="153" t="b">
        <v>1</v>
      </c>
    </row>
    <row r="159" spans="1:8" x14ac:dyDescent="0.3">
      <c r="A159" s="153" t="s">
        <v>1997</v>
      </c>
      <c r="B159" s="153" t="s">
        <v>3604</v>
      </c>
      <c r="C159" s="153" t="s">
        <v>1998</v>
      </c>
      <c r="D159" s="153">
        <v>64.125</v>
      </c>
      <c r="E159" s="153">
        <v>64.125</v>
      </c>
      <c r="F159" s="153">
        <f t="shared" si="4"/>
        <v>0</v>
      </c>
      <c r="G159" s="153" t="str">
        <f t="shared" si="5"/>
        <v>OK</v>
      </c>
      <c r="H159" s="153" t="b">
        <v>1</v>
      </c>
    </row>
    <row r="160" spans="1:8" x14ac:dyDescent="0.3">
      <c r="A160" s="153" t="s">
        <v>1999</v>
      </c>
      <c r="B160" s="153" t="s">
        <v>3604</v>
      </c>
      <c r="C160" s="153" t="s">
        <v>2000</v>
      </c>
      <c r="D160" s="153">
        <v>76.547352498655968</v>
      </c>
      <c r="E160" s="153">
        <v>76.547352498655968</v>
      </c>
      <c r="F160" s="153">
        <f t="shared" si="4"/>
        <v>0</v>
      </c>
      <c r="G160" s="153" t="str">
        <f t="shared" si="5"/>
        <v>OK</v>
      </c>
      <c r="H160" s="153" t="b">
        <v>1</v>
      </c>
    </row>
    <row r="161" spans="1:8" x14ac:dyDescent="0.3">
      <c r="A161" s="153" t="s">
        <v>2001</v>
      </c>
      <c r="B161" s="153" t="s">
        <v>3604</v>
      </c>
      <c r="C161" s="153" t="s">
        <v>2002</v>
      </c>
      <c r="D161" s="153">
        <v>12526.921437037039</v>
      </c>
      <c r="E161" s="153">
        <v>12526.921437037039</v>
      </c>
      <c r="F161" s="153">
        <f t="shared" si="4"/>
        <v>0</v>
      </c>
      <c r="G161" s="153" t="str">
        <f t="shared" si="5"/>
        <v>OK</v>
      </c>
      <c r="H161" s="153" t="b">
        <v>1</v>
      </c>
    </row>
    <row r="162" spans="1:8" x14ac:dyDescent="0.3">
      <c r="A162" s="153" t="s">
        <v>2003</v>
      </c>
      <c r="B162" s="153" t="s">
        <v>3604</v>
      </c>
      <c r="C162" s="153" t="s">
        <v>2004</v>
      </c>
      <c r="D162" s="153">
        <v>1000000</v>
      </c>
      <c r="E162" s="153">
        <v>1000000</v>
      </c>
      <c r="F162" s="153">
        <f t="shared" si="4"/>
        <v>0</v>
      </c>
      <c r="G162" s="153" t="str">
        <f t="shared" si="5"/>
        <v>OK</v>
      </c>
      <c r="H162" s="153" t="b">
        <v>1</v>
      </c>
    </row>
    <row r="163" spans="1:8" x14ac:dyDescent="0.3">
      <c r="A163" s="153" t="s">
        <v>2005</v>
      </c>
      <c r="B163" s="153" t="s">
        <v>3604</v>
      </c>
      <c r="C163" s="153" t="s">
        <v>2006</v>
      </c>
      <c r="D163" s="153">
        <v>7840</v>
      </c>
      <c r="E163" s="153">
        <v>7840</v>
      </c>
      <c r="F163" s="153">
        <f t="shared" si="4"/>
        <v>0</v>
      </c>
      <c r="G163" s="153" t="str">
        <f t="shared" si="5"/>
        <v>OK</v>
      </c>
      <c r="H163" s="153" t="b">
        <v>1</v>
      </c>
    </row>
    <row r="164" spans="1:8" x14ac:dyDescent="0.3">
      <c r="A164" s="153" t="s">
        <v>2007</v>
      </c>
      <c r="B164" s="153" t="s">
        <v>3604</v>
      </c>
      <c r="C164" s="153" t="s">
        <v>2008</v>
      </c>
      <c r="D164" s="153">
        <v>39884.774389535683</v>
      </c>
      <c r="E164" s="153">
        <v>39884.774389535683</v>
      </c>
      <c r="F164" s="153">
        <f t="shared" si="4"/>
        <v>0</v>
      </c>
      <c r="G164" s="153" t="str">
        <f t="shared" si="5"/>
        <v>OK</v>
      </c>
      <c r="H164" s="153" t="b">
        <v>1</v>
      </c>
    </row>
    <row r="165" spans="1:8" x14ac:dyDescent="0.3">
      <c r="A165" s="153" t="s">
        <v>2009</v>
      </c>
      <c r="B165" s="153" t="s">
        <v>3604</v>
      </c>
      <c r="C165" s="153" t="s">
        <v>2010</v>
      </c>
      <c r="D165" s="153">
        <v>967955.22561046435</v>
      </c>
      <c r="E165" s="153">
        <v>967955.22561046435</v>
      </c>
      <c r="F165" s="153">
        <f t="shared" si="4"/>
        <v>0</v>
      </c>
      <c r="G165" s="153" t="str">
        <f t="shared" si="5"/>
        <v>OK</v>
      </c>
      <c r="H165" s="153" t="b">
        <v>1</v>
      </c>
    </row>
    <row r="166" spans="1:8" x14ac:dyDescent="0.3">
      <c r="A166" s="153" t="s">
        <v>2011</v>
      </c>
      <c r="B166" s="153" t="s">
        <v>3604</v>
      </c>
      <c r="C166" s="153" t="s">
        <v>2012</v>
      </c>
      <c r="D166" s="153">
        <v>1000000</v>
      </c>
      <c r="E166" s="153">
        <v>1000000</v>
      </c>
      <c r="F166" s="153">
        <f t="shared" si="4"/>
        <v>0</v>
      </c>
      <c r="G166" s="153" t="str">
        <f t="shared" si="5"/>
        <v>OK</v>
      </c>
      <c r="H166" s="153" t="b">
        <v>1</v>
      </c>
    </row>
    <row r="167" spans="1:8" x14ac:dyDescent="0.3">
      <c r="A167" s="153" t="s">
        <v>2013</v>
      </c>
      <c r="B167" s="153" t="s">
        <v>3604</v>
      </c>
      <c r="C167" s="153" t="s">
        <v>2014</v>
      </c>
      <c r="D167" s="153">
        <v>2840</v>
      </c>
      <c r="E167" s="153">
        <v>2840</v>
      </c>
      <c r="F167" s="153">
        <f t="shared" si="4"/>
        <v>0</v>
      </c>
      <c r="G167" s="153" t="str">
        <f t="shared" si="5"/>
        <v>OK</v>
      </c>
      <c r="H167" s="153" t="b">
        <v>1</v>
      </c>
    </row>
    <row r="168" spans="1:8" x14ac:dyDescent="0.3">
      <c r="A168" s="153" t="s">
        <v>2015</v>
      </c>
      <c r="B168" s="153" t="s">
        <v>3604</v>
      </c>
      <c r="C168" s="153" t="s">
        <v>2016</v>
      </c>
      <c r="D168" s="153">
        <v>32021.774389535691</v>
      </c>
      <c r="E168" s="153">
        <v>32021.774389535691</v>
      </c>
      <c r="F168" s="153">
        <f t="shared" si="4"/>
        <v>0</v>
      </c>
      <c r="G168" s="153" t="str">
        <f t="shared" si="5"/>
        <v>OK</v>
      </c>
      <c r="H168" s="153" t="b">
        <v>1</v>
      </c>
    </row>
    <row r="169" spans="1:8" x14ac:dyDescent="0.3">
      <c r="A169" s="153" t="s">
        <v>2017</v>
      </c>
      <c r="B169" s="153" t="s">
        <v>3604</v>
      </c>
      <c r="C169" s="153" t="s">
        <v>2018</v>
      </c>
      <c r="D169" s="153">
        <v>7863</v>
      </c>
      <c r="E169" s="153">
        <v>7863</v>
      </c>
      <c r="F169" s="153">
        <f t="shared" si="4"/>
        <v>0</v>
      </c>
      <c r="G169" s="153" t="str">
        <f t="shared" si="5"/>
        <v>OK</v>
      </c>
      <c r="H169" s="153" t="b">
        <v>1</v>
      </c>
    </row>
    <row r="170" spans="1:8" x14ac:dyDescent="0.3">
      <c r="A170" s="153" t="s">
        <v>2019</v>
      </c>
      <c r="B170" s="153" t="s">
        <v>3604</v>
      </c>
      <c r="C170" s="153" t="s">
        <v>2020</v>
      </c>
      <c r="D170" s="153">
        <v>5000</v>
      </c>
      <c r="E170" s="153">
        <v>5000</v>
      </c>
      <c r="F170" s="153">
        <f t="shared" si="4"/>
        <v>0</v>
      </c>
      <c r="G170" s="153" t="str">
        <f t="shared" si="5"/>
        <v>OK</v>
      </c>
      <c r="H170" s="153" t="b">
        <v>1</v>
      </c>
    </row>
    <row r="171" spans="1:8" x14ac:dyDescent="0.3">
      <c r="A171" s="153" t="s">
        <v>2021</v>
      </c>
      <c r="B171" s="153" t="s">
        <v>3604</v>
      </c>
      <c r="C171" s="153" t="s">
        <v>2022</v>
      </c>
      <c r="D171" s="153">
        <v>-29181.774389535691</v>
      </c>
      <c r="E171" s="153">
        <v>-29181.774389535691</v>
      </c>
      <c r="F171" s="153">
        <f t="shared" si="4"/>
        <v>0</v>
      </c>
      <c r="G171" s="153" t="str">
        <f t="shared" si="5"/>
        <v>OK</v>
      </c>
      <c r="H171" s="153" t="b">
        <v>1</v>
      </c>
    </row>
    <row r="172" spans="1:8" x14ac:dyDescent="0.3">
      <c r="A172" s="153" t="s">
        <v>2023</v>
      </c>
      <c r="B172" s="153" t="s">
        <v>3604</v>
      </c>
      <c r="C172" s="153" t="s">
        <v>2024</v>
      </c>
      <c r="D172" s="153">
        <v>-7863</v>
      </c>
      <c r="E172" s="153">
        <v>-7863</v>
      </c>
      <c r="F172" s="153">
        <f t="shared" si="4"/>
        <v>0</v>
      </c>
      <c r="G172" s="153" t="str">
        <f t="shared" si="5"/>
        <v>OK</v>
      </c>
      <c r="H172" s="153" t="b">
        <v>1</v>
      </c>
    </row>
    <row r="173" spans="1:8" x14ac:dyDescent="0.3">
      <c r="A173" s="153" t="s">
        <v>2025</v>
      </c>
      <c r="B173" s="153" t="s">
        <v>3604</v>
      </c>
      <c r="C173" s="153" t="s">
        <v>2026</v>
      </c>
      <c r="D173" s="153">
        <v>-32044.774389535651</v>
      </c>
      <c r="E173" s="153">
        <v>-32044.774389535651</v>
      </c>
      <c r="F173" s="153">
        <f t="shared" si="4"/>
        <v>0</v>
      </c>
      <c r="G173" s="153" t="str">
        <f t="shared" si="5"/>
        <v>OK</v>
      </c>
      <c r="H173" s="153" t="b">
        <v>1</v>
      </c>
    </row>
    <row r="174" spans="1:8" x14ac:dyDescent="0.3">
      <c r="A174" s="153" t="s">
        <v>2027</v>
      </c>
      <c r="B174" s="153" t="s">
        <v>3604</v>
      </c>
      <c r="C174" s="153" t="s">
        <v>2028</v>
      </c>
      <c r="D174" s="153">
        <v>967955.22561046435</v>
      </c>
      <c r="E174" s="153">
        <v>967955.22561046435</v>
      </c>
      <c r="F174" s="153">
        <f t="shared" si="4"/>
        <v>0</v>
      </c>
      <c r="G174" s="153" t="str">
        <f t="shared" si="5"/>
        <v>OK</v>
      </c>
      <c r="H174" s="153" t="b">
        <v>1</v>
      </c>
    </row>
    <row r="175" spans="1:8" x14ac:dyDescent="0.3">
      <c r="A175" s="153" t="s">
        <v>2029</v>
      </c>
      <c r="B175" s="153" t="s">
        <v>3604</v>
      </c>
      <c r="C175" s="153" t="s">
        <v>2030</v>
      </c>
      <c r="D175" s="153">
        <v>967955.22561046435</v>
      </c>
      <c r="E175" s="153">
        <v>967955.22561046435</v>
      </c>
      <c r="F175" s="153">
        <f t="shared" si="4"/>
        <v>0</v>
      </c>
      <c r="G175" s="153" t="str">
        <f t="shared" si="5"/>
        <v>OK</v>
      </c>
      <c r="H175" s="153" t="b">
        <v>1</v>
      </c>
    </row>
    <row r="176" spans="1:8" x14ac:dyDescent="0.3">
      <c r="A176" s="153" t="s">
        <v>2031</v>
      </c>
      <c r="B176" s="153" t="s">
        <v>3604</v>
      </c>
      <c r="C176" s="153" t="s">
        <v>2032</v>
      </c>
      <c r="D176" s="153">
        <v>7435.875</v>
      </c>
      <c r="E176" s="153">
        <v>7435.875</v>
      </c>
      <c r="F176" s="153">
        <f t="shared" si="4"/>
        <v>0</v>
      </c>
      <c r="G176" s="153" t="str">
        <f t="shared" si="5"/>
        <v>OK</v>
      </c>
      <c r="H176" s="153" t="b">
        <v>1</v>
      </c>
    </row>
    <row r="177" spans="1:8" x14ac:dyDescent="0.3">
      <c r="A177" s="153" t="s">
        <v>2033</v>
      </c>
      <c r="B177" s="153" t="s">
        <v>3604</v>
      </c>
      <c r="C177" s="153" t="s">
        <v>2034</v>
      </c>
      <c r="D177" s="153">
        <v>19482.4306</v>
      </c>
      <c r="E177" s="153">
        <v>19482.4306</v>
      </c>
      <c r="F177" s="153">
        <f t="shared" si="4"/>
        <v>0</v>
      </c>
      <c r="G177" s="153" t="str">
        <f t="shared" si="5"/>
        <v>OK</v>
      </c>
      <c r="H177" s="153" t="b">
        <v>1</v>
      </c>
    </row>
    <row r="178" spans="1:8" x14ac:dyDescent="0.3">
      <c r="A178" s="153" t="s">
        <v>2035</v>
      </c>
      <c r="B178" s="153" t="s">
        <v>3604</v>
      </c>
      <c r="C178" s="153" t="s">
        <v>2036</v>
      </c>
      <c r="D178" s="153">
        <v>994873.53121046431</v>
      </c>
      <c r="E178" s="153">
        <v>994873.53121046431</v>
      </c>
      <c r="F178" s="153">
        <f t="shared" si="4"/>
        <v>0</v>
      </c>
      <c r="G178" s="153" t="str">
        <f t="shared" si="5"/>
        <v>OK</v>
      </c>
      <c r="H178" s="153" t="b">
        <v>1</v>
      </c>
    </row>
    <row r="179" spans="1:8" x14ac:dyDescent="0.3">
      <c r="A179" s="153" t="s">
        <v>2037</v>
      </c>
      <c r="B179" s="153" t="s">
        <v>3604</v>
      </c>
      <c r="C179" s="153" t="s">
        <v>2038</v>
      </c>
      <c r="D179" s="153">
        <v>5000</v>
      </c>
      <c r="E179" s="153">
        <v>5000</v>
      </c>
      <c r="F179" s="153">
        <f t="shared" si="4"/>
        <v>0</v>
      </c>
      <c r="G179" s="153" t="str">
        <f t="shared" si="5"/>
        <v>OK</v>
      </c>
      <c r="H179" s="153" t="b">
        <v>1</v>
      </c>
    </row>
    <row r="180" spans="1:8" x14ac:dyDescent="0.3">
      <c r="A180" s="153" t="s">
        <v>2039</v>
      </c>
      <c r="B180" s="153" t="s">
        <v>3604</v>
      </c>
      <c r="C180" s="153" t="s">
        <v>2040</v>
      </c>
      <c r="D180" s="153">
        <v>989873.53121046431</v>
      </c>
      <c r="E180" s="153">
        <v>989873.53121046431</v>
      </c>
      <c r="F180" s="153">
        <f t="shared" si="4"/>
        <v>0</v>
      </c>
      <c r="G180" s="153" t="str">
        <f t="shared" si="5"/>
        <v>OK</v>
      </c>
      <c r="H180" s="153" t="b">
        <v>1</v>
      </c>
    </row>
    <row r="181" spans="1:8" x14ac:dyDescent="0.3">
      <c r="A181" s="153" t="s">
        <v>2041</v>
      </c>
      <c r="B181" s="153" t="s">
        <v>3604</v>
      </c>
      <c r="C181" s="153" t="s">
        <v>2042</v>
      </c>
      <c r="D181" s="153">
        <v>994873.53121046431</v>
      </c>
      <c r="E181" s="153">
        <v>994873.53121046431</v>
      </c>
      <c r="F181" s="153">
        <f t="shared" si="4"/>
        <v>0</v>
      </c>
      <c r="G181" s="153" t="str">
        <f t="shared" si="5"/>
        <v>OK</v>
      </c>
      <c r="H181" s="153" t="b">
        <v>1</v>
      </c>
    </row>
    <row r="182" spans="1:8" x14ac:dyDescent="0.3">
      <c r="A182" s="153" t="s">
        <v>2043</v>
      </c>
      <c r="B182" s="153" t="s">
        <v>3604</v>
      </c>
      <c r="C182" s="153" t="s">
        <v>2044</v>
      </c>
      <c r="D182" s="153">
        <v>5000</v>
      </c>
      <c r="E182" s="153">
        <v>5000</v>
      </c>
      <c r="F182" s="153">
        <f t="shared" si="4"/>
        <v>0</v>
      </c>
      <c r="G182" s="153" t="str">
        <f t="shared" si="5"/>
        <v>OK</v>
      </c>
      <c r="H182" s="153" t="b">
        <v>1</v>
      </c>
    </row>
    <row r="183" spans="1:8" x14ac:dyDescent="0.3">
      <c r="A183" s="153" t="s">
        <v>2045</v>
      </c>
      <c r="B183" s="153" t="s">
        <v>3604</v>
      </c>
      <c r="C183" s="153" t="s">
        <v>2046</v>
      </c>
      <c r="D183" s="153">
        <v>20</v>
      </c>
      <c r="E183" s="153">
        <v>20</v>
      </c>
      <c r="F183" s="153">
        <f t="shared" si="4"/>
        <v>0</v>
      </c>
      <c r="G183" s="153" t="str">
        <f t="shared" si="5"/>
        <v>OK</v>
      </c>
      <c r="H183" s="153" t="b">
        <v>1</v>
      </c>
    </row>
    <row r="184" spans="1:8" x14ac:dyDescent="0.3">
      <c r="A184" s="153" t="s">
        <v>2047</v>
      </c>
      <c r="B184" s="153" t="s">
        <v>3604</v>
      </c>
      <c r="C184" s="153" t="s">
        <v>2048</v>
      </c>
      <c r="D184" s="153">
        <v>5000</v>
      </c>
      <c r="E184" s="153">
        <v>5000</v>
      </c>
      <c r="F184" s="153">
        <f t="shared" si="4"/>
        <v>0</v>
      </c>
      <c r="G184" s="153" t="str">
        <f t="shared" si="5"/>
        <v>OK</v>
      </c>
      <c r="H184" s="153" t="b">
        <v>1</v>
      </c>
    </row>
    <row r="185" spans="1:8" x14ac:dyDescent="0.3">
      <c r="A185" s="153" t="s">
        <v>2049</v>
      </c>
      <c r="B185" s="153" t="s">
        <v>3604</v>
      </c>
      <c r="C185" s="153" t="s">
        <v>2050</v>
      </c>
      <c r="D185" s="153">
        <v>3</v>
      </c>
      <c r="E185" s="153">
        <v>3</v>
      </c>
      <c r="F185" s="153">
        <f t="shared" si="4"/>
        <v>0</v>
      </c>
      <c r="G185" s="153" t="str">
        <f t="shared" si="5"/>
        <v>OK</v>
      </c>
      <c r="H185" s="153" t="b">
        <v>1</v>
      </c>
    </row>
    <row r="186" spans="1:8" x14ac:dyDescent="0.3">
      <c r="A186" s="153" t="s">
        <v>2051</v>
      </c>
      <c r="B186" s="153" t="s">
        <v>3604</v>
      </c>
      <c r="C186" s="153" t="s">
        <v>2052</v>
      </c>
      <c r="D186" s="153">
        <v>1.5309470499731191E-2</v>
      </c>
      <c r="E186" s="153">
        <v>1.5309470499731191E-2</v>
      </c>
      <c r="F186" s="153">
        <f t="shared" si="4"/>
        <v>0</v>
      </c>
      <c r="G186" s="153" t="str">
        <f t="shared" si="5"/>
        <v>OK</v>
      </c>
      <c r="H186" s="153" t="b">
        <v>1</v>
      </c>
    </row>
    <row r="187" spans="1:8" x14ac:dyDescent="0.3">
      <c r="A187" s="153" t="s">
        <v>2053</v>
      </c>
      <c r="B187" s="153" t="s">
        <v>3604</v>
      </c>
      <c r="C187" s="153" t="s">
        <v>2054</v>
      </c>
      <c r="D187" s="153">
        <v>76.547352498655968</v>
      </c>
      <c r="E187" s="153">
        <v>76.547352498655968</v>
      </c>
      <c r="F187" s="153">
        <f t="shared" si="4"/>
        <v>0</v>
      </c>
      <c r="G187" s="153" t="str">
        <f t="shared" si="5"/>
        <v>OK</v>
      </c>
      <c r="H187" s="153" t="b">
        <v>1</v>
      </c>
    </row>
    <row r="188" spans="1:8" x14ac:dyDescent="0.3">
      <c r="A188" s="153" t="s">
        <v>2564</v>
      </c>
      <c r="B188" s="153" t="s">
        <v>3604</v>
      </c>
      <c r="C188" s="153" t="s">
        <v>2056</v>
      </c>
      <c r="D188" s="153">
        <v>2840</v>
      </c>
      <c r="E188" s="153">
        <v>2840</v>
      </c>
      <c r="F188" s="153">
        <f t="shared" si="4"/>
        <v>0</v>
      </c>
      <c r="G188" s="153" t="str">
        <f t="shared" si="5"/>
        <v>OK</v>
      </c>
      <c r="H188" s="153" t="b">
        <v>1</v>
      </c>
    </row>
    <row r="189" spans="1:8" x14ac:dyDescent="0.3">
      <c r="A189" s="153" t="s">
        <v>2565</v>
      </c>
      <c r="B189" s="153" t="s">
        <v>3604</v>
      </c>
      <c r="C189" s="153" t="s">
        <v>2058</v>
      </c>
      <c r="D189" s="153">
        <v>2840</v>
      </c>
      <c r="E189" s="153">
        <v>2840</v>
      </c>
      <c r="F189" s="153">
        <f t="shared" si="4"/>
        <v>0</v>
      </c>
      <c r="G189" s="153" t="str">
        <f t="shared" si="5"/>
        <v>OK</v>
      </c>
      <c r="H189" s="153" t="b">
        <v>1</v>
      </c>
    </row>
    <row r="190" spans="1:8" x14ac:dyDescent="0.3">
      <c r="A190" s="153" t="s">
        <v>2566</v>
      </c>
      <c r="B190" s="153" t="s">
        <v>3604</v>
      </c>
      <c r="C190" s="153" t="s">
        <v>2060</v>
      </c>
      <c r="D190" s="153">
        <v>11059.75273953569</v>
      </c>
      <c r="E190" s="153">
        <v>11059.75273953569</v>
      </c>
      <c r="F190" s="153">
        <f t="shared" si="4"/>
        <v>0</v>
      </c>
      <c r="G190" s="153" t="str">
        <f t="shared" si="5"/>
        <v>OK</v>
      </c>
      <c r="H190" s="153" t="b">
        <v>1</v>
      </c>
    </row>
    <row r="191" spans="1:8" x14ac:dyDescent="0.3">
      <c r="A191" s="153" t="s">
        <v>2567</v>
      </c>
      <c r="B191" s="153" t="s">
        <v>3604</v>
      </c>
      <c r="C191" s="153" t="s">
        <v>2062</v>
      </c>
      <c r="D191" s="153">
        <v>-8219.7527395356919</v>
      </c>
      <c r="E191" s="153">
        <v>-8219.7527395356919</v>
      </c>
      <c r="F191" s="153">
        <f t="shared" si="4"/>
        <v>0</v>
      </c>
      <c r="G191" s="153" t="str">
        <f t="shared" si="5"/>
        <v>OK</v>
      </c>
      <c r="H191" s="153" t="b">
        <v>1</v>
      </c>
    </row>
    <row r="192" spans="1:8" x14ac:dyDescent="0.3">
      <c r="A192" s="153" t="s">
        <v>2568</v>
      </c>
      <c r="B192" s="153" t="s">
        <v>3604</v>
      </c>
      <c r="C192" s="153" t="s">
        <v>2064</v>
      </c>
      <c r="D192" s="153">
        <v>5.0587499999999999</v>
      </c>
      <c r="E192" s="153">
        <v>5.0587499999999999</v>
      </c>
      <c r="F192" s="153">
        <f t="shared" si="4"/>
        <v>0</v>
      </c>
      <c r="G192" s="153" t="str">
        <f t="shared" si="5"/>
        <v>OK</v>
      </c>
      <c r="H192" s="153" t="b">
        <v>1</v>
      </c>
    </row>
    <row r="193" spans="1:8" x14ac:dyDescent="0.3">
      <c r="A193" s="153" t="s">
        <v>2569</v>
      </c>
      <c r="B193" s="153" t="s">
        <v>3604</v>
      </c>
      <c r="C193" s="153" t="s">
        <v>2066</v>
      </c>
      <c r="D193" s="153">
        <v>76.547352498655968</v>
      </c>
      <c r="E193" s="153">
        <v>76.547352498655968</v>
      </c>
      <c r="F193" s="153">
        <f t="shared" si="4"/>
        <v>0</v>
      </c>
      <c r="G193" s="153" t="str">
        <f t="shared" si="5"/>
        <v>OK</v>
      </c>
      <c r="H193" s="153" t="b">
        <v>1</v>
      </c>
    </row>
    <row r="194" spans="1:8" x14ac:dyDescent="0.3">
      <c r="A194" s="153" t="s">
        <v>2570</v>
      </c>
      <c r="B194" s="153" t="s">
        <v>3604</v>
      </c>
      <c r="C194" s="153" t="s">
        <v>2068</v>
      </c>
      <c r="D194" s="153">
        <v>10983.20538703704</v>
      </c>
      <c r="E194" s="153">
        <v>10983.20538703704</v>
      </c>
      <c r="F194" s="153">
        <f t="shared" ref="F194:F257" si="6">IF(NOT(H194),"",IF(AND(ISNUMBER(D194),ISNUMBER(E194)),E194-D194,IF(D194=E194,0,1)))</f>
        <v>0</v>
      </c>
      <c r="G194" s="153" t="str">
        <f t="shared" ref="G194:G257" si="7">IF(NOT(H194),"PENDIENTE SIDE",IF(IF(AND(ISNUMBER(D194),ISNUMBER(E194)),IF(MOD(D194,1)=0,D194=E194,ABS(D194-E194)&lt;=0.000000001*MAX(1,ABS(D194),ABS(E194))),D194=E194),"OK","DIFERENCIA"))</f>
        <v>OK</v>
      </c>
      <c r="H194" s="153" t="b">
        <v>1</v>
      </c>
    </row>
    <row r="195" spans="1:8" x14ac:dyDescent="0.3">
      <c r="A195" s="153" t="s">
        <v>2571</v>
      </c>
      <c r="B195" s="153" t="s">
        <v>3604</v>
      </c>
      <c r="C195" s="153" t="s">
        <v>2070</v>
      </c>
      <c r="D195" s="153">
        <v>967955.22561046435</v>
      </c>
      <c r="E195" s="153">
        <v>967955.22561046435</v>
      </c>
      <c r="F195" s="153">
        <f t="shared" si="6"/>
        <v>0</v>
      </c>
      <c r="G195" s="153" t="str">
        <f t="shared" si="7"/>
        <v>OK</v>
      </c>
      <c r="H195" s="153" t="b">
        <v>1</v>
      </c>
    </row>
    <row r="196" spans="1:8" x14ac:dyDescent="0.3">
      <c r="A196" s="153" t="s">
        <v>2572</v>
      </c>
      <c r="B196" s="153" t="s">
        <v>3604</v>
      </c>
      <c r="C196" s="153" t="s">
        <v>2072</v>
      </c>
      <c r="D196" s="153">
        <v>2840</v>
      </c>
      <c r="E196" s="153">
        <v>2840</v>
      </c>
      <c r="F196" s="153">
        <f t="shared" si="6"/>
        <v>0</v>
      </c>
      <c r="G196" s="153" t="str">
        <f t="shared" si="7"/>
        <v>OK</v>
      </c>
      <c r="H196" s="153" t="b">
        <v>1</v>
      </c>
    </row>
    <row r="197" spans="1:8" x14ac:dyDescent="0.3">
      <c r="A197" s="153" t="s">
        <v>2573</v>
      </c>
      <c r="B197" s="153" t="s">
        <v>3604</v>
      </c>
      <c r="C197" s="153" t="s">
        <v>2074</v>
      </c>
      <c r="D197" s="153">
        <v>30737.974389535691</v>
      </c>
      <c r="E197" s="153">
        <v>30737.974389535691</v>
      </c>
      <c r="F197" s="153">
        <f t="shared" si="6"/>
        <v>0</v>
      </c>
      <c r="G197" s="153" t="str">
        <f t="shared" si="7"/>
        <v>OK</v>
      </c>
      <c r="H197" s="153" t="b">
        <v>1</v>
      </c>
    </row>
    <row r="198" spans="1:8" x14ac:dyDescent="0.3">
      <c r="A198" s="153" t="s">
        <v>2574</v>
      </c>
      <c r="B198" s="153" t="s">
        <v>3604</v>
      </c>
      <c r="C198" s="153" t="s">
        <v>2076</v>
      </c>
      <c r="D198" s="153">
        <v>940057.25122092862</v>
      </c>
      <c r="E198" s="153">
        <v>940057.25122092862</v>
      </c>
      <c r="F198" s="153">
        <f t="shared" si="6"/>
        <v>0</v>
      </c>
      <c r="G198" s="153" t="str">
        <f t="shared" si="7"/>
        <v>OK</v>
      </c>
      <c r="H198" s="153" t="b">
        <v>1</v>
      </c>
    </row>
    <row r="199" spans="1:8" x14ac:dyDescent="0.3">
      <c r="A199" s="153" t="s">
        <v>2575</v>
      </c>
      <c r="B199" s="153" t="s">
        <v>3604</v>
      </c>
      <c r="C199" s="153" t="s">
        <v>2078</v>
      </c>
      <c r="D199" s="153">
        <v>967955.22561046435</v>
      </c>
      <c r="E199" s="153">
        <v>967955.22561046435</v>
      </c>
      <c r="F199" s="153">
        <f t="shared" si="6"/>
        <v>0</v>
      </c>
      <c r="G199" s="153" t="str">
        <f t="shared" si="7"/>
        <v>OK</v>
      </c>
      <c r="H199" s="153" t="b">
        <v>1</v>
      </c>
    </row>
    <row r="200" spans="1:8" x14ac:dyDescent="0.3">
      <c r="A200" s="153" t="s">
        <v>2576</v>
      </c>
      <c r="B200" s="153" t="s">
        <v>3604</v>
      </c>
      <c r="C200" s="153" t="s">
        <v>2080</v>
      </c>
      <c r="D200" s="153">
        <v>2840</v>
      </c>
      <c r="E200" s="153">
        <v>2840</v>
      </c>
      <c r="F200" s="153">
        <f t="shared" si="6"/>
        <v>0</v>
      </c>
      <c r="G200" s="153" t="str">
        <f t="shared" si="7"/>
        <v>OK</v>
      </c>
      <c r="H200" s="153" t="b">
        <v>1</v>
      </c>
    </row>
    <row r="201" spans="1:8" x14ac:dyDescent="0.3">
      <c r="A201" s="153" t="s">
        <v>2577</v>
      </c>
      <c r="B201" s="153" t="s">
        <v>3604</v>
      </c>
      <c r="C201" s="153" t="s">
        <v>2082</v>
      </c>
      <c r="D201" s="153">
        <v>30737.974389535691</v>
      </c>
      <c r="E201" s="153">
        <v>30737.974389535691</v>
      </c>
      <c r="F201" s="153">
        <f t="shared" si="6"/>
        <v>0</v>
      </c>
      <c r="G201" s="153" t="str">
        <f t="shared" si="7"/>
        <v>OK</v>
      </c>
      <c r="H201" s="153" t="b">
        <v>1</v>
      </c>
    </row>
    <row r="202" spans="1:8" x14ac:dyDescent="0.3">
      <c r="A202" s="153" t="s">
        <v>2578</v>
      </c>
      <c r="B202" s="153" t="s">
        <v>3604</v>
      </c>
      <c r="C202" s="153" t="s">
        <v>2084</v>
      </c>
      <c r="D202" s="153">
        <v>0</v>
      </c>
      <c r="E202" s="153">
        <v>0</v>
      </c>
      <c r="F202" s="153">
        <f t="shared" si="6"/>
        <v>0</v>
      </c>
      <c r="G202" s="153" t="str">
        <f t="shared" si="7"/>
        <v>OK</v>
      </c>
      <c r="H202" s="153" t="b">
        <v>1</v>
      </c>
    </row>
    <row r="203" spans="1:8" x14ac:dyDescent="0.3">
      <c r="A203" s="153" t="s">
        <v>2579</v>
      </c>
      <c r="B203" s="153" t="s">
        <v>3604</v>
      </c>
      <c r="C203" s="153" t="s">
        <v>2086</v>
      </c>
      <c r="D203" s="153">
        <v>0</v>
      </c>
      <c r="E203" s="153">
        <v>0</v>
      </c>
      <c r="F203" s="153">
        <f t="shared" si="6"/>
        <v>0</v>
      </c>
      <c r="G203" s="153" t="str">
        <f t="shared" si="7"/>
        <v>OK</v>
      </c>
      <c r="H203" s="153" t="b">
        <v>1</v>
      </c>
    </row>
    <row r="204" spans="1:8" x14ac:dyDescent="0.3">
      <c r="A204" s="153" t="s">
        <v>2580</v>
      </c>
      <c r="B204" s="153" t="s">
        <v>3604</v>
      </c>
      <c r="C204" s="153" t="s">
        <v>2088</v>
      </c>
      <c r="D204" s="153">
        <v>-27897.974389535691</v>
      </c>
      <c r="E204" s="153">
        <v>-27897.974389535691</v>
      </c>
      <c r="F204" s="153">
        <f t="shared" si="6"/>
        <v>0</v>
      </c>
      <c r="G204" s="153" t="str">
        <f t="shared" si="7"/>
        <v>OK</v>
      </c>
      <c r="H204" s="153" t="b">
        <v>1</v>
      </c>
    </row>
    <row r="205" spans="1:8" x14ac:dyDescent="0.3">
      <c r="A205" s="153" t="s">
        <v>2581</v>
      </c>
      <c r="B205" s="153" t="s">
        <v>3604</v>
      </c>
      <c r="C205" s="153" t="s">
        <v>2090</v>
      </c>
      <c r="D205" s="153">
        <v>0</v>
      </c>
      <c r="E205" s="153">
        <v>0</v>
      </c>
      <c r="F205" s="153">
        <f t="shared" si="6"/>
        <v>0</v>
      </c>
      <c r="G205" s="153" t="str">
        <f t="shared" si="7"/>
        <v>OK</v>
      </c>
      <c r="H205" s="153" t="b">
        <v>1</v>
      </c>
    </row>
    <row r="206" spans="1:8" x14ac:dyDescent="0.3">
      <c r="A206" s="153" t="s">
        <v>2582</v>
      </c>
      <c r="B206" s="153" t="s">
        <v>3604</v>
      </c>
      <c r="C206" s="153" t="s">
        <v>2092</v>
      </c>
      <c r="D206" s="153">
        <v>-27897.974389535721</v>
      </c>
      <c r="E206" s="153">
        <v>-27897.974389535721</v>
      </c>
      <c r="F206" s="153">
        <f t="shared" si="6"/>
        <v>0</v>
      </c>
      <c r="G206" s="153" t="str">
        <f t="shared" si="7"/>
        <v>OK</v>
      </c>
      <c r="H206" s="153" t="b">
        <v>1</v>
      </c>
    </row>
    <row r="207" spans="1:8" x14ac:dyDescent="0.3">
      <c r="A207" s="153" t="s">
        <v>2583</v>
      </c>
      <c r="B207" s="153" t="s">
        <v>3604</v>
      </c>
      <c r="C207" s="153" t="s">
        <v>2094</v>
      </c>
      <c r="D207" s="153">
        <v>940057.25122092862</v>
      </c>
      <c r="E207" s="153">
        <v>940057.25122092862</v>
      </c>
      <c r="F207" s="153">
        <f t="shared" si="6"/>
        <v>0</v>
      </c>
      <c r="G207" s="153" t="str">
        <f t="shared" si="7"/>
        <v>OK</v>
      </c>
      <c r="H207" s="153" t="b">
        <v>1</v>
      </c>
    </row>
    <row r="208" spans="1:8" x14ac:dyDescent="0.3">
      <c r="A208" s="153" t="s">
        <v>2584</v>
      </c>
      <c r="B208" s="153" t="s">
        <v>3604</v>
      </c>
      <c r="C208" s="153" t="s">
        <v>2096</v>
      </c>
      <c r="D208" s="153">
        <v>940057.25122092862</v>
      </c>
      <c r="E208" s="153">
        <v>940057.25122092862</v>
      </c>
      <c r="F208" s="153">
        <f t="shared" si="6"/>
        <v>0</v>
      </c>
      <c r="G208" s="153" t="str">
        <f t="shared" si="7"/>
        <v>OK</v>
      </c>
      <c r="H208" s="153" t="b">
        <v>1</v>
      </c>
    </row>
    <row r="209" spans="1:8" x14ac:dyDescent="0.3">
      <c r="A209" s="153" t="s">
        <v>2585</v>
      </c>
      <c r="B209" s="153" t="s">
        <v>3604</v>
      </c>
      <c r="C209" s="153" t="s">
        <v>2098</v>
      </c>
      <c r="D209" s="153">
        <v>7430.8162499999999</v>
      </c>
      <c r="E209" s="153">
        <v>7430.8162499999999</v>
      </c>
      <c r="F209" s="153">
        <f t="shared" si="6"/>
        <v>0</v>
      </c>
      <c r="G209" s="153" t="str">
        <f t="shared" si="7"/>
        <v>OK</v>
      </c>
      <c r="H209" s="153" t="b">
        <v>1</v>
      </c>
    </row>
    <row r="210" spans="1:8" x14ac:dyDescent="0.3">
      <c r="A210" s="153" t="s">
        <v>2586</v>
      </c>
      <c r="B210" s="153" t="s">
        <v>3604</v>
      </c>
      <c r="C210" s="153" t="s">
        <v>2100</v>
      </c>
      <c r="D210" s="153">
        <v>39366.560799999999</v>
      </c>
      <c r="E210" s="153">
        <v>39366.560800000007</v>
      </c>
      <c r="F210" s="153">
        <f t="shared" si="6"/>
        <v>7.2759576141834259E-12</v>
      </c>
      <c r="G210" s="153" t="str">
        <f t="shared" si="7"/>
        <v>OK</v>
      </c>
      <c r="H210" s="153" t="b">
        <v>1</v>
      </c>
    </row>
    <row r="211" spans="1:8" x14ac:dyDescent="0.3">
      <c r="A211" s="153" t="s">
        <v>2587</v>
      </c>
      <c r="B211" s="153" t="s">
        <v>3604</v>
      </c>
      <c r="C211" s="153" t="s">
        <v>2102</v>
      </c>
      <c r="D211" s="153">
        <v>986854.62827092863</v>
      </c>
      <c r="E211" s="153">
        <v>986854.62827092863</v>
      </c>
      <c r="F211" s="153">
        <f t="shared" si="6"/>
        <v>0</v>
      </c>
      <c r="G211" s="153" t="str">
        <f t="shared" si="7"/>
        <v>OK</v>
      </c>
      <c r="H211" s="153" t="b">
        <v>1</v>
      </c>
    </row>
    <row r="212" spans="1:8" x14ac:dyDescent="0.3">
      <c r="A212" s="153" t="s">
        <v>2588</v>
      </c>
      <c r="B212" s="153" t="s">
        <v>3604</v>
      </c>
      <c r="C212" s="153" t="s">
        <v>2104</v>
      </c>
      <c r="D212" s="153">
        <v>5000</v>
      </c>
      <c r="E212" s="153">
        <v>5000</v>
      </c>
      <c r="F212" s="153">
        <f t="shared" si="6"/>
        <v>0</v>
      </c>
      <c r="G212" s="153" t="str">
        <f t="shared" si="7"/>
        <v>OK</v>
      </c>
      <c r="H212" s="153" t="b">
        <v>1</v>
      </c>
    </row>
    <row r="213" spans="1:8" x14ac:dyDescent="0.3">
      <c r="A213" s="153" t="s">
        <v>2589</v>
      </c>
      <c r="B213" s="153" t="s">
        <v>3604</v>
      </c>
      <c r="C213" s="153" t="s">
        <v>2106</v>
      </c>
      <c r="D213" s="153">
        <v>981854.62827092863</v>
      </c>
      <c r="E213" s="153">
        <v>981854.62827092863</v>
      </c>
      <c r="F213" s="153">
        <f t="shared" si="6"/>
        <v>0</v>
      </c>
      <c r="G213" s="153" t="str">
        <f t="shared" si="7"/>
        <v>OK</v>
      </c>
      <c r="H213" s="153" t="b">
        <v>1</v>
      </c>
    </row>
    <row r="214" spans="1:8" x14ac:dyDescent="0.3">
      <c r="A214" s="153" t="s">
        <v>2590</v>
      </c>
      <c r="B214" s="153" t="s">
        <v>3604</v>
      </c>
      <c r="C214" s="153" t="s">
        <v>2108</v>
      </c>
      <c r="D214" s="153">
        <v>986854.62827092863</v>
      </c>
      <c r="E214" s="153">
        <v>986854.62827092863</v>
      </c>
      <c r="F214" s="153">
        <f t="shared" si="6"/>
        <v>0</v>
      </c>
      <c r="G214" s="153" t="str">
        <f t="shared" si="7"/>
        <v>OK</v>
      </c>
      <c r="H214" s="153" t="b">
        <v>1</v>
      </c>
    </row>
    <row r="215" spans="1:8" x14ac:dyDescent="0.3">
      <c r="A215" s="153" t="s">
        <v>2591</v>
      </c>
      <c r="B215" s="153" t="s">
        <v>3604</v>
      </c>
      <c r="C215" s="153" t="s">
        <v>2110</v>
      </c>
      <c r="D215" s="153">
        <v>0</v>
      </c>
      <c r="E215" s="153">
        <v>0</v>
      </c>
      <c r="F215" s="153">
        <f t="shared" si="6"/>
        <v>0</v>
      </c>
      <c r="G215" s="153" t="str">
        <f t="shared" si="7"/>
        <v>OK</v>
      </c>
      <c r="H215" s="153" t="b">
        <v>1</v>
      </c>
    </row>
    <row r="216" spans="1:8" x14ac:dyDescent="0.3">
      <c r="A216" s="153" t="s">
        <v>2592</v>
      </c>
      <c r="B216" s="153" t="s">
        <v>3604</v>
      </c>
      <c r="C216" s="153" t="s">
        <v>2112</v>
      </c>
      <c r="D216" s="153">
        <v>23</v>
      </c>
      <c r="E216" s="153">
        <v>23</v>
      </c>
      <c r="F216" s="153">
        <f t="shared" si="6"/>
        <v>0</v>
      </c>
      <c r="G216" s="153" t="str">
        <f t="shared" si="7"/>
        <v>OK</v>
      </c>
      <c r="H216" s="153" t="b">
        <v>1</v>
      </c>
    </row>
    <row r="217" spans="1:8" x14ac:dyDescent="0.3">
      <c r="A217" s="153" t="s">
        <v>2593</v>
      </c>
      <c r="B217" s="153" t="s">
        <v>3604</v>
      </c>
      <c r="C217" s="153" t="s">
        <v>2114</v>
      </c>
      <c r="D217" s="153">
        <v>5000</v>
      </c>
      <c r="E217" s="153">
        <v>5000</v>
      </c>
      <c r="F217" s="153">
        <f t="shared" si="6"/>
        <v>0</v>
      </c>
      <c r="G217" s="153" t="str">
        <f t="shared" si="7"/>
        <v>OK</v>
      </c>
      <c r="H217" s="153" t="b">
        <v>1</v>
      </c>
    </row>
    <row r="218" spans="1:8" x14ac:dyDescent="0.3">
      <c r="A218" s="153" t="s">
        <v>2594</v>
      </c>
      <c r="B218" s="153" t="s">
        <v>3604</v>
      </c>
      <c r="C218" s="153" t="s">
        <v>2116</v>
      </c>
      <c r="D218" s="153">
        <v>3</v>
      </c>
      <c r="E218" s="153">
        <v>3</v>
      </c>
      <c r="F218" s="153">
        <f t="shared" si="6"/>
        <v>0</v>
      </c>
      <c r="G218" s="153" t="str">
        <f t="shared" si="7"/>
        <v>OK</v>
      </c>
      <c r="H218" s="153" t="b">
        <v>1</v>
      </c>
    </row>
    <row r="219" spans="1:8" x14ac:dyDescent="0.3">
      <c r="A219" s="153" t="s">
        <v>2595</v>
      </c>
      <c r="B219" s="153" t="s">
        <v>3604</v>
      </c>
      <c r="C219" s="153" t="s">
        <v>2118</v>
      </c>
      <c r="D219" s="153">
        <v>1.5309470499731191E-2</v>
      </c>
      <c r="E219" s="153">
        <v>1.5309470499731191E-2</v>
      </c>
      <c r="F219" s="153">
        <f t="shared" si="6"/>
        <v>0</v>
      </c>
      <c r="G219" s="153" t="str">
        <f t="shared" si="7"/>
        <v>OK</v>
      </c>
      <c r="H219" s="153" t="b">
        <v>1</v>
      </c>
    </row>
    <row r="220" spans="1:8" x14ac:dyDescent="0.3">
      <c r="A220" s="153" t="s">
        <v>2596</v>
      </c>
      <c r="B220" s="153" t="s">
        <v>3604</v>
      </c>
      <c r="C220" s="153" t="s">
        <v>2120</v>
      </c>
      <c r="D220" s="153">
        <v>76.547352498655968</v>
      </c>
      <c r="E220" s="153">
        <v>76.547352498655968</v>
      </c>
      <c r="F220" s="153">
        <f t="shared" si="6"/>
        <v>0</v>
      </c>
      <c r="G220" s="153" t="str">
        <f t="shared" si="7"/>
        <v>OK</v>
      </c>
      <c r="H220" s="153" t="b">
        <v>1</v>
      </c>
    </row>
    <row r="221" spans="1:8" x14ac:dyDescent="0.3">
      <c r="A221" s="153" t="s">
        <v>2630</v>
      </c>
      <c r="B221" s="153" t="s">
        <v>3604</v>
      </c>
      <c r="C221" s="153" t="s">
        <v>2122</v>
      </c>
      <c r="D221" s="153">
        <v>2840</v>
      </c>
      <c r="E221" s="153">
        <v>2840</v>
      </c>
      <c r="F221" s="153">
        <f t="shared" si="6"/>
        <v>0</v>
      </c>
      <c r="G221" s="153" t="str">
        <f t="shared" si="7"/>
        <v>OK</v>
      </c>
      <c r="H221" s="153" t="b">
        <v>1</v>
      </c>
    </row>
    <row r="222" spans="1:8" x14ac:dyDescent="0.3">
      <c r="A222" s="153" t="s">
        <v>2632</v>
      </c>
      <c r="B222" s="153" t="s">
        <v>3604</v>
      </c>
      <c r="C222" s="153" t="s">
        <v>2124</v>
      </c>
      <c r="D222" s="153">
        <v>2840</v>
      </c>
      <c r="E222" s="153">
        <v>2840</v>
      </c>
      <c r="F222" s="153">
        <f t="shared" si="6"/>
        <v>0</v>
      </c>
      <c r="G222" s="153" t="str">
        <f t="shared" si="7"/>
        <v>OK</v>
      </c>
      <c r="H222" s="153" t="b">
        <v>1</v>
      </c>
    </row>
    <row r="223" spans="1:8" x14ac:dyDescent="0.3">
      <c r="A223" s="153" t="s">
        <v>2634</v>
      </c>
      <c r="B223" s="153" t="s">
        <v>3604</v>
      </c>
      <c r="C223" s="153" t="s">
        <v>2126</v>
      </c>
      <c r="D223" s="153">
        <v>11146.7569483966</v>
      </c>
      <c r="E223" s="153">
        <v>11146.7569483966</v>
      </c>
      <c r="F223" s="153">
        <f t="shared" si="6"/>
        <v>0</v>
      </c>
      <c r="G223" s="153" t="str">
        <f t="shared" si="7"/>
        <v>OK</v>
      </c>
      <c r="H223" s="153" t="b">
        <v>1</v>
      </c>
    </row>
    <row r="224" spans="1:8" x14ac:dyDescent="0.3">
      <c r="A224" s="153" t="s">
        <v>2636</v>
      </c>
      <c r="B224" s="153" t="s">
        <v>3604</v>
      </c>
      <c r="C224" s="153" t="s">
        <v>2128</v>
      </c>
      <c r="D224" s="153">
        <v>-8306.7569483965999</v>
      </c>
      <c r="E224" s="153">
        <v>-8306.7569483965999</v>
      </c>
      <c r="F224" s="153">
        <f t="shared" si="6"/>
        <v>0</v>
      </c>
      <c r="G224" s="153" t="str">
        <f t="shared" si="7"/>
        <v>OK</v>
      </c>
      <c r="H224" s="153" t="b">
        <v>1</v>
      </c>
    </row>
    <row r="225" spans="1:8" x14ac:dyDescent="0.3">
      <c r="A225" s="153" t="s">
        <v>2638</v>
      </c>
      <c r="B225" s="153" t="s">
        <v>3604</v>
      </c>
      <c r="C225" s="153" t="s">
        <v>2130</v>
      </c>
      <c r="D225" s="153">
        <v>5.0587499999999999</v>
      </c>
      <c r="E225" s="153">
        <v>5.0587499999999999</v>
      </c>
      <c r="F225" s="153">
        <f t="shared" si="6"/>
        <v>0</v>
      </c>
      <c r="G225" s="153" t="str">
        <f t="shared" si="7"/>
        <v>OK</v>
      </c>
      <c r="H225" s="153" t="b">
        <v>1</v>
      </c>
    </row>
    <row r="226" spans="1:8" x14ac:dyDescent="0.3">
      <c r="A226" s="153" t="s">
        <v>2640</v>
      </c>
      <c r="B226" s="153" t="s">
        <v>3604</v>
      </c>
      <c r="C226" s="153" t="s">
        <v>2132</v>
      </c>
      <c r="D226" s="153">
        <v>163.55156135956389</v>
      </c>
      <c r="E226" s="153">
        <v>163.55156135956389</v>
      </c>
      <c r="F226" s="153">
        <f t="shared" si="6"/>
        <v>0</v>
      </c>
      <c r="G226" s="153" t="str">
        <f t="shared" si="7"/>
        <v>OK</v>
      </c>
      <c r="H226" s="153" t="b">
        <v>1</v>
      </c>
    </row>
    <row r="227" spans="1:8" x14ac:dyDescent="0.3">
      <c r="A227" s="153" t="s">
        <v>2642</v>
      </c>
      <c r="B227" s="153" t="s">
        <v>3604</v>
      </c>
      <c r="C227" s="153" t="s">
        <v>2134</v>
      </c>
      <c r="D227" s="153">
        <v>10983.20538703704</v>
      </c>
      <c r="E227" s="153">
        <v>10983.20538703704</v>
      </c>
      <c r="F227" s="153">
        <f t="shared" si="6"/>
        <v>0</v>
      </c>
      <c r="G227" s="153" t="str">
        <f t="shared" si="7"/>
        <v>OK</v>
      </c>
      <c r="H227" s="153" t="b">
        <v>1</v>
      </c>
    </row>
    <row r="228" spans="1:8" x14ac:dyDescent="0.3">
      <c r="A228" s="153" t="s">
        <v>2644</v>
      </c>
      <c r="B228" s="153" t="s">
        <v>3604</v>
      </c>
      <c r="C228" s="153" t="s">
        <v>2136</v>
      </c>
      <c r="D228" s="153">
        <v>940057.25122092862</v>
      </c>
      <c r="E228" s="153">
        <v>940057.25122092862</v>
      </c>
      <c r="F228" s="153">
        <f t="shared" si="6"/>
        <v>0</v>
      </c>
      <c r="G228" s="153" t="str">
        <f t="shared" si="7"/>
        <v>OK</v>
      </c>
      <c r="H228" s="153" t="b">
        <v>1</v>
      </c>
    </row>
    <row r="229" spans="1:8" x14ac:dyDescent="0.3">
      <c r="A229" s="153" t="s">
        <v>2646</v>
      </c>
      <c r="B229" s="153" t="s">
        <v>3604</v>
      </c>
      <c r="C229" s="153" t="s">
        <v>2138</v>
      </c>
      <c r="D229" s="153">
        <v>7840</v>
      </c>
      <c r="E229" s="153">
        <v>7840</v>
      </c>
      <c r="F229" s="153">
        <f t="shared" si="6"/>
        <v>0</v>
      </c>
      <c r="G229" s="153" t="str">
        <f t="shared" si="7"/>
        <v>OK</v>
      </c>
      <c r="H229" s="153" t="b">
        <v>1</v>
      </c>
    </row>
    <row r="230" spans="1:8" x14ac:dyDescent="0.3">
      <c r="A230" s="153" t="s">
        <v>2648</v>
      </c>
      <c r="B230" s="153" t="s">
        <v>3604</v>
      </c>
      <c r="C230" s="153" t="s">
        <v>2140</v>
      </c>
      <c r="D230" s="153">
        <v>30824.978598396599</v>
      </c>
      <c r="E230" s="153">
        <v>30824.978598396599</v>
      </c>
      <c r="F230" s="153">
        <f t="shared" si="6"/>
        <v>0</v>
      </c>
      <c r="G230" s="153" t="str">
        <f t="shared" si="7"/>
        <v>OK</v>
      </c>
      <c r="H230" s="153" t="b">
        <v>1</v>
      </c>
    </row>
    <row r="231" spans="1:8" x14ac:dyDescent="0.3">
      <c r="A231" s="153" t="s">
        <v>2650</v>
      </c>
      <c r="B231" s="153" t="s">
        <v>3604</v>
      </c>
      <c r="C231" s="153" t="s">
        <v>2142</v>
      </c>
      <c r="D231" s="153">
        <v>917072.27262253198</v>
      </c>
      <c r="E231" s="153">
        <v>917072.27262253198</v>
      </c>
      <c r="F231" s="153">
        <f t="shared" si="6"/>
        <v>0</v>
      </c>
      <c r="G231" s="153" t="str">
        <f t="shared" si="7"/>
        <v>OK</v>
      </c>
      <c r="H231" s="153" t="b">
        <v>1</v>
      </c>
    </row>
    <row r="232" spans="1:8" x14ac:dyDescent="0.3">
      <c r="A232" s="153" t="s">
        <v>2652</v>
      </c>
      <c r="B232" s="153" t="s">
        <v>3604</v>
      </c>
      <c r="C232" s="153" t="s">
        <v>2144</v>
      </c>
      <c r="D232" s="153">
        <v>940057.25122092862</v>
      </c>
      <c r="E232" s="153">
        <v>940057.25122092862</v>
      </c>
      <c r="F232" s="153">
        <f t="shared" si="6"/>
        <v>0</v>
      </c>
      <c r="G232" s="153" t="str">
        <f t="shared" si="7"/>
        <v>OK</v>
      </c>
      <c r="H232" s="153" t="b">
        <v>1</v>
      </c>
    </row>
    <row r="233" spans="1:8" x14ac:dyDescent="0.3">
      <c r="A233" s="153" t="s">
        <v>2654</v>
      </c>
      <c r="B233" s="153" t="s">
        <v>3604</v>
      </c>
      <c r="C233" s="153" t="s">
        <v>2146</v>
      </c>
      <c r="D233" s="153">
        <v>2840</v>
      </c>
      <c r="E233" s="153">
        <v>2840</v>
      </c>
      <c r="F233" s="153">
        <f t="shared" si="6"/>
        <v>0</v>
      </c>
      <c r="G233" s="153" t="str">
        <f t="shared" si="7"/>
        <v>OK</v>
      </c>
      <c r="H233" s="153" t="b">
        <v>1</v>
      </c>
    </row>
    <row r="234" spans="1:8" x14ac:dyDescent="0.3">
      <c r="A234" s="153" t="s">
        <v>2656</v>
      </c>
      <c r="B234" s="153" t="s">
        <v>3604</v>
      </c>
      <c r="C234" s="153" t="s">
        <v>2148</v>
      </c>
      <c r="D234" s="153">
        <v>30824.978598396599</v>
      </c>
      <c r="E234" s="153">
        <v>30824.978598396599</v>
      </c>
      <c r="F234" s="153">
        <f t="shared" si="6"/>
        <v>0</v>
      </c>
      <c r="G234" s="153" t="str">
        <f t="shared" si="7"/>
        <v>OK</v>
      </c>
      <c r="H234" s="153" t="b">
        <v>1</v>
      </c>
    </row>
    <row r="235" spans="1:8" x14ac:dyDescent="0.3">
      <c r="A235" s="153" t="s">
        <v>2658</v>
      </c>
      <c r="B235" s="153" t="s">
        <v>3604</v>
      </c>
      <c r="C235" s="153" t="s">
        <v>2150</v>
      </c>
      <c r="D235" s="153">
        <v>0</v>
      </c>
      <c r="E235" s="153">
        <v>0</v>
      </c>
      <c r="F235" s="153">
        <f t="shared" si="6"/>
        <v>0</v>
      </c>
      <c r="G235" s="153" t="str">
        <f t="shared" si="7"/>
        <v>OK</v>
      </c>
      <c r="H235" s="153" t="b">
        <v>1</v>
      </c>
    </row>
    <row r="236" spans="1:8" x14ac:dyDescent="0.3">
      <c r="A236" s="153" t="s">
        <v>2660</v>
      </c>
      <c r="B236" s="153" t="s">
        <v>3604</v>
      </c>
      <c r="C236" s="153" t="s">
        <v>2152</v>
      </c>
      <c r="D236" s="153">
        <v>5000</v>
      </c>
      <c r="E236" s="153">
        <v>5000</v>
      </c>
      <c r="F236" s="153">
        <f t="shared" si="6"/>
        <v>0</v>
      </c>
      <c r="G236" s="153" t="str">
        <f t="shared" si="7"/>
        <v>OK</v>
      </c>
      <c r="H236" s="153" t="b">
        <v>1</v>
      </c>
    </row>
    <row r="237" spans="1:8" x14ac:dyDescent="0.3">
      <c r="A237" s="153" t="s">
        <v>2662</v>
      </c>
      <c r="B237" s="153" t="s">
        <v>3604</v>
      </c>
      <c r="C237" s="153" t="s">
        <v>2154</v>
      </c>
      <c r="D237" s="153">
        <v>-27984.978598396599</v>
      </c>
      <c r="E237" s="153">
        <v>-27984.978598396599</v>
      </c>
      <c r="F237" s="153">
        <f t="shared" si="6"/>
        <v>0</v>
      </c>
      <c r="G237" s="153" t="str">
        <f t="shared" si="7"/>
        <v>OK</v>
      </c>
      <c r="H237" s="153" t="b">
        <v>1</v>
      </c>
    </row>
    <row r="238" spans="1:8" x14ac:dyDescent="0.3">
      <c r="A238" s="153" t="s">
        <v>2664</v>
      </c>
      <c r="B238" s="153" t="s">
        <v>3604</v>
      </c>
      <c r="C238" s="153" t="s">
        <v>2156</v>
      </c>
      <c r="D238" s="153">
        <v>0</v>
      </c>
      <c r="E238" s="153">
        <v>0</v>
      </c>
      <c r="F238" s="153">
        <f t="shared" si="6"/>
        <v>0</v>
      </c>
      <c r="G238" s="153" t="str">
        <f t="shared" si="7"/>
        <v>OK</v>
      </c>
      <c r="H238" s="153" t="b">
        <v>1</v>
      </c>
    </row>
    <row r="239" spans="1:8" x14ac:dyDescent="0.3">
      <c r="A239" s="153" t="s">
        <v>2666</v>
      </c>
      <c r="B239" s="153" t="s">
        <v>3604</v>
      </c>
      <c r="C239" s="153" t="s">
        <v>2158</v>
      </c>
      <c r="D239" s="153">
        <v>-22984.978598396639</v>
      </c>
      <c r="E239" s="153">
        <v>-22984.978598396639</v>
      </c>
      <c r="F239" s="153">
        <f t="shared" si="6"/>
        <v>0</v>
      </c>
      <c r="G239" s="153" t="str">
        <f t="shared" si="7"/>
        <v>OK</v>
      </c>
      <c r="H239" s="153" t="b">
        <v>1</v>
      </c>
    </row>
    <row r="240" spans="1:8" x14ac:dyDescent="0.3">
      <c r="A240" s="153" t="s">
        <v>2668</v>
      </c>
      <c r="B240" s="153" t="s">
        <v>3604</v>
      </c>
      <c r="C240" s="153" t="s">
        <v>2160</v>
      </c>
      <c r="D240" s="153">
        <v>917072.27262253198</v>
      </c>
      <c r="E240" s="153">
        <v>917072.27262253198</v>
      </c>
      <c r="F240" s="153">
        <f t="shared" si="6"/>
        <v>0</v>
      </c>
      <c r="G240" s="153" t="str">
        <f t="shared" si="7"/>
        <v>OK</v>
      </c>
      <c r="H240" s="153" t="b">
        <v>1</v>
      </c>
    </row>
    <row r="241" spans="1:8" x14ac:dyDescent="0.3">
      <c r="A241" s="153" t="s">
        <v>2670</v>
      </c>
      <c r="B241" s="153" t="s">
        <v>3604</v>
      </c>
      <c r="C241" s="153" t="s">
        <v>2162</v>
      </c>
      <c r="D241" s="153">
        <v>917072.27262253198</v>
      </c>
      <c r="E241" s="153">
        <v>917072.27262253198</v>
      </c>
      <c r="F241" s="153">
        <f t="shared" si="6"/>
        <v>0</v>
      </c>
      <c r="G241" s="153" t="str">
        <f t="shared" si="7"/>
        <v>OK</v>
      </c>
      <c r="H241" s="153" t="b">
        <v>1</v>
      </c>
    </row>
    <row r="242" spans="1:8" x14ac:dyDescent="0.3">
      <c r="A242" s="153" t="s">
        <v>2672</v>
      </c>
      <c r="B242" s="153" t="s">
        <v>3604</v>
      </c>
      <c r="C242" s="153" t="s">
        <v>2164</v>
      </c>
      <c r="D242" s="153">
        <v>7425.7574999999997</v>
      </c>
      <c r="E242" s="153">
        <v>7425.7574999999997</v>
      </c>
      <c r="F242" s="153">
        <f t="shared" si="6"/>
        <v>0</v>
      </c>
      <c r="G242" s="153" t="str">
        <f t="shared" si="7"/>
        <v>OK</v>
      </c>
      <c r="H242" s="153" t="b">
        <v>1</v>
      </c>
    </row>
    <row r="243" spans="1:8" x14ac:dyDescent="0.3">
      <c r="A243" s="153" t="s">
        <v>2674</v>
      </c>
      <c r="B243" s="153" t="s">
        <v>3604</v>
      </c>
      <c r="C243" s="153" t="s">
        <v>2166</v>
      </c>
      <c r="D243" s="153">
        <v>59049.841200000003</v>
      </c>
      <c r="E243" s="153">
        <v>59049.841200000003</v>
      </c>
      <c r="F243" s="153">
        <f t="shared" si="6"/>
        <v>0</v>
      </c>
      <c r="G243" s="153" t="str">
        <f t="shared" si="7"/>
        <v>OK</v>
      </c>
      <c r="H243" s="153" t="b">
        <v>1</v>
      </c>
    </row>
    <row r="244" spans="1:8" x14ac:dyDescent="0.3">
      <c r="A244" s="153" t="s">
        <v>2676</v>
      </c>
      <c r="B244" s="153" t="s">
        <v>3604</v>
      </c>
      <c r="C244" s="153" t="s">
        <v>2168</v>
      </c>
      <c r="D244" s="153">
        <v>983547.87132253195</v>
      </c>
      <c r="E244" s="153">
        <v>983547.87132253195</v>
      </c>
      <c r="F244" s="153">
        <f t="shared" si="6"/>
        <v>0</v>
      </c>
      <c r="G244" s="153" t="str">
        <f t="shared" si="7"/>
        <v>OK</v>
      </c>
      <c r="H244" s="153" t="b">
        <v>1</v>
      </c>
    </row>
    <row r="245" spans="1:8" x14ac:dyDescent="0.3">
      <c r="A245" s="153" t="s">
        <v>2678</v>
      </c>
      <c r="B245" s="153" t="s">
        <v>3604</v>
      </c>
      <c r="C245" s="153" t="s">
        <v>2170</v>
      </c>
      <c r="D245" s="153">
        <v>10000</v>
      </c>
      <c r="E245" s="153">
        <v>10000</v>
      </c>
      <c r="F245" s="153">
        <f t="shared" si="6"/>
        <v>0</v>
      </c>
      <c r="G245" s="153" t="str">
        <f t="shared" si="7"/>
        <v>OK</v>
      </c>
      <c r="H245" s="153" t="b">
        <v>1</v>
      </c>
    </row>
    <row r="246" spans="1:8" x14ac:dyDescent="0.3">
      <c r="A246" s="153" t="s">
        <v>2680</v>
      </c>
      <c r="B246" s="153" t="s">
        <v>3604</v>
      </c>
      <c r="C246" s="153" t="s">
        <v>2172</v>
      </c>
      <c r="D246" s="153">
        <v>973547.87132253195</v>
      </c>
      <c r="E246" s="153">
        <v>973547.87132253195</v>
      </c>
      <c r="F246" s="153">
        <f t="shared" si="6"/>
        <v>0</v>
      </c>
      <c r="G246" s="153" t="str">
        <f t="shared" si="7"/>
        <v>OK</v>
      </c>
      <c r="H246" s="153" t="b">
        <v>1</v>
      </c>
    </row>
    <row r="247" spans="1:8" x14ac:dyDescent="0.3">
      <c r="A247" s="153" t="s">
        <v>2682</v>
      </c>
      <c r="B247" s="153" t="s">
        <v>3604</v>
      </c>
      <c r="C247" s="153" t="s">
        <v>2174</v>
      </c>
      <c r="D247" s="153">
        <v>983547.87132253195</v>
      </c>
      <c r="E247" s="153">
        <v>983547.87132253195</v>
      </c>
      <c r="F247" s="153">
        <f t="shared" si="6"/>
        <v>0</v>
      </c>
      <c r="G247" s="153" t="str">
        <f t="shared" si="7"/>
        <v>OK</v>
      </c>
      <c r="H247" s="153" t="b">
        <v>1</v>
      </c>
    </row>
    <row r="248" spans="1:8" x14ac:dyDescent="0.3">
      <c r="A248" s="153" t="s">
        <v>2684</v>
      </c>
      <c r="B248" s="153" t="s">
        <v>3604</v>
      </c>
      <c r="C248" s="153" t="s">
        <v>2176</v>
      </c>
      <c r="D248" s="153">
        <v>5000</v>
      </c>
      <c r="E248" s="153">
        <v>5000</v>
      </c>
      <c r="F248" s="153">
        <f t="shared" si="6"/>
        <v>0</v>
      </c>
      <c r="G248" s="153" t="str">
        <f t="shared" si="7"/>
        <v>OK</v>
      </c>
      <c r="H248" s="153" t="b">
        <v>1</v>
      </c>
    </row>
    <row r="249" spans="1:8" x14ac:dyDescent="0.3">
      <c r="A249" s="153" t="s">
        <v>2686</v>
      </c>
      <c r="B249" s="153" t="s">
        <v>3604</v>
      </c>
      <c r="C249" s="153" t="s">
        <v>2178</v>
      </c>
      <c r="D249" s="153">
        <v>23</v>
      </c>
      <c r="E249" s="153">
        <v>23</v>
      </c>
      <c r="F249" s="153">
        <f t="shared" si="6"/>
        <v>0</v>
      </c>
      <c r="G249" s="153" t="str">
        <f t="shared" si="7"/>
        <v>OK</v>
      </c>
      <c r="H249" s="153" t="b">
        <v>1</v>
      </c>
    </row>
    <row r="250" spans="1:8" x14ac:dyDescent="0.3">
      <c r="A250" s="153" t="s">
        <v>2688</v>
      </c>
      <c r="B250" s="153" t="s">
        <v>3604</v>
      </c>
      <c r="C250" s="153" t="s">
        <v>2180</v>
      </c>
      <c r="D250" s="153">
        <v>10000</v>
      </c>
      <c r="E250" s="153">
        <v>10000</v>
      </c>
      <c r="F250" s="153">
        <f t="shared" si="6"/>
        <v>0</v>
      </c>
      <c r="G250" s="153" t="str">
        <f t="shared" si="7"/>
        <v>OK</v>
      </c>
      <c r="H250" s="153" t="b">
        <v>1</v>
      </c>
    </row>
    <row r="251" spans="1:8" x14ac:dyDescent="0.3">
      <c r="A251" s="153" t="s">
        <v>2690</v>
      </c>
      <c r="B251" s="153" t="s">
        <v>3604</v>
      </c>
      <c r="C251" s="153" t="s">
        <v>2182</v>
      </c>
      <c r="D251" s="153">
        <v>0</v>
      </c>
      <c r="E251" s="153">
        <v>0</v>
      </c>
      <c r="F251" s="153">
        <f t="shared" si="6"/>
        <v>0</v>
      </c>
      <c r="G251" s="153" t="str">
        <f t="shared" si="7"/>
        <v>OK</v>
      </c>
      <c r="H251" s="153" t="b">
        <v>1</v>
      </c>
    </row>
    <row r="252" spans="1:8" x14ac:dyDescent="0.3">
      <c r="A252" s="153" t="s">
        <v>2692</v>
      </c>
      <c r="B252" s="153" t="s">
        <v>3604</v>
      </c>
      <c r="C252" s="153" t="s">
        <v>2184</v>
      </c>
      <c r="D252" s="153">
        <v>1.6355156135956391E-2</v>
      </c>
      <c r="E252" s="153">
        <v>1.6355156135956391E-2</v>
      </c>
      <c r="F252" s="153">
        <f t="shared" si="6"/>
        <v>0</v>
      </c>
      <c r="G252" s="153" t="str">
        <f t="shared" si="7"/>
        <v>OK</v>
      </c>
      <c r="H252" s="153" t="b">
        <v>1</v>
      </c>
    </row>
    <row r="253" spans="1:8" x14ac:dyDescent="0.3">
      <c r="A253" s="153" t="s">
        <v>2694</v>
      </c>
      <c r="B253" s="153" t="s">
        <v>3604</v>
      </c>
      <c r="C253" s="153" t="s">
        <v>2186</v>
      </c>
      <c r="D253" s="153">
        <v>163.55156135956389</v>
      </c>
      <c r="E253" s="153">
        <v>163.55156135956389</v>
      </c>
      <c r="F253" s="153">
        <f t="shared" si="6"/>
        <v>0</v>
      </c>
      <c r="G253" s="153" t="str">
        <f t="shared" si="7"/>
        <v>OK</v>
      </c>
      <c r="H253" s="153" t="b">
        <v>1</v>
      </c>
    </row>
  </sheetData>
  <autoFilter ref="A1:H253" xr:uid="{00000000-0009-0000-0000-000012000000}"/>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9"/>
  <sheetViews>
    <sheetView workbookViewId="0">
      <pane xSplit="3" ySplit="1" topLeftCell="D2" activePane="bottomRight" state="frozen"/>
      <selection pane="topRight"/>
      <selection pane="bottomLeft"/>
      <selection pane="bottomRight"/>
    </sheetView>
  </sheetViews>
  <sheetFormatPr baseColWidth="10" defaultColWidth="8.88671875" defaultRowHeight="14.4" x14ac:dyDescent="0.3"/>
  <cols>
    <col min="1" max="1" width="42" customWidth="1"/>
    <col min="2" max="2" width="28" customWidth="1"/>
    <col min="3" max="3" width="14" customWidth="1"/>
    <col min="4" max="5" width="24" customWidth="1"/>
    <col min="6" max="6" width="20" customWidth="1"/>
    <col min="7" max="7" width="22" customWidth="1"/>
  </cols>
  <sheetData>
    <row r="1" spans="1:8" x14ac:dyDescent="0.3">
      <c r="A1" s="154" t="s">
        <v>653</v>
      </c>
      <c r="B1" s="154" t="s">
        <v>654</v>
      </c>
      <c r="C1" s="154" t="s">
        <v>655</v>
      </c>
      <c r="D1" s="154" t="s">
        <v>656</v>
      </c>
      <c r="E1" s="154" t="s">
        <v>657</v>
      </c>
      <c r="F1" s="154" t="s">
        <v>658</v>
      </c>
      <c r="G1" s="154" t="s">
        <v>659</v>
      </c>
      <c r="H1" s="154" t="s">
        <v>660</v>
      </c>
    </row>
    <row r="2" spans="1:8" x14ac:dyDescent="0.3">
      <c r="A2" s="153" t="s">
        <v>3605</v>
      </c>
      <c r="B2" s="153" t="s">
        <v>3606</v>
      </c>
      <c r="C2" s="153" t="s">
        <v>3607</v>
      </c>
      <c r="D2" s="153" t="b">
        <v>1</v>
      </c>
      <c r="E2" s="153" t="b">
        <v>1</v>
      </c>
      <c r="F2" s="153">
        <f t="shared" ref="F2:F29" si="0">IF(NOT(H2),"",IF(AND(ISNUMBER(D2),ISNUMBER(E2)),E2-D2,IF(D2=E2,0,1)))</f>
        <v>0</v>
      </c>
      <c r="G2" s="153" t="str">
        <f t="shared" ref="G2:G29" si="1">IF(NOT(H2),"PENDIENTE SIDE",IF(IF(AND(ISNUMBER(D2),ISNUMBER(E2)),IF(MOD(D2,1)=0,D2=E2,ABS(D2-E2)&lt;=0.000000001*MAX(1,ABS(D2),ABS(E2))),D2=E2),"OK","DIFERENCIA"))</f>
        <v>OK</v>
      </c>
      <c r="H2" s="153" t="b">
        <v>1</v>
      </c>
    </row>
    <row r="3" spans="1:8" x14ac:dyDescent="0.3">
      <c r="A3" s="153" t="s">
        <v>3608</v>
      </c>
      <c r="B3" s="153" t="s">
        <v>3606</v>
      </c>
      <c r="C3" s="153" t="s">
        <v>3609</v>
      </c>
      <c r="D3" s="153">
        <v>0.65</v>
      </c>
      <c r="E3" s="153">
        <v>0.65</v>
      </c>
      <c r="F3" s="153">
        <f t="shared" si="0"/>
        <v>0</v>
      </c>
      <c r="G3" s="153" t="str">
        <f t="shared" si="1"/>
        <v>OK</v>
      </c>
      <c r="H3" s="153" t="b">
        <v>1</v>
      </c>
    </row>
    <row r="4" spans="1:8" x14ac:dyDescent="0.3">
      <c r="A4" s="153" t="s">
        <v>3610</v>
      </c>
      <c r="B4" s="153" t="s">
        <v>3606</v>
      </c>
      <c r="C4" s="153" t="s">
        <v>3611</v>
      </c>
      <c r="D4" s="153" t="s">
        <v>576</v>
      </c>
      <c r="E4" s="153" t="s">
        <v>576</v>
      </c>
      <c r="F4" s="153">
        <f t="shared" si="0"/>
        <v>0</v>
      </c>
      <c r="G4" s="153" t="str">
        <f t="shared" si="1"/>
        <v>OK</v>
      </c>
      <c r="H4" s="153" t="b">
        <v>1</v>
      </c>
    </row>
    <row r="5" spans="1:8" x14ac:dyDescent="0.3">
      <c r="A5" s="153" t="s">
        <v>3612</v>
      </c>
      <c r="B5" s="153" t="s">
        <v>3606</v>
      </c>
      <c r="C5" s="153" t="s">
        <v>3613</v>
      </c>
      <c r="D5" s="153" t="b">
        <v>0</v>
      </c>
      <c r="E5" s="153" t="b">
        <v>0</v>
      </c>
      <c r="F5" s="153">
        <f t="shared" si="0"/>
        <v>0</v>
      </c>
      <c r="G5" s="153" t="str">
        <f t="shared" si="1"/>
        <v>OK</v>
      </c>
      <c r="H5" s="153" t="b">
        <v>1</v>
      </c>
    </row>
    <row r="6" spans="1:8" x14ac:dyDescent="0.3">
      <c r="A6" s="153" t="s">
        <v>3614</v>
      </c>
      <c r="B6" s="153" t="s">
        <v>3606</v>
      </c>
      <c r="C6" s="153" t="s">
        <v>3615</v>
      </c>
      <c r="D6" s="153">
        <v>1</v>
      </c>
      <c r="E6" s="153">
        <v>1</v>
      </c>
      <c r="F6" s="153">
        <f t="shared" si="0"/>
        <v>0</v>
      </c>
      <c r="G6" s="153" t="str">
        <f t="shared" si="1"/>
        <v>OK</v>
      </c>
      <c r="H6" s="153" t="b">
        <v>1</v>
      </c>
    </row>
    <row r="7" spans="1:8" x14ac:dyDescent="0.3">
      <c r="A7" s="153" t="s">
        <v>3616</v>
      </c>
      <c r="B7" s="153" t="s">
        <v>3606</v>
      </c>
      <c r="C7" s="153" t="s">
        <v>3617</v>
      </c>
      <c r="D7" s="153"/>
      <c r="E7" s="153"/>
      <c r="F7" s="153">
        <f t="shared" si="0"/>
        <v>0</v>
      </c>
      <c r="G7" s="153" t="str">
        <f t="shared" si="1"/>
        <v>OK</v>
      </c>
      <c r="H7" s="153" t="b">
        <v>1</v>
      </c>
    </row>
    <row r="8" spans="1:8" x14ac:dyDescent="0.3">
      <c r="A8" s="153" t="s">
        <v>3618</v>
      </c>
      <c r="B8" s="153" t="s">
        <v>3606</v>
      </c>
      <c r="C8" s="153" t="s">
        <v>3619</v>
      </c>
      <c r="D8" s="153" t="b">
        <v>1</v>
      </c>
      <c r="E8" s="153" t="b">
        <v>1</v>
      </c>
      <c r="F8" s="153">
        <f t="shared" si="0"/>
        <v>0</v>
      </c>
      <c r="G8" s="153" t="str">
        <f t="shared" si="1"/>
        <v>OK</v>
      </c>
      <c r="H8" s="153" t="b">
        <v>1</v>
      </c>
    </row>
    <row r="9" spans="1:8" x14ac:dyDescent="0.3">
      <c r="A9" s="153" t="s">
        <v>3620</v>
      </c>
      <c r="B9" s="153" t="s">
        <v>3606</v>
      </c>
      <c r="C9" s="153" t="s">
        <v>3621</v>
      </c>
      <c r="D9" s="153">
        <v>0.7</v>
      </c>
      <c r="E9" s="153">
        <v>0.7</v>
      </c>
      <c r="F9" s="153">
        <f t="shared" si="0"/>
        <v>0</v>
      </c>
      <c r="G9" s="153" t="str">
        <f t="shared" si="1"/>
        <v>OK</v>
      </c>
      <c r="H9" s="153" t="b">
        <v>1</v>
      </c>
    </row>
    <row r="10" spans="1:8" x14ac:dyDescent="0.3">
      <c r="A10" s="153" t="s">
        <v>3622</v>
      </c>
      <c r="B10" s="153" t="s">
        <v>3606</v>
      </c>
      <c r="C10" s="153" t="s">
        <v>3623</v>
      </c>
      <c r="D10" s="153" t="s">
        <v>584</v>
      </c>
      <c r="E10" s="153" t="s">
        <v>584</v>
      </c>
      <c r="F10" s="153">
        <f t="shared" si="0"/>
        <v>0</v>
      </c>
      <c r="G10" s="153" t="str">
        <f t="shared" si="1"/>
        <v>OK</v>
      </c>
      <c r="H10" s="153" t="b">
        <v>1</v>
      </c>
    </row>
    <row r="11" spans="1:8" x14ac:dyDescent="0.3">
      <c r="A11" s="153" t="s">
        <v>3624</v>
      </c>
      <c r="B11" s="153" t="s">
        <v>3606</v>
      </c>
      <c r="C11" s="153" t="s">
        <v>3625</v>
      </c>
      <c r="D11" s="153" t="b">
        <v>1</v>
      </c>
      <c r="E11" s="153" t="b">
        <v>1</v>
      </c>
      <c r="F11" s="153">
        <f t="shared" si="0"/>
        <v>0</v>
      </c>
      <c r="G11" s="153" t="str">
        <f t="shared" si="1"/>
        <v>OK</v>
      </c>
      <c r="H11" s="153" t="b">
        <v>1</v>
      </c>
    </row>
    <row r="12" spans="1:8" x14ac:dyDescent="0.3">
      <c r="A12" s="153" t="s">
        <v>3626</v>
      </c>
      <c r="B12" s="153" t="s">
        <v>3606</v>
      </c>
      <c r="C12" s="153" t="s">
        <v>3627</v>
      </c>
      <c r="D12" s="153">
        <v>0.8</v>
      </c>
      <c r="E12" s="153">
        <v>0.8</v>
      </c>
      <c r="F12" s="153">
        <f t="shared" si="0"/>
        <v>0</v>
      </c>
      <c r="G12" s="153" t="str">
        <f t="shared" si="1"/>
        <v>OK</v>
      </c>
      <c r="H12" s="153" t="b">
        <v>1</v>
      </c>
    </row>
    <row r="13" spans="1:8" x14ac:dyDescent="0.3">
      <c r="A13" s="153" t="s">
        <v>3628</v>
      </c>
      <c r="B13" s="153" t="s">
        <v>3606</v>
      </c>
      <c r="C13" s="153" t="s">
        <v>3629</v>
      </c>
      <c r="D13" s="153" t="s">
        <v>588</v>
      </c>
      <c r="E13" s="153" t="s">
        <v>588</v>
      </c>
      <c r="F13" s="153">
        <f t="shared" si="0"/>
        <v>0</v>
      </c>
      <c r="G13" s="153" t="str">
        <f t="shared" si="1"/>
        <v>OK</v>
      </c>
      <c r="H13" s="153" t="b">
        <v>1</v>
      </c>
    </row>
    <row r="14" spans="1:8" x14ac:dyDescent="0.3">
      <c r="A14" s="153" t="s">
        <v>3630</v>
      </c>
      <c r="B14" s="153" t="s">
        <v>3606</v>
      </c>
      <c r="C14" s="153" t="s">
        <v>1095</v>
      </c>
      <c r="D14" s="153" t="b">
        <v>1</v>
      </c>
      <c r="E14" s="153" t="b">
        <v>1</v>
      </c>
      <c r="F14" s="153">
        <f t="shared" si="0"/>
        <v>0</v>
      </c>
      <c r="G14" s="153" t="str">
        <f t="shared" si="1"/>
        <v>OK</v>
      </c>
      <c r="H14" s="153" t="b">
        <v>1</v>
      </c>
    </row>
    <row r="15" spans="1:8" x14ac:dyDescent="0.3">
      <c r="A15" s="153" t="s">
        <v>3631</v>
      </c>
      <c r="B15" s="153" t="s">
        <v>3606</v>
      </c>
      <c r="C15" s="153" t="s">
        <v>3632</v>
      </c>
      <c r="D15" s="153">
        <v>3</v>
      </c>
      <c r="E15" s="153">
        <v>3</v>
      </c>
      <c r="F15" s="153">
        <f t="shared" si="0"/>
        <v>0</v>
      </c>
      <c r="G15" s="153" t="str">
        <f t="shared" si="1"/>
        <v>OK</v>
      </c>
      <c r="H15" s="153" t="b">
        <v>1</v>
      </c>
    </row>
    <row r="16" spans="1:8" x14ac:dyDescent="0.3">
      <c r="A16" s="153" t="s">
        <v>3633</v>
      </c>
      <c r="B16" s="153" t="s">
        <v>3606</v>
      </c>
      <c r="C16" s="153" t="s">
        <v>3634</v>
      </c>
      <c r="D16" s="153" t="s">
        <v>593</v>
      </c>
      <c r="E16" s="153" t="s">
        <v>593</v>
      </c>
      <c r="F16" s="153">
        <f t="shared" si="0"/>
        <v>0</v>
      </c>
      <c r="G16" s="153" t="str">
        <f t="shared" si="1"/>
        <v>OK</v>
      </c>
      <c r="H16" s="153" t="b">
        <v>1</v>
      </c>
    </row>
    <row r="17" spans="1:8" x14ac:dyDescent="0.3">
      <c r="A17" s="153" t="s">
        <v>3635</v>
      </c>
      <c r="B17" s="153" t="s">
        <v>3606</v>
      </c>
      <c r="C17" s="153" t="s">
        <v>3636</v>
      </c>
      <c r="D17" s="153" t="b">
        <v>1</v>
      </c>
      <c r="E17" s="153" t="b">
        <v>1</v>
      </c>
      <c r="F17" s="153">
        <f t="shared" si="0"/>
        <v>0</v>
      </c>
      <c r="G17" s="153" t="str">
        <f t="shared" si="1"/>
        <v>OK</v>
      </c>
      <c r="H17" s="153" t="b">
        <v>1</v>
      </c>
    </row>
    <row r="18" spans="1:8" x14ac:dyDescent="0.3">
      <c r="A18" s="153" t="s">
        <v>3637</v>
      </c>
      <c r="B18" s="153" t="s">
        <v>3606</v>
      </c>
      <c r="C18" s="153" t="s">
        <v>3638</v>
      </c>
      <c r="D18" s="153">
        <v>782.82828282828291</v>
      </c>
      <c r="E18" s="153">
        <v>782.82828282828291</v>
      </c>
      <c r="F18" s="153">
        <f t="shared" si="0"/>
        <v>0</v>
      </c>
      <c r="G18" s="153" t="str">
        <f t="shared" si="1"/>
        <v>OK</v>
      </c>
      <c r="H18" s="153" t="b">
        <v>1</v>
      </c>
    </row>
    <row r="19" spans="1:8" x14ac:dyDescent="0.3">
      <c r="A19" s="153" t="s">
        <v>3639</v>
      </c>
      <c r="B19" s="153" t="s">
        <v>3606</v>
      </c>
      <c r="C19" s="153" t="s">
        <v>3640</v>
      </c>
      <c r="D19" s="153" t="s">
        <v>598</v>
      </c>
      <c r="E19" s="153" t="s">
        <v>598</v>
      </c>
      <c r="F19" s="153">
        <f t="shared" si="0"/>
        <v>0</v>
      </c>
      <c r="G19" s="153" t="str">
        <f t="shared" si="1"/>
        <v>OK</v>
      </c>
      <c r="H19" s="153" t="b">
        <v>1</v>
      </c>
    </row>
    <row r="20" spans="1:8" x14ac:dyDescent="0.3">
      <c r="A20" s="153" t="s">
        <v>3641</v>
      </c>
      <c r="B20" s="153" t="s">
        <v>3606</v>
      </c>
      <c r="C20" s="153" t="s">
        <v>3642</v>
      </c>
      <c r="D20" s="153" t="b">
        <v>1</v>
      </c>
      <c r="E20" s="153" t="b">
        <v>1</v>
      </c>
      <c r="F20" s="153">
        <f t="shared" si="0"/>
        <v>0</v>
      </c>
      <c r="G20" s="153" t="str">
        <f t="shared" si="1"/>
        <v>OK</v>
      </c>
      <c r="H20" s="153" t="b">
        <v>1</v>
      </c>
    </row>
    <row r="21" spans="1:8" x14ac:dyDescent="0.3">
      <c r="A21" s="153" t="s">
        <v>3643</v>
      </c>
      <c r="B21" s="153" t="s">
        <v>3606</v>
      </c>
      <c r="C21" s="153" t="s">
        <v>3644</v>
      </c>
      <c r="D21" s="153">
        <v>330</v>
      </c>
      <c r="E21" s="153">
        <v>330</v>
      </c>
      <c r="F21" s="153">
        <f t="shared" si="0"/>
        <v>0</v>
      </c>
      <c r="G21" s="153" t="str">
        <f t="shared" si="1"/>
        <v>OK</v>
      </c>
      <c r="H21" s="153" t="b">
        <v>1</v>
      </c>
    </row>
    <row r="22" spans="1:8" x14ac:dyDescent="0.3">
      <c r="A22" s="153" t="s">
        <v>3645</v>
      </c>
      <c r="B22" s="153" t="s">
        <v>3606</v>
      </c>
      <c r="C22" s="153" t="s">
        <v>3646</v>
      </c>
      <c r="D22" s="153" t="s">
        <v>603</v>
      </c>
      <c r="E22" s="153" t="s">
        <v>603</v>
      </c>
      <c r="F22" s="153">
        <f t="shared" si="0"/>
        <v>0</v>
      </c>
      <c r="G22" s="153" t="str">
        <f t="shared" si="1"/>
        <v>OK</v>
      </c>
      <c r="H22" s="153" t="b">
        <v>1</v>
      </c>
    </row>
    <row r="23" spans="1:8" x14ac:dyDescent="0.3">
      <c r="A23" s="153" t="s">
        <v>3647</v>
      </c>
      <c r="B23" s="153" t="s">
        <v>3606</v>
      </c>
      <c r="C23" s="153" t="s">
        <v>1100</v>
      </c>
      <c r="D23" s="153" t="b">
        <v>1</v>
      </c>
      <c r="E23" s="153" t="b">
        <v>1</v>
      </c>
      <c r="F23" s="153">
        <f t="shared" si="0"/>
        <v>0</v>
      </c>
      <c r="G23" s="153" t="str">
        <f t="shared" si="1"/>
        <v>OK</v>
      </c>
      <c r="H23" s="153" t="b">
        <v>1</v>
      </c>
    </row>
    <row r="24" spans="1:8" x14ac:dyDescent="0.3">
      <c r="A24" s="153" t="s">
        <v>3648</v>
      </c>
      <c r="B24" s="153" t="s">
        <v>3606</v>
      </c>
      <c r="C24" s="153" t="s">
        <v>3649</v>
      </c>
      <c r="D24" s="153">
        <v>0.95</v>
      </c>
      <c r="E24" s="153">
        <v>0.95</v>
      </c>
      <c r="F24" s="153">
        <f t="shared" si="0"/>
        <v>0</v>
      </c>
      <c r="G24" s="153" t="str">
        <f t="shared" si="1"/>
        <v>OK</v>
      </c>
      <c r="H24" s="153" t="b">
        <v>1</v>
      </c>
    </row>
    <row r="25" spans="1:8" x14ac:dyDescent="0.3">
      <c r="A25" s="153" t="s">
        <v>3650</v>
      </c>
      <c r="B25" s="153" t="s">
        <v>3606</v>
      </c>
      <c r="C25" s="153" t="s">
        <v>3651</v>
      </c>
      <c r="D25" s="153" t="s">
        <v>607</v>
      </c>
      <c r="E25" s="153" t="s">
        <v>607</v>
      </c>
      <c r="F25" s="153">
        <f t="shared" si="0"/>
        <v>0</v>
      </c>
      <c r="G25" s="153" t="str">
        <f t="shared" si="1"/>
        <v>OK</v>
      </c>
      <c r="H25" s="153" t="b">
        <v>1</v>
      </c>
    </row>
    <row r="26" spans="1:8" x14ac:dyDescent="0.3">
      <c r="A26" s="153" t="s">
        <v>3652</v>
      </c>
      <c r="B26" s="153" t="s">
        <v>3606</v>
      </c>
      <c r="C26" s="153" t="s">
        <v>3653</v>
      </c>
      <c r="D26" s="153">
        <v>263</v>
      </c>
      <c r="E26" s="153">
        <v>263</v>
      </c>
      <c r="F26" s="153">
        <f t="shared" si="0"/>
        <v>0</v>
      </c>
      <c r="G26" s="153" t="str">
        <f t="shared" si="1"/>
        <v>OK</v>
      </c>
      <c r="H26" s="153" t="b">
        <v>1</v>
      </c>
    </row>
    <row r="27" spans="1:8" x14ac:dyDescent="0.3">
      <c r="A27" s="153" t="s">
        <v>3654</v>
      </c>
      <c r="B27" s="153" t="s">
        <v>3606</v>
      </c>
      <c r="C27" s="153" t="s">
        <v>3655</v>
      </c>
      <c r="D27" s="153">
        <v>-2</v>
      </c>
      <c r="E27" s="153">
        <v>-2</v>
      </c>
      <c r="F27" s="153">
        <f t="shared" si="0"/>
        <v>0</v>
      </c>
      <c r="G27" s="153" t="str">
        <f t="shared" si="1"/>
        <v>OK</v>
      </c>
      <c r="H27" s="153" t="b">
        <v>1</v>
      </c>
    </row>
    <row r="28" spans="1:8" x14ac:dyDescent="0.3">
      <c r="A28" s="153" t="s">
        <v>3656</v>
      </c>
      <c r="B28" s="153" t="s">
        <v>3606</v>
      </c>
      <c r="C28" s="153" t="s">
        <v>3657</v>
      </c>
      <c r="D28" s="153">
        <v>0.65</v>
      </c>
      <c r="E28" s="153">
        <v>0.65</v>
      </c>
      <c r="F28" s="153">
        <f t="shared" si="0"/>
        <v>0</v>
      </c>
      <c r="G28" s="153" t="str">
        <f t="shared" si="1"/>
        <v>OK</v>
      </c>
      <c r="H28" s="153" t="b">
        <v>1</v>
      </c>
    </row>
    <row r="29" spans="1:8" x14ac:dyDescent="0.3">
      <c r="A29" s="153" t="s">
        <v>3658</v>
      </c>
      <c r="B29" s="153" t="s">
        <v>3606</v>
      </c>
      <c r="C29" s="153" t="s">
        <v>3659</v>
      </c>
      <c r="D29" s="153">
        <v>2</v>
      </c>
      <c r="E29" s="153">
        <v>2</v>
      </c>
      <c r="F29" s="153">
        <f t="shared" si="0"/>
        <v>0</v>
      </c>
      <c r="G29" s="153" t="str">
        <f t="shared" si="1"/>
        <v>OK</v>
      </c>
      <c r="H29" s="153" t="b">
        <v>1</v>
      </c>
    </row>
  </sheetData>
  <autoFilter ref="A1:H29" xr:uid="{00000000-0009-0000-0000-000013000000}"/>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29"/>
  <sheetViews>
    <sheetView workbookViewId="0">
      <pane xSplit="3" ySplit="1" topLeftCell="D2" activePane="bottomRight" state="frozen"/>
      <selection pane="topRight"/>
      <selection pane="bottomLeft"/>
      <selection pane="bottomRight"/>
    </sheetView>
  </sheetViews>
  <sheetFormatPr baseColWidth="10" defaultColWidth="8.88671875" defaultRowHeight="14.4" x14ac:dyDescent="0.3"/>
  <cols>
    <col min="1" max="1" width="42" customWidth="1"/>
    <col min="2" max="2" width="28" customWidth="1"/>
    <col min="3" max="3" width="14" customWidth="1"/>
    <col min="4" max="5" width="24" customWidth="1"/>
    <col min="6" max="6" width="20" customWidth="1"/>
    <col min="7" max="7" width="22" customWidth="1"/>
  </cols>
  <sheetData>
    <row r="1" spans="1:8" x14ac:dyDescent="0.3">
      <c r="A1" s="154" t="s">
        <v>653</v>
      </c>
      <c r="B1" s="154" t="s">
        <v>654</v>
      </c>
      <c r="C1" s="154" t="s">
        <v>655</v>
      </c>
      <c r="D1" s="154" t="s">
        <v>656</v>
      </c>
      <c r="E1" s="154" t="s">
        <v>657</v>
      </c>
      <c r="F1" s="154" t="s">
        <v>658</v>
      </c>
      <c r="G1" s="154" t="s">
        <v>659</v>
      </c>
      <c r="H1" s="154" t="s">
        <v>660</v>
      </c>
    </row>
    <row r="2" spans="1:8" x14ac:dyDescent="0.3">
      <c r="A2" s="153" t="s">
        <v>3605</v>
      </c>
      <c r="B2" s="153" t="s">
        <v>3606</v>
      </c>
      <c r="C2" s="153" t="s">
        <v>3607</v>
      </c>
      <c r="D2" s="153" t="b">
        <v>0</v>
      </c>
      <c r="E2" s="153" t="b">
        <v>0</v>
      </c>
      <c r="F2" s="153">
        <f t="shared" ref="F2:F29" si="0">IF(NOT(H2),"",IF(AND(ISNUMBER(D2),ISNUMBER(E2)),E2-D2,IF(D2=E2,0,1)))</f>
        <v>0</v>
      </c>
      <c r="G2" s="153" t="str">
        <f t="shared" ref="G2:G29" si="1">IF(NOT(H2),"PENDIENTE SIDE",IF(IF(AND(ISNUMBER(D2),ISNUMBER(E2)),IF(MOD(D2,1)=0,D2=E2,ABS(D2-E2)&lt;=0.000000001*MAX(1,ABS(D2),ABS(E2))),D2=E2),"OK","DIFERENCIA"))</f>
        <v>OK</v>
      </c>
      <c r="H2" s="153" t="b">
        <v>1</v>
      </c>
    </row>
    <row r="3" spans="1:8" x14ac:dyDescent="0.3">
      <c r="A3" s="153" t="s">
        <v>3608</v>
      </c>
      <c r="B3" s="153" t="s">
        <v>3606</v>
      </c>
      <c r="C3" s="153" t="s">
        <v>3609</v>
      </c>
      <c r="D3" s="153">
        <v>1</v>
      </c>
      <c r="E3" s="153">
        <v>1</v>
      </c>
      <c r="F3" s="153">
        <f t="shared" si="0"/>
        <v>0</v>
      </c>
      <c r="G3" s="153" t="str">
        <f t="shared" si="1"/>
        <v>OK</v>
      </c>
      <c r="H3" s="153" t="b">
        <v>1</v>
      </c>
    </row>
    <row r="4" spans="1:8" x14ac:dyDescent="0.3">
      <c r="A4" s="153" t="s">
        <v>3610</v>
      </c>
      <c r="B4" s="153" t="s">
        <v>3606</v>
      </c>
      <c r="C4" s="153" t="s">
        <v>3611</v>
      </c>
      <c r="D4" s="153"/>
      <c r="E4" s="153"/>
      <c r="F4" s="153">
        <f t="shared" si="0"/>
        <v>0</v>
      </c>
      <c r="G4" s="153" t="str">
        <f t="shared" si="1"/>
        <v>OK</v>
      </c>
      <c r="H4" s="153" t="b">
        <v>1</v>
      </c>
    </row>
    <row r="5" spans="1:8" x14ac:dyDescent="0.3">
      <c r="A5" s="153" t="s">
        <v>3612</v>
      </c>
      <c r="B5" s="153" t="s">
        <v>3606</v>
      </c>
      <c r="C5" s="153" t="s">
        <v>3613</v>
      </c>
      <c r="D5" s="153" t="b">
        <v>1</v>
      </c>
      <c r="E5" s="153" t="b">
        <v>1</v>
      </c>
      <c r="F5" s="153">
        <f t="shared" si="0"/>
        <v>0</v>
      </c>
      <c r="G5" s="153" t="str">
        <f t="shared" si="1"/>
        <v>OK</v>
      </c>
      <c r="H5" s="153" t="b">
        <v>1</v>
      </c>
    </row>
    <row r="6" spans="1:8" x14ac:dyDescent="0.3">
      <c r="A6" s="153" t="s">
        <v>3614</v>
      </c>
      <c r="B6" s="153" t="s">
        <v>3606</v>
      </c>
      <c r="C6" s="153" t="s">
        <v>3615</v>
      </c>
      <c r="D6" s="153">
        <v>1.4</v>
      </c>
      <c r="E6" s="153">
        <v>1.4</v>
      </c>
      <c r="F6" s="153">
        <f t="shared" si="0"/>
        <v>0</v>
      </c>
      <c r="G6" s="153" t="str">
        <f t="shared" si="1"/>
        <v>OK</v>
      </c>
      <c r="H6" s="153" t="b">
        <v>1</v>
      </c>
    </row>
    <row r="7" spans="1:8" x14ac:dyDescent="0.3">
      <c r="A7" s="153" t="s">
        <v>3616</v>
      </c>
      <c r="B7" s="153" t="s">
        <v>3606</v>
      </c>
      <c r="C7" s="153" t="s">
        <v>3617</v>
      </c>
      <c r="D7" s="153" t="s">
        <v>580</v>
      </c>
      <c r="E7" s="153" t="s">
        <v>580</v>
      </c>
      <c r="F7" s="153">
        <f t="shared" si="0"/>
        <v>0</v>
      </c>
      <c r="G7" s="153" t="str">
        <f t="shared" si="1"/>
        <v>OK</v>
      </c>
      <c r="H7" s="153" t="b">
        <v>1</v>
      </c>
    </row>
    <row r="8" spans="1:8" x14ac:dyDescent="0.3">
      <c r="A8" s="153" t="s">
        <v>3618</v>
      </c>
      <c r="B8" s="153" t="s">
        <v>3606</v>
      </c>
      <c r="C8" s="153" t="s">
        <v>3619</v>
      </c>
      <c r="D8" s="153" t="b">
        <v>1</v>
      </c>
      <c r="E8" s="153" t="b">
        <v>1</v>
      </c>
      <c r="F8" s="153">
        <f t="shared" si="0"/>
        <v>0</v>
      </c>
      <c r="G8" s="153" t="str">
        <f t="shared" si="1"/>
        <v>OK</v>
      </c>
      <c r="H8" s="153" t="b">
        <v>1</v>
      </c>
    </row>
    <row r="9" spans="1:8" x14ac:dyDescent="0.3">
      <c r="A9" s="153" t="s">
        <v>3620</v>
      </c>
      <c r="B9" s="153" t="s">
        <v>3606</v>
      </c>
      <c r="C9" s="153" t="s">
        <v>3621</v>
      </c>
      <c r="D9" s="153">
        <v>0.7</v>
      </c>
      <c r="E9" s="153">
        <v>0.7</v>
      </c>
      <c r="F9" s="153">
        <f t="shared" si="0"/>
        <v>0</v>
      </c>
      <c r="G9" s="153" t="str">
        <f t="shared" si="1"/>
        <v>OK</v>
      </c>
      <c r="H9" s="153" t="b">
        <v>1</v>
      </c>
    </row>
    <row r="10" spans="1:8" x14ac:dyDescent="0.3">
      <c r="A10" s="153" t="s">
        <v>3622</v>
      </c>
      <c r="B10" s="153" t="s">
        <v>3606</v>
      </c>
      <c r="C10" s="153" t="s">
        <v>3623</v>
      </c>
      <c r="D10" s="153" t="s">
        <v>584</v>
      </c>
      <c r="E10" s="153" t="s">
        <v>584</v>
      </c>
      <c r="F10" s="153">
        <f t="shared" si="0"/>
        <v>0</v>
      </c>
      <c r="G10" s="153" t="str">
        <f t="shared" si="1"/>
        <v>OK</v>
      </c>
      <c r="H10" s="153" t="b">
        <v>1</v>
      </c>
    </row>
    <row r="11" spans="1:8" x14ac:dyDescent="0.3">
      <c r="A11" s="153" t="s">
        <v>3624</v>
      </c>
      <c r="B11" s="153" t="s">
        <v>3606</v>
      </c>
      <c r="C11" s="153" t="s">
        <v>3625</v>
      </c>
      <c r="D11" s="153" t="b">
        <v>0</v>
      </c>
      <c r="E11" s="153" t="b">
        <v>0</v>
      </c>
      <c r="F11" s="153">
        <f t="shared" si="0"/>
        <v>0</v>
      </c>
      <c r="G11" s="153" t="str">
        <f t="shared" si="1"/>
        <v>OK</v>
      </c>
      <c r="H11" s="153" t="b">
        <v>1</v>
      </c>
    </row>
    <row r="12" spans="1:8" x14ac:dyDescent="0.3">
      <c r="A12" s="153" t="s">
        <v>3626</v>
      </c>
      <c r="B12" s="153" t="s">
        <v>3606</v>
      </c>
      <c r="C12" s="153" t="s">
        <v>3627</v>
      </c>
      <c r="D12" s="153">
        <v>1</v>
      </c>
      <c r="E12" s="153">
        <v>1</v>
      </c>
      <c r="F12" s="153">
        <f t="shared" si="0"/>
        <v>0</v>
      </c>
      <c r="G12" s="153" t="str">
        <f t="shared" si="1"/>
        <v>OK</v>
      </c>
      <c r="H12" s="153" t="b">
        <v>1</v>
      </c>
    </row>
    <row r="13" spans="1:8" x14ac:dyDescent="0.3">
      <c r="A13" s="153" t="s">
        <v>3628</v>
      </c>
      <c r="B13" s="153" t="s">
        <v>3606</v>
      </c>
      <c r="C13" s="153" t="s">
        <v>3629</v>
      </c>
      <c r="D13" s="153"/>
      <c r="E13" s="153"/>
      <c r="F13" s="153">
        <f t="shared" si="0"/>
        <v>0</v>
      </c>
      <c r="G13" s="153" t="str">
        <f t="shared" si="1"/>
        <v>OK</v>
      </c>
      <c r="H13" s="153" t="b">
        <v>1</v>
      </c>
    </row>
    <row r="14" spans="1:8" x14ac:dyDescent="0.3">
      <c r="A14" s="153" t="s">
        <v>3630</v>
      </c>
      <c r="B14" s="153" t="s">
        <v>3606</v>
      </c>
      <c r="C14" s="153" t="s">
        <v>1095</v>
      </c>
      <c r="D14" s="153" t="b">
        <v>1</v>
      </c>
      <c r="E14" s="153" t="b">
        <v>1</v>
      </c>
      <c r="F14" s="153">
        <f t="shared" si="0"/>
        <v>0</v>
      </c>
      <c r="G14" s="153" t="str">
        <f t="shared" si="1"/>
        <v>OK</v>
      </c>
      <c r="H14" s="153" t="b">
        <v>1</v>
      </c>
    </row>
    <row r="15" spans="1:8" x14ac:dyDescent="0.3">
      <c r="A15" s="153" t="s">
        <v>3631</v>
      </c>
      <c r="B15" s="153" t="s">
        <v>3606</v>
      </c>
      <c r="C15" s="153" t="s">
        <v>3632</v>
      </c>
      <c r="D15" s="153">
        <v>3</v>
      </c>
      <c r="E15" s="153">
        <v>3</v>
      </c>
      <c r="F15" s="153">
        <f t="shared" si="0"/>
        <v>0</v>
      </c>
      <c r="G15" s="153" t="str">
        <f t="shared" si="1"/>
        <v>OK</v>
      </c>
      <c r="H15" s="153" t="b">
        <v>1</v>
      </c>
    </row>
    <row r="16" spans="1:8" x14ac:dyDescent="0.3">
      <c r="A16" s="153" t="s">
        <v>3633</v>
      </c>
      <c r="B16" s="153" t="s">
        <v>3606</v>
      </c>
      <c r="C16" s="153" t="s">
        <v>3634</v>
      </c>
      <c r="D16" s="153" t="s">
        <v>593</v>
      </c>
      <c r="E16" s="153" t="s">
        <v>593</v>
      </c>
      <c r="F16" s="153">
        <f t="shared" si="0"/>
        <v>0</v>
      </c>
      <c r="G16" s="153" t="str">
        <f t="shared" si="1"/>
        <v>OK</v>
      </c>
      <c r="H16" s="153" t="b">
        <v>1</v>
      </c>
    </row>
    <row r="17" spans="1:8" x14ac:dyDescent="0.3">
      <c r="A17" s="153" t="s">
        <v>3635</v>
      </c>
      <c r="B17" s="153" t="s">
        <v>3606</v>
      </c>
      <c r="C17" s="153" t="s">
        <v>3636</v>
      </c>
      <c r="D17" s="153" t="b">
        <v>1</v>
      </c>
      <c r="E17" s="153" t="b">
        <v>1</v>
      </c>
      <c r="F17" s="153">
        <f t="shared" si="0"/>
        <v>0</v>
      </c>
      <c r="G17" s="153" t="str">
        <f t="shared" si="1"/>
        <v>OK</v>
      </c>
      <c r="H17" s="153" t="b">
        <v>1</v>
      </c>
    </row>
    <row r="18" spans="1:8" x14ac:dyDescent="0.3">
      <c r="A18" s="153" t="s">
        <v>3637</v>
      </c>
      <c r="B18" s="153" t="s">
        <v>3606</v>
      </c>
      <c r="C18" s="153" t="s">
        <v>3638</v>
      </c>
      <c r="D18" s="153">
        <v>782.82828282828291</v>
      </c>
      <c r="E18" s="153">
        <v>782.82828282828291</v>
      </c>
      <c r="F18" s="153">
        <f t="shared" si="0"/>
        <v>0</v>
      </c>
      <c r="G18" s="153" t="str">
        <f t="shared" si="1"/>
        <v>OK</v>
      </c>
      <c r="H18" s="153" t="b">
        <v>1</v>
      </c>
    </row>
    <row r="19" spans="1:8" x14ac:dyDescent="0.3">
      <c r="A19" s="153" t="s">
        <v>3639</v>
      </c>
      <c r="B19" s="153" t="s">
        <v>3606</v>
      </c>
      <c r="C19" s="153" t="s">
        <v>3640</v>
      </c>
      <c r="D19" s="153" t="s">
        <v>598</v>
      </c>
      <c r="E19" s="153" t="s">
        <v>598</v>
      </c>
      <c r="F19" s="153">
        <f t="shared" si="0"/>
        <v>0</v>
      </c>
      <c r="G19" s="153" t="str">
        <f t="shared" si="1"/>
        <v>OK</v>
      </c>
      <c r="H19" s="153" t="b">
        <v>1</v>
      </c>
    </row>
    <row r="20" spans="1:8" x14ac:dyDescent="0.3">
      <c r="A20" s="153" t="s">
        <v>3641</v>
      </c>
      <c r="B20" s="153" t="s">
        <v>3606</v>
      </c>
      <c r="C20" s="153" t="s">
        <v>3642</v>
      </c>
      <c r="D20" s="153" t="b">
        <v>1</v>
      </c>
      <c r="E20" s="153" t="b">
        <v>1</v>
      </c>
      <c r="F20" s="153">
        <f t="shared" si="0"/>
        <v>0</v>
      </c>
      <c r="G20" s="153" t="str">
        <f t="shared" si="1"/>
        <v>OK</v>
      </c>
      <c r="H20" s="153" t="b">
        <v>1</v>
      </c>
    </row>
    <row r="21" spans="1:8" x14ac:dyDescent="0.3">
      <c r="A21" s="153" t="s">
        <v>3643</v>
      </c>
      <c r="B21" s="153" t="s">
        <v>3606</v>
      </c>
      <c r="C21" s="153" t="s">
        <v>3644</v>
      </c>
      <c r="D21" s="153">
        <v>330</v>
      </c>
      <c r="E21" s="153">
        <v>330</v>
      </c>
      <c r="F21" s="153">
        <f t="shared" si="0"/>
        <v>0</v>
      </c>
      <c r="G21" s="153" t="str">
        <f t="shared" si="1"/>
        <v>OK</v>
      </c>
      <c r="H21" s="153" t="b">
        <v>1</v>
      </c>
    </row>
    <row r="22" spans="1:8" x14ac:dyDescent="0.3">
      <c r="A22" s="153" t="s">
        <v>3645</v>
      </c>
      <c r="B22" s="153" t="s">
        <v>3606</v>
      </c>
      <c r="C22" s="153" t="s">
        <v>3646</v>
      </c>
      <c r="D22" s="153" t="s">
        <v>603</v>
      </c>
      <c r="E22" s="153" t="s">
        <v>603</v>
      </c>
      <c r="F22" s="153">
        <f t="shared" si="0"/>
        <v>0</v>
      </c>
      <c r="G22" s="153" t="str">
        <f t="shared" si="1"/>
        <v>OK</v>
      </c>
      <c r="H22" s="153" t="b">
        <v>1</v>
      </c>
    </row>
    <row r="23" spans="1:8" x14ac:dyDescent="0.3">
      <c r="A23" s="153" t="s">
        <v>3647</v>
      </c>
      <c r="B23" s="153" t="s">
        <v>3606</v>
      </c>
      <c r="C23" s="153" t="s">
        <v>1100</v>
      </c>
      <c r="D23" s="153" t="b">
        <v>1</v>
      </c>
      <c r="E23" s="153" t="b">
        <v>1</v>
      </c>
      <c r="F23" s="153">
        <f t="shared" si="0"/>
        <v>0</v>
      </c>
      <c r="G23" s="153" t="str">
        <f t="shared" si="1"/>
        <v>OK</v>
      </c>
      <c r="H23" s="153" t="b">
        <v>1</v>
      </c>
    </row>
    <row r="24" spans="1:8" x14ac:dyDescent="0.3">
      <c r="A24" s="153" t="s">
        <v>3648</v>
      </c>
      <c r="B24" s="153" t="s">
        <v>3606</v>
      </c>
      <c r="C24" s="153" t="s">
        <v>3649</v>
      </c>
      <c r="D24" s="153">
        <v>0.95</v>
      </c>
      <c r="E24" s="153">
        <v>0.95</v>
      </c>
      <c r="F24" s="153">
        <f t="shared" si="0"/>
        <v>0</v>
      </c>
      <c r="G24" s="153" t="str">
        <f t="shared" si="1"/>
        <v>OK</v>
      </c>
      <c r="H24" s="153" t="b">
        <v>1</v>
      </c>
    </row>
    <row r="25" spans="1:8" x14ac:dyDescent="0.3">
      <c r="A25" s="153" t="s">
        <v>3650</v>
      </c>
      <c r="B25" s="153" t="s">
        <v>3606</v>
      </c>
      <c r="C25" s="153" t="s">
        <v>3651</v>
      </c>
      <c r="D25" s="153" t="s">
        <v>607</v>
      </c>
      <c r="E25" s="153" t="s">
        <v>607</v>
      </c>
      <c r="F25" s="153">
        <f t="shared" si="0"/>
        <v>0</v>
      </c>
      <c r="G25" s="153" t="str">
        <f t="shared" si="1"/>
        <v>OK</v>
      </c>
      <c r="H25" s="153" t="b">
        <v>1</v>
      </c>
    </row>
    <row r="26" spans="1:8" x14ac:dyDescent="0.3">
      <c r="A26" s="153" t="s">
        <v>3652</v>
      </c>
      <c r="B26" s="153" t="s">
        <v>3606</v>
      </c>
      <c r="C26" s="153" t="s">
        <v>3653</v>
      </c>
      <c r="D26" s="153">
        <v>263</v>
      </c>
      <c r="E26" s="153">
        <v>263</v>
      </c>
      <c r="F26" s="153">
        <f t="shared" si="0"/>
        <v>0</v>
      </c>
      <c r="G26" s="153" t="str">
        <f t="shared" si="1"/>
        <v>OK</v>
      </c>
      <c r="H26" s="153" t="b">
        <v>1</v>
      </c>
    </row>
    <row r="27" spans="1:8" x14ac:dyDescent="0.3">
      <c r="A27" s="153" t="s">
        <v>3654</v>
      </c>
      <c r="B27" s="153" t="s">
        <v>3606</v>
      </c>
      <c r="C27" s="153" t="s">
        <v>3655</v>
      </c>
      <c r="D27" s="153">
        <v>2</v>
      </c>
      <c r="E27" s="153">
        <v>2</v>
      </c>
      <c r="F27" s="153">
        <f t="shared" si="0"/>
        <v>0</v>
      </c>
      <c r="G27" s="153" t="str">
        <f t="shared" si="1"/>
        <v>OK</v>
      </c>
      <c r="H27" s="153" t="b">
        <v>1</v>
      </c>
    </row>
    <row r="28" spans="1:8" x14ac:dyDescent="0.3">
      <c r="A28" s="153" t="s">
        <v>3656</v>
      </c>
      <c r="B28" s="153" t="s">
        <v>3606</v>
      </c>
      <c r="C28" s="153" t="s">
        <v>3657</v>
      </c>
      <c r="D28" s="153">
        <v>1.4</v>
      </c>
      <c r="E28" s="153">
        <v>1.4</v>
      </c>
      <c r="F28" s="153">
        <f t="shared" si="0"/>
        <v>0</v>
      </c>
      <c r="G28" s="153" t="str">
        <f t="shared" si="1"/>
        <v>OK</v>
      </c>
      <c r="H28" s="153" t="b">
        <v>1</v>
      </c>
    </row>
    <row r="29" spans="1:8" x14ac:dyDescent="0.3">
      <c r="A29" s="153" t="s">
        <v>3658</v>
      </c>
      <c r="B29" s="153" t="s">
        <v>3606</v>
      </c>
      <c r="C29" s="153" t="s">
        <v>3659</v>
      </c>
      <c r="D29" s="153">
        <v>0</v>
      </c>
      <c r="E29" s="153">
        <v>0</v>
      </c>
      <c r="F29" s="153">
        <f t="shared" si="0"/>
        <v>0</v>
      </c>
      <c r="G29" s="153" t="str">
        <f t="shared" si="1"/>
        <v>OK</v>
      </c>
      <c r="H29" s="153" t="b">
        <v>1</v>
      </c>
    </row>
  </sheetData>
  <autoFilter ref="A1:H29" xr:uid="{00000000-0009-0000-0000-000014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21</vt:i4>
      </vt:variant>
    </vt:vector>
  </HeadingPairs>
  <TitlesOfParts>
    <vt:vector size="21" baseType="lpstr">
      <vt:lpstr>Instrucciones</vt:lpstr>
      <vt:lpstr>DECISIONES</vt:lpstr>
      <vt:lpstr>Seleccion_Ciclo0</vt:lpstr>
      <vt:lpstr>Catalogo_Decisiones</vt:lpstr>
      <vt:lpstr>FlujoWeb</vt:lpstr>
      <vt:lpstr>CANTIDAD DE PRODUCCIÓN</vt:lpstr>
      <vt:lpstr>Costos De Producción</vt:lpstr>
      <vt:lpstr>Lotes_Produccion</vt:lpstr>
      <vt:lpstr>Motor_Puntajes</vt:lpstr>
      <vt:lpstr>Matriz_Consecuencias</vt:lpstr>
      <vt:lpstr>Consecuencias_Oracle</vt:lpstr>
      <vt:lpstr>Mercado_Oracle</vt:lpstr>
      <vt:lpstr>SIDE vs Excel</vt:lpstr>
      <vt:lpstr>Base - 351</vt:lpstr>
      <vt:lpstr>SIM1 - Pipeline</vt:lpstr>
      <vt:lpstr>SIM2 - Pipeline</vt:lpstr>
      <vt:lpstr>SIM3 - Pipeline</vt:lpstr>
      <vt:lpstr>Banca recuperacion</vt:lpstr>
      <vt:lpstr>Banca tasas conservadas</vt:lpstr>
      <vt:lpstr>CONS baja</vt:lpstr>
      <vt:lpstr>CONS premium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Joel Castillo</cp:lastModifiedBy>
  <dcterms:created xsi:type="dcterms:W3CDTF">2026-07-18T23:06:01Z</dcterms:created>
  <dcterms:modified xsi:type="dcterms:W3CDTF">2026-10-11T16:27:12Z</dcterms:modified>
</cp:coreProperties>
</file>