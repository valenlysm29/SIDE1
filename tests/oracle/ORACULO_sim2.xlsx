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2" sheetId="13" state="visible" r:id="rId13"/>
    <sheet xmlns:r="http://schemas.openxmlformats.org/officeDocument/2006/relationships" name="Catalogo_Numerico_sim2" sheetId="14" state="visible" r:id="rId14"/>
    <sheet xmlns:r="http://schemas.openxmlformats.org/officeDocument/2006/relationships" name="Lotes_Pipeline_sim2" sheetId="15" state="visible" r:id="rId15"/>
    <sheet xmlns:r="http://schemas.openxmlformats.org/officeDocument/2006/relationships" name="Mercados_Pipeline_sim2"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B11&gt;B10</f>
        <v/>
      </c>
      <c r="E7" s="186">
        <f>IF(D7,0.25*B13*MIN(1,IFERROR((B11-B10)/B10,0)),0)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1|SEG-03</t>
        </is>
      </c>
      <c r="D2" s="0" t="inlineStr">
        <is>
          <t>SEG-03</t>
        </is>
      </c>
      <c r="E2" s="0" t="inlineStr">
        <is>
          <t>INF-10</t>
        </is>
      </c>
      <c r="F2" s="0" t="inlineStr">
        <is>
          <t>INS-03</t>
        </is>
      </c>
      <c r="G2" s="0" t="inlineStr">
        <is>
          <t>INS-05</t>
        </is>
      </c>
      <c r="H2" s="0" t="inlineStr">
        <is>
          <t>INS-08</t>
        </is>
      </c>
      <c r="I2" s="0" t="n">
        <v>200</v>
      </c>
      <c r="J2" s="0" t="n">
        <v>250</v>
      </c>
      <c r="K2" s="0" t="n">
        <v>1</v>
      </c>
      <c r="L2" s="0" t="n">
        <v>6000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INV-01B</t>
        </is>
      </c>
      <c r="X2" s="0" t="inlineStr">
        <is>
          <t>COM-06B</t>
        </is>
      </c>
      <c r="Y2" s="0" t="inlineStr">
        <is>
          <t>INV-02B</t>
        </is>
      </c>
      <c r="Z2" s="0" t="inlineStr"/>
      <c r="AA2" s="0" t="inlineStr"/>
      <c r="AB2" s="0" t="inlineStr"/>
      <c r="AC2" s="0" t="inlineStr"/>
      <c r="AD2" s="0" t="inlineStr"/>
      <c r="AE2" s="0" t="inlineStr"/>
      <c r="AF2" s="0">
        <f>IFERROR(INDEX('Catalogo_Numerico_sim2'!$I$2:$I$69,MATCH(N2,'Catalogo_Numerico_sim2'!$A$2:$A$69,0)),0)+IFERROR(INDEX('Catalogo_Numerico_sim2'!$I$2:$I$69,MATCH(O2,'Catalogo_Numerico_sim2'!$A$2:$A$69,0)),0)+IFERROR(INDEX('Catalogo_Numerico_sim2'!$I$2:$I$69,MATCH(P2,'Catalogo_Numerico_sim2'!$A$2:$A$69,0)),0)+IFERROR(INDEX('Catalogo_Numerico_sim2'!$I$2:$I$69,MATCH(Q2,'Catalogo_Numerico_sim2'!$A$2:$A$69,0)),0)+IFERROR(INDEX('Catalogo_Numerico_sim2'!$I$2:$I$69,MATCH(R2,'Catalogo_Numerico_sim2'!$A$2:$A$69,0)),0)+IFERROR(INDEX('Catalogo_Numerico_sim2'!$I$2:$I$69,MATCH(S2,'Catalogo_Numerico_sim2'!$A$2:$A$69,0)),0)+IFERROR(INDEX('Catalogo_Numerico_sim2'!$I$2:$I$69,MATCH(T2,'Catalogo_Numerico_sim2'!$A$2:$A$69,0)),0)+IFERROR(INDEX('Catalogo_Numerico_sim2'!$I$2:$I$69,MATCH(U2,'Catalogo_Numerico_sim2'!$A$2:$A$69,0)),0)+IFERROR(INDEX('Catalogo_Numerico_sim2'!$I$2:$I$69,MATCH(V2,'Catalogo_Numerico_sim2'!$A$2:$A$69,0)),0)+IFERROR(INDEX('Catalogo_Numerico_sim2'!$I$2:$I$69,MATCH(W2,'Catalogo_Numerico_sim2'!$A$2:$A$69,0)),0)+IFERROR(INDEX('Catalogo_Numerico_sim2'!$I$2:$I$69,MATCH(X2,'Catalogo_Numerico_sim2'!$A$2:$A$69,0)),0)+IFERROR(INDEX('Catalogo_Numerico_sim2'!$I$2:$I$69,MATCH(Y2,'Catalogo_Numerico_sim2'!$A$2:$A$69,0)),0)</f>
        <v/>
      </c>
      <c r="AG2" s="0">
        <f>IFERROR(INDEX('Catalogo_Numerico_sim2'!$J$2:$J$69,MATCH(N2,'Catalogo_Numerico_sim2'!$A$2:$A$69,0)),0)+IFERROR(INDEX('Catalogo_Numerico_sim2'!$J$2:$J$69,MATCH(O2,'Catalogo_Numerico_sim2'!$A$2:$A$69,0)),0)+IFERROR(INDEX('Catalogo_Numerico_sim2'!$J$2:$J$69,MATCH(P2,'Catalogo_Numerico_sim2'!$A$2:$A$69,0)),0)+IFERROR(INDEX('Catalogo_Numerico_sim2'!$J$2:$J$69,MATCH(Q2,'Catalogo_Numerico_sim2'!$A$2:$A$69,0)),0)+IFERROR(INDEX('Catalogo_Numerico_sim2'!$J$2:$J$69,MATCH(R2,'Catalogo_Numerico_sim2'!$A$2:$A$69,0)),0)+IFERROR(INDEX('Catalogo_Numerico_sim2'!$J$2:$J$69,MATCH(S2,'Catalogo_Numerico_sim2'!$A$2:$A$69,0)),0)+IFERROR(INDEX('Catalogo_Numerico_sim2'!$J$2:$J$69,MATCH(T2,'Catalogo_Numerico_sim2'!$A$2:$A$69,0)),0)+IFERROR(INDEX('Catalogo_Numerico_sim2'!$J$2:$J$69,MATCH(U2,'Catalogo_Numerico_sim2'!$A$2:$A$69,0)),0)+IFERROR(INDEX('Catalogo_Numerico_sim2'!$J$2:$J$69,MATCH(V2,'Catalogo_Numerico_sim2'!$A$2:$A$69,0)),0)+IFERROR(INDEX('Catalogo_Numerico_sim2'!$J$2:$J$69,MATCH(W2,'Catalogo_Numerico_sim2'!$A$2:$A$69,0)),0)+IFERROR(INDEX('Catalogo_Numerico_sim2'!$J$2:$J$69,MATCH(X2,'Catalogo_Numerico_sim2'!$A$2:$A$69,0)),0)+IFERROR(INDEX('Catalogo_Numerico_sim2'!$J$2:$J$69,MATCH(Y2,'Catalogo_Numerico_sim2'!$A$2:$A$69,0)),0)</f>
        <v/>
      </c>
      <c r="AH2" s="0">
        <f>IFERROR(INDEX('Catalogo_Numerico_sim2'!$K$2:$K$69,MATCH(N2,'Catalogo_Numerico_sim2'!$A$2:$A$69,0)),0)+IFERROR(INDEX('Catalogo_Numerico_sim2'!$K$2:$K$69,MATCH(O2,'Catalogo_Numerico_sim2'!$A$2:$A$69,0)),0)+IFERROR(INDEX('Catalogo_Numerico_sim2'!$K$2:$K$69,MATCH(P2,'Catalogo_Numerico_sim2'!$A$2:$A$69,0)),0)+IFERROR(INDEX('Catalogo_Numerico_sim2'!$K$2:$K$69,MATCH(Q2,'Catalogo_Numerico_sim2'!$A$2:$A$69,0)),0)+IFERROR(INDEX('Catalogo_Numerico_sim2'!$K$2:$K$69,MATCH(R2,'Catalogo_Numerico_sim2'!$A$2:$A$69,0)),0)+IFERROR(INDEX('Catalogo_Numerico_sim2'!$K$2:$K$69,MATCH(S2,'Catalogo_Numerico_sim2'!$A$2:$A$69,0)),0)+IFERROR(INDEX('Catalogo_Numerico_sim2'!$K$2:$K$69,MATCH(T2,'Catalogo_Numerico_sim2'!$A$2:$A$69,0)),0)+IFERROR(INDEX('Catalogo_Numerico_sim2'!$K$2:$K$69,MATCH(U2,'Catalogo_Numerico_sim2'!$A$2:$A$69,0)),0)+IFERROR(INDEX('Catalogo_Numerico_sim2'!$K$2:$K$69,MATCH(V2,'Catalogo_Numerico_sim2'!$A$2:$A$69,0)),0)+IFERROR(INDEX('Catalogo_Numerico_sim2'!$K$2:$K$69,MATCH(W2,'Catalogo_Numerico_sim2'!$A$2:$A$69,0)),0)+IFERROR(INDEX('Catalogo_Numerico_sim2'!$K$2:$K$69,MATCH(X2,'Catalogo_Numerico_sim2'!$A$2:$A$69,0)),0)+IFERROR(INDEX('Catalogo_Numerico_sim2'!$K$2:$K$69,MATCH(Y2,'Catalogo_Numerico_sim2'!$A$2:$A$69,0)),0)</f>
        <v/>
      </c>
      <c r="AI2" s="0">
        <f>IFERROR(('Lotes_Pipeline_sim2'!H2*'Lotes_Pipeline_sim2'!J2)/I2,0)</f>
        <v/>
      </c>
      <c r="AJ2" s="0">
        <f>IF(OR(AND('Lotes_Pipeline_sim2'!C2="SEG-03",'Lotes_Pipeline_sim2'!H2&gt;0,'Lotes_Pipeline_sim2'!J2&lt;4)),-2,0)+IF(OR(AND('Lotes_Pipeline_sim2'!C2="SEG-03",'Lotes_Pipeline_sim2'!H2&gt;0,'Lotes_Pipeline_sim2'!J2&gt;=7)),2,0)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0</v>
      </c>
      <c r="CG2" s="0">
        <f>0+CF2</f>
        <v/>
      </c>
      <c r="CH2" s="0" t="n">
        <v>0</v>
      </c>
      <c r="CI2" s="0">
        <f>0+CH2</f>
        <v/>
      </c>
      <c r="CJ2" s="0" t="n">
        <v>500</v>
      </c>
      <c r="CK2" s="0">
        <f>0+CJ2</f>
        <v/>
      </c>
      <c r="CL2" s="0" t="n">
        <v>0</v>
      </c>
      <c r="CM2" s="0">
        <f>0+CL2</f>
        <v/>
      </c>
      <c r="CN2" s="0" t="n">
        <v>1000</v>
      </c>
      <c r="CO2" s="0">
        <f>0+CN2</f>
        <v/>
      </c>
      <c r="CP2" s="0" t="n">
        <v>0</v>
      </c>
      <c r="CQ2" s="0">
        <f>0+CP2</f>
        <v/>
      </c>
      <c r="CR2" s="0" t="n">
        <v>0</v>
      </c>
      <c r="CS2" s="0">
        <f>0+CR2</f>
        <v/>
      </c>
      <c r="CT2" s="0" t="n">
        <v>15000</v>
      </c>
      <c r="CU2" s="0">
        <f>0+CT2</f>
        <v/>
      </c>
      <c r="CV2" s="0">
        <f>(CK2)/0.7</f>
        <v/>
      </c>
      <c r="CW2" s="0">
        <f>(CO2)/1</f>
        <v/>
      </c>
      <c r="CX2" s="0">
        <f>(CU2)/13</f>
        <v/>
      </c>
      <c r="CY2" s="0">
        <f>ROUNDDOWN(MIN(I2,CE2,CV2,CW2,CX2),0)</f>
        <v/>
      </c>
      <c r="CZ2" s="0">
        <f>'Lotes_Pipeline_sim2'!U2</f>
        <v/>
      </c>
      <c r="DA2" s="0">
        <f>DB2+DD2+DF2</f>
        <v/>
      </c>
      <c r="DB2" s="0">
        <f>'Lotes_Pipeline_sim2'!X2</f>
        <v/>
      </c>
      <c r="DC2" s="0">
        <f>CG2-DB2</f>
        <v/>
      </c>
      <c r="DD2" s="0">
        <f>'Lotes_Pipeline_sim2'!AA2</f>
        <v/>
      </c>
      <c r="DE2" s="0">
        <f>CI2-DD2</f>
        <v/>
      </c>
      <c r="DF2" s="0">
        <f>'Lotes_Pipeline_sim2'!AD2</f>
        <v/>
      </c>
      <c r="DG2" s="0">
        <f>CK2-DF2</f>
        <v/>
      </c>
      <c r="DH2" s="0">
        <f>DI2+DK2</f>
        <v/>
      </c>
      <c r="DI2" s="0">
        <f>'Lotes_Pipeline_sim2'!AG2</f>
        <v/>
      </c>
      <c r="DJ2" s="0">
        <f>CM2-DI2</f>
        <v/>
      </c>
      <c r="DK2" s="0">
        <f>'Lotes_Pipeline_sim2'!AJ2</f>
        <v/>
      </c>
      <c r="DL2" s="0">
        <f>CO2-DK2</f>
        <v/>
      </c>
      <c r="DM2" s="0">
        <f>DN2+DP2+DR2</f>
        <v/>
      </c>
      <c r="DN2" s="0">
        <f>'Lotes_Pipeline_sim2'!AM2</f>
        <v/>
      </c>
      <c r="DO2" s="0">
        <f>CQ2-DN2</f>
        <v/>
      </c>
      <c r="DP2" s="0">
        <f>'Lotes_Pipeline_sim2'!AP2</f>
        <v/>
      </c>
      <c r="DQ2" s="0">
        <f>CS2-DP2</f>
        <v/>
      </c>
      <c r="DR2" s="0">
        <f>'Lotes_Pipeline_sim2'!AS2</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IFERROR(('Lotes_Pipeline_sim2'!U2)/CZ2,0)*10+IFERROR(CA2/BZ2,0)*10+(IFERROR(DF2/(DB2+DD2+DF2),0)+IFERROR(DK2/(DI2+DK2),0)+IFERROR(DR2/(DP2+DR2),0))/3*10+L2/10000*10</f>
        <v/>
      </c>
      <c r="DY2" s="0">
        <f>DX2+AJ2</f>
        <v/>
      </c>
      <c r="DZ2" s="0">
        <f>0+CZ2</f>
        <v/>
      </c>
      <c r="EA2" s="0" t="n">
        <v>10</v>
      </c>
      <c r="EB2" s="0" t="n">
        <v>250</v>
      </c>
      <c r="EC2" s="0">
        <f>'Lotes_Pipeline_sim2'!AY2</f>
        <v/>
      </c>
      <c r="ED2" s="0">
        <f>IF(D2="SEG-01",IFERROR(100*(_xlfn.MAXIFS($J$2:$J$7,$C$2:$C$7,C2)-J2)/(_xlfn.MAXIFS($J$2:$J$7,$C$2:$C$7,C2)-_xlfn.MINIFS($J$2:$J$7,$C$2:$C$7,C2)),100),100-ABS(J2-EB2)/EB2*100)</f>
        <v/>
      </c>
      <c r="EE2" s="0">
        <f>IFERROR(ROUND(DY2/SUMIF($C$2:$C$7,"1|SEG-01",$DY$2:$DY$7)*100,0),0)</f>
        <v/>
      </c>
      <c r="EF2" s="0">
        <f>0.1*ED2+0.5*DY2*10+0.4*EE2</f>
        <v/>
      </c>
      <c r="EG2" s="0">
        <f>IFERROR(EF2/SUMIF($C$2:$C$7,C2,$EF$2:$EF$7),0)</f>
        <v/>
      </c>
      <c r="EH2" s="0">
        <f>'Mercados_Pipeline_sim2'!J2</f>
        <v/>
      </c>
      <c r="EI2" s="0">
        <f>'Mercados_Pipeline_sim2'!I2</f>
        <v/>
      </c>
      <c r="EJ2" s="0">
        <f>'Lotes_Pipeline_sim2'!AW2</f>
        <v/>
      </c>
      <c r="EK2" s="0">
        <f>'Lotes_Pipeline_sim2'!AX2</f>
        <v/>
      </c>
      <c r="EL2" s="0">
        <f>EC2*2</f>
        <v/>
      </c>
      <c r="EM2" s="0">
        <f>IF(CZ2&gt;CE2,0.25*DT2*IFERROR(MIN(1,(CZ2-CE2)/CE2),1),0)</f>
        <v/>
      </c>
      <c r="EN2" s="0">
        <f>0</f>
        <v/>
      </c>
      <c r="EO2" s="0">
        <f>(IFERROR(INDEX('Catalogo_Numerico_sim2'!$G$2:$G$69,MATCH("COM-01C",'Catalogo_Numerico_sim2'!$A$2:$A$69,0)),0)+IFERROR(INDEX('Catalogo_Numerico_sim2'!$G$2:$G$69,MATCH("INV-01B",'Catalogo_Numerico_sim2'!$A$2:$A$69,0)),0))*1</f>
        <v/>
      </c>
      <c r="EP2" s="0">
        <f>0</f>
        <v/>
      </c>
      <c r="EQ2" s="0" t="n">
        <v>0</v>
      </c>
      <c r="ER2" s="0">
        <f>DT2+DU2+DV2+DW2+L2+EL2+EM2+EN2+EO2+EP2+EQ2</f>
        <v/>
      </c>
      <c r="ES2" s="0">
        <f>EK2-ER2</f>
        <v/>
      </c>
      <c r="ET2" s="0">
        <f>OR(AND('Lotes_Pipeline_sim2'!C2="SEG-03",'Lotes_Pipeline_sim2'!H2&gt;0,'Lotes_Pipeline_sim2'!J2&lt;4))</f>
        <v/>
      </c>
      <c r="EU2" s="0">
        <f>OR(AND('Lotes_Pipeline_sim2'!C2="SEG-03",'Lotes_Pipeline_sim2'!H2&gt;0,'Lotes_Pipeline_sim2'!J2&gt;=7))</f>
        <v/>
      </c>
      <c r="EV2" s="0">
        <f>AF2&lt;4</f>
        <v/>
      </c>
      <c r="EW2" s="0">
        <f>AM2&gt;=2</f>
        <v/>
      </c>
      <c r="EX2" s="0">
        <f>AH2&lt;3</f>
        <v/>
      </c>
      <c r="EY2" s="0">
        <f>CZ2&gt;CE2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1</v>
      </c>
      <c r="B3" s="0" t="inlineStr">
        <is>
          <t>B</t>
        </is>
      </c>
      <c r="C3" s="0" t="inlineStr">
        <is>
          <t>1|SEG-03</t>
        </is>
      </c>
      <c r="D3" s="0" t="inlineStr">
        <is>
          <t>SEG-03</t>
        </is>
      </c>
      <c r="E3" s="0" t="inlineStr">
        <is>
          <t>INF-08</t>
        </is>
      </c>
      <c r="F3" s="0" t="inlineStr">
        <is>
          <t>INS-01</t>
        </is>
      </c>
      <c r="G3" s="0" t="inlineStr"/>
      <c r="H3" s="0" t="inlineStr"/>
      <c r="I3" s="0" t="n">
        <v>300</v>
      </c>
      <c r="J3" s="0" t="n">
        <v>250</v>
      </c>
      <c r="K3" s="0" t="n">
        <v>0</v>
      </c>
      <c r="L3" s="0" t="n">
        <v>1500</v>
      </c>
      <c r="M3" s="0" t="inlineStr">
        <is>
          <t>MYPE</t>
        </is>
      </c>
      <c r="N3" s="0" t="inlineStr">
        <is>
          <t>INF-08</t>
        </is>
      </c>
      <c r="O3" s="0" t="inlineStr">
        <is>
          <t>RH-01</t>
        </is>
      </c>
      <c r="P3" s="0" t="inlineStr">
        <is>
          <t>RH-04</t>
        </is>
      </c>
      <c r="Q3" s="0" t="inlineStr">
        <is>
          <t>RH-07</t>
        </is>
      </c>
      <c r="R3" s="0" t="inlineStr">
        <is>
          <t>RH-10B</t>
        </is>
      </c>
      <c r="S3" s="0" t="inlineStr">
        <is>
          <t>FIN-01A</t>
        </is>
      </c>
      <c r="T3" s="0" t="inlineStr">
        <is>
          <t>COM-06B</t>
        </is>
      </c>
      <c r="U3" s="0" t="inlineStr">
        <is>
          <t>INV-02A</t>
        </is>
      </c>
      <c r="V3" s="0" t="inlineStr"/>
      <c r="W3" s="0" t="inlineStr"/>
      <c r="X3" s="0" t="inlineStr"/>
      <c r="Y3" s="0" t="inlineStr"/>
      <c r="Z3" s="0" t="inlineStr"/>
      <c r="AA3" s="0" t="inlineStr"/>
      <c r="AB3" s="0" t="inlineStr"/>
      <c r="AC3" s="0" t="inlineStr"/>
      <c r="AD3" s="0" t="inlineStr"/>
      <c r="AE3" s="0" t="inlineStr"/>
      <c r="AF3" s="0">
        <f>IFERROR(INDEX('Catalogo_Numerico_sim2'!$I$2:$I$69,MATCH(N3,'Catalogo_Numerico_sim2'!$A$2:$A$69,0)),0)+IFERROR(INDEX('Catalogo_Numerico_sim2'!$I$2:$I$69,MATCH(O3,'Catalogo_Numerico_sim2'!$A$2:$A$69,0)),0)+IFERROR(INDEX('Catalogo_Numerico_sim2'!$I$2:$I$69,MATCH(P3,'Catalogo_Numerico_sim2'!$A$2:$A$69,0)),0)+IFERROR(INDEX('Catalogo_Numerico_sim2'!$I$2:$I$69,MATCH(Q3,'Catalogo_Numerico_sim2'!$A$2:$A$69,0)),0)+IFERROR(INDEX('Catalogo_Numerico_sim2'!$I$2:$I$69,MATCH(R3,'Catalogo_Numerico_sim2'!$A$2:$A$69,0)),0)+IFERROR(INDEX('Catalogo_Numerico_sim2'!$I$2:$I$69,MATCH(S3,'Catalogo_Numerico_sim2'!$A$2:$A$69,0)),0)+IFERROR(INDEX('Catalogo_Numerico_sim2'!$I$2:$I$69,MATCH(T3,'Catalogo_Numerico_sim2'!$A$2:$A$69,0)),0)+IFERROR(INDEX('Catalogo_Numerico_sim2'!$I$2:$I$69,MATCH(U3,'Catalogo_Numerico_sim2'!$A$2:$A$69,0)),0)</f>
        <v/>
      </c>
      <c r="AG3" s="0">
        <f>IFERROR(INDEX('Catalogo_Numerico_sim2'!$J$2:$J$69,MATCH(N3,'Catalogo_Numerico_sim2'!$A$2:$A$69,0)),0)+IFERROR(INDEX('Catalogo_Numerico_sim2'!$J$2:$J$69,MATCH(O3,'Catalogo_Numerico_sim2'!$A$2:$A$69,0)),0)+IFERROR(INDEX('Catalogo_Numerico_sim2'!$J$2:$J$69,MATCH(P3,'Catalogo_Numerico_sim2'!$A$2:$A$69,0)),0)+IFERROR(INDEX('Catalogo_Numerico_sim2'!$J$2:$J$69,MATCH(Q3,'Catalogo_Numerico_sim2'!$A$2:$A$69,0)),0)+IFERROR(INDEX('Catalogo_Numerico_sim2'!$J$2:$J$69,MATCH(R3,'Catalogo_Numerico_sim2'!$A$2:$A$69,0)),0)+IFERROR(INDEX('Catalogo_Numerico_sim2'!$J$2:$J$69,MATCH(S3,'Catalogo_Numerico_sim2'!$A$2:$A$69,0)),0)+IFERROR(INDEX('Catalogo_Numerico_sim2'!$J$2:$J$69,MATCH(T3,'Catalogo_Numerico_sim2'!$A$2:$A$69,0)),0)+IFERROR(INDEX('Catalogo_Numerico_sim2'!$J$2:$J$69,MATCH(U3,'Catalogo_Numerico_sim2'!$A$2:$A$69,0)),0)</f>
        <v/>
      </c>
      <c r="AH3" s="0">
        <f>IFERROR(INDEX('Catalogo_Numerico_sim2'!$K$2:$K$69,MATCH(N3,'Catalogo_Numerico_sim2'!$A$2:$A$69,0)),0)+IFERROR(INDEX('Catalogo_Numerico_sim2'!$K$2:$K$69,MATCH(O3,'Catalogo_Numerico_sim2'!$A$2:$A$69,0)),0)+IFERROR(INDEX('Catalogo_Numerico_sim2'!$K$2:$K$69,MATCH(P3,'Catalogo_Numerico_sim2'!$A$2:$A$69,0)),0)+IFERROR(INDEX('Catalogo_Numerico_sim2'!$K$2:$K$69,MATCH(Q3,'Catalogo_Numerico_sim2'!$A$2:$A$69,0)),0)+IFERROR(INDEX('Catalogo_Numerico_sim2'!$K$2:$K$69,MATCH(R3,'Catalogo_Numerico_sim2'!$A$2:$A$69,0)),0)+IFERROR(INDEX('Catalogo_Numerico_sim2'!$K$2:$K$69,MATCH(S3,'Catalogo_Numerico_sim2'!$A$2:$A$69,0)),0)+IFERROR(INDEX('Catalogo_Numerico_sim2'!$K$2:$K$69,MATCH(T3,'Catalogo_Numerico_sim2'!$A$2:$A$69,0)),0)+IFERROR(INDEX('Catalogo_Numerico_sim2'!$K$2:$K$69,MATCH(U3,'Catalogo_Numerico_sim2'!$A$2:$A$69,0)),0)</f>
        <v/>
      </c>
      <c r="AI3" s="0">
        <f>IFERROR(('Lotes_Pipeline_sim2'!H3*'Lotes_Pipeline_sim2'!J3+'Lotes_Pipeline_sim2'!H4*'Lotes_Pipeline_sim2'!J4)/I3,0)</f>
        <v/>
      </c>
      <c r="AJ3" s="0">
        <f>IF(OR(AND('Lotes_Pipeline_sim2'!C3="SEG-03",'Lotes_Pipeline_sim2'!H3&gt;0,'Lotes_Pipeline_sim2'!J3&lt;4),AND('Lotes_Pipeline_sim2'!C4="SEG-03",'Lotes_Pipeline_sim2'!H4&gt;0,'Lotes_Pipeline_sim2'!J4&lt;4)),-2,0)+IF(OR(AND('Lotes_Pipeline_sim2'!C3="SEG-03",'Lotes_Pipeline_sim2'!H3&gt;0,'Lotes_Pipeline_sim2'!J3&gt;=7),AND('Lotes_Pipeline_sim2'!C4="SEG-03",'Lotes_Pipeline_sim2'!H4&gt;0,'Lotes_Pipeline_sim2'!J4&gt;=7)),2,0)</f>
        <v/>
      </c>
      <c r="AK3" s="0">
        <f>IF(AND(D3="SEG-03",I3&gt;0),IF(AI3&lt;4,0.65,IF(AI3&gt;=7,1.4,1)),1)</f>
        <v/>
      </c>
      <c r="AL3" s="0">
        <f>AG3+AJ3</f>
        <v/>
      </c>
      <c r="AM3" s="0">
        <f>IF(AL3&lt;3,0+1,0)</f>
        <v/>
      </c>
      <c r="AN3" s="0">
        <f>IF(AM3&gt;=2,0.8,1)</f>
        <v/>
      </c>
      <c r="AO3" s="0">
        <f>IF(AH3&lt;3,3,0)</f>
        <v/>
      </c>
      <c r="AP3" s="0" t="n">
        <v>5000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0+CF3</f>
        <v/>
      </c>
      <c r="CH3" s="0" t="n">
        <v>0</v>
      </c>
      <c r="CI3" s="0">
        <f>0+CH3</f>
        <v/>
      </c>
      <c r="CJ3" s="0" t="n">
        <v>0</v>
      </c>
      <c r="CK3" s="0">
        <f>0+CJ3</f>
        <v/>
      </c>
      <c r="CL3" s="0" t="n">
        <v>1000</v>
      </c>
      <c r="CM3" s="0">
        <f>0+CL3</f>
        <v/>
      </c>
      <c r="CN3" s="0" t="n">
        <v>0</v>
      </c>
      <c r="CO3" s="0">
        <f>0+CN3</f>
        <v/>
      </c>
      <c r="CP3" s="0" t="n">
        <v>6000</v>
      </c>
      <c r="CQ3" s="0">
        <f>0+CP3</f>
        <v/>
      </c>
      <c r="CR3" s="0" t="n">
        <v>0</v>
      </c>
      <c r="CS3" s="0">
        <f>0+CR3</f>
        <v/>
      </c>
      <c r="CT3" s="0" t="n">
        <v>0</v>
      </c>
      <c r="CU3" s="0">
        <f>0+CT3</f>
        <v/>
      </c>
      <c r="CV3" s="0">
        <f>(CG3)/0.3</f>
        <v/>
      </c>
      <c r="CW3" s="0">
        <f>(CM3+CO3)/1</f>
        <v/>
      </c>
      <c r="CX3" s="0">
        <f>(CQ3+CS3+CU3)/6</f>
        <v/>
      </c>
      <c r="CY3" s="0">
        <f>ROUNDDOWN(MIN(I3,CE3,CV3,CW3,CX3),0)</f>
        <v/>
      </c>
      <c r="CZ3" s="0">
        <f>'Lotes_Pipeline_sim2'!U3+'Lotes_Pipeline_sim2'!U4</f>
        <v/>
      </c>
      <c r="DA3" s="0">
        <f>DB3+DD3+DF3</f>
        <v/>
      </c>
      <c r="DB3" s="0">
        <f>'Lotes_Pipeline_sim2'!X3+'Lotes_Pipeline_sim2'!X4</f>
        <v/>
      </c>
      <c r="DC3" s="0">
        <f>CG3-DB3</f>
        <v/>
      </c>
      <c r="DD3" s="0">
        <f>'Lotes_Pipeline_sim2'!AA3+'Lotes_Pipeline_sim2'!AA4</f>
        <v/>
      </c>
      <c r="DE3" s="0">
        <f>CI3-DD3</f>
        <v/>
      </c>
      <c r="DF3" s="0">
        <f>'Lotes_Pipeline_sim2'!AD3+'Lotes_Pipeline_sim2'!AD4</f>
        <v/>
      </c>
      <c r="DG3" s="0">
        <f>CK3-DF3</f>
        <v/>
      </c>
      <c r="DH3" s="0">
        <f>DI3+DK3</f>
        <v/>
      </c>
      <c r="DI3" s="0">
        <f>'Lotes_Pipeline_sim2'!AG3+'Lotes_Pipeline_sim2'!AG4</f>
        <v/>
      </c>
      <c r="DJ3" s="0">
        <f>CM3-DI3</f>
        <v/>
      </c>
      <c r="DK3" s="0">
        <f>'Lotes_Pipeline_sim2'!AJ3+'Lotes_Pipeline_sim2'!AJ4</f>
        <v/>
      </c>
      <c r="DL3" s="0">
        <f>CO3-DK3</f>
        <v/>
      </c>
      <c r="DM3" s="0">
        <f>DN3+DP3+DR3</f>
        <v/>
      </c>
      <c r="DN3" s="0">
        <f>'Lotes_Pipeline_sim2'!AM3+'Lotes_Pipeline_sim2'!AM4</f>
        <v/>
      </c>
      <c r="DO3" s="0">
        <f>CQ3-DN3</f>
        <v/>
      </c>
      <c r="DP3" s="0">
        <f>'Lotes_Pipeline_sim2'!AP3+'Lotes_Pipeline_sim2'!AP4</f>
        <v/>
      </c>
      <c r="DQ3" s="0">
        <f>CS3-DP3</f>
        <v/>
      </c>
      <c r="DR3" s="0">
        <f>'Lotes_Pipeline_sim2'!AS3+'Lotes_Pipeline_sim2'!AS4</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IFERROR((0)/CZ3,0)*10+IFERROR(CA3/BZ3,0)*10+(IFERROR(DF3/(DB3+DD3+DF3),0)+IFERROR(DK3/(DI3+DK3),0)+IFERROR(DR3/(DP3+DR3),0))/3*10+L3/10000*10</f>
        <v/>
      </c>
      <c r="DY3" s="0">
        <f>DX3+AJ3</f>
        <v/>
      </c>
      <c r="DZ3" s="0">
        <f>0+CZ3</f>
        <v/>
      </c>
      <c r="EA3" s="0" t="n">
        <v>10</v>
      </c>
      <c r="EB3" s="0" t="n">
        <v>250</v>
      </c>
      <c r="EC3" s="0">
        <f>'Lotes_Pipeline_sim2'!AY3+'Lotes_Pipeline_sim2'!AY4</f>
        <v/>
      </c>
      <c r="ED3" s="0">
        <f>IF(D3="SEG-01",IFERROR(100*(_xlfn.MAXIFS($J$2:$J$7,$C$2:$C$7,C3)-J3)/(_xlfn.MAXIFS($J$2:$J$7,$C$2:$C$7,C3)-_xlfn.MINIFS($J$2:$J$7,$C$2:$C$7,C3)),100),100-ABS(J3-EB3)/EB3*100)</f>
        <v/>
      </c>
      <c r="EE3" s="0">
        <f>IFERROR(ROUND(DY3/SUMIF($C$2:$C$7,"1|SEG-01",$DY$2:$DY$7)*100,0),0)</f>
        <v/>
      </c>
      <c r="EF3" s="0">
        <f>0.1*ED3+0.5*DY3*10+0.4*EE3</f>
        <v/>
      </c>
      <c r="EG3" s="0">
        <f>IFERROR(EF3/SUMIF($C$2:$C$7,C3,$EF$2:$EF$7),0)</f>
        <v/>
      </c>
      <c r="EH3" s="0">
        <f>'Mercados_Pipeline_sim2'!J3</f>
        <v/>
      </c>
      <c r="EI3" s="0">
        <f>'Mercados_Pipeline_sim2'!I3</f>
        <v/>
      </c>
      <c r="EJ3" s="0">
        <f>'Lotes_Pipeline_sim2'!AW3+'Lotes_Pipeline_sim2'!AW4</f>
        <v/>
      </c>
      <c r="EK3" s="0">
        <f>'Lotes_Pipeline_sim2'!AX3+'Lotes_Pipeline_sim2'!AX4</f>
        <v/>
      </c>
      <c r="EL3" s="0">
        <f>EC3*2</f>
        <v/>
      </c>
      <c r="EM3" s="0">
        <f>IF(CZ3&gt;CE3,0.25*DT3*IFERROR(MIN(1,(CZ3-CE3)/CE3),1),0)</f>
        <v/>
      </c>
      <c r="EN3" s="0">
        <f>0</f>
        <v/>
      </c>
      <c r="EO3" s="0">
        <f>(0)*1</f>
        <v/>
      </c>
      <c r="EP3" s="0">
        <f>0</f>
        <v/>
      </c>
      <c r="EQ3" s="0" t="n">
        <v>0</v>
      </c>
      <c r="ER3" s="0">
        <f>DT3+DU3+DV3+DW3+L3+EL3+EM3+EN3+EO3+EP3+EQ3</f>
        <v/>
      </c>
      <c r="ES3" s="0">
        <f>EK3-ER3</f>
        <v/>
      </c>
      <c r="ET3" s="0">
        <f>OR(AND('Lotes_Pipeline_sim2'!C3="SEG-03",'Lotes_Pipeline_sim2'!H3&gt;0,'Lotes_Pipeline_sim2'!J3&lt;4),AND('Lotes_Pipeline_sim2'!C4="SEG-03",'Lotes_Pipeline_sim2'!H4&gt;0,'Lotes_Pipeline_sim2'!J4&lt;4))</f>
        <v/>
      </c>
      <c r="EU3" s="0">
        <f>OR(AND('Lotes_Pipeline_sim2'!C3="SEG-03",'Lotes_Pipeline_sim2'!H3&gt;0,'Lotes_Pipeline_sim2'!J3&gt;=7),AND('Lotes_Pipeline_sim2'!C4="SEG-03",'Lotes_Pipeline_sim2'!H4&gt;0,'Lotes_Pipeline_sim2'!J4&gt;=7))</f>
        <v/>
      </c>
      <c r="EV3" s="0">
        <f>AF3&lt;4</f>
        <v/>
      </c>
      <c r="EW3" s="0">
        <f>AM3&gt;=2</f>
        <v/>
      </c>
      <c r="EX3" s="0">
        <f>AH3&lt;3</f>
        <v/>
      </c>
      <c r="EY3" s="0">
        <f>CZ3&gt;CE3</f>
        <v/>
      </c>
      <c r="EZ3" s="0">
        <f>CZ3&gt;EJ3</f>
        <v/>
      </c>
      <c r="FA3" s="0">
        <f>AND(K3=0,AF3&lt;5)</f>
        <v/>
      </c>
      <c r="FB3" t="n">
        <v>1000000</v>
      </c>
      <c r="FC3">
        <f>1*2500*(1+0.03+0.02)+1*3500*(1+0.03+0.02)+1*1200*(1+0.03+0.02)+1*300*(1+0+0.01)</f>
        <v/>
      </c>
      <c r="FD3">
        <f>1*2500+1*3500+1*1200+1*300</f>
        <v/>
      </c>
      <c r="FE3">
        <f>(CF3*25+CH3*45+CJ3*80+CL3*4+CN3*9+CP3*2+CR3*4+CT3*7)*0.92</f>
        <v/>
      </c>
      <c r="FF3">
        <f>(DC3*25+DE3*45+DG3*80+DJ3*4+DL3*9+DO3*2+DQ3*4+DS3*7)*0.92</f>
        <v/>
      </c>
      <c r="FG3">
        <f>FB3</f>
        <v/>
      </c>
      <c r="FH3">
        <f>(1+AR3/100)^(1/12)-1</f>
        <v/>
      </c>
      <c r="FI3">
        <f>0*0+AP3*FH3</f>
        <v/>
      </c>
      <c r="FJ3">
        <f>IFERROR(FI3/(0+AP3),0)</f>
        <v/>
      </c>
      <c r="FK3">
        <f>FI3*1</f>
        <v/>
      </c>
      <c r="FL3">
        <f>ER3-DW3-DU3+FE3+FK3</f>
        <v/>
      </c>
      <c r="FM3">
        <f>FG3+EK3+AP3-FL3-FC3</f>
        <v/>
      </c>
      <c r="FN3">
        <f>0+DW3</f>
        <v/>
      </c>
      <c r="FO3">
        <f>0+FD3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2</v>
      </c>
      <c r="B4" s="0" t="inlineStr">
        <is>
          <t>A</t>
        </is>
      </c>
      <c r="C4" s="0" t="inlineStr">
        <is>
          <t>2|SEG-03</t>
        </is>
      </c>
      <c r="D4" s="0" t="inlineStr">
        <is>
          <t>SEG-03</t>
        </is>
      </c>
      <c r="E4" s="0" t="inlineStr">
        <is>
          <t>INF-10</t>
        </is>
      </c>
      <c r="F4" s="0" t="inlineStr">
        <is>
          <t>INS-03</t>
        </is>
      </c>
      <c r="G4" s="0" t="inlineStr">
        <is>
          <t>INS-05</t>
        </is>
      </c>
      <c r="H4" s="0" t="inlineStr">
        <is>
          <t>INS-08</t>
        </is>
      </c>
      <c r="I4" s="0" t="n">
        <v>200</v>
      </c>
      <c r="J4" s="0" t="n">
        <v>250</v>
      </c>
      <c r="K4" s="0" t="n">
        <v>1</v>
      </c>
      <c r="L4" s="0" t="n">
        <v>6000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INV-01B</t>
        </is>
      </c>
      <c r="X4" s="0" t="inlineStr">
        <is>
          <t>COM-06B</t>
        </is>
      </c>
      <c r="Y4" s="0" t="inlineStr">
        <is>
          <t>INV-02B</t>
        </is>
      </c>
      <c r="Z4" s="0" t="inlineStr"/>
      <c r="AA4" s="0" t="inlineStr"/>
      <c r="AB4" s="0" t="inlineStr"/>
      <c r="AC4" s="0" t="inlineStr"/>
      <c r="AD4" s="0" t="inlineStr"/>
      <c r="AE4" s="0" t="inlineStr"/>
      <c r="AF4" s="0">
        <f>IFERROR(INDEX('Catalogo_Numerico_sim2'!$I$2:$I$69,MATCH(N4,'Catalogo_Numerico_sim2'!$A$2:$A$69,0)),0)+IFERROR(INDEX('Catalogo_Numerico_sim2'!$I$2:$I$69,MATCH(O4,'Catalogo_Numerico_sim2'!$A$2:$A$69,0)),0)+IFERROR(INDEX('Catalogo_Numerico_sim2'!$I$2:$I$69,MATCH(P4,'Catalogo_Numerico_sim2'!$A$2:$A$69,0)),0)+IFERROR(INDEX('Catalogo_Numerico_sim2'!$I$2:$I$69,MATCH(Q4,'Catalogo_Numerico_sim2'!$A$2:$A$69,0)),0)+IFERROR(INDEX('Catalogo_Numerico_sim2'!$I$2:$I$69,MATCH(R4,'Catalogo_Numerico_sim2'!$A$2:$A$69,0)),0)+IFERROR(INDEX('Catalogo_Numerico_sim2'!$I$2:$I$69,MATCH(S4,'Catalogo_Numerico_sim2'!$A$2:$A$69,0)),0)+IFERROR(INDEX('Catalogo_Numerico_sim2'!$I$2:$I$69,MATCH(T4,'Catalogo_Numerico_sim2'!$A$2:$A$69,0)),0)+IFERROR(INDEX('Catalogo_Numerico_sim2'!$I$2:$I$69,MATCH(U4,'Catalogo_Numerico_sim2'!$A$2:$A$69,0)),0)+IFERROR(INDEX('Catalogo_Numerico_sim2'!$I$2:$I$69,MATCH(V4,'Catalogo_Numerico_sim2'!$A$2:$A$69,0)),0)+IFERROR(INDEX('Catalogo_Numerico_sim2'!$I$2:$I$69,MATCH(W4,'Catalogo_Numerico_sim2'!$A$2:$A$69,0)),0)+IFERROR(INDEX('Catalogo_Numerico_sim2'!$I$2:$I$69,MATCH(X4,'Catalogo_Numerico_sim2'!$A$2:$A$69,0)),0)+IFERROR(INDEX('Catalogo_Numerico_sim2'!$I$2:$I$69,MATCH(Y4,'Catalogo_Numerico_sim2'!$A$2:$A$69,0)),0)</f>
        <v/>
      </c>
      <c r="AG4" s="0">
        <f>IFERROR(INDEX('Catalogo_Numerico_sim2'!$J$2:$J$69,MATCH(N4,'Catalogo_Numerico_sim2'!$A$2:$A$69,0)),0)+IFERROR(INDEX('Catalogo_Numerico_sim2'!$J$2:$J$69,MATCH(O4,'Catalogo_Numerico_sim2'!$A$2:$A$69,0)),0)+IFERROR(INDEX('Catalogo_Numerico_sim2'!$J$2:$J$69,MATCH(P4,'Catalogo_Numerico_sim2'!$A$2:$A$69,0)),0)+IFERROR(INDEX('Catalogo_Numerico_sim2'!$J$2:$J$69,MATCH(Q4,'Catalogo_Numerico_sim2'!$A$2:$A$69,0)),0)+IFERROR(INDEX('Catalogo_Numerico_sim2'!$J$2:$J$69,MATCH(R4,'Catalogo_Numerico_sim2'!$A$2:$A$69,0)),0)+IFERROR(INDEX('Catalogo_Numerico_sim2'!$J$2:$J$69,MATCH(S4,'Catalogo_Numerico_sim2'!$A$2:$A$69,0)),0)+IFERROR(INDEX('Catalogo_Numerico_sim2'!$J$2:$J$69,MATCH(T4,'Catalogo_Numerico_sim2'!$A$2:$A$69,0)),0)+IFERROR(INDEX('Catalogo_Numerico_sim2'!$J$2:$J$69,MATCH(U4,'Catalogo_Numerico_sim2'!$A$2:$A$69,0)),0)+IFERROR(INDEX('Catalogo_Numerico_sim2'!$J$2:$J$69,MATCH(V4,'Catalogo_Numerico_sim2'!$A$2:$A$69,0)),0)+IFERROR(INDEX('Catalogo_Numerico_sim2'!$J$2:$J$69,MATCH(W4,'Catalogo_Numerico_sim2'!$A$2:$A$69,0)),0)+IFERROR(INDEX('Catalogo_Numerico_sim2'!$J$2:$J$69,MATCH(X4,'Catalogo_Numerico_sim2'!$A$2:$A$69,0)),0)+IFERROR(INDEX('Catalogo_Numerico_sim2'!$J$2:$J$69,MATCH(Y4,'Catalogo_Numerico_sim2'!$A$2:$A$69,0)),0)</f>
        <v/>
      </c>
      <c r="AH4" s="0">
        <f>IFERROR(INDEX('Catalogo_Numerico_sim2'!$K$2:$K$69,MATCH(N4,'Catalogo_Numerico_sim2'!$A$2:$A$69,0)),0)+IFERROR(INDEX('Catalogo_Numerico_sim2'!$K$2:$K$69,MATCH(O4,'Catalogo_Numerico_sim2'!$A$2:$A$69,0)),0)+IFERROR(INDEX('Catalogo_Numerico_sim2'!$K$2:$K$69,MATCH(P4,'Catalogo_Numerico_sim2'!$A$2:$A$69,0)),0)+IFERROR(INDEX('Catalogo_Numerico_sim2'!$K$2:$K$69,MATCH(Q4,'Catalogo_Numerico_sim2'!$A$2:$A$69,0)),0)+IFERROR(INDEX('Catalogo_Numerico_sim2'!$K$2:$K$69,MATCH(R4,'Catalogo_Numerico_sim2'!$A$2:$A$69,0)),0)+IFERROR(INDEX('Catalogo_Numerico_sim2'!$K$2:$K$69,MATCH(S4,'Catalogo_Numerico_sim2'!$A$2:$A$69,0)),0)+IFERROR(INDEX('Catalogo_Numerico_sim2'!$K$2:$K$69,MATCH(T4,'Catalogo_Numerico_sim2'!$A$2:$A$69,0)),0)+IFERROR(INDEX('Catalogo_Numerico_sim2'!$K$2:$K$69,MATCH(U4,'Catalogo_Numerico_sim2'!$A$2:$A$69,0)),0)+IFERROR(INDEX('Catalogo_Numerico_sim2'!$K$2:$K$69,MATCH(V4,'Catalogo_Numerico_sim2'!$A$2:$A$69,0)),0)+IFERROR(INDEX('Catalogo_Numerico_sim2'!$K$2:$K$69,MATCH(W4,'Catalogo_Numerico_sim2'!$A$2:$A$69,0)),0)+IFERROR(INDEX('Catalogo_Numerico_sim2'!$K$2:$K$69,MATCH(X4,'Catalogo_Numerico_sim2'!$A$2:$A$69,0)),0)+IFERROR(INDEX('Catalogo_Numerico_sim2'!$K$2:$K$69,MATCH(Y4,'Catalogo_Numerico_sim2'!$A$2:$A$69,0)),0)</f>
        <v/>
      </c>
      <c r="AI4" s="0">
        <f>IFERROR(('Lotes_Pipeline_sim2'!H5*'Lotes_Pipeline_sim2'!J5)/I4,0)</f>
        <v/>
      </c>
      <c r="AJ4" s="0">
        <f>IF(OR(AND('Lotes_Pipeline_sim2'!C5="SEG-03",'Lotes_Pipeline_sim2'!H5&gt;0,'Lotes_Pipeline_sim2'!J5&lt;4)),-2,0)+IF(OR(AND('Lotes_Pipeline_sim2'!C5="SEG-03",'Lotes_Pipeline_sim2'!H5&gt;0,'Lotes_Pipeline_sim2'!J5&gt;=7)),2,0)</f>
        <v/>
      </c>
      <c r="AK4" s="0">
        <f>IF(AND(D4="SEG-03",I4&gt;0),IF(AI4&lt;4,0.65,IF(AI4&gt;=7,1.4,1)),1)</f>
        <v/>
      </c>
      <c r="AL4" s="0">
        <f>AG4+AJ4</f>
        <v/>
      </c>
      <c r="AM4" s="0">
        <f>IF(AL4&lt;3,AM2+1,0)</f>
        <v/>
      </c>
      <c r="AN4" s="0">
        <f>IF(AM4&gt;=2,0.8,1)</f>
        <v/>
      </c>
      <c r="AO4" s="0">
        <f>IF(AH4&lt;3,3,0)</f>
        <v/>
      </c>
      <c r="AP4" s="0" t="n">
        <v>0</v>
      </c>
      <c r="AQ4" s="0" t="n">
        <v>20</v>
      </c>
      <c r="AR4" s="0">
        <f>AQ4+AT2</f>
        <v/>
      </c>
      <c r="AS4" s="0">
        <f>AS2+AP4</f>
        <v/>
      </c>
      <c r="AT4" s="0">
        <f>IF(AP4&gt;0,AO4,MAX(AT2,AO4))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DC2+CF4</f>
        <v/>
      </c>
      <c r="CH4" s="0" t="n">
        <v>0</v>
      </c>
      <c r="CI4" s="0">
        <f>DE2+CH4</f>
        <v/>
      </c>
      <c r="CJ4" s="0" t="n">
        <v>500</v>
      </c>
      <c r="CK4" s="0">
        <f>DG2+CJ4</f>
        <v/>
      </c>
      <c r="CL4" s="0" t="n">
        <v>0</v>
      </c>
      <c r="CM4" s="0">
        <f>DJ2+CL4</f>
        <v/>
      </c>
      <c r="CN4" s="0" t="n">
        <v>1000</v>
      </c>
      <c r="CO4" s="0">
        <f>DL2+CN4</f>
        <v/>
      </c>
      <c r="CP4" s="0" t="n">
        <v>0</v>
      </c>
      <c r="CQ4" s="0">
        <f>DO2+CP4</f>
        <v/>
      </c>
      <c r="CR4" s="0" t="n">
        <v>0</v>
      </c>
      <c r="CS4" s="0">
        <f>DQ2+CR4</f>
        <v/>
      </c>
      <c r="CT4" s="0" t="n">
        <v>15000</v>
      </c>
      <c r="CU4" s="0">
        <f>DS2+CT4</f>
        <v/>
      </c>
      <c r="CV4" s="0">
        <f>(CK4)/0.7</f>
        <v/>
      </c>
      <c r="CW4" s="0">
        <f>(CO4)/1</f>
        <v/>
      </c>
      <c r="CX4" s="0">
        <f>(CU4)/13</f>
        <v/>
      </c>
      <c r="CY4" s="0">
        <f>ROUNDDOWN(MIN(I4,CE4,CV4,CW4,CX4),0)</f>
        <v/>
      </c>
      <c r="CZ4" s="0">
        <f>'Lotes_Pipeline_sim2'!U5</f>
        <v/>
      </c>
      <c r="DA4" s="0">
        <f>DB4+DD4+DF4</f>
        <v/>
      </c>
      <c r="DB4" s="0">
        <f>'Lotes_Pipeline_sim2'!X5</f>
        <v/>
      </c>
      <c r="DC4" s="0">
        <f>CG4-DB4</f>
        <v/>
      </c>
      <c r="DD4" s="0">
        <f>'Lotes_Pipeline_sim2'!AA5</f>
        <v/>
      </c>
      <c r="DE4" s="0">
        <f>CI4-DD4</f>
        <v/>
      </c>
      <c r="DF4" s="0">
        <f>'Lotes_Pipeline_sim2'!AD5</f>
        <v/>
      </c>
      <c r="DG4" s="0">
        <f>CK4-DF4</f>
        <v/>
      </c>
      <c r="DH4" s="0">
        <f>DI4+DK4</f>
        <v/>
      </c>
      <c r="DI4" s="0">
        <f>'Lotes_Pipeline_sim2'!AG5</f>
        <v/>
      </c>
      <c r="DJ4" s="0">
        <f>CM4-DI4</f>
        <v/>
      </c>
      <c r="DK4" s="0">
        <f>'Lotes_Pipeline_sim2'!AJ5</f>
        <v/>
      </c>
      <c r="DL4" s="0">
        <f>CO4-DK4</f>
        <v/>
      </c>
      <c r="DM4" s="0">
        <f>DN4+DP4+DR4</f>
        <v/>
      </c>
      <c r="DN4" s="0">
        <f>'Lotes_Pipeline_sim2'!AM5</f>
        <v/>
      </c>
      <c r="DO4" s="0">
        <f>CQ4-DN4</f>
        <v/>
      </c>
      <c r="DP4" s="0">
        <f>'Lotes_Pipeline_sim2'!AP5</f>
        <v/>
      </c>
      <c r="DQ4" s="0">
        <f>CS4-DP4</f>
        <v/>
      </c>
      <c r="DR4" s="0">
        <f>'Lotes_Pipeline_sim2'!AS5</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IFERROR(('Lotes_Pipeline_sim2'!U5)/CZ4,0)*10+IFERROR(CA4/BZ4,0)*10+(IFERROR(DF4/(DB4+DD4+DF4),0)+IFERROR(DK4/(DI4+DK4),0)+IFERROR(DR4/(DP4+DR4),0))/3*10+L4/10000*10</f>
        <v/>
      </c>
      <c r="DY4" s="0">
        <f>DX4+AJ4</f>
        <v/>
      </c>
      <c r="DZ4" s="0">
        <f>EC2+CZ4</f>
        <v/>
      </c>
      <c r="EA4" s="0" t="n">
        <v>10</v>
      </c>
      <c r="EB4" s="0" t="n">
        <v>250</v>
      </c>
      <c r="EC4" s="0">
        <f>'Lotes_Pipeline_sim2'!AY5</f>
        <v/>
      </c>
      <c r="ED4" s="0">
        <f>IF(D4="SEG-01",IFERROR(100*(_xlfn.MAXIFS($J$2:$J$7,$C$2:$C$7,C4)-J4)/(_xlfn.MAXIFS($J$2:$J$7,$C$2:$C$7,C4)-_xlfn.MINIFS($J$2:$J$7,$C$2:$C$7,C4)),100),100-ABS(J4-EB4)/EB4*100)</f>
        <v/>
      </c>
      <c r="EE4" s="0">
        <f>IFERROR(ROUND(DY4/SUMIF($C$2:$C$7,"2|SEG-01",$DY$2:$DY$7)*100,0),0)</f>
        <v/>
      </c>
      <c r="EF4" s="0">
        <f>0.1*ED4+0.5*DY4*10+0.4*EE4</f>
        <v/>
      </c>
      <c r="EG4" s="0">
        <f>IFERROR(EF4/SUMIF($C$2:$C$7,C4,$EF$2:$EF$7),0)</f>
        <v/>
      </c>
      <c r="EH4" s="0">
        <f>'Mercados_Pipeline_sim2'!J4</f>
        <v/>
      </c>
      <c r="EI4" s="0">
        <f>'Mercados_Pipeline_sim2'!I4</f>
        <v/>
      </c>
      <c r="EJ4" s="0">
        <f>'Lotes_Pipeline_sim2'!AW5</f>
        <v/>
      </c>
      <c r="EK4" s="0">
        <f>'Lotes_Pipeline_sim2'!AX5</f>
        <v/>
      </c>
      <c r="EL4" s="0">
        <f>EC4*2</f>
        <v/>
      </c>
      <c r="EM4" s="0">
        <f>IF(CZ4&gt;CE4,0.25*DT4*IFERROR(MIN(1,(CZ4-CE4)/CE4),1),0)</f>
        <v/>
      </c>
      <c r="EN4" s="0">
        <f>0</f>
        <v/>
      </c>
      <c r="EO4" s="0">
        <f>(IFERROR(INDEX('Catalogo_Numerico_sim2'!$G$2:$G$69,MATCH("COM-01C",'Catalogo_Numerico_sim2'!$A$2:$A$69,0)),0)+IFERROR(INDEX('Catalogo_Numerico_sim2'!$G$2:$G$69,MATCH("INV-01B",'Catalogo_Numerico_sim2'!$A$2:$A$69,0)),0))*1</f>
        <v/>
      </c>
      <c r="EP4" s="0">
        <f>0</f>
        <v/>
      </c>
      <c r="EQ4" s="0" t="n">
        <v>0</v>
      </c>
      <c r="ER4" s="0">
        <f>DT4+DU4+DV4+DW4+L4+EL4+EM4+EN4+EO4+EP4+EQ4</f>
        <v/>
      </c>
      <c r="ES4" s="0">
        <f>EK4-ER4</f>
        <v/>
      </c>
      <c r="ET4" s="0">
        <f>OR(AND('Lotes_Pipeline_sim2'!C5="SEG-03",'Lotes_Pipeline_sim2'!H5&gt;0,'Lotes_Pipeline_sim2'!J5&lt;4))</f>
        <v/>
      </c>
      <c r="EU4" s="0">
        <f>OR(AND('Lotes_Pipeline_sim2'!C5="SEG-03",'Lotes_Pipeline_sim2'!H5&gt;0,'Lotes_Pipeline_sim2'!J5&gt;=7))</f>
        <v/>
      </c>
      <c r="EV4" s="0">
        <f>AF4&lt;4</f>
        <v/>
      </c>
      <c r="EW4" s="0">
        <f>AM4&gt;=2</f>
        <v/>
      </c>
      <c r="EX4" s="0">
        <f>AH4&lt;3</f>
        <v/>
      </c>
      <c r="EY4" s="0">
        <f>CZ4&gt;CE4</f>
        <v/>
      </c>
      <c r="EZ4" s="0">
        <f>CZ4&gt;EJ4</f>
        <v/>
      </c>
      <c r="FA4" s="0">
        <f>AND(K4=0,AF4&lt;5)</f>
        <v/>
      </c>
      <c r="FB4" t="n">
        <v>1000000</v>
      </c>
      <c r="FC4">
        <f>0*2500*(1+0.03+0.02)+0*3500*(1+0.03+0.02)+0*1200*(1+0.03+0.02)+0*300*(1+0+0.01)</f>
        <v/>
      </c>
      <c r="FD4">
        <f>0*2500+0*3500+0*1200+0*300</f>
        <v/>
      </c>
      <c r="FE4">
        <f>(CF4*25+CH4*45+CJ4*80+CL4*4+CN4*9+CP4*2+CR4*4+CT4*7)*0.92</f>
        <v/>
      </c>
      <c r="FF4">
        <f>(DC4*25+DE4*45+DG4*80+DJ4*4+DL4*9+DO4*2+DQ4*4+DS4*7)*0.92</f>
        <v/>
      </c>
      <c r="FG4">
        <f>FM2</f>
        <v/>
      </c>
      <c r="FH4">
        <f>(1+AR4/100)^(1/12)-1</f>
        <v/>
      </c>
      <c r="FI4">
        <f>AS2*FJ2+AP4*FH4</f>
        <v/>
      </c>
      <c r="FJ4">
        <f>IFERROR(FI4/(AS2+AP4),0)</f>
        <v/>
      </c>
      <c r="FK4">
        <f>FI4*1</f>
        <v/>
      </c>
      <c r="FL4">
        <f>ER4-DW4-DU4+FE4+FK4</f>
        <v/>
      </c>
      <c r="FM4">
        <f>FG4+EK4+AP4-FL4-FC4</f>
        <v/>
      </c>
      <c r="FN4">
        <f>FN2+DW4</f>
        <v/>
      </c>
      <c r="FO4">
        <f>FO2+FD4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row r="5">
      <c r="A5" s="0" t="n">
        <v>2</v>
      </c>
      <c r="B5" s="0" t="inlineStr">
        <is>
          <t>B</t>
        </is>
      </c>
      <c r="C5" s="0" t="inlineStr">
        <is>
          <t>2|SEG-03</t>
        </is>
      </c>
      <c r="D5" s="0" t="inlineStr">
        <is>
          <t>SEG-03</t>
        </is>
      </c>
      <c r="E5" s="0" t="inlineStr">
        <is>
          <t>INF-08</t>
        </is>
      </c>
      <c r="F5" s="0" t="inlineStr">
        <is>
          <t>INS-01</t>
        </is>
      </c>
      <c r="G5" s="0" t="inlineStr"/>
      <c r="H5" s="0" t="inlineStr"/>
      <c r="I5" s="0" t="n">
        <v>300</v>
      </c>
      <c r="J5" s="0" t="n">
        <v>250</v>
      </c>
      <c r="K5" s="0" t="n">
        <v>0</v>
      </c>
      <c r="L5" s="0" t="n">
        <v>1500</v>
      </c>
      <c r="M5" s="0" t="inlineStr">
        <is>
          <t>MYPE</t>
        </is>
      </c>
      <c r="N5" s="0" t="inlineStr">
        <is>
          <t>INF-08</t>
        </is>
      </c>
      <c r="O5" s="0" t="inlineStr">
        <is>
          <t>RH-01</t>
        </is>
      </c>
      <c r="P5" s="0" t="inlineStr">
        <is>
          <t>RH-04</t>
        </is>
      </c>
      <c r="Q5" s="0" t="inlineStr">
        <is>
          <t>RH-07</t>
        </is>
      </c>
      <c r="R5" s="0" t="inlineStr">
        <is>
          <t>RH-10B</t>
        </is>
      </c>
      <c r="S5" s="0" t="inlineStr">
        <is>
          <t>FIN-01A</t>
        </is>
      </c>
      <c r="T5" s="0" t="inlineStr">
        <is>
          <t>COM-06B</t>
        </is>
      </c>
      <c r="U5" s="0" t="inlineStr">
        <is>
          <t>INV-02A</t>
        </is>
      </c>
      <c r="V5" s="0" t="inlineStr"/>
      <c r="W5" s="0" t="inlineStr"/>
      <c r="X5" s="0" t="inlineStr"/>
      <c r="Y5" s="0" t="inlineStr"/>
      <c r="Z5" s="0" t="inlineStr"/>
      <c r="AA5" s="0" t="inlineStr"/>
      <c r="AB5" s="0" t="inlineStr"/>
      <c r="AC5" s="0" t="inlineStr"/>
      <c r="AD5" s="0" t="inlineStr"/>
      <c r="AE5" s="0" t="inlineStr"/>
      <c r="AF5" s="0">
        <f>IFERROR(INDEX('Catalogo_Numerico_sim2'!$I$2:$I$69,MATCH(N5,'Catalogo_Numerico_sim2'!$A$2:$A$69,0)),0)+IFERROR(INDEX('Catalogo_Numerico_sim2'!$I$2:$I$69,MATCH(O5,'Catalogo_Numerico_sim2'!$A$2:$A$69,0)),0)+IFERROR(INDEX('Catalogo_Numerico_sim2'!$I$2:$I$69,MATCH(P5,'Catalogo_Numerico_sim2'!$A$2:$A$69,0)),0)+IFERROR(INDEX('Catalogo_Numerico_sim2'!$I$2:$I$69,MATCH(Q5,'Catalogo_Numerico_sim2'!$A$2:$A$69,0)),0)+IFERROR(INDEX('Catalogo_Numerico_sim2'!$I$2:$I$69,MATCH(R5,'Catalogo_Numerico_sim2'!$A$2:$A$69,0)),0)+IFERROR(INDEX('Catalogo_Numerico_sim2'!$I$2:$I$69,MATCH(S5,'Catalogo_Numerico_sim2'!$A$2:$A$69,0)),0)+IFERROR(INDEX('Catalogo_Numerico_sim2'!$I$2:$I$69,MATCH(T5,'Catalogo_Numerico_sim2'!$A$2:$A$69,0)),0)+IFERROR(INDEX('Catalogo_Numerico_sim2'!$I$2:$I$69,MATCH(U5,'Catalogo_Numerico_sim2'!$A$2:$A$69,0)),0)</f>
        <v/>
      </c>
      <c r="AG5" s="0">
        <f>IFERROR(INDEX('Catalogo_Numerico_sim2'!$J$2:$J$69,MATCH(N5,'Catalogo_Numerico_sim2'!$A$2:$A$69,0)),0)+IFERROR(INDEX('Catalogo_Numerico_sim2'!$J$2:$J$69,MATCH(O5,'Catalogo_Numerico_sim2'!$A$2:$A$69,0)),0)+IFERROR(INDEX('Catalogo_Numerico_sim2'!$J$2:$J$69,MATCH(P5,'Catalogo_Numerico_sim2'!$A$2:$A$69,0)),0)+IFERROR(INDEX('Catalogo_Numerico_sim2'!$J$2:$J$69,MATCH(Q5,'Catalogo_Numerico_sim2'!$A$2:$A$69,0)),0)+IFERROR(INDEX('Catalogo_Numerico_sim2'!$J$2:$J$69,MATCH(R5,'Catalogo_Numerico_sim2'!$A$2:$A$69,0)),0)+IFERROR(INDEX('Catalogo_Numerico_sim2'!$J$2:$J$69,MATCH(S5,'Catalogo_Numerico_sim2'!$A$2:$A$69,0)),0)+IFERROR(INDEX('Catalogo_Numerico_sim2'!$J$2:$J$69,MATCH(T5,'Catalogo_Numerico_sim2'!$A$2:$A$69,0)),0)+IFERROR(INDEX('Catalogo_Numerico_sim2'!$J$2:$J$69,MATCH(U5,'Catalogo_Numerico_sim2'!$A$2:$A$69,0)),0)</f>
        <v/>
      </c>
      <c r="AH5" s="0">
        <f>IFERROR(INDEX('Catalogo_Numerico_sim2'!$K$2:$K$69,MATCH(N5,'Catalogo_Numerico_sim2'!$A$2:$A$69,0)),0)+IFERROR(INDEX('Catalogo_Numerico_sim2'!$K$2:$K$69,MATCH(O5,'Catalogo_Numerico_sim2'!$A$2:$A$69,0)),0)+IFERROR(INDEX('Catalogo_Numerico_sim2'!$K$2:$K$69,MATCH(P5,'Catalogo_Numerico_sim2'!$A$2:$A$69,0)),0)+IFERROR(INDEX('Catalogo_Numerico_sim2'!$K$2:$K$69,MATCH(Q5,'Catalogo_Numerico_sim2'!$A$2:$A$69,0)),0)+IFERROR(INDEX('Catalogo_Numerico_sim2'!$K$2:$K$69,MATCH(R5,'Catalogo_Numerico_sim2'!$A$2:$A$69,0)),0)+IFERROR(INDEX('Catalogo_Numerico_sim2'!$K$2:$K$69,MATCH(S5,'Catalogo_Numerico_sim2'!$A$2:$A$69,0)),0)+IFERROR(INDEX('Catalogo_Numerico_sim2'!$K$2:$K$69,MATCH(T5,'Catalogo_Numerico_sim2'!$A$2:$A$69,0)),0)+IFERROR(INDEX('Catalogo_Numerico_sim2'!$K$2:$K$69,MATCH(U5,'Catalogo_Numerico_sim2'!$A$2:$A$69,0)),0)</f>
        <v/>
      </c>
      <c r="AI5" s="0">
        <f>IFERROR(('Lotes_Pipeline_sim2'!H6*'Lotes_Pipeline_sim2'!J6+'Lotes_Pipeline_sim2'!H7*'Lotes_Pipeline_sim2'!J7)/I5,0)</f>
        <v/>
      </c>
      <c r="AJ5" s="0">
        <f>IF(OR(AND('Lotes_Pipeline_sim2'!C6="SEG-03",'Lotes_Pipeline_sim2'!H6&gt;0,'Lotes_Pipeline_sim2'!J6&lt;4),AND('Lotes_Pipeline_sim2'!C7="SEG-03",'Lotes_Pipeline_sim2'!H7&gt;0,'Lotes_Pipeline_sim2'!J7&lt;4)),-2,0)+IF(OR(AND('Lotes_Pipeline_sim2'!C6="SEG-03",'Lotes_Pipeline_sim2'!H6&gt;0,'Lotes_Pipeline_sim2'!J6&gt;=7),AND('Lotes_Pipeline_sim2'!C7="SEG-03",'Lotes_Pipeline_sim2'!H7&gt;0,'Lotes_Pipeline_sim2'!J7&gt;=7)),2,0)</f>
        <v/>
      </c>
      <c r="AK5" s="0">
        <f>IF(AND(D5="SEG-03",I5&gt;0),IF(AI5&lt;4,0.65,IF(AI5&gt;=7,1.4,1)),1)</f>
        <v/>
      </c>
      <c r="AL5" s="0">
        <f>AG5+AJ5</f>
        <v/>
      </c>
      <c r="AM5" s="0">
        <f>IF(AL5&lt;3,AM3+1,0)</f>
        <v/>
      </c>
      <c r="AN5" s="0">
        <f>IF(AM5&gt;=2,0.8,1)</f>
        <v/>
      </c>
      <c r="AO5" s="0">
        <f>IF(AH5&lt;3,3,0)</f>
        <v/>
      </c>
      <c r="AP5" s="0" t="n">
        <v>5000</v>
      </c>
      <c r="AQ5" s="0" t="n">
        <v>20</v>
      </c>
      <c r="AR5" s="0">
        <f>AQ5+AT3</f>
        <v/>
      </c>
      <c r="AS5" s="0">
        <f>AS3+AP5</f>
        <v/>
      </c>
      <c r="AT5" s="0">
        <f>IF(AP5&gt;0,AO5,MAX(AT3,AO5))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f>
        <v/>
      </c>
      <c r="CE5" s="0">
        <f>ROUND(CD5*CB5,0)</f>
        <v/>
      </c>
      <c r="CF5" s="0" t="n">
        <v>300</v>
      </c>
      <c r="CG5" s="0">
        <f>DC3+CF5</f>
        <v/>
      </c>
      <c r="CH5" s="0" t="n">
        <v>0</v>
      </c>
      <c r="CI5" s="0">
        <f>DE3+CH5</f>
        <v/>
      </c>
      <c r="CJ5" s="0" t="n">
        <v>0</v>
      </c>
      <c r="CK5" s="0">
        <f>DG3+CJ5</f>
        <v/>
      </c>
      <c r="CL5" s="0" t="n">
        <v>1000</v>
      </c>
      <c r="CM5" s="0">
        <f>DJ3+CL5</f>
        <v/>
      </c>
      <c r="CN5" s="0" t="n">
        <v>0</v>
      </c>
      <c r="CO5" s="0">
        <f>DL3+CN5</f>
        <v/>
      </c>
      <c r="CP5" s="0" t="n">
        <v>6000</v>
      </c>
      <c r="CQ5" s="0">
        <f>DO3+CP5</f>
        <v/>
      </c>
      <c r="CR5" s="0" t="n">
        <v>0</v>
      </c>
      <c r="CS5" s="0">
        <f>DQ3+CR5</f>
        <v/>
      </c>
      <c r="CT5" s="0" t="n">
        <v>0</v>
      </c>
      <c r="CU5" s="0">
        <f>DS3+CT5</f>
        <v/>
      </c>
      <c r="CV5" s="0">
        <f>(CG5)/0.3</f>
        <v/>
      </c>
      <c r="CW5" s="0">
        <f>(CM5+CO5)/1</f>
        <v/>
      </c>
      <c r="CX5" s="0">
        <f>(CQ5+CS5+CU5)/6</f>
        <v/>
      </c>
      <c r="CY5" s="0">
        <f>ROUNDDOWN(MIN(I5,CE5,CV5,CW5,CX5),0)</f>
        <v/>
      </c>
      <c r="CZ5" s="0">
        <f>'Lotes_Pipeline_sim2'!U6+'Lotes_Pipeline_sim2'!U7</f>
        <v/>
      </c>
      <c r="DA5" s="0">
        <f>DB5+DD5+DF5</f>
        <v/>
      </c>
      <c r="DB5" s="0">
        <f>'Lotes_Pipeline_sim2'!X6+'Lotes_Pipeline_sim2'!X7</f>
        <v/>
      </c>
      <c r="DC5" s="0">
        <f>CG5-DB5</f>
        <v/>
      </c>
      <c r="DD5" s="0">
        <f>'Lotes_Pipeline_sim2'!AA6+'Lotes_Pipeline_sim2'!AA7</f>
        <v/>
      </c>
      <c r="DE5" s="0">
        <f>CI5-DD5</f>
        <v/>
      </c>
      <c r="DF5" s="0">
        <f>'Lotes_Pipeline_sim2'!AD6+'Lotes_Pipeline_sim2'!AD7</f>
        <v/>
      </c>
      <c r="DG5" s="0">
        <f>CK5-DF5</f>
        <v/>
      </c>
      <c r="DH5" s="0">
        <f>DI5+DK5</f>
        <v/>
      </c>
      <c r="DI5" s="0">
        <f>'Lotes_Pipeline_sim2'!AG6+'Lotes_Pipeline_sim2'!AG7</f>
        <v/>
      </c>
      <c r="DJ5" s="0">
        <f>CM5-DI5</f>
        <v/>
      </c>
      <c r="DK5" s="0">
        <f>'Lotes_Pipeline_sim2'!AJ6+'Lotes_Pipeline_sim2'!AJ7</f>
        <v/>
      </c>
      <c r="DL5" s="0">
        <f>CO5-DK5</f>
        <v/>
      </c>
      <c r="DM5" s="0">
        <f>DN5+DP5+DR5</f>
        <v/>
      </c>
      <c r="DN5" s="0">
        <f>'Lotes_Pipeline_sim2'!AM6+'Lotes_Pipeline_sim2'!AM7</f>
        <v/>
      </c>
      <c r="DO5" s="0">
        <f>CQ5-DN5</f>
        <v/>
      </c>
      <c r="DP5" s="0">
        <f>'Lotes_Pipeline_sim2'!AP6+'Lotes_Pipeline_sim2'!AP7</f>
        <v/>
      </c>
      <c r="DQ5" s="0">
        <f>CS5-DP5</f>
        <v/>
      </c>
      <c r="DR5" s="0">
        <f>'Lotes_Pipeline_sim2'!AS6+'Lotes_Pipeline_sim2'!AS7</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(DB5*25+DD5*45+DF5*80+DI5*4+DK5*9+DN5*2+DP5*4+DR5*7)*0.92</f>
        <v/>
      </c>
      <c r="DV5" s="0">
        <f>1*2500*0.05/12*1+1*3500*0.05/12*1+1*1200*0.05/12*1+1*300*0.05/12*1</f>
        <v/>
      </c>
      <c r="DW5" s="0">
        <f>1*(2375.0/10/12*1)+1*(3325.0/10/12*1)+1*(1140.0/8/12*1)+1*(285.0/5/12*1)</f>
        <v/>
      </c>
      <c r="DX5" s="0">
        <f>IFERROR((0)/CZ5,0)*10+IFERROR(CA5/BZ5,0)*10+(IFERROR(DF5/(DB5+DD5+DF5),0)+IFERROR(DK5/(DI5+DK5),0)+IFERROR(DR5/(DP5+DR5),0))/3*10+L5/10000*10</f>
        <v/>
      </c>
      <c r="DY5" s="0">
        <f>DX5+AJ5</f>
        <v/>
      </c>
      <c r="DZ5" s="0">
        <f>EC3+CZ5</f>
        <v/>
      </c>
      <c r="EA5" s="0" t="n">
        <v>10</v>
      </c>
      <c r="EB5" s="0" t="n">
        <v>250</v>
      </c>
      <c r="EC5" s="0">
        <f>'Lotes_Pipeline_sim2'!AY6+'Lotes_Pipeline_sim2'!AY7</f>
        <v/>
      </c>
      <c r="ED5" s="0">
        <f>IF(D5="SEG-01",IFERROR(100*(_xlfn.MAXIFS($J$2:$J$7,$C$2:$C$7,C5)-J5)/(_xlfn.MAXIFS($J$2:$J$7,$C$2:$C$7,C5)-_xlfn.MINIFS($J$2:$J$7,$C$2:$C$7,C5)),100),100-ABS(J5-EB5)/EB5*100)</f>
        <v/>
      </c>
      <c r="EE5" s="0">
        <f>IFERROR(ROUND(DY5/SUMIF($C$2:$C$7,"2|SEG-01",$DY$2:$DY$7)*100,0),0)</f>
        <v/>
      </c>
      <c r="EF5" s="0">
        <f>0.1*ED5+0.5*DY5*10+0.4*EE5</f>
        <v/>
      </c>
      <c r="EG5" s="0">
        <f>IFERROR(EF5/SUMIF($C$2:$C$7,C5,$EF$2:$EF$7),0)</f>
        <v/>
      </c>
      <c r="EH5" s="0">
        <f>'Mercados_Pipeline_sim2'!J5</f>
        <v/>
      </c>
      <c r="EI5" s="0">
        <f>'Mercados_Pipeline_sim2'!I5</f>
        <v/>
      </c>
      <c r="EJ5" s="0">
        <f>'Lotes_Pipeline_sim2'!AW6+'Lotes_Pipeline_sim2'!AW7</f>
        <v/>
      </c>
      <c r="EK5" s="0">
        <f>'Lotes_Pipeline_sim2'!AX6+'Lotes_Pipeline_sim2'!AX7</f>
        <v/>
      </c>
      <c r="EL5" s="0">
        <f>EC5*2</f>
        <v/>
      </c>
      <c r="EM5" s="0">
        <f>IF(CZ5&gt;CE5,0.25*DT5*IFERROR(MIN(1,(CZ5-CE5)/CE5),1),0)</f>
        <v/>
      </c>
      <c r="EN5" s="0">
        <f>0</f>
        <v/>
      </c>
      <c r="EO5" s="0">
        <f>(0)*1</f>
        <v/>
      </c>
      <c r="EP5" s="0">
        <f>0</f>
        <v/>
      </c>
      <c r="EQ5" s="0" t="n">
        <v>0</v>
      </c>
      <c r="ER5" s="0">
        <f>DT5+DU5+DV5+DW5+L5+EL5+EM5+EN5+EO5+EP5+EQ5</f>
        <v/>
      </c>
      <c r="ES5" s="0">
        <f>EK5-ER5</f>
        <v/>
      </c>
      <c r="ET5" s="0">
        <f>OR(AND('Lotes_Pipeline_sim2'!C6="SEG-03",'Lotes_Pipeline_sim2'!H6&gt;0,'Lotes_Pipeline_sim2'!J6&lt;4),AND('Lotes_Pipeline_sim2'!C7="SEG-03",'Lotes_Pipeline_sim2'!H7&gt;0,'Lotes_Pipeline_sim2'!J7&lt;4))</f>
        <v/>
      </c>
      <c r="EU5" s="0">
        <f>OR(AND('Lotes_Pipeline_sim2'!C6="SEG-03",'Lotes_Pipeline_sim2'!H6&gt;0,'Lotes_Pipeline_sim2'!J6&gt;=7),AND('Lotes_Pipeline_sim2'!C7="SEG-03",'Lotes_Pipeline_sim2'!H7&gt;0,'Lotes_Pipeline_sim2'!J7&gt;=7))</f>
        <v/>
      </c>
      <c r="EV5" s="0">
        <f>AF5&lt;4</f>
        <v/>
      </c>
      <c r="EW5" s="0">
        <f>AM5&gt;=2</f>
        <v/>
      </c>
      <c r="EX5" s="0">
        <f>AH5&lt;3</f>
        <v/>
      </c>
      <c r="EY5" s="0">
        <f>CZ5&gt;CE5</f>
        <v/>
      </c>
      <c r="EZ5" s="0">
        <f>CZ5&gt;EJ5</f>
        <v/>
      </c>
      <c r="FA5" s="0">
        <f>AND(K5=0,AF5&lt;5)</f>
        <v/>
      </c>
      <c r="FB5" t="n">
        <v>1000000</v>
      </c>
      <c r="FC5">
        <f>0*2500*(1+0.03+0.02)+0*3500*(1+0.03+0.02)+0*1200*(1+0.03+0.02)+0*300*(1+0+0.01)</f>
        <v/>
      </c>
      <c r="FD5">
        <f>0*2500+0*3500+0*1200+0*300</f>
        <v/>
      </c>
      <c r="FE5">
        <f>(CF5*25+CH5*45+CJ5*80+CL5*4+CN5*9+CP5*2+CR5*4+CT5*7)*0.92</f>
        <v/>
      </c>
      <c r="FF5">
        <f>(DC5*25+DE5*45+DG5*80+DJ5*4+DL5*9+DO5*2+DQ5*4+DS5*7)*0.92</f>
        <v/>
      </c>
      <c r="FG5">
        <f>FM3</f>
        <v/>
      </c>
      <c r="FH5">
        <f>(1+AR5/100)^(1/12)-1</f>
        <v/>
      </c>
      <c r="FI5">
        <f>AS3*FJ3+AP5*FH5</f>
        <v/>
      </c>
      <c r="FJ5">
        <f>IFERROR(FI5/(AS3+AP5),0)</f>
        <v/>
      </c>
      <c r="FK5">
        <f>FI5*1</f>
        <v/>
      </c>
      <c r="FL5">
        <f>ER5-DW5-DU5+FE5+FK5</f>
        <v/>
      </c>
      <c r="FM5">
        <f>FG5+EK5+AP5-FL5-FC5</f>
        <v/>
      </c>
      <c r="FN5">
        <f>FN3+DW5</f>
        <v/>
      </c>
      <c r="FO5">
        <f>FO3+FD5</f>
        <v/>
      </c>
      <c r="FP5">
        <f>FO5-FN5</f>
        <v/>
      </c>
      <c r="FQ5">
        <f>EK5</f>
        <v/>
      </c>
      <c r="FR5">
        <f>EK5</f>
        <v/>
      </c>
      <c r="FS5">
        <f>ER5+FK5</f>
        <v/>
      </c>
      <c r="FT5">
        <f>ES5-FK5</f>
        <v/>
      </c>
      <c r="FU5">
        <f>DW5</f>
        <v/>
      </c>
      <c r="FV5">
        <f>FK5</f>
        <v/>
      </c>
      <c r="FW5">
        <f>ER5</f>
        <v/>
      </c>
      <c r="FX5">
        <f>FG5</f>
        <v/>
      </c>
      <c r="FY5">
        <f>EK5+AP5</f>
        <v/>
      </c>
      <c r="FZ5">
        <f>FL5+FC5</f>
        <v/>
      </c>
      <c r="GA5">
        <f>FM5</f>
        <v/>
      </c>
      <c r="GB5">
        <f>FG5</f>
        <v/>
      </c>
      <c r="GC5">
        <f>EK5</f>
        <v/>
      </c>
      <c r="GD5">
        <f>FL5</f>
        <v/>
      </c>
      <c r="GE5">
        <f>FC5</f>
        <v/>
      </c>
      <c r="GF5">
        <f>AP5</f>
        <v/>
      </c>
      <c r="GG5">
        <f>EK5-FL5</f>
        <v/>
      </c>
      <c r="GH5">
        <f>-FC5</f>
        <v/>
      </c>
      <c r="GI5">
        <f>FM5-FG5</f>
        <v/>
      </c>
      <c r="GJ5">
        <f>FM5</f>
        <v/>
      </c>
      <c r="GK5">
        <f>FM5</f>
        <v/>
      </c>
      <c r="GL5">
        <f>FP5</f>
        <v/>
      </c>
      <c r="GM5">
        <f>FF5</f>
        <v/>
      </c>
      <c r="GN5">
        <f>FM5+FP5+FF5</f>
        <v/>
      </c>
      <c r="GO5">
        <f>AS5</f>
        <v/>
      </c>
      <c r="GP5">
        <f>FM5+FP5+FF5-AS5</f>
        <v/>
      </c>
      <c r="GQ5">
        <f>FM5+FP5+FF5</f>
        <v/>
      </c>
      <c r="GR5">
        <f>AP5</f>
        <v/>
      </c>
      <c r="GS5">
        <f>AR5</f>
        <v/>
      </c>
      <c r="GT5">
        <f>AS5</f>
        <v/>
      </c>
      <c r="GU5">
        <f>AT5</f>
        <v/>
      </c>
      <c r="GV5">
        <f>FJ5</f>
        <v/>
      </c>
      <c r="GW5">
        <f>FK5</f>
        <v/>
      </c>
    </row>
    <row r="6">
      <c r="A6" s="0" t="n">
        <v>3</v>
      </c>
      <c r="B6" s="0" t="inlineStr">
        <is>
          <t>A</t>
        </is>
      </c>
      <c r="C6" s="0" t="inlineStr">
        <is>
          <t>3|SEG-03</t>
        </is>
      </c>
      <c r="D6" s="0" t="inlineStr">
        <is>
          <t>SEG-03</t>
        </is>
      </c>
      <c r="E6" s="0" t="inlineStr">
        <is>
          <t>INF-10</t>
        </is>
      </c>
      <c r="F6" s="0" t="inlineStr">
        <is>
          <t>INS-03</t>
        </is>
      </c>
      <c r="G6" s="0" t="inlineStr">
        <is>
          <t>INS-05</t>
        </is>
      </c>
      <c r="H6" s="0" t="inlineStr">
        <is>
          <t>INS-08</t>
        </is>
      </c>
      <c r="I6" s="0" t="n">
        <v>200</v>
      </c>
      <c r="J6" s="0" t="n">
        <v>250</v>
      </c>
      <c r="K6" s="0" t="n">
        <v>1</v>
      </c>
      <c r="L6" s="0" t="n">
        <v>6000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INV-01B</t>
        </is>
      </c>
      <c r="X6" s="0" t="inlineStr">
        <is>
          <t>COM-06B</t>
        </is>
      </c>
      <c r="Y6" s="0" t="inlineStr">
        <is>
          <t>INV-02B</t>
        </is>
      </c>
      <c r="Z6" s="0" t="inlineStr"/>
      <c r="AA6" s="0" t="inlineStr"/>
      <c r="AB6" s="0" t="inlineStr"/>
      <c r="AC6" s="0" t="inlineStr"/>
      <c r="AD6" s="0" t="inlineStr"/>
      <c r="AE6" s="0" t="inlineStr"/>
      <c r="AF6" s="0">
        <f>IFERROR(INDEX('Catalogo_Numerico_sim2'!$I$2:$I$69,MATCH(N6,'Catalogo_Numerico_sim2'!$A$2:$A$69,0)),0)+IFERROR(INDEX('Catalogo_Numerico_sim2'!$I$2:$I$69,MATCH(O6,'Catalogo_Numerico_sim2'!$A$2:$A$69,0)),0)+IFERROR(INDEX('Catalogo_Numerico_sim2'!$I$2:$I$69,MATCH(P6,'Catalogo_Numerico_sim2'!$A$2:$A$69,0)),0)+IFERROR(INDEX('Catalogo_Numerico_sim2'!$I$2:$I$69,MATCH(Q6,'Catalogo_Numerico_sim2'!$A$2:$A$69,0)),0)+IFERROR(INDEX('Catalogo_Numerico_sim2'!$I$2:$I$69,MATCH(R6,'Catalogo_Numerico_sim2'!$A$2:$A$69,0)),0)+IFERROR(INDEX('Catalogo_Numerico_sim2'!$I$2:$I$69,MATCH(S6,'Catalogo_Numerico_sim2'!$A$2:$A$69,0)),0)+IFERROR(INDEX('Catalogo_Numerico_sim2'!$I$2:$I$69,MATCH(T6,'Catalogo_Numerico_sim2'!$A$2:$A$69,0)),0)+IFERROR(INDEX('Catalogo_Numerico_sim2'!$I$2:$I$69,MATCH(U6,'Catalogo_Numerico_sim2'!$A$2:$A$69,0)),0)+IFERROR(INDEX('Catalogo_Numerico_sim2'!$I$2:$I$69,MATCH(V6,'Catalogo_Numerico_sim2'!$A$2:$A$69,0)),0)+IFERROR(INDEX('Catalogo_Numerico_sim2'!$I$2:$I$69,MATCH(W6,'Catalogo_Numerico_sim2'!$A$2:$A$69,0)),0)+IFERROR(INDEX('Catalogo_Numerico_sim2'!$I$2:$I$69,MATCH(X6,'Catalogo_Numerico_sim2'!$A$2:$A$69,0)),0)+IFERROR(INDEX('Catalogo_Numerico_sim2'!$I$2:$I$69,MATCH(Y6,'Catalogo_Numerico_sim2'!$A$2:$A$69,0)),0)</f>
        <v/>
      </c>
      <c r="AG6" s="0">
        <f>IFERROR(INDEX('Catalogo_Numerico_sim2'!$J$2:$J$69,MATCH(N6,'Catalogo_Numerico_sim2'!$A$2:$A$69,0)),0)+IFERROR(INDEX('Catalogo_Numerico_sim2'!$J$2:$J$69,MATCH(O6,'Catalogo_Numerico_sim2'!$A$2:$A$69,0)),0)+IFERROR(INDEX('Catalogo_Numerico_sim2'!$J$2:$J$69,MATCH(P6,'Catalogo_Numerico_sim2'!$A$2:$A$69,0)),0)+IFERROR(INDEX('Catalogo_Numerico_sim2'!$J$2:$J$69,MATCH(Q6,'Catalogo_Numerico_sim2'!$A$2:$A$69,0)),0)+IFERROR(INDEX('Catalogo_Numerico_sim2'!$J$2:$J$69,MATCH(R6,'Catalogo_Numerico_sim2'!$A$2:$A$69,0)),0)+IFERROR(INDEX('Catalogo_Numerico_sim2'!$J$2:$J$69,MATCH(S6,'Catalogo_Numerico_sim2'!$A$2:$A$69,0)),0)+IFERROR(INDEX('Catalogo_Numerico_sim2'!$J$2:$J$69,MATCH(T6,'Catalogo_Numerico_sim2'!$A$2:$A$69,0)),0)+IFERROR(INDEX('Catalogo_Numerico_sim2'!$J$2:$J$69,MATCH(U6,'Catalogo_Numerico_sim2'!$A$2:$A$69,0)),0)+IFERROR(INDEX('Catalogo_Numerico_sim2'!$J$2:$J$69,MATCH(V6,'Catalogo_Numerico_sim2'!$A$2:$A$69,0)),0)+IFERROR(INDEX('Catalogo_Numerico_sim2'!$J$2:$J$69,MATCH(W6,'Catalogo_Numerico_sim2'!$A$2:$A$69,0)),0)+IFERROR(INDEX('Catalogo_Numerico_sim2'!$J$2:$J$69,MATCH(X6,'Catalogo_Numerico_sim2'!$A$2:$A$69,0)),0)+IFERROR(INDEX('Catalogo_Numerico_sim2'!$J$2:$J$69,MATCH(Y6,'Catalogo_Numerico_sim2'!$A$2:$A$69,0)),0)</f>
        <v/>
      </c>
      <c r="AH6" s="0">
        <f>IFERROR(INDEX('Catalogo_Numerico_sim2'!$K$2:$K$69,MATCH(N6,'Catalogo_Numerico_sim2'!$A$2:$A$69,0)),0)+IFERROR(INDEX('Catalogo_Numerico_sim2'!$K$2:$K$69,MATCH(O6,'Catalogo_Numerico_sim2'!$A$2:$A$69,0)),0)+IFERROR(INDEX('Catalogo_Numerico_sim2'!$K$2:$K$69,MATCH(P6,'Catalogo_Numerico_sim2'!$A$2:$A$69,0)),0)+IFERROR(INDEX('Catalogo_Numerico_sim2'!$K$2:$K$69,MATCH(Q6,'Catalogo_Numerico_sim2'!$A$2:$A$69,0)),0)+IFERROR(INDEX('Catalogo_Numerico_sim2'!$K$2:$K$69,MATCH(R6,'Catalogo_Numerico_sim2'!$A$2:$A$69,0)),0)+IFERROR(INDEX('Catalogo_Numerico_sim2'!$K$2:$K$69,MATCH(S6,'Catalogo_Numerico_sim2'!$A$2:$A$69,0)),0)+IFERROR(INDEX('Catalogo_Numerico_sim2'!$K$2:$K$69,MATCH(T6,'Catalogo_Numerico_sim2'!$A$2:$A$69,0)),0)+IFERROR(INDEX('Catalogo_Numerico_sim2'!$K$2:$K$69,MATCH(U6,'Catalogo_Numerico_sim2'!$A$2:$A$69,0)),0)+IFERROR(INDEX('Catalogo_Numerico_sim2'!$K$2:$K$69,MATCH(V6,'Catalogo_Numerico_sim2'!$A$2:$A$69,0)),0)+IFERROR(INDEX('Catalogo_Numerico_sim2'!$K$2:$K$69,MATCH(W6,'Catalogo_Numerico_sim2'!$A$2:$A$69,0)),0)+IFERROR(INDEX('Catalogo_Numerico_sim2'!$K$2:$K$69,MATCH(X6,'Catalogo_Numerico_sim2'!$A$2:$A$69,0)),0)+IFERROR(INDEX('Catalogo_Numerico_sim2'!$K$2:$K$69,MATCH(Y6,'Catalogo_Numerico_sim2'!$A$2:$A$69,0)),0)</f>
        <v/>
      </c>
      <c r="AI6" s="0">
        <f>IFERROR(('Lotes_Pipeline_sim2'!H8*'Lotes_Pipeline_sim2'!J8)/I6,0)</f>
        <v/>
      </c>
      <c r="AJ6" s="0">
        <f>IF(OR(AND('Lotes_Pipeline_sim2'!C8="SEG-03",'Lotes_Pipeline_sim2'!H8&gt;0,'Lotes_Pipeline_sim2'!J8&lt;4)),-2,0)+IF(OR(AND('Lotes_Pipeline_sim2'!C8="SEG-03",'Lotes_Pipeline_sim2'!H8&gt;0,'Lotes_Pipeline_sim2'!J8&gt;=7)),2,0)</f>
        <v/>
      </c>
      <c r="AK6" s="0">
        <f>IF(AND(D6="SEG-03",I6&gt;0),IF(AI6&lt;4,0.65,IF(AI6&gt;=7,1.4,1)),1)</f>
        <v/>
      </c>
      <c r="AL6" s="0">
        <f>AG6+AJ6</f>
        <v/>
      </c>
      <c r="AM6" s="0">
        <f>IF(AL6&lt;3,AM4+1,0)</f>
        <v/>
      </c>
      <c r="AN6" s="0">
        <f>IF(AM6&gt;=2,0.8,1)</f>
        <v/>
      </c>
      <c r="AO6" s="0">
        <f>IF(AH6&lt;3,3,0)</f>
        <v/>
      </c>
      <c r="AP6" s="0" t="n">
        <v>0</v>
      </c>
      <c r="AQ6" s="0" t="n">
        <v>20</v>
      </c>
      <c r="AR6" s="0">
        <f>AQ6+AT4</f>
        <v/>
      </c>
      <c r="AS6" s="0">
        <f>AS4+AP6</f>
        <v/>
      </c>
      <c r="AT6" s="0">
        <f>IF(AP6&gt;0,AO6,MAX(AT4,AO6))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CC6*24*1.08</f>
        <v/>
      </c>
      <c r="CE6" s="0">
        <f>ROUND(CD6*CB6,0)</f>
        <v/>
      </c>
      <c r="CF6" s="0" t="n">
        <v>0</v>
      </c>
      <c r="CG6" s="0">
        <f>DC4+CF6</f>
        <v/>
      </c>
      <c r="CH6" s="0" t="n">
        <v>0</v>
      </c>
      <c r="CI6" s="0">
        <f>DE4+CH6</f>
        <v/>
      </c>
      <c r="CJ6" s="0" t="n">
        <v>500</v>
      </c>
      <c r="CK6" s="0">
        <f>DG4+CJ6</f>
        <v/>
      </c>
      <c r="CL6" s="0" t="n">
        <v>0</v>
      </c>
      <c r="CM6" s="0">
        <f>DJ4+CL6</f>
        <v/>
      </c>
      <c r="CN6" s="0" t="n">
        <v>1000</v>
      </c>
      <c r="CO6" s="0">
        <f>DL4+CN6</f>
        <v/>
      </c>
      <c r="CP6" s="0" t="n">
        <v>0</v>
      </c>
      <c r="CQ6" s="0">
        <f>DO4+CP6</f>
        <v/>
      </c>
      <c r="CR6" s="0" t="n">
        <v>0</v>
      </c>
      <c r="CS6" s="0">
        <f>DQ4+CR6</f>
        <v/>
      </c>
      <c r="CT6" s="0" t="n">
        <v>15000</v>
      </c>
      <c r="CU6" s="0">
        <f>DS4+CT6</f>
        <v/>
      </c>
      <c r="CV6" s="0">
        <f>(CK6)/0.7</f>
        <v/>
      </c>
      <c r="CW6" s="0">
        <f>(CO6)/1</f>
        <v/>
      </c>
      <c r="CX6" s="0">
        <f>(CU6)/13</f>
        <v/>
      </c>
      <c r="CY6" s="0">
        <f>ROUNDDOWN(MIN(I6,CE6,CV6,CW6,CX6),0)</f>
        <v/>
      </c>
      <c r="CZ6" s="0">
        <f>'Lotes_Pipeline_sim2'!U8</f>
        <v/>
      </c>
      <c r="DA6" s="0">
        <f>DB6+DD6+DF6</f>
        <v/>
      </c>
      <c r="DB6" s="0">
        <f>'Lotes_Pipeline_sim2'!X8</f>
        <v/>
      </c>
      <c r="DC6" s="0">
        <f>CG6-DB6</f>
        <v/>
      </c>
      <c r="DD6" s="0">
        <f>'Lotes_Pipeline_sim2'!AA8</f>
        <v/>
      </c>
      <c r="DE6" s="0">
        <f>CI6-DD6</f>
        <v/>
      </c>
      <c r="DF6" s="0">
        <f>'Lotes_Pipeline_sim2'!AD8</f>
        <v/>
      </c>
      <c r="DG6" s="0">
        <f>CK6-DF6</f>
        <v/>
      </c>
      <c r="DH6" s="0">
        <f>DI6+DK6</f>
        <v/>
      </c>
      <c r="DI6" s="0">
        <f>'Lotes_Pipeline_sim2'!AG8</f>
        <v/>
      </c>
      <c r="DJ6" s="0">
        <f>CM6-DI6</f>
        <v/>
      </c>
      <c r="DK6" s="0">
        <f>'Lotes_Pipeline_sim2'!AJ8</f>
        <v/>
      </c>
      <c r="DL6" s="0">
        <f>CO6-DK6</f>
        <v/>
      </c>
      <c r="DM6" s="0">
        <f>DN6+DP6+DR6</f>
        <v/>
      </c>
      <c r="DN6" s="0">
        <f>'Lotes_Pipeline_sim2'!AM8</f>
        <v/>
      </c>
      <c r="DO6" s="0">
        <f>CQ6-DN6</f>
        <v/>
      </c>
      <c r="DP6" s="0">
        <f>'Lotes_Pipeline_sim2'!AP8</f>
        <v/>
      </c>
      <c r="DQ6" s="0">
        <f>CS6-DP6</f>
        <v/>
      </c>
      <c r="DR6" s="0">
        <f>'Lotes_Pipeline_sim2'!AS8</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(DB6*25+DD6*45+DF6*80+DI6*4+DK6*9+DN6*2+DP6*4+DR6*7)*0.92</f>
        <v/>
      </c>
      <c r="DV6" s="0">
        <f>1*2500*0.05/12*1+1*3500*0.05/12*1+1*1200*0.05/12*1+1*300*0.05/12*1</f>
        <v/>
      </c>
      <c r="DW6" s="0">
        <f>1*(2375.0/10/12*1)+1*(3325.0/10/12*1)+1*(1140.0/8/12*1)+1*(285.0/5/12*1)</f>
        <v/>
      </c>
      <c r="DX6" s="0">
        <f>IFERROR(('Lotes_Pipeline_sim2'!U8)/CZ6,0)*10+IFERROR(CA6/BZ6,0)*10+(IFERROR(DF6/(DB6+DD6+DF6),0)+IFERROR(DK6/(DI6+DK6),0)+IFERROR(DR6/(DP6+DR6),0))/3*10+L6/10000*10</f>
        <v/>
      </c>
      <c r="DY6" s="0">
        <f>DX6+AJ6</f>
        <v/>
      </c>
      <c r="DZ6" s="0">
        <f>EC4+CZ6</f>
        <v/>
      </c>
      <c r="EA6" s="0" t="n">
        <v>10</v>
      </c>
      <c r="EB6" s="0" t="n">
        <v>250</v>
      </c>
      <c r="EC6" s="0">
        <f>'Lotes_Pipeline_sim2'!AY8</f>
        <v/>
      </c>
      <c r="ED6" s="0">
        <f>IF(D6="SEG-01",IFERROR(100*(_xlfn.MAXIFS($J$2:$J$7,$C$2:$C$7,C6)-J6)/(_xlfn.MAXIFS($J$2:$J$7,$C$2:$C$7,C6)-_xlfn.MINIFS($J$2:$J$7,$C$2:$C$7,C6)),100),100-ABS(J6-EB6)/EB6*100)</f>
        <v/>
      </c>
      <c r="EE6" s="0">
        <f>IFERROR(ROUND(DY6/SUMIF($C$2:$C$7,"3|SEG-01",$DY$2:$DY$7)*100,0),0)</f>
        <v/>
      </c>
      <c r="EF6" s="0">
        <f>0.1*ED6+0.5*DY6*10+0.4*EE6</f>
        <v/>
      </c>
      <c r="EG6" s="0">
        <f>IFERROR(EF6/SUMIF($C$2:$C$7,C6,$EF$2:$EF$7),0)</f>
        <v/>
      </c>
      <c r="EH6" s="0">
        <f>'Mercados_Pipeline_sim2'!J6</f>
        <v/>
      </c>
      <c r="EI6" s="0">
        <f>'Mercados_Pipeline_sim2'!I6</f>
        <v/>
      </c>
      <c r="EJ6" s="0">
        <f>'Lotes_Pipeline_sim2'!AW8</f>
        <v/>
      </c>
      <c r="EK6" s="0">
        <f>'Lotes_Pipeline_sim2'!AX8</f>
        <v/>
      </c>
      <c r="EL6" s="0">
        <f>EC6*2</f>
        <v/>
      </c>
      <c r="EM6" s="0">
        <f>IF(CZ6&gt;CE6,0.25*DT6*IFERROR(MIN(1,(CZ6-CE6)/CE6),1),0)</f>
        <v/>
      </c>
      <c r="EN6" s="0">
        <f>0</f>
        <v/>
      </c>
      <c r="EO6" s="0">
        <f>(IFERROR(INDEX('Catalogo_Numerico_sim2'!$G$2:$G$69,MATCH("COM-01C",'Catalogo_Numerico_sim2'!$A$2:$A$69,0)),0)+IFERROR(INDEX('Catalogo_Numerico_sim2'!$G$2:$G$69,MATCH("INV-01B",'Catalogo_Numerico_sim2'!$A$2:$A$69,0)),0))*1</f>
        <v/>
      </c>
      <c r="EP6" s="0">
        <f>0</f>
        <v/>
      </c>
      <c r="EQ6" s="0" t="n">
        <v>0</v>
      </c>
      <c r="ER6" s="0">
        <f>DT6+DU6+DV6+DW6+L6+EL6+EM6+EN6+EO6+EP6+EQ6</f>
        <v/>
      </c>
      <c r="ES6" s="0">
        <f>EK6-ER6</f>
        <v/>
      </c>
      <c r="ET6" s="0">
        <f>OR(AND('Lotes_Pipeline_sim2'!C8="SEG-03",'Lotes_Pipeline_sim2'!H8&gt;0,'Lotes_Pipeline_sim2'!J8&lt;4))</f>
        <v/>
      </c>
      <c r="EU6" s="0">
        <f>OR(AND('Lotes_Pipeline_sim2'!C8="SEG-03",'Lotes_Pipeline_sim2'!H8&gt;0,'Lotes_Pipeline_sim2'!J8&gt;=7))</f>
        <v/>
      </c>
      <c r="EV6" s="0">
        <f>AF6&lt;4</f>
        <v/>
      </c>
      <c r="EW6" s="0">
        <f>AM6&gt;=2</f>
        <v/>
      </c>
      <c r="EX6" s="0">
        <f>AH6&lt;3</f>
        <v/>
      </c>
      <c r="EY6" s="0">
        <f>CZ6&gt;CE6</f>
        <v/>
      </c>
      <c r="EZ6" s="0">
        <f>CZ6&gt;EJ6</f>
        <v/>
      </c>
      <c r="FA6" s="0">
        <f>AND(K6=0,AF6&lt;5)</f>
        <v/>
      </c>
      <c r="FB6" t="n">
        <v>1000000</v>
      </c>
      <c r="FC6">
        <f>0*2500*(1+0.03+0.02)+0*3500*(1+0.03+0.02)+0*1200*(1+0.03+0.02)+0*300*(1+0+0.01)</f>
        <v/>
      </c>
      <c r="FD6">
        <f>0*2500+0*3500+0*1200+0*300</f>
        <v/>
      </c>
      <c r="FE6">
        <f>(CF6*25+CH6*45+CJ6*80+CL6*4+CN6*9+CP6*2+CR6*4+CT6*7)*0.92</f>
        <v/>
      </c>
      <c r="FF6">
        <f>(DC6*25+DE6*45+DG6*80+DJ6*4+DL6*9+DO6*2+DQ6*4+DS6*7)*0.92</f>
        <v/>
      </c>
      <c r="FG6">
        <f>FM4</f>
        <v/>
      </c>
      <c r="FH6">
        <f>(1+AR6/100)^(1/12)-1</f>
        <v/>
      </c>
      <c r="FI6">
        <f>AS4*FJ4+AP6*FH6</f>
        <v/>
      </c>
      <c r="FJ6">
        <f>IFERROR(FI6/(AS4+AP6),0)</f>
        <v/>
      </c>
      <c r="FK6">
        <f>FI6*1</f>
        <v/>
      </c>
      <c r="FL6">
        <f>ER6-DW6-DU6+FE6+FK6</f>
        <v/>
      </c>
      <c r="FM6">
        <f>FG6+EK6+AP6-FL6-FC6</f>
        <v/>
      </c>
      <c r="FN6">
        <f>FN4+DW6</f>
        <v/>
      </c>
      <c r="FO6">
        <f>FO4+FD6</f>
        <v/>
      </c>
      <c r="FP6">
        <f>FO6-FN6</f>
        <v/>
      </c>
      <c r="FQ6">
        <f>EK6</f>
        <v/>
      </c>
      <c r="FR6">
        <f>EK6</f>
        <v/>
      </c>
      <c r="FS6">
        <f>ER6+FK6</f>
        <v/>
      </c>
      <c r="FT6">
        <f>ES6-FK6</f>
        <v/>
      </c>
      <c r="FU6">
        <f>DW6</f>
        <v/>
      </c>
      <c r="FV6">
        <f>FK6</f>
        <v/>
      </c>
      <c r="FW6">
        <f>ER6</f>
        <v/>
      </c>
      <c r="FX6">
        <f>FG6</f>
        <v/>
      </c>
      <c r="FY6">
        <f>EK6+AP6</f>
        <v/>
      </c>
      <c r="FZ6">
        <f>FL6+FC6</f>
        <v/>
      </c>
      <c r="GA6">
        <f>FM6</f>
        <v/>
      </c>
      <c r="GB6">
        <f>FG6</f>
        <v/>
      </c>
      <c r="GC6">
        <f>EK6</f>
        <v/>
      </c>
      <c r="GD6">
        <f>FL6</f>
        <v/>
      </c>
      <c r="GE6">
        <f>FC6</f>
        <v/>
      </c>
      <c r="GF6">
        <f>AP6</f>
        <v/>
      </c>
      <c r="GG6">
        <f>EK6-FL6</f>
        <v/>
      </c>
      <c r="GH6">
        <f>-FC6</f>
        <v/>
      </c>
      <c r="GI6">
        <f>FM6-FG6</f>
        <v/>
      </c>
      <c r="GJ6">
        <f>FM6</f>
        <v/>
      </c>
      <c r="GK6">
        <f>FM6</f>
        <v/>
      </c>
      <c r="GL6">
        <f>FP6</f>
        <v/>
      </c>
      <c r="GM6">
        <f>FF6</f>
        <v/>
      </c>
      <c r="GN6">
        <f>FM6+FP6+FF6</f>
        <v/>
      </c>
      <c r="GO6">
        <f>AS6</f>
        <v/>
      </c>
      <c r="GP6">
        <f>FM6+FP6+FF6-AS6</f>
        <v/>
      </c>
      <c r="GQ6">
        <f>FM6+FP6+FF6</f>
        <v/>
      </c>
      <c r="GR6">
        <f>AP6</f>
        <v/>
      </c>
      <c r="GS6">
        <f>AR6</f>
        <v/>
      </c>
      <c r="GT6">
        <f>AS6</f>
        <v/>
      </c>
      <c r="GU6">
        <f>AT6</f>
        <v/>
      </c>
      <c r="GV6">
        <f>FJ6</f>
        <v/>
      </c>
      <c r="GW6">
        <f>FK6</f>
        <v/>
      </c>
    </row>
    <row r="7">
      <c r="A7" s="0" t="n">
        <v>3</v>
      </c>
      <c r="B7" s="0" t="inlineStr">
        <is>
          <t>B</t>
        </is>
      </c>
      <c r="C7" s="0" t="inlineStr">
        <is>
          <t>3|SEG-02</t>
        </is>
      </c>
      <c r="D7" s="0" t="inlineStr">
        <is>
          <t>SEG-02</t>
        </is>
      </c>
      <c r="E7" s="0" t="inlineStr">
        <is>
          <t>INF-09</t>
        </is>
      </c>
      <c r="F7" s="0" t="inlineStr">
        <is>
          <t>INS-03</t>
        </is>
      </c>
      <c r="G7" s="0" t="inlineStr">
        <is>
          <t>INS-05</t>
        </is>
      </c>
      <c r="H7" s="0" t="inlineStr">
        <is>
          <t>INS-08</t>
        </is>
      </c>
      <c r="I7" s="0" t="n">
        <v>100</v>
      </c>
      <c r="J7" s="0" t="n">
        <v>100</v>
      </c>
      <c r="K7" s="0" t="n">
        <v>0</v>
      </c>
      <c r="L7" s="0" t="n">
        <v>1500</v>
      </c>
      <c r="M7" s="0" t="inlineStr">
        <is>
          <t>MYPE</t>
        </is>
      </c>
      <c r="N7" s="0" t="inlineStr">
        <is>
          <t>INF-02</t>
        </is>
      </c>
      <c r="O7" s="0" t="inlineStr">
        <is>
          <t>INF-05</t>
        </is>
      </c>
      <c r="P7" s="0" t="inlineStr">
        <is>
          <t>INF-08</t>
        </is>
      </c>
      <c r="Q7" s="0" t="inlineStr">
        <is>
          <t>RH-01</t>
        </is>
      </c>
      <c r="R7" s="0" t="inlineStr">
        <is>
          <t>RH-04</t>
        </is>
      </c>
      <c r="S7" s="0" t="inlineStr">
        <is>
          <t>RH-07</t>
        </is>
      </c>
      <c r="T7" s="0" t="inlineStr">
        <is>
          <t>RH-10B</t>
        </is>
      </c>
      <c r="U7" s="0" t="inlineStr">
        <is>
          <t>FIN-01A</t>
        </is>
      </c>
      <c r="V7" s="0" t="inlineStr">
        <is>
          <t>COM-06B</t>
        </is>
      </c>
      <c r="W7" s="0" t="inlineStr">
        <is>
          <t>INV-02A</t>
        </is>
      </c>
      <c r="X7" s="0" t="inlineStr"/>
      <c r="Y7" s="0" t="inlineStr"/>
      <c r="Z7" s="0" t="inlineStr"/>
      <c r="AA7" s="0" t="inlineStr"/>
      <c r="AB7" s="0" t="inlineStr"/>
      <c r="AC7" s="0" t="inlineStr"/>
      <c r="AD7" s="0" t="inlineStr"/>
      <c r="AE7" s="0" t="inlineStr"/>
      <c r="AF7" s="0">
        <f>IFERROR(INDEX('Catalogo_Numerico_sim2'!$I$2:$I$69,MATCH(N7,'Catalogo_Numerico_sim2'!$A$2:$A$69,0)),0)+IFERROR(INDEX('Catalogo_Numerico_sim2'!$I$2:$I$69,MATCH(O7,'Catalogo_Numerico_sim2'!$A$2:$A$69,0)),0)+IFERROR(INDEX('Catalogo_Numerico_sim2'!$I$2:$I$69,MATCH(P7,'Catalogo_Numerico_sim2'!$A$2:$A$69,0)),0)+IFERROR(INDEX('Catalogo_Numerico_sim2'!$I$2:$I$69,MATCH(Q7,'Catalogo_Numerico_sim2'!$A$2:$A$69,0)),0)+IFERROR(INDEX('Catalogo_Numerico_sim2'!$I$2:$I$69,MATCH(R7,'Catalogo_Numerico_sim2'!$A$2:$A$69,0)),0)+IFERROR(INDEX('Catalogo_Numerico_sim2'!$I$2:$I$69,MATCH(S7,'Catalogo_Numerico_sim2'!$A$2:$A$69,0)),0)+IFERROR(INDEX('Catalogo_Numerico_sim2'!$I$2:$I$69,MATCH(T7,'Catalogo_Numerico_sim2'!$A$2:$A$69,0)),0)+IFERROR(INDEX('Catalogo_Numerico_sim2'!$I$2:$I$69,MATCH(U7,'Catalogo_Numerico_sim2'!$A$2:$A$69,0)),0)+IFERROR(INDEX('Catalogo_Numerico_sim2'!$I$2:$I$69,MATCH(V7,'Catalogo_Numerico_sim2'!$A$2:$A$69,0)),0)+IFERROR(INDEX('Catalogo_Numerico_sim2'!$I$2:$I$69,MATCH(W7,'Catalogo_Numerico_sim2'!$A$2:$A$69,0)),0)</f>
        <v/>
      </c>
      <c r="AG7" s="0">
        <f>IFERROR(INDEX('Catalogo_Numerico_sim2'!$J$2:$J$69,MATCH(N7,'Catalogo_Numerico_sim2'!$A$2:$A$69,0)),0)+IFERROR(INDEX('Catalogo_Numerico_sim2'!$J$2:$J$69,MATCH(O7,'Catalogo_Numerico_sim2'!$A$2:$A$69,0)),0)+IFERROR(INDEX('Catalogo_Numerico_sim2'!$J$2:$J$69,MATCH(P7,'Catalogo_Numerico_sim2'!$A$2:$A$69,0)),0)+IFERROR(INDEX('Catalogo_Numerico_sim2'!$J$2:$J$69,MATCH(Q7,'Catalogo_Numerico_sim2'!$A$2:$A$69,0)),0)+IFERROR(INDEX('Catalogo_Numerico_sim2'!$J$2:$J$69,MATCH(R7,'Catalogo_Numerico_sim2'!$A$2:$A$69,0)),0)+IFERROR(INDEX('Catalogo_Numerico_sim2'!$J$2:$J$69,MATCH(S7,'Catalogo_Numerico_sim2'!$A$2:$A$69,0)),0)+IFERROR(INDEX('Catalogo_Numerico_sim2'!$J$2:$J$69,MATCH(T7,'Catalogo_Numerico_sim2'!$A$2:$A$69,0)),0)+IFERROR(INDEX('Catalogo_Numerico_sim2'!$J$2:$J$69,MATCH(U7,'Catalogo_Numerico_sim2'!$A$2:$A$69,0)),0)+IFERROR(INDEX('Catalogo_Numerico_sim2'!$J$2:$J$69,MATCH(V7,'Catalogo_Numerico_sim2'!$A$2:$A$69,0)),0)+IFERROR(INDEX('Catalogo_Numerico_sim2'!$J$2:$J$69,MATCH(W7,'Catalogo_Numerico_sim2'!$A$2:$A$69,0)),0)</f>
        <v/>
      </c>
      <c r="AH7" s="0">
        <f>IFERROR(INDEX('Catalogo_Numerico_sim2'!$K$2:$K$69,MATCH(N7,'Catalogo_Numerico_sim2'!$A$2:$A$69,0)),0)+IFERROR(INDEX('Catalogo_Numerico_sim2'!$K$2:$K$69,MATCH(O7,'Catalogo_Numerico_sim2'!$A$2:$A$69,0)),0)+IFERROR(INDEX('Catalogo_Numerico_sim2'!$K$2:$K$69,MATCH(P7,'Catalogo_Numerico_sim2'!$A$2:$A$69,0)),0)+IFERROR(INDEX('Catalogo_Numerico_sim2'!$K$2:$K$69,MATCH(Q7,'Catalogo_Numerico_sim2'!$A$2:$A$69,0)),0)+IFERROR(INDEX('Catalogo_Numerico_sim2'!$K$2:$K$69,MATCH(R7,'Catalogo_Numerico_sim2'!$A$2:$A$69,0)),0)+IFERROR(INDEX('Catalogo_Numerico_sim2'!$K$2:$K$69,MATCH(S7,'Catalogo_Numerico_sim2'!$A$2:$A$69,0)),0)+IFERROR(INDEX('Catalogo_Numerico_sim2'!$K$2:$K$69,MATCH(T7,'Catalogo_Numerico_sim2'!$A$2:$A$69,0)),0)+IFERROR(INDEX('Catalogo_Numerico_sim2'!$K$2:$K$69,MATCH(U7,'Catalogo_Numerico_sim2'!$A$2:$A$69,0)),0)+IFERROR(INDEX('Catalogo_Numerico_sim2'!$K$2:$K$69,MATCH(V7,'Catalogo_Numerico_sim2'!$A$2:$A$69,0)),0)+IFERROR(INDEX('Catalogo_Numerico_sim2'!$K$2:$K$69,MATCH(W7,'Catalogo_Numerico_sim2'!$A$2:$A$69,0)),0)</f>
        <v/>
      </c>
      <c r="AI7" s="0">
        <f>IFERROR(('Lotes_Pipeline_sim2'!H11*'Lotes_Pipeline_sim2'!J11)/I7,0)</f>
        <v/>
      </c>
      <c r="AJ7" s="0">
        <f>IF(OR(AND('Lotes_Pipeline_sim2'!C11="SEG-03",'Lotes_Pipeline_sim2'!H11&gt;0,'Lotes_Pipeline_sim2'!J11&lt;4)),-2,0)+IF(OR(AND('Lotes_Pipeline_sim2'!C11="SEG-03",'Lotes_Pipeline_sim2'!H11&gt;0,'Lotes_Pipeline_sim2'!J11&gt;=7)),2,0)</f>
        <v/>
      </c>
      <c r="AK7" s="0">
        <f>IF(AND(D7="SEG-03",I7&gt;0),IF(AI7&lt;4,0.65,IF(AI7&gt;=7,1.4,1)),1)</f>
        <v/>
      </c>
      <c r="AL7" s="0">
        <f>AG7+AJ7</f>
        <v/>
      </c>
      <c r="AM7" s="0">
        <f>IF(AL7&lt;3,AM5+1,0)</f>
        <v/>
      </c>
      <c r="AN7" s="0">
        <f>IF(AM7&gt;=2,0.8,1)</f>
        <v/>
      </c>
      <c r="AO7" s="0">
        <f>IF(AH7&lt;3,3,0)</f>
        <v/>
      </c>
      <c r="AP7" s="0" t="n">
        <v>0</v>
      </c>
      <c r="AQ7" s="0" t="n">
        <v>20</v>
      </c>
      <c r="AR7" s="0">
        <f>AQ7+AT5</f>
        <v/>
      </c>
      <c r="AS7" s="0">
        <f>AS5+AP7</f>
        <v/>
      </c>
      <c r="AT7" s="0">
        <f>IF(AP7&gt;0,AO7,MAX(AT5,AO7))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f>
        <v/>
      </c>
      <c r="CE7" s="0">
        <f>ROUND(CD7*CB7,0)</f>
        <v/>
      </c>
      <c r="CF7" s="0" t="n">
        <v>0</v>
      </c>
      <c r="CG7" s="0">
        <f>DC5+CF7</f>
        <v/>
      </c>
      <c r="CH7" s="0" t="n">
        <v>0</v>
      </c>
      <c r="CI7" s="0">
        <f>DE5+CH7</f>
        <v/>
      </c>
      <c r="CJ7" s="0" t="n">
        <v>0</v>
      </c>
      <c r="CK7" s="0">
        <f>DG5+CJ7</f>
        <v/>
      </c>
      <c r="CL7" s="0" t="n">
        <v>0</v>
      </c>
      <c r="CM7" s="0">
        <f>DJ5+CL7</f>
        <v/>
      </c>
      <c r="CN7" s="0" t="n">
        <v>0</v>
      </c>
      <c r="CO7" s="0">
        <f>DL5+CN7</f>
        <v/>
      </c>
      <c r="CP7" s="0" t="n">
        <v>0</v>
      </c>
      <c r="CQ7" s="0">
        <f>DO5+CP7</f>
        <v/>
      </c>
      <c r="CR7" s="0" t="n">
        <v>0</v>
      </c>
      <c r="CS7" s="0">
        <f>DQ5+CR7</f>
        <v/>
      </c>
      <c r="CT7" s="0" t="n">
        <v>0</v>
      </c>
      <c r="CU7" s="0">
        <f>DS5+CT7</f>
        <v/>
      </c>
      <c r="CV7" s="0">
        <f>(CK7)/0.4</f>
        <v/>
      </c>
      <c r="CW7" s="0">
        <f>(CO7)/1</f>
        <v/>
      </c>
      <c r="CX7" s="0">
        <f>(CU7)/7</f>
        <v/>
      </c>
      <c r="CY7" s="0">
        <f>ROUNDDOWN(MIN(I7,CE7,CV7,CW7,CX7),0)</f>
        <v/>
      </c>
      <c r="CZ7" s="0">
        <f>'Lotes_Pipeline_sim2'!U9+'Lotes_Pipeline_sim2'!U10+'Lotes_Pipeline_sim2'!U11</f>
        <v/>
      </c>
      <c r="DA7" s="0">
        <f>DB7+DD7+DF7</f>
        <v/>
      </c>
      <c r="DB7" s="0">
        <f>'Lotes_Pipeline_sim2'!X9+'Lotes_Pipeline_sim2'!X10+'Lotes_Pipeline_sim2'!X11</f>
        <v/>
      </c>
      <c r="DC7" s="0">
        <f>CG7-DB7</f>
        <v/>
      </c>
      <c r="DD7" s="0">
        <f>'Lotes_Pipeline_sim2'!AA9+'Lotes_Pipeline_sim2'!AA10+'Lotes_Pipeline_sim2'!AA11</f>
        <v/>
      </c>
      <c r="DE7" s="0">
        <f>CI7-DD7</f>
        <v/>
      </c>
      <c r="DF7" s="0">
        <f>'Lotes_Pipeline_sim2'!AD9+'Lotes_Pipeline_sim2'!AD10+'Lotes_Pipeline_sim2'!AD11</f>
        <v/>
      </c>
      <c r="DG7" s="0">
        <f>CK7-DF7</f>
        <v/>
      </c>
      <c r="DH7" s="0">
        <f>DI7+DK7</f>
        <v/>
      </c>
      <c r="DI7" s="0">
        <f>'Lotes_Pipeline_sim2'!AG9+'Lotes_Pipeline_sim2'!AG10+'Lotes_Pipeline_sim2'!AG11</f>
        <v/>
      </c>
      <c r="DJ7" s="0">
        <f>CM7-DI7</f>
        <v/>
      </c>
      <c r="DK7" s="0">
        <f>'Lotes_Pipeline_sim2'!AJ9+'Lotes_Pipeline_sim2'!AJ10+'Lotes_Pipeline_sim2'!AJ11</f>
        <v/>
      </c>
      <c r="DL7" s="0">
        <f>CO7-DK7</f>
        <v/>
      </c>
      <c r="DM7" s="0">
        <f>DN7+DP7+DR7</f>
        <v/>
      </c>
      <c r="DN7" s="0">
        <f>'Lotes_Pipeline_sim2'!AM9+'Lotes_Pipeline_sim2'!AM10+'Lotes_Pipeline_sim2'!AM11</f>
        <v/>
      </c>
      <c r="DO7" s="0">
        <f>CQ7-DN7</f>
        <v/>
      </c>
      <c r="DP7" s="0">
        <f>'Lotes_Pipeline_sim2'!AP9+'Lotes_Pipeline_sim2'!AP10+'Lotes_Pipeline_sim2'!AP11</f>
        <v/>
      </c>
      <c r="DQ7" s="0">
        <f>CS7-DP7</f>
        <v/>
      </c>
      <c r="DR7" s="0">
        <f>'Lotes_Pipeline_sim2'!AS9+'Lotes_Pipeline_sim2'!AS10+'Lotes_Pipeline_sim2'!AS11</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(DB7*25+DD7*45+DF7*80+DI7*4+DK7*9+DN7*2+DP7*4+DR7*7)*0.92</f>
        <v/>
      </c>
      <c r="DV7" s="0">
        <f>1*2500*0.05/12*1+1*3500*0.05/12*1+1*1200*0.05/12*1+1*300*0.05/12*1</f>
        <v/>
      </c>
      <c r="DW7" s="0">
        <f>1*(2375.0/10/12*1)+1*(3325.0/10/12*1)+1*(1140.0/8/12*1)+1*(285.0/5/12*1)</f>
        <v/>
      </c>
      <c r="DX7" s="0">
        <f>IFERROR((0)/CZ7,0)*10+IFERROR(CA7/BZ7,0)*10+(IFERROR(DF7/(DB7+DD7+DF7),0)+IFERROR(DK7/(DI7+DK7),0)+IFERROR(DR7/(DP7+DR7),0))/3*10+L7/10000*10</f>
        <v/>
      </c>
      <c r="DY7" s="0">
        <f>DX7+AJ7</f>
        <v/>
      </c>
      <c r="DZ7" s="0">
        <f>EC5+CZ7</f>
        <v/>
      </c>
      <c r="EA7" s="0" t="n">
        <v>10</v>
      </c>
      <c r="EB7" s="0" t="n">
        <v>100</v>
      </c>
      <c r="EC7" s="0">
        <f>'Lotes_Pipeline_sim2'!AY9+'Lotes_Pipeline_sim2'!AY10+'Lotes_Pipeline_sim2'!AY11</f>
        <v/>
      </c>
      <c r="ED7" s="0">
        <f>IF(D7="SEG-01",IFERROR(100*(_xlfn.MAXIFS($J$2:$J$7,$C$2:$C$7,C7)-J7)/(_xlfn.MAXIFS($J$2:$J$7,$C$2:$C$7,C7)-_xlfn.MINIFS($J$2:$J$7,$C$2:$C$7,C7)),100),100-ABS(J7-EB7)/EB7*100)</f>
        <v/>
      </c>
      <c r="EE7" s="0">
        <f>IFERROR(ROUND(DY7/SUMIF($C$2:$C$7,"3|SEG-01",$DY$2:$DY$7)*100,0),0)</f>
        <v/>
      </c>
      <c r="EF7" s="0">
        <f>0.4*ED7+0.35*DY7*10+0.25*EE7</f>
        <v/>
      </c>
      <c r="EG7" s="0">
        <f>IFERROR(EF7/SUMIF($C$2:$C$7,C7,$EF$2:$EF$7),0)</f>
        <v/>
      </c>
      <c r="EH7" s="0">
        <f>'Mercados_Pipeline_sim2'!J7</f>
        <v/>
      </c>
      <c r="EI7" s="0">
        <f>'Mercados_Pipeline_sim2'!I7</f>
        <v/>
      </c>
      <c r="EJ7" s="0">
        <f>'Lotes_Pipeline_sim2'!AW9+'Lotes_Pipeline_sim2'!AW10+'Lotes_Pipeline_sim2'!AW11</f>
        <v/>
      </c>
      <c r="EK7" s="0">
        <f>'Lotes_Pipeline_sim2'!AX9+'Lotes_Pipeline_sim2'!AX10+'Lotes_Pipeline_sim2'!AX11</f>
        <v/>
      </c>
      <c r="EL7" s="0">
        <f>EC7*2</f>
        <v/>
      </c>
      <c r="EM7" s="0">
        <f>IF(CZ7&gt;CE7,0.25*DT7*IFERROR(MIN(1,(CZ7-CE7)/CE7),1),0)</f>
        <v/>
      </c>
      <c r="EN7" s="0">
        <f>0</f>
        <v/>
      </c>
      <c r="EO7" s="0">
        <f>(0)*1</f>
        <v/>
      </c>
      <c r="EP7" s="0">
        <f>0</f>
        <v/>
      </c>
      <c r="EQ7" s="0" t="n">
        <v>0</v>
      </c>
      <c r="ER7" s="0">
        <f>DT7+DU7+DV7+DW7+L7+EL7+EM7+EN7+EO7+EP7+EQ7</f>
        <v/>
      </c>
      <c r="ES7" s="0">
        <f>EK7-ER7</f>
        <v/>
      </c>
      <c r="ET7" s="0">
        <f>OR(AND('Lotes_Pipeline_sim2'!C11="SEG-03",'Lotes_Pipeline_sim2'!H11&gt;0,'Lotes_Pipeline_sim2'!J11&lt;4))</f>
        <v/>
      </c>
      <c r="EU7" s="0">
        <f>OR(AND('Lotes_Pipeline_sim2'!C11="SEG-03",'Lotes_Pipeline_sim2'!H11&gt;0,'Lotes_Pipeline_sim2'!J11&gt;=7))</f>
        <v/>
      </c>
      <c r="EV7" s="0">
        <f>AF7&lt;4</f>
        <v/>
      </c>
      <c r="EW7" s="0">
        <f>AM7&gt;=2</f>
        <v/>
      </c>
      <c r="EX7" s="0">
        <f>AH7&lt;3</f>
        <v/>
      </c>
      <c r="EY7" s="0">
        <f>CZ7&gt;CE7</f>
        <v/>
      </c>
      <c r="EZ7" s="0">
        <f>CZ7&gt;EJ7</f>
        <v/>
      </c>
      <c r="FA7" s="0">
        <f>AND(K7=0,AF7&lt;5)</f>
        <v/>
      </c>
      <c r="FB7" t="n">
        <v>1000000</v>
      </c>
      <c r="FC7">
        <f>0*2500*(1+0.03+0.02)+0*3500*(1+0.03+0.02)+0*1200*(1+0.03+0.02)+0*300*(1+0+0.01)</f>
        <v/>
      </c>
      <c r="FD7">
        <f>0*2500+0*3500+0*1200+0*300</f>
        <v/>
      </c>
      <c r="FE7">
        <f>(CF7*25+CH7*45+CJ7*80+CL7*4+CN7*9+CP7*2+CR7*4+CT7*7)*0.92</f>
        <v/>
      </c>
      <c r="FF7">
        <f>(DC7*25+DE7*45+DG7*80+DJ7*4+DL7*9+DO7*2+DQ7*4+DS7*7)*0.92</f>
        <v/>
      </c>
      <c r="FG7">
        <f>FM5</f>
        <v/>
      </c>
      <c r="FH7">
        <f>(1+AR7/100)^(1/12)-1</f>
        <v/>
      </c>
      <c r="FI7">
        <f>AS5*FJ5+AP7*FH7</f>
        <v/>
      </c>
      <c r="FJ7">
        <f>IFERROR(FI7/(AS5+AP7),0)</f>
        <v/>
      </c>
      <c r="FK7">
        <f>FI7*1</f>
        <v/>
      </c>
      <c r="FL7">
        <f>ER7-DW7-DU7+FE7+FK7</f>
        <v/>
      </c>
      <c r="FM7">
        <f>FG7+EK7+AP7-FL7-FC7</f>
        <v/>
      </c>
      <c r="FN7">
        <f>FN5+DW7</f>
        <v/>
      </c>
      <c r="FO7">
        <f>FO5+FD7</f>
        <v/>
      </c>
      <c r="FP7">
        <f>FO7-FN7</f>
        <v/>
      </c>
      <c r="FQ7">
        <f>EK7</f>
        <v/>
      </c>
      <c r="FR7">
        <f>EK7</f>
        <v/>
      </c>
      <c r="FS7">
        <f>ER7+FK7</f>
        <v/>
      </c>
      <c r="FT7">
        <f>ES7-FK7</f>
        <v/>
      </c>
      <c r="FU7">
        <f>DW7</f>
        <v/>
      </c>
      <c r="FV7">
        <f>FK7</f>
        <v/>
      </c>
      <c r="FW7">
        <f>ER7</f>
        <v/>
      </c>
      <c r="FX7">
        <f>FG7</f>
        <v/>
      </c>
      <c r="FY7">
        <f>EK7+AP7</f>
        <v/>
      </c>
      <c r="FZ7">
        <f>FL7+FC7</f>
        <v/>
      </c>
      <c r="GA7">
        <f>FM7</f>
        <v/>
      </c>
      <c r="GB7">
        <f>FG7</f>
        <v/>
      </c>
      <c r="GC7">
        <f>EK7</f>
        <v/>
      </c>
      <c r="GD7">
        <f>FL7</f>
        <v/>
      </c>
      <c r="GE7">
        <f>FC7</f>
        <v/>
      </c>
      <c r="GF7">
        <f>AP7</f>
        <v/>
      </c>
      <c r="GG7">
        <f>EK7-FL7</f>
        <v/>
      </c>
      <c r="GH7">
        <f>-FC7</f>
        <v/>
      </c>
      <c r="GI7">
        <f>FM7-FG7</f>
        <v/>
      </c>
      <c r="GJ7">
        <f>FM7</f>
        <v/>
      </c>
      <c r="GK7">
        <f>FM7</f>
        <v/>
      </c>
      <c r="GL7">
        <f>FP7</f>
        <v/>
      </c>
      <c r="GM7">
        <f>FF7</f>
        <v/>
      </c>
      <c r="GN7">
        <f>FM7+FP7+FF7</f>
        <v/>
      </c>
      <c r="GO7">
        <f>AS7</f>
        <v/>
      </c>
      <c r="GP7">
        <f>FM7+FP7+FF7-AS7</f>
        <v/>
      </c>
      <c r="GQ7">
        <f>FM7+FP7+FF7</f>
        <v/>
      </c>
      <c r="GR7">
        <f>AP7</f>
        <v/>
      </c>
      <c r="GS7">
        <f>AR7</f>
        <v/>
      </c>
      <c r="GT7">
        <f>AS7</f>
        <v/>
      </c>
      <c r="GU7">
        <f>AT7</f>
        <v/>
      </c>
      <c r="GV7">
        <f>FJ7</f>
        <v/>
      </c>
      <c r="GW7">
        <f>FK7</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SEG-03</t>
        </is>
      </c>
      <c r="D2" s="0" t="inlineStr">
        <is>
          <t>INF-10</t>
        </is>
      </c>
      <c r="E2" s="0" t="inlineStr">
        <is>
          <t>INS-03</t>
        </is>
      </c>
      <c r="F2" s="0" t="inlineStr">
        <is>
          <t>INS-05</t>
        </is>
      </c>
      <c r="G2" s="0" t="inlineStr">
        <is>
          <t>INS-08</t>
        </is>
      </c>
      <c r="H2" s="0" t="n">
        <v>200</v>
      </c>
      <c r="I2" s="0" t="n">
        <v>250</v>
      </c>
      <c r="J2" s="0">
        <f>IFERROR(INDEX('Catalogo_Numerico_sim2'!$H$2:$H$69,MATCH(E2,'Catalogo_Numerico_sim2'!$A$2:$A$69,0)),0)+IFERROR(INDEX('Catalogo_Numerico_sim2'!$H$2:$H$69,MATCH(F2,'Catalogo_Numerico_sim2'!$A$2:$A$69,0)),0)+IFERROR(INDEX('Catalogo_Numerico_sim2'!$H$2:$H$69,MATCH(G2,'Catalogo_Numerico_sim2'!$A$2:$A$69,0)),0)+IFERROR(INDEX('Catalogo_Numerico_sim2'!$H$2:$H$69,MATCH(D2,'Catalogo_Numerico_sim2'!$A$2:$A$69,0)),0)</f>
        <v/>
      </c>
      <c r="K2" s="0">
        <f>'Pipeline_sim2'!CG2</f>
        <v/>
      </c>
      <c r="L2" s="0">
        <f>'Pipeline_sim2'!CI2</f>
        <v/>
      </c>
      <c r="M2" s="0">
        <f>'Pipeline_sim2'!CK2</f>
        <v/>
      </c>
      <c r="N2" s="0">
        <f>'Pipeline_sim2'!CM2</f>
        <v/>
      </c>
      <c r="O2" s="0">
        <f>'Pipeline_sim2'!CO2</f>
        <v/>
      </c>
      <c r="P2" s="0">
        <f>'Pipeline_sim2'!CQ2</f>
        <v/>
      </c>
      <c r="Q2" s="0">
        <f>'Pipeline_sim2'!CS2</f>
        <v/>
      </c>
      <c r="R2" s="0">
        <f>'Pipeline_sim2'!CU2</f>
        <v/>
      </c>
      <c r="S2" s="0">
        <f>IFERROR(ROUNDDOWN(H2*'Pipeline_sim2'!CE2/'Pipeline_sim2'!I2,0),0)</f>
        <v/>
      </c>
      <c r="T2" s="0">
        <f>ROUNDDOWN(MIN(H2,S2,(M2)/0.7,(O2)/1,(R2)/13),0)</f>
        <v/>
      </c>
      <c r="U2" s="0">
        <f>ROUNDDOWN(T2*'Pipeline_sim2'!AU2,0)</f>
        <v/>
      </c>
      <c r="V2" s="0">
        <f>0</f>
        <v/>
      </c>
      <c r="W2" s="0">
        <f>K2-V2</f>
        <v/>
      </c>
      <c r="X2" s="0">
        <f>IFERROR(V2*U2/T2,0)</f>
        <v/>
      </c>
      <c r="Y2" s="0">
        <f>0</f>
        <v/>
      </c>
      <c r="Z2" s="0">
        <f>L2-Y2</f>
        <v/>
      </c>
      <c r="AA2" s="0">
        <f>IFERROR(Y2*U2/T2,0)</f>
        <v/>
      </c>
      <c r="AB2" s="0">
        <f>MIN(M2,MAX(0,T2*0.7-(V2+Y2)))</f>
        <v/>
      </c>
      <c r="AC2" s="0">
        <f>M2-AB2</f>
        <v/>
      </c>
      <c r="AD2" s="0">
        <f>IFERROR(AB2*U2/T2,0)</f>
        <v/>
      </c>
      <c r="AE2" s="0">
        <f>0</f>
        <v/>
      </c>
      <c r="AF2" s="0">
        <f>N2-AE2</f>
        <v/>
      </c>
      <c r="AG2" s="0">
        <f>IFERROR(AE2*U2/T2,0)</f>
        <v/>
      </c>
      <c r="AH2" s="0">
        <f>MIN(O2,MAX(0,T2*1-(AE2)))</f>
        <v/>
      </c>
      <c r="AI2" s="0">
        <f>O2-AH2</f>
        <v/>
      </c>
      <c r="AJ2" s="0">
        <f>IFERROR(AH2*U2/T2,0)</f>
        <v/>
      </c>
      <c r="AK2" s="0">
        <f>0</f>
        <v/>
      </c>
      <c r="AL2" s="0">
        <f>P2-AK2</f>
        <v/>
      </c>
      <c r="AM2" s="0">
        <f>IFERROR(AK2*U2/T2,0)</f>
        <v/>
      </c>
      <c r="AN2" s="0">
        <f>0</f>
        <v/>
      </c>
      <c r="AO2" s="0">
        <f>Q2-AN2</f>
        <v/>
      </c>
      <c r="AP2" s="0">
        <f>IFERROR(AN2*U2/T2,0)</f>
        <v/>
      </c>
      <c r="AQ2" s="0">
        <f>MIN(R2,MAX(0,T2*13-(AK2+AN2)))</f>
        <v/>
      </c>
      <c r="AR2" s="0">
        <f>R2-AQ2</f>
        <v/>
      </c>
      <c r="AS2" s="0">
        <f>IFERROR(AQ2*U2/T2,0)</f>
        <v/>
      </c>
      <c r="AT2" s="0">
        <f>IF(AND(C2="SEG-03",H2&gt;0),IF(J2&lt;4,0.65,IF(J2&gt;=7,1.4,1)),1)</f>
        <v/>
      </c>
      <c r="AU2" s="0">
        <f>I2*AT2</f>
        <v/>
      </c>
      <c r="AV2" s="0">
        <f>0+U2</f>
        <v/>
      </c>
      <c r="AW2" s="0">
        <f>MIN(AV2,MAX(0,'Mercados_Pipeline_sim2'!I2))</f>
        <v/>
      </c>
      <c r="AX2" s="0">
        <f>AW2*AU2</f>
        <v/>
      </c>
      <c r="AY2" s="0">
        <f>AV2-AW2</f>
        <v/>
      </c>
    </row>
    <row r="3">
      <c r="A3" s="0" t="n">
        <v>1</v>
      </c>
      <c r="B3" s="0" t="inlineStr">
        <is>
          <t>B</t>
        </is>
      </c>
      <c r="C3" s="0" t="inlineStr">
        <is>
          <t>SEG-03</t>
        </is>
      </c>
      <c r="D3" s="0" t="inlineStr">
        <is>
          <t>INF-08</t>
        </is>
      </c>
      <c r="E3" s="0" t="inlineStr">
        <is>
          <t>INS-01</t>
        </is>
      </c>
      <c r="F3" s="0" t="inlineStr"/>
      <c r="G3" s="0" t="inlineStr"/>
      <c r="H3" s="0" t="n">
        <v>200</v>
      </c>
      <c r="I3" s="0" t="n">
        <v>250</v>
      </c>
      <c r="J3" s="0">
        <f>IFERROR(INDEX('Catalogo_Numerico_sim2'!$H$2:$H$69,MATCH(E3,'Catalogo_Numerico_sim2'!$A$2:$A$69,0)),0)+IFERROR(INDEX('Catalogo_Numerico_sim2'!$H$2:$H$69,MATCH(F3,'Catalogo_Numerico_sim2'!$A$2:$A$69,0)),0)+IFERROR(INDEX('Catalogo_Numerico_sim2'!$H$2:$H$69,MATCH(G3,'Catalogo_Numerico_sim2'!$A$2:$A$69,0)),0)+IFERROR(INDEX('Catalogo_Numerico_sim2'!$H$2:$H$69,MATCH(D3,'Catalogo_Numerico_sim2'!$A$2:$A$69,0)),0)</f>
        <v/>
      </c>
      <c r="K3" s="0">
        <f>'Pipeline_sim2'!CG3</f>
        <v/>
      </c>
      <c r="L3" s="0">
        <f>'Pipeline_sim2'!CI3</f>
        <v/>
      </c>
      <c r="M3" s="0">
        <f>'Pipeline_sim2'!CK3</f>
        <v/>
      </c>
      <c r="N3" s="0">
        <f>'Pipeline_sim2'!CM3</f>
        <v/>
      </c>
      <c r="O3" s="0">
        <f>'Pipeline_sim2'!CO3</f>
        <v/>
      </c>
      <c r="P3" s="0">
        <f>'Pipeline_sim2'!CQ3</f>
        <v/>
      </c>
      <c r="Q3" s="0">
        <f>'Pipeline_sim2'!CS3</f>
        <v/>
      </c>
      <c r="R3" s="0">
        <f>'Pipeline_sim2'!CU3</f>
        <v/>
      </c>
      <c r="S3" s="0">
        <f>IFERROR(ROUNDDOWN(H3*'Pipeline_sim2'!CE3/'Pipeline_sim2'!I3,0),0)</f>
        <v/>
      </c>
      <c r="T3" s="0">
        <f>ROUNDDOWN(MIN(H3,S3,(K3)/0.3,(N3+O3)/1,(P3+Q3+R3)/6),0)</f>
        <v/>
      </c>
      <c r="U3" s="0">
        <f>ROUNDDOWN(T3*'Pipeline_sim2'!AU3,0)</f>
        <v/>
      </c>
      <c r="V3" s="0">
        <f>MIN(K3,MAX(0,T3*0.3))</f>
        <v/>
      </c>
      <c r="W3" s="0">
        <f>K3-V3</f>
        <v/>
      </c>
      <c r="X3" s="0">
        <f>IFERROR(V3*U3/T3,0)</f>
        <v/>
      </c>
      <c r="Y3" s="0">
        <f>0</f>
        <v/>
      </c>
      <c r="Z3" s="0">
        <f>L3-Y3</f>
        <v/>
      </c>
      <c r="AA3" s="0">
        <f>IFERROR(Y3*U3/T3,0)</f>
        <v/>
      </c>
      <c r="AB3" s="0">
        <f>0</f>
        <v/>
      </c>
      <c r="AC3" s="0">
        <f>M3-AB3</f>
        <v/>
      </c>
      <c r="AD3" s="0">
        <f>IFERROR(AB3*U3/T3,0)</f>
        <v/>
      </c>
      <c r="AE3" s="0">
        <f>MIN(N3,MAX(0,T3*1))</f>
        <v/>
      </c>
      <c r="AF3" s="0">
        <f>N3-AE3</f>
        <v/>
      </c>
      <c r="AG3" s="0">
        <f>IFERROR(AE3*U3/T3,0)</f>
        <v/>
      </c>
      <c r="AH3" s="0">
        <f>MIN(O3,MAX(0,T3*1-(AE3)))</f>
        <v/>
      </c>
      <c r="AI3" s="0">
        <f>O3-AH3</f>
        <v/>
      </c>
      <c r="AJ3" s="0">
        <f>IFERROR(AH3*U3/T3,0)</f>
        <v/>
      </c>
      <c r="AK3" s="0">
        <f>MIN(P3,MAX(0,T3*6))</f>
        <v/>
      </c>
      <c r="AL3" s="0">
        <f>P3-AK3</f>
        <v/>
      </c>
      <c r="AM3" s="0">
        <f>IFERROR(AK3*U3/T3,0)</f>
        <v/>
      </c>
      <c r="AN3" s="0">
        <f>MIN(Q3,MAX(0,T3*6-(AK3)))</f>
        <v/>
      </c>
      <c r="AO3" s="0">
        <f>Q3-AN3</f>
        <v/>
      </c>
      <c r="AP3" s="0">
        <f>IFERROR(AN3*U3/T3,0)</f>
        <v/>
      </c>
      <c r="AQ3" s="0">
        <f>MIN(R3,MAX(0,T3*6-(AK3+AN3)))</f>
        <v/>
      </c>
      <c r="AR3" s="0">
        <f>R3-AQ3</f>
        <v/>
      </c>
      <c r="AS3" s="0">
        <f>IFERROR(AQ3*U3/T3,0)</f>
        <v/>
      </c>
      <c r="AT3" s="0">
        <f>IF(AND(C3="SEG-03",H3&gt;0),IF(J3&lt;4,0.65,IF(J3&gt;=7,1.4,1)),1)</f>
        <v/>
      </c>
      <c r="AU3" s="0">
        <f>I3*AT3</f>
        <v/>
      </c>
      <c r="AV3" s="0">
        <f>0+U3</f>
        <v/>
      </c>
      <c r="AW3" s="0">
        <f>MIN(AV3,MAX(0,'Mercados_Pipeline_sim2'!I3))</f>
        <v/>
      </c>
      <c r="AX3" s="0">
        <f>AW3*AU3</f>
        <v/>
      </c>
      <c r="AY3" s="0">
        <f>AV3-AW3</f>
        <v/>
      </c>
    </row>
    <row r="4">
      <c r="A4" s="0" t="n">
        <v>1</v>
      </c>
      <c r="B4" s="0" t="inlineStr">
        <is>
          <t>B</t>
        </is>
      </c>
      <c r="C4" s="0" t="inlineStr">
        <is>
          <t>SEG-03</t>
        </is>
      </c>
      <c r="D4" s="0" t="inlineStr">
        <is>
          <t>INF-08</t>
        </is>
      </c>
      <c r="E4" s="0" t="inlineStr">
        <is>
          <t>INS-01</t>
        </is>
      </c>
      <c r="F4" s="0" t="inlineStr">
        <is>
          <t>INS-04</t>
        </is>
      </c>
      <c r="G4" s="0" t="inlineStr">
        <is>
          <t>INS-06</t>
        </is>
      </c>
      <c r="H4" s="0" t="n">
        <v>100</v>
      </c>
      <c r="I4" s="0" t="n">
        <v>250</v>
      </c>
      <c r="J4" s="0">
        <f>IFERROR(INDEX('Catalogo_Numerico_sim2'!$H$2:$H$69,MATCH(E4,'Catalogo_Numerico_sim2'!$A$2:$A$69,0)),0)+IFERROR(INDEX('Catalogo_Numerico_sim2'!$H$2:$H$69,MATCH(F4,'Catalogo_Numerico_sim2'!$A$2:$A$69,0)),0)+IFERROR(INDEX('Catalogo_Numerico_sim2'!$H$2:$H$69,MATCH(G4,'Catalogo_Numerico_sim2'!$A$2:$A$69,0)),0)+IFERROR(INDEX('Catalogo_Numerico_sim2'!$H$2:$H$69,MATCH(D4,'Catalogo_Numerico_sim2'!$A$2:$A$69,0)),0)</f>
        <v/>
      </c>
      <c r="K4" s="0">
        <f>'Lotes_Pipeline_sim2'!W3</f>
        <v/>
      </c>
      <c r="L4" s="0">
        <f>'Lotes_Pipeline_sim2'!Z3</f>
        <v/>
      </c>
      <c r="M4" s="0">
        <f>'Lotes_Pipeline_sim2'!AC3</f>
        <v/>
      </c>
      <c r="N4" s="0">
        <f>'Lotes_Pipeline_sim2'!AF3</f>
        <v/>
      </c>
      <c r="O4" s="0">
        <f>'Lotes_Pipeline_sim2'!AI3</f>
        <v/>
      </c>
      <c r="P4" s="0">
        <f>'Lotes_Pipeline_sim2'!AL3</f>
        <v/>
      </c>
      <c r="Q4" s="0">
        <f>'Lotes_Pipeline_sim2'!AO3</f>
        <v/>
      </c>
      <c r="R4" s="0">
        <f>'Lotes_Pipeline_sim2'!AR3</f>
        <v/>
      </c>
      <c r="S4" s="0">
        <f>IFERROR(ROUNDDOWN(H4*'Pipeline_sim2'!CE3/'Pipeline_sim2'!I3,0),0)</f>
        <v/>
      </c>
      <c r="T4" s="0">
        <f>ROUNDDOWN(MIN(H4,S4,(K4)/0.3,(N4)/1,(P4)/6),0)</f>
        <v/>
      </c>
      <c r="U4" s="0">
        <f>ROUNDDOWN(T4*'Pipeline_sim2'!AU3,0)</f>
        <v/>
      </c>
      <c r="V4" s="0">
        <f>MIN(K4,MAX(0,T4*0.3))</f>
        <v/>
      </c>
      <c r="W4" s="0">
        <f>K4-V4</f>
        <v/>
      </c>
      <c r="X4" s="0">
        <f>IFERROR(V4*U4/T4,0)</f>
        <v/>
      </c>
      <c r="Y4" s="0">
        <f>0</f>
        <v/>
      </c>
      <c r="Z4" s="0">
        <f>L4-Y4</f>
        <v/>
      </c>
      <c r="AA4" s="0">
        <f>IFERROR(Y4*U4/T4,0)</f>
        <v/>
      </c>
      <c r="AB4" s="0">
        <f>0</f>
        <v/>
      </c>
      <c r="AC4" s="0">
        <f>M4-AB4</f>
        <v/>
      </c>
      <c r="AD4" s="0">
        <f>IFERROR(AB4*U4/T4,0)</f>
        <v/>
      </c>
      <c r="AE4" s="0">
        <f>MIN(N4,MAX(0,T4*1))</f>
        <v/>
      </c>
      <c r="AF4" s="0">
        <f>N4-AE4</f>
        <v/>
      </c>
      <c r="AG4" s="0">
        <f>IFERROR(AE4*U4/T4,0)</f>
        <v/>
      </c>
      <c r="AH4" s="0">
        <f>0</f>
        <v/>
      </c>
      <c r="AI4" s="0">
        <f>O4-AH4</f>
        <v/>
      </c>
      <c r="AJ4" s="0">
        <f>IFERROR(AH4*U4/T4,0)</f>
        <v/>
      </c>
      <c r="AK4" s="0">
        <f>MIN(P4,MAX(0,T4*6))</f>
        <v/>
      </c>
      <c r="AL4" s="0">
        <f>P4-AK4</f>
        <v/>
      </c>
      <c r="AM4" s="0">
        <f>IFERROR(AK4*U4/T4,0)</f>
        <v/>
      </c>
      <c r="AN4" s="0">
        <f>0</f>
        <v/>
      </c>
      <c r="AO4" s="0">
        <f>Q4-AN4</f>
        <v/>
      </c>
      <c r="AP4" s="0">
        <f>IFERROR(AN4*U4/T4,0)</f>
        <v/>
      </c>
      <c r="AQ4" s="0">
        <f>0</f>
        <v/>
      </c>
      <c r="AR4" s="0">
        <f>R4-AQ4</f>
        <v/>
      </c>
      <c r="AS4" s="0">
        <f>IFERROR(AQ4*U4/T4,0)</f>
        <v/>
      </c>
      <c r="AT4" s="0">
        <f>IF(AND(C4="SEG-03",H4&gt;0),IF(J4&lt;4,0.65,IF(J4&gt;=7,1.4,1)),1)</f>
        <v/>
      </c>
      <c r="AU4" s="0">
        <f>I4*AT4</f>
        <v/>
      </c>
      <c r="AV4" s="0">
        <f>0+U4</f>
        <v/>
      </c>
      <c r="AW4" s="0">
        <f>MIN(AV4,MAX(0,'Mercados_Pipeline_sim2'!I3-('Lotes_Pipeline_sim2'!AW3)))</f>
        <v/>
      </c>
      <c r="AX4" s="0">
        <f>AW4*AU4</f>
        <v/>
      </c>
      <c r="AY4" s="0">
        <f>AV4-AW4</f>
        <v/>
      </c>
    </row>
    <row r="5">
      <c r="A5" s="0" t="n">
        <v>2</v>
      </c>
      <c r="B5" s="0" t="inlineStr">
        <is>
          <t>A</t>
        </is>
      </c>
      <c r="C5" s="0" t="inlineStr">
        <is>
          <t>SEG-03</t>
        </is>
      </c>
      <c r="D5" s="0" t="inlineStr">
        <is>
          <t>INF-10</t>
        </is>
      </c>
      <c r="E5" s="0" t="inlineStr">
        <is>
          <t>INS-03</t>
        </is>
      </c>
      <c r="F5" s="0" t="inlineStr">
        <is>
          <t>INS-05</t>
        </is>
      </c>
      <c r="G5" s="0" t="inlineStr">
        <is>
          <t>INS-08</t>
        </is>
      </c>
      <c r="H5" s="0" t="n">
        <v>200</v>
      </c>
      <c r="I5" s="0" t="n">
        <v>250</v>
      </c>
      <c r="J5" s="0">
        <f>IFERROR(INDEX('Catalogo_Numerico_sim2'!$H$2:$H$69,MATCH(E5,'Catalogo_Numerico_sim2'!$A$2:$A$69,0)),0)+IFERROR(INDEX('Catalogo_Numerico_sim2'!$H$2:$H$69,MATCH(F5,'Catalogo_Numerico_sim2'!$A$2:$A$69,0)),0)+IFERROR(INDEX('Catalogo_Numerico_sim2'!$H$2:$H$69,MATCH(G5,'Catalogo_Numerico_sim2'!$A$2:$A$69,0)),0)+IFERROR(INDEX('Catalogo_Numerico_sim2'!$H$2:$H$69,MATCH(D5,'Catalogo_Numerico_sim2'!$A$2:$A$69,0)),0)</f>
        <v/>
      </c>
      <c r="K5" s="0">
        <f>'Pipeline_sim2'!CG4</f>
        <v/>
      </c>
      <c r="L5" s="0">
        <f>'Pipeline_sim2'!CI4</f>
        <v/>
      </c>
      <c r="M5" s="0">
        <f>'Pipeline_sim2'!CK4</f>
        <v/>
      </c>
      <c r="N5" s="0">
        <f>'Pipeline_sim2'!CM4</f>
        <v/>
      </c>
      <c r="O5" s="0">
        <f>'Pipeline_sim2'!CO4</f>
        <v/>
      </c>
      <c r="P5" s="0">
        <f>'Pipeline_sim2'!CQ4</f>
        <v/>
      </c>
      <c r="Q5" s="0">
        <f>'Pipeline_sim2'!CS4</f>
        <v/>
      </c>
      <c r="R5" s="0">
        <f>'Pipeline_sim2'!CU4</f>
        <v/>
      </c>
      <c r="S5" s="0">
        <f>IFERROR(ROUNDDOWN(H5*'Pipeline_sim2'!CE4/'Pipeline_sim2'!I4,0),0)</f>
        <v/>
      </c>
      <c r="T5" s="0">
        <f>ROUNDDOWN(MIN(H5,S5,(M5)/0.7,(O5)/1,(R5)/13),0)</f>
        <v/>
      </c>
      <c r="U5" s="0">
        <f>ROUNDDOWN(T5*'Pipeline_sim2'!AU4,0)</f>
        <v/>
      </c>
      <c r="V5" s="0">
        <f>0</f>
        <v/>
      </c>
      <c r="W5" s="0">
        <f>K5-V5</f>
        <v/>
      </c>
      <c r="X5" s="0">
        <f>IFERROR(V5*U5/T5,0)</f>
        <v/>
      </c>
      <c r="Y5" s="0">
        <f>0</f>
        <v/>
      </c>
      <c r="Z5" s="0">
        <f>L5-Y5</f>
        <v/>
      </c>
      <c r="AA5" s="0">
        <f>IFERROR(Y5*U5/T5,0)</f>
        <v/>
      </c>
      <c r="AB5" s="0">
        <f>MIN(M5,MAX(0,T5*0.7-(V5+Y5)))</f>
        <v/>
      </c>
      <c r="AC5" s="0">
        <f>M5-AB5</f>
        <v/>
      </c>
      <c r="AD5" s="0">
        <f>IFERROR(AB5*U5/T5,0)</f>
        <v/>
      </c>
      <c r="AE5" s="0">
        <f>0</f>
        <v/>
      </c>
      <c r="AF5" s="0">
        <f>N5-AE5</f>
        <v/>
      </c>
      <c r="AG5" s="0">
        <f>IFERROR(AE5*U5/T5,0)</f>
        <v/>
      </c>
      <c r="AH5" s="0">
        <f>MIN(O5,MAX(0,T5*1-(AE5)))</f>
        <v/>
      </c>
      <c r="AI5" s="0">
        <f>O5-AH5</f>
        <v/>
      </c>
      <c r="AJ5" s="0">
        <f>IFERROR(AH5*U5/T5,0)</f>
        <v/>
      </c>
      <c r="AK5" s="0">
        <f>0</f>
        <v/>
      </c>
      <c r="AL5" s="0">
        <f>P5-AK5</f>
        <v/>
      </c>
      <c r="AM5" s="0">
        <f>IFERROR(AK5*U5/T5,0)</f>
        <v/>
      </c>
      <c r="AN5" s="0">
        <f>0</f>
        <v/>
      </c>
      <c r="AO5" s="0">
        <f>Q5-AN5</f>
        <v/>
      </c>
      <c r="AP5" s="0">
        <f>IFERROR(AN5*U5/T5,0)</f>
        <v/>
      </c>
      <c r="AQ5" s="0">
        <f>MIN(R5,MAX(0,T5*13-(AK5+AN5)))</f>
        <v/>
      </c>
      <c r="AR5" s="0">
        <f>R5-AQ5</f>
        <v/>
      </c>
      <c r="AS5" s="0">
        <f>IFERROR(AQ5*U5/T5,0)</f>
        <v/>
      </c>
      <c r="AT5" s="0">
        <f>IF(AND(C5="SEG-03",H5&gt;0),IF(J5&lt;4,0.65,IF(J5&gt;=7,1.4,1)),1)</f>
        <v/>
      </c>
      <c r="AU5" s="0">
        <f>I5*AT5</f>
        <v/>
      </c>
      <c r="AV5" s="0">
        <f>'Lotes_Pipeline_sim2'!AY2+U5</f>
        <v/>
      </c>
      <c r="AW5" s="0">
        <f>MIN(AV5,MAX(0,'Mercados_Pipeline_sim2'!I4))</f>
        <v/>
      </c>
      <c r="AX5" s="0">
        <f>AW5*AU5</f>
        <v/>
      </c>
      <c r="AY5" s="0">
        <f>AV5-AW5</f>
        <v/>
      </c>
    </row>
    <row r="6">
      <c r="A6" s="0" t="n">
        <v>2</v>
      </c>
      <c r="B6" s="0" t="inlineStr">
        <is>
          <t>B</t>
        </is>
      </c>
      <c r="C6" s="0" t="inlineStr">
        <is>
          <t>SEG-03</t>
        </is>
      </c>
      <c r="D6" s="0" t="inlineStr">
        <is>
          <t>INF-08</t>
        </is>
      </c>
      <c r="E6" s="0" t="inlineStr">
        <is>
          <t>INS-01</t>
        </is>
      </c>
      <c r="F6" s="0" t="inlineStr"/>
      <c r="G6" s="0" t="inlineStr"/>
      <c r="H6" s="0" t="n">
        <v>200</v>
      </c>
      <c r="I6" s="0" t="n">
        <v>250</v>
      </c>
      <c r="J6" s="0">
        <f>IFERROR(INDEX('Catalogo_Numerico_sim2'!$H$2:$H$69,MATCH(E6,'Catalogo_Numerico_sim2'!$A$2:$A$69,0)),0)+IFERROR(INDEX('Catalogo_Numerico_sim2'!$H$2:$H$69,MATCH(F6,'Catalogo_Numerico_sim2'!$A$2:$A$69,0)),0)+IFERROR(INDEX('Catalogo_Numerico_sim2'!$H$2:$H$69,MATCH(G6,'Catalogo_Numerico_sim2'!$A$2:$A$69,0)),0)+IFERROR(INDEX('Catalogo_Numerico_sim2'!$H$2:$H$69,MATCH(D6,'Catalogo_Numerico_sim2'!$A$2:$A$69,0)),0)</f>
        <v/>
      </c>
      <c r="K6" s="0">
        <f>'Pipeline_sim2'!CG5</f>
        <v/>
      </c>
      <c r="L6" s="0">
        <f>'Pipeline_sim2'!CI5</f>
        <v/>
      </c>
      <c r="M6" s="0">
        <f>'Pipeline_sim2'!CK5</f>
        <v/>
      </c>
      <c r="N6" s="0">
        <f>'Pipeline_sim2'!CM5</f>
        <v/>
      </c>
      <c r="O6" s="0">
        <f>'Pipeline_sim2'!CO5</f>
        <v/>
      </c>
      <c r="P6" s="0">
        <f>'Pipeline_sim2'!CQ5</f>
        <v/>
      </c>
      <c r="Q6" s="0">
        <f>'Pipeline_sim2'!CS5</f>
        <v/>
      </c>
      <c r="R6" s="0">
        <f>'Pipeline_sim2'!CU5</f>
        <v/>
      </c>
      <c r="S6" s="0">
        <f>IFERROR(ROUNDDOWN(H6*'Pipeline_sim2'!CE5/'Pipeline_sim2'!I5,0),0)</f>
        <v/>
      </c>
      <c r="T6" s="0">
        <f>ROUNDDOWN(MIN(H6,S6,(K6)/0.3,(N6+O6)/1,(P6+Q6+R6)/6),0)</f>
        <v/>
      </c>
      <c r="U6" s="0">
        <f>ROUNDDOWN(T6*'Pipeline_sim2'!AU5,0)</f>
        <v/>
      </c>
      <c r="V6" s="0">
        <f>MIN(K6,MAX(0,T6*0.3))</f>
        <v/>
      </c>
      <c r="W6" s="0">
        <f>K6-V6</f>
        <v/>
      </c>
      <c r="X6" s="0">
        <f>IFERROR(V6*U6/T6,0)</f>
        <v/>
      </c>
      <c r="Y6" s="0">
        <f>0</f>
        <v/>
      </c>
      <c r="Z6" s="0">
        <f>L6-Y6</f>
        <v/>
      </c>
      <c r="AA6" s="0">
        <f>IFERROR(Y6*U6/T6,0)</f>
        <v/>
      </c>
      <c r="AB6" s="0">
        <f>0</f>
        <v/>
      </c>
      <c r="AC6" s="0">
        <f>M6-AB6</f>
        <v/>
      </c>
      <c r="AD6" s="0">
        <f>IFERROR(AB6*U6/T6,0)</f>
        <v/>
      </c>
      <c r="AE6" s="0">
        <f>MIN(N6,MAX(0,T6*1))</f>
        <v/>
      </c>
      <c r="AF6" s="0">
        <f>N6-AE6</f>
        <v/>
      </c>
      <c r="AG6" s="0">
        <f>IFERROR(AE6*U6/T6,0)</f>
        <v/>
      </c>
      <c r="AH6" s="0">
        <f>MIN(O6,MAX(0,T6*1-(AE6)))</f>
        <v/>
      </c>
      <c r="AI6" s="0">
        <f>O6-AH6</f>
        <v/>
      </c>
      <c r="AJ6" s="0">
        <f>IFERROR(AH6*U6/T6,0)</f>
        <v/>
      </c>
      <c r="AK6" s="0">
        <f>MIN(P6,MAX(0,T6*6))</f>
        <v/>
      </c>
      <c r="AL6" s="0">
        <f>P6-AK6</f>
        <v/>
      </c>
      <c r="AM6" s="0">
        <f>IFERROR(AK6*U6/T6,0)</f>
        <v/>
      </c>
      <c r="AN6" s="0">
        <f>MIN(Q6,MAX(0,T6*6-(AK6)))</f>
        <v/>
      </c>
      <c r="AO6" s="0">
        <f>Q6-AN6</f>
        <v/>
      </c>
      <c r="AP6" s="0">
        <f>IFERROR(AN6*U6/T6,0)</f>
        <v/>
      </c>
      <c r="AQ6" s="0">
        <f>MIN(R6,MAX(0,T6*6-(AK6+AN6)))</f>
        <v/>
      </c>
      <c r="AR6" s="0">
        <f>R6-AQ6</f>
        <v/>
      </c>
      <c r="AS6" s="0">
        <f>IFERROR(AQ6*U6/T6,0)</f>
        <v/>
      </c>
      <c r="AT6" s="0">
        <f>IF(AND(C6="SEG-03",H6&gt;0),IF(J6&lt;4,0.65,IF(J6&gt;=7,1.4,1)),1)</f>
        <v/>
      </c>
      <c r="AU6" s="0">
        <f>I6*AT6</f>
        <v/>
      </c>
      <c r="AV6" s="0">
        <f>'Lotes_Pipeline_sim2'!AY3+U6</f>
        <v/>
      </c>
      <c r="AW6" s="0">
        <f>MIN(AV6,MAX(0,'Mercados_Pipeline_sim2'!I5))</f>
        <v/>
      </c>
      <c r="AX6" s="0">
        <f>AW6*AU6</f>
        <v/>
      </c>
      <c r="AY6" s="0">
        <f>AV6-AW6</f>
        <v/>
      </c>
    </row>
    <row r="7">
      <c r="A7" s="0" t="n">
        <v>2</v>
      </c>
      <c r="B7" s="0" t="inlineStr">
        <is>
          <t>B</t>
        </is>
      </c>
      <c r="C7" s="0" t="inlineStr">
        <is>
          <t>SEG-03</t>
        </is>
      </c>
      <c r="D7" s="0" t="inlineStr">
        <is>
          <t>INF-08</t>
        </is>
      </c>
      <c r="E7" s="0" t="inlineStr">
        <is>
          <t>INS-01</t>
        </is>
      </c>
      <c r="F7" s="0" t="inlineStr">
        <is>
          <t>INS-04</t>
        </is>
      </c>
      <c r="G7" s="0" t="inlineStr">
        <is>
          <t>INS-06</t>
        </is>
      </c>
      <c r="H7" s="0" t="n">
        <v>100</v>
      </c>
      <c r="I7" s="0" t="n">
        <v>250</v>
      </c>
      <c r="J7" s="0">
        <f>IFERROR(INDEX('Catalogo_Numerico_sim2'!$H$2:$H$69,MATCH(E7,'Catalogo_Numerico_sim2'!$A$2:$A$69,0)),0)+IFERROR(INDEX('Catalogo_Numerico_sim2'!$H$2:$H$69,MATCH(F7,'Catalogo_Numerico_sim2'!$A$2:$A$69,0)),0)+IFERROR(INDEX('Catalogo_Numerico_sim2'!$H$2:$H$69,MATCH(G7,'Catalogo_Numerico_sim2'!$A$2:$A$69,0)),0)+IFERROR(INDEX('Catalogo_Numerico_sim2'!$H$2:$H$69,MATCH(D7,'Catalogo_Numerico_sim2'!$A$2:$A$69,0)),0)</f>
        <v/>
      </c>
      <c r="K7" s="0">
        <f>'Lotes_Pipeline_sim2'!W6</f>
        <v/>
      </c>
      <c r="L7" s="0">
        <f>'Lotes_Pipeline_sim2'!Z6</f>
        <v/>
      </c>
      <c r="M7" s="0">
        <f>'Lotes_Pipeline_sim2'!AC6</f>
        <v/>
      </c>
      <c r="N7" s="0">
        <f>'Lotes_Pipeline_sim2'!AF6</f>
        <v/>
      </c>
      <c r="O7" s="0">
        <f>'Lotes_Pipeline_sim2'!AI6</f>
        <v/>
      </c>
      <c r="P7" s="0">
        <f>'Lotes_Pipeline_sim2'!AL6</f>
        <v/>
      </c>
      <c r="Q7" s="0">
        <f>'Lotes_Pipeline_sim2'!AO6</f>
        <v/>
      </c>
      <c r="R7" s="0">
        <f>'Lotes_Pipeline_sim2'!AR6</f>
        <v/>
      </c>
      <c r="S7" s="0">
        <f>IFERROR(ROUNDDOWN(H7*'Pipeline_sim2'!CE5/'Pipeline_sim2'!I5,0),0)</f>
        <v/>
      </c>
      <c r="T7" s="0">
        <f>ROUNDDOWN(MIN(H7,S7,(K7)/0.3,(N7)/1,(P7)/6),0)</f>
        <v/>
      </c>
      <c r="U7" s="0">
        <f>ROUNDDOWN(T7*'Pipeline_sim2'!AU5,0)</f>
        <v/>
      </c>
      <c r="V7" s="0">
        <f>MIN(K7,MAX(0,T7*0.3))</f>
        <v/>
      </c>
      <c r="W7" s="0">
        <f>K7-V7</f>
        <v/>
      </c>
      <c r="X7" s="0">
        <f>IFERROR(V7*U7/T7,0)</f>
        <v/>
      </c>
      <c r="Y7" s="0">
        <f>0</f>
        <v/>
      </c>
      <c r="Z7" s="0">
        <f>L7-Y7</f>
        <v/>
      </c>
      <c r="AA7" s="0">
        <f>IFERROR(Y7*U7/T7,0)</f>
        <v/>
      </c>
      <c r="AB7" s="0">
        <f>0</f>
        <v/>
      </c>
      <c r="AC7" s="0">
        <f>M7-AB7</f>
        <v/>
      </c>
      <c r="AD7" s="0">
        <f>IFERROR(AB7*U7/T7,0)</f>
        <v/>
      </c>
      <c r="AE7" s="0">
        <f>MIN(N7,MAX(0,T7*1))</f>
        <v/>
      </c>
      <c r="AF7" s="0">
        <f>N7-AE7</f>
        <v/>
      </c>
      <c r="AG7" s="0">
        <f>IFERROR(AE7*U7/T7,0)</f>
        <v/>
      </c>
      <c r="AH7" s="0">
        <f>0</f>
        <v/>
      </c>
      <c r="AI7" s="0">
        <f>O7-AH7</f>
        <v/>
      </c>
      <c r="AJ7" s="0">
        <f>IFERROR(AH7*U7/T7,0)</f>
        <v/>
      </c>
      <c r="AK7" s="0">
        <f>MIN(P7,MAX(0,T7*6))</f>
        <v/>
      </c>
      <c r="AL7" s="0">
        <f>P7-AK7</f>
        <v/>
      </c>
      <c r="AM7" s="0">
        <f>IFERROR(AK7*U7/T7,0)</f>
        <v/>
      </c>
      <c r="AN7" s="0">
        <f>0</f>
        <v/>
      </c>
      <c r="AO7" s="0">
        <f>Q7-AN7</f>
        <v/>
      </c>
      <c r="AP7" s="0">
        <f>IFERROR(AN7*U7/T7,0)</f>
        <v/>
      </c>
      <c r="AQ7" s="0">
        <f>0</f>
        <v/>
      </c>
      <c r="AR7" s="0">
        <f>R7-AQ7</f>
        <v/>
      </c>
      <c r="AS7" s="0">
        <f>IFERROR(AQ7*U7/T7,0)</f>
        <v/>
      </c>
      <c r="AT7" s="0">
        <f>IF(AND(C7="SEG-03",H7&gt;0),IF(J7&lt;4,0.65,IF(J7&gt;=7,1.4,1)),1)</f>
        <v/>
      </c>
      <c r="AU7" s="0">
        <f>I7*AT7</f>
        <v/>
      </c>
      <c r="AV7" s="0">
        <f>'Lotes_Pipeline_sim2'!AY4+U7</f>
        <v/>
      </c>
      <c r="AW7" s="0">
        <f>MIN(AV7,MAX(0,'Mercados_Pipeline_sim2'!I5-('Lotes_Pipeline_sim2'!AW6)))</f>
        <v/>
      </c>
      <c r="AX7" s="0">
        <f>AW7*AU7</f>
        <v/>
      </c>
      <c r="AY7" s="0">
        <f>AV7-AW7</f>
        <v/>
      </c>
    </row>
    <row r="8">
      <c r="A8" s="0" t="n">
        <v>3</v>
      </c>
      <c r="B8" s="0" t="inlineStr">
        <is>
          <t>A</t>
        </is>
      </c>
      <c r="C8" s="0" t="inlineStr">
        <is>
          <t>SEG-03</t>
        </is>
      </c>
      <c r="D8" s="0" t="inlineStr">
        <is>
          <t>INF-10</t>
        </is>
      </c>
      <c r="E8" s="0" t="inlineStr">
        <is>
          <t>INS-03</t>
        </is>
      </c>
      <c r="F8" s="0" t="inlineStr">
        <is>
          <t>INS-05</t>
        </is>
      </c>
      <c r="G8" s="0" t="inlineStr">
        <is>
          <t>INS-08</t>
        </is>
      </c>
      <c r="H8" s="0" t="n">
        <v>200</v>
      </c>
      <c r="I8" s="0" t="n">
        <v>250</v>
      </c>
      <c r="J8" s="0">
        <f>IFERROR(INDEX('Catalogo_Numerico_sim2'!$H$2:$H$69,MATCH(E8,'Catalogo_Numerico_sim2'!$A$2:$A$69,0)),0)+IFERROR(INDEX('Catalogo_Numerico_sim2'!$H$2:$H$69,MATCH(F8,'Catalogo_Numerico_sim2'!$A$2:$A$69,0)),0)+IFERROR(INDEX('Catalogo_Numerico_sim2'!$H$2:$H$69,MATCH(G8,'Catalogo_Numerico_sim2'!$A$2:$A$69,0)),0)+IFERROR(INDEX('Catalogo_Numerico_sim2'!$H$2:$H$69,MATCH(D8,'Catalogo_Numerico_sim2'!$A$2:$A$69,0)),0)</f>
        <v/>
      </c>
      <c r="K8" s="0">
        <f>'Pipeline_sim2'!CG6</f>
        <v/>
      </c>
      <c r="L8" s="0">
        <f>'Pipeline_sim2'!CI6</f>
        <v/>
      </c>
      <c r="M8" s="0">
        <f>'Pipeline_sim2'!CK6</f>
        <v/>
      </c>
      <c r="N8" s="0">
        <f>'Pipeline_sim2'!CM6</f>
        <v/>
      </c>
      <c r="O8" s="0">
        <f>'Pipeline_sim2'!CO6</f>
        <v/>
      </c>
      <c r="P8" s="0">
        <f>'Pipeline_sim2'!CQ6</f>
        <v/>
      </c>
      <c r="Q8" s="0">
        <f>'Pipeline_sim2'!CS6</f>
        <v/>
      </c>
      <c r="R8" s="0">
        <f>'Pipeline_sim2'!CU6</f>
        <v/>
      </c>
      <c r="S8" s="0">
        <f>IFERROR(ROUNDDOWN(H8*'Pipeline_sim2'!CE6/'Pipeline_sim2'!I6,0),0)</f>
        <v/>
      </c>
      <c r="T8" s="0">
        <f>ROUNDDOWN(MIN(H8,S8,(M8)/0.7,(O8)/1,(R8)/13),0)</f>
        <v/>
      </c>
      <c r="U8" s="0">
        <f>ROUNDDOWN(T8*'Pipeline_sim2'!AU6,0)</f>
        <v/>
      </c>
      <c r="V8" s="0">
        <f>0</f>
        <v/>
      </c>
      <c r="W8" s="0">
        <f>K8-V8</f>
        <v/>
      </c>
      <c r="X8" s="0">
        <f>IFERROR(V8*U8/T8,0)</f>
        <v/>
      </c>
      <c r="Y8" s="0">
        <f>0</f>
        <v/>
      </c>
      <c r="Z8" s="0">
        <f>L8-Y8</f>
        <v/>
      </c>
      <c r="AA8" s="0">
        <f>IFERROR(Y8*U8/T8,0)</f>
        <v/>
      </c>
      <c r="AB8" s="0">
        <f>MIN(M8,MAX(0,T8*0.7-(V8+Y8)))</f>
        <v/>
      </c>
      <c r="AC8" s="0">
        <f>M8-AB8</f>
        <v/>
      </c>
      <c r="AD8" s="0">
        <f>IFERROR(AB8*U8/T8,0)</f>
        <v/>
      </c>
      <c r="AE8" s="0">
        <f>0</f>
        <v/>
      </c>
      <c r="AF8" s="0">
        <f>N8-AE8</f>
        <v/>
      </c>
      <c r="AG8" s="0">
        <f>IFERROR(AE8*U8/T8,0)</f>
        <v/>
      </c>
      <c r="AH8" s="0">
        <f>MIN(O8,MAX(0,T8*1-(AE8)))</f>
        <v/>
      </c>
      <c r="AI8" s="0">
        <f>O8-AH8</f>
        <v/>
      </c>
      <c r="AJ8" s="0">
        <f>IFERROR(AH8*U8/T8,0)</f>
        <v/>
      </c>
      <c r="AK8" s="0">
        <f>0</f>
        <v/>
      </c>
      <c r="AL8" s="0">
        <f>P8-AK8</f>
        <v/>
      </c>
      <c r="AM8" s="0">
        <f>IFERROR(AK8*U8/T8,0)</f>
        <v/>
      </c>
      <c r="AN8" s="0">
        <f>0</f>
        <v/>
      </c>
      <c r="AO8" s="0">
        <f>Q8-AN8</f>
        <v/>
      </c>
      <c r="AP8" s="0">
        <f>IFERROR(AN8*U8/T8,0)</f>
        <v/>
      </c>
      <c r="AQ8" s="0">
        <f>MIN(R8,MAX(0,T8*13-(AK8+AN8)))</f>
        <v/>
      </c>
      <c r="AR8" s="0">
        <f>R8-AQ8</f>
        <v/>
      </c>
      <c r="AS8" s="0">
        <f>IFERROR(AQ8*U8/T8,0)</f>
        <v/>
      </c>
      <c r="AT8" s="0">
        <f>IF(AND(C8="SEG-03",H8&gt;0),IF(J8&lt;4,0.65,IF(J8&gt;=7,1.4,1)),1)</f>
        <v/>
      </c>
      <c r="AU8" s="0">
        <f>I8*AT8</f>
        <v/>
      </c>
      <c r="AV8" s="0">
        <f>'Lotes_Pipeline_sim2'!AY5+U8</f>
        <v/>
      </c>
      <c r="AW8" s="0">
        <f>MIN(AV8,MAX(0,'Mercados_Pipeline_sim2'!I6))</f>
        <v/>
      </c>
      <c r="AX8" s="0">
        <f>AW8*AU8</f>
        <v/>
      </c>
      <c r="AY8" s="0">
        <f>AV8-AW8</f>
        <v/>
      </c>
    </row>
    <row r="9">
      <c r="A9" s="0" t="n">
        <v>3</v>
      </c>
      <c r="B9" s="0" t="inlineStr">
        <is>
          <t>B</t>
        </is>
      </c>
      <c r="C9" s="0" t="inlineStr">
        <is>
          <t>SEG-03</t>
        </is>
      </c>
      <c r="D9" s="0" t="inlineStr">
        <is>
          <t>INF-08</t>
        </is>
      </c>
      <c r="E9" s="0" t="inlineStr">
        <is>
          <t>INS-01</t>
        </is>
      </c>
      <c r="F9" s="0" t="inlineStr"/>
      <c r="G9" s="0" t="inlineStr"/>
      <c r="H9" s="0" t="n">
        <v>0</v>
      </c>
      <c r="I9" s="0" t="n">
        <v>250</v>
      </c>
      <c r="J9" s="0">
        <f>IFERROR(INDEX('Catalogo_Numerico_sim2'!$H$2:$H$69,MATCH(E9,'Catalogo_Numerico_sim2'!$A$2:$A$69,0)),0)+IFERROR(INDEX('Catalogo_Numerico_sim2'!$H$2:$H$69,MATCH(F9,'Catalogo_Numerico_sim2'!$A$2:$A$69,0)),0)+IFERROR(INDEX('Catalogo_Numerico_sim2'!$H$2:$H$69,MATCH(G9,'Catalogo_Numerico_sim2'!$A$2:$A$69,0)),0)+IFERROR(INDEX('Catalogo_Numerico_sim2'!$H$2:$H$69,MATCH(D9,'Catalogo_Numerico_sim2'!$A$2:$A$69,0)),0)</f>
        <v/>
      </c>
      <c r="K9" s="0">
        <f>'Pipeline_sim2'!CG7</f>
        <v/>
      </c>
      <c r="L9" s="0">
        <f>'Pipeline_sim2'!CI7</f>
        <v/>
      </c>
      <c r="M9" s="0">
        <f>'Pipeline_sim2'!CK7</f>
        <v/>
      </c>
      <c r="N9" s="0">
        <f>'Pipeline_sim2'!CM7</f>
        <v/>
      </c>
      <c r="O9" s="0">
        <f>'Pipeline_sim2'!CO7</f>
        <v/>
      </c>
      <c r="P9" s="0">
        <f>'Pipeline_sim2'!CQ7</f>
        <v/>
      </c>
      <c r="Q9" s="0">
        <f>'Pipeline_sim2'!CS7</f>
        <v/>
      </c>
      <c r="R9" s="0">
        <f>'Pipeline_sim2'!CU7</f>
        <v/>
      </c>
      <c r="S9" s="0">
        <f>IFERROR(ROUNDDOWN(H9*'Pipeline_sim2'!CE7/'Pipeline_sim2'!I7,0),0)</f>
        <v/>
      </c>
      <c r="T9" s="0">
        <f>ROUNDDOWN(MIN(H9,S9,(K9)/0.3,(N9+O9)/1,(P9+Q9+R9)/6),0)</f>
        <v/>
      </c>
      <c r="U9" s="0">
        <f>ROUNDDOWN(T9*'Pipeline_sim2'!AU7,0)</f>
        <v/>
      </c>
      <c r="V9" s="0">
        <f>MIN(K9,MAX(0,T9*0.3))</f>
        <v/>
      </c>
      <c r="W9" s="0">
        <f>K9-V9</f>
        <v/>
      </c>
      <c r="X9" s="0">
        <f>IFERROR(V9*U9/T9,0)</f>
        <v/>
      </c>
      <c r="Y9" s="0">
        <f>0</f>
        <v/>
      </c>
      <c r="Z9" s="0">
        <f>L9-Y9</f>
        <v/>
      </c>
      <c r="AA9" s="0">
        <f>IFERROR(Y9*U9/T9,0)</f>
        <v/>
      </c>
      <c r="AB9" s="0">
        <f>0</f>
        <v/>
      </c>
      <c r="AC9" s="0">
        <f>M9-AB9</f>
        <v/>
      </c>
      <c r="AD9" s="0">
        <f>IFERROR(AB9*U9/T9,0)</f>
        <v/>
      </c>
      <c r="AE9" s="0">
        <f>MIN(N9,MAX(0,T9*1))</f>
        <v/>
      </c>
      <c r="AF9" s="0">
        <f>N9-AE9</f>
        <v/>
      </c>
      <c r="AG9" s="0">
        <f>IFERROR(AE9*U9/T9,0)</f>
        <v/>
      </c>
      <c r="AH9" s="0">
        <f>MIN(O9,MAX(0,T9*1-(AE9)))</f>
        <v/>
      </c>
      <c r="AI9" s="0">
        <f>O9-AH9</f>
        <v/>
      </c>
      <c r="AJ9" s="0">
        <f>IFERROR(AH9*U9/T9,0)</f>
        <v/>
      </c>
      <c r="AK9" s="0">
        <f>MIN(P9,MAX(0,T9*6))</f>
        <v/>
      </c>
      <c r="AL9" s="0">
        <f>P9-AK9</f>
        <v/>
      </c>
      <c r="AM9" s="0">
        <f>IFERROR(AK9*U9/T9,0)</f>
        <v/>
      </c>
      <c r="AN9" s="0">
        <f>MIN(Q9,MAX(0,T9*6-(AK9)))</f>
        <v/>
      </c>
      <c r="AO9" s="0">
        <f>Q9-AN9</f>
        <v/>
      </c>
      <c r="AP9" s="0">
        <f>IFERROR(AN9*U9/T9,0)</f>
        <v/>
      </c>
      <c r="AQ9" s="0">
        <f>MIN(R9,MAX(0,T9*6-(AK9+AN9)))</f>
        <v/>
      </c>
      <c r="AR9" s="0">
        <f>R9-AQ9</f>
        <v/>
      </c>
      <c r="AS9" s="0">
        <f>IFERROR(AQ9*U9/T9,0)</f>
        <v/>
      </c>
      <c r="AT9" s="0">
        <f>IF(AND(C9="SEG-03",H9&gt;0),IF(J9&lt;4,0.65,IF(J9&gt;=7,1.4,1)),1)</f>
        <v/>
      </c>
      <c r="AU9" s="0">
        <f>'Lotes_Pipeline_sim2'!AU6</f>
        <v/>
      </c>
      <c r="AV9" s="0">
        <f>'Lotes_Pipeline_sim2'!AY6+U9</f>
        <v/>
      </c>
      <c r="AW9" s="0">
        <f>MIN(AV9,MAX(0,'Mercados_Pipeline_sim2'!I8))</f>
        <v/>
      </c>
      <c r="AX9" s="0">
        <f>AW9*AU9</f>
        <v/>
      </c>
      <c r="AY9" s="0">
        <f>AV9-AW9</f>
        <v/>
      </c>
    </row>
    <row r="10">
      <c r="A10" s="0" t="n">
        <v>3</v>
      </c>
      <c r="B10" s="0" t="inlineStr">
        <is>
          <t>B</t>
        </is>
      </c>
      <c r="C10" s="0" t="inlineStr">
        <is>
          <t>SEG-03</t>
        </is>
      </c>
      <c r="D10" s="0" t="inlineStr">
        <is>
          <t>INF-08</t>
        </is>
      </c>
      <c r="E10" s="0" t="inlineStr">
        <is>
          <t>INS-01</t>
        </is>
      </c>
      <c r="F10" s="0" t="inlineStr">
        <is>
          <t>INS-04</t>
        </is>
      </c>
      <c r="G10" s="0" t="inlineStr">
        <is>
          <t>INS-06</t>
        </is>
      </c>
      <c r="H10" s="0" t="n">
        <v>0</v>
      </c>
      <c r="I10" s="0" t="n">
        <v>250</v>
      </c>
      <c r="J10" s="0">
        <f>IFERROR(INDEX('Catalogo_Numerico_sim2'!$H$2:$H$69,MATCH(E10,'Catalogo_Numerico_sim2'!$A$2:$A$69,0)),0)+IFERROR(INDEX('Catalogo_Numerico_sim2'!$H$2:$H$69,MATCH(F10,'Catalogo_Numerico_sim2'!$A$2:$A$69,0)),0)+IFERROR(INDEX('Catalogo_Numerico_sim2'!$H$2:$H$69,MATCH(G10,'Catalogo_Numerico_sim2'!$A$2:$A$69,0)),0)+IFERROR(INDEX('Catalogo_Numerico_sim2'!$H$2:$H$69,MATCH(D10,'Catalogo_Numerico_sim2'!$A$2:$A$69,0)),0)</f>
        <v/>
      </c>
      <c r="K10" s="0">
        <f>'Lotes_Pipeline_sim2'!W9</f>
        <v/>
      </c>
      <c r="L10" s="0">
        <f>'Lotes_Pipeline_sim2'!Z9</f>
        <v/>
      </c>
      <c r="M10" s="0">
        <f>'Lotes_Pipeline_sim2'!AC9</f>
        <v/>
      </c>
      <c r="N10" s="0">
        <f>'Lotes_Pipeline_sim2'!AF9</f>
        <v/>
      </c>
      <c r="O10" s="0">
        <f>'Lotes_Pipeline_sim2'!AI9</f>
        <v/>
      </c>
      <c r="P10" s="0">
        <f>'Lotes_Pipeline_sim2'!AL9</f>
        <v/>
      </c>
      <c r="Q10" s="0">
        <f>'Lotes_Pipeline_sim2'!AO9</f>
        <v/>
      </c>
      <c r="R10" s="0">
        <f>'Lotes_Pipeline_sim2'!AR9</f>
        <v/>
      </c>
      <c r="S10" s="0">
        <f>IFERROR(ROUNDDOWN(H10*'Pipeline_sim2'!CE7/'Pipeline_sim2'!I7,0),0)</f>
        <v/>
      </c>
      <c r="T10" s="0">
        <f>ROUNDDOWN(MIN(H10,S10,(K10)/0.3,(N10)/1,(P10)/6),0)</f>
        <v/>
      </c>
      <c r="U10" s="0">
        <f>ROUNDDOWN(T10*'Pipeline_sim2'!AU7,0)</f>
        <v/>
      </c>
      <c r="V10" s="0">
        <f>MIN(K10,MAX(0,T10*0.3))</f>
        <v/>
      </c>
      <c r="W10" s="0">
        <f>K10-V10</f>
        <v/>
      </c>
      <c r="X10" s="0">
        <f>IFERROR(V10*U10/T10,0)</f>
        <v/>
      </c>
      <c r="Y10" s="0">
        <f>0</f>
        <v/>
      </c>
      <c r="Z10" s="0">
        <f>L10-Y10</f>
        <v/>
      </c>
      <c r="AA10" s="0">
        <f>IFERROR(Y10*U10/T10,0)</f>
        <v/>
      </c>
      <c r="AB10" s="0">
        <f>0</f>
        <v/>
      </c>
      <c r="AC10" s="0">
        <f>M10-AB10</f>
        <v/>
      </c>
      <c r="AD10" s="0">
        <f>IFERROR(AB10*U10/T10,0)</f>
        <v/>
      </c>
      <c r="AE10" s="0">
        <f>MIN(N10,MAX(0,T10*1))</f>
        <v/>
      </c>
      <c r="AF10" s="0">
        <f>N10-AE10</f>
        <v/>
      </c>
      <c r="AG10" s="0">
        <f>IFERROR(AE10*U10/T10,0)</f>
        <v/>
      </c>
      <c r="AH10" s="0">
        <f>0</f>
        <v/>
      </c>
      <c r="AI10" s="0">
        <f>O10-AH10</f>
        <v/>
      </c>
      <c r="AJ10" s="0">
        <f>IFERROR(AH10*U10/T10,0)</f>
        <v/>
      </c>
      <c r="AK10" s="0">
        <f>MIN(P10,MAX(0,T10*6))</f>
        <v/>
      </c>
      <c r="AL10" s="0">
        <f>P10-AK10</f>
        <v/>
      </c>
      <c r="AM10" s="0">
        <f>IFERROR(AK10*U10/T10,0)</f>
        <v/>
      </c>
      <c r="AN10" s="0">
        <f>0</f>
        <v/>
      </c>
      <c r="AO10" s="0">
        <f>Q10-AN10</f>
        <v/>
      </c>
      <c r="AP10" s="0">
        <f>IFERROR(AN10*U10/T10,0)</f>
        <v/>
      </c>
      <c r="AQ10" s="0">
        <f>0</f>
        <v/>
      </c>
      <c r="AR10" s="0">
        <f>R10-AQ10</f>
        <v/>
      </c>
      <c r="AS10" s="0">
        <f>IFERROR(AQ10*U10/T10,0)</f>
        <v/>
      </c>
      <c r="AT10" s="0">
        <f>IF(AND(C10="SEG-03",H10&gt;0),IF(J10&lt;4,0.65,IF(J10&gt;=7,1.4,1)),1)</f>
        <v/>
      </c>
      <c r="AU10" s="0">
        <f>'Lotes_Pipeline_sim2'!AU7</f>
        <v/>
      </c>
      <c r="AV10" s="0">
        <f>'Lotes_Pipeline_sim2'!AY7+U10</f>
        <v/>
      </c>
      <c r="AW10" s="0">
        <f>MIN(AV10,MAX(0,'Mercados_Pipeline_sim2'!I8-('Lotes_Pipeline_sim2'!AW9)))</f>
        <v/>
      </c>
      <c r="AX10" s="0">
        <f>AW10*AU10</f>
        <v/>
      </c>
      <c r="AY10" s="0">
        <f>AV10-AW10</f>
        <v/>
      </c>
    </row>
    <row r="11">
      <c r="A11" s="0" t="n">
        <v>3</v>
      </c>
      <c r="B11" s="0" t="inlineStr">
        <is>
          <t>B</t>
        </is>
      </c>
      <c r="C11" s="0" t="inlineStr">
        <is>
          <t>SEG-02</t>
        </is>
      </c>
      <c r="D11" s="0" t="inlineStr">
        <is>
          <t>INF-09</t>
        </is>
      </c>
      <c r="E11" s="0" t="inlineStr">
        <is>
          <t>INS-03</t>
        </is>
      </c>
      <c r="F11" s="0" t="inlineStr">
        <is>
          <t>INS-05</t>
        </is>
      </c>
      <c r="G11" s="0" t="inlineStr">
        <is>
          <t>INS-08</t>
        </is>
      </c>
      <c r="H11" s="0" t="n">
        <v>100</v>
      </c>
      <c r="I11" s="0" t="n">
        <v>100</v>
      </c>
      <c r="J11" s="0">
        <f>IFERROR(INDEX('Catalogo_Numerico_sim2'!$H$2:$H$69,MATCH(E11,'Catalogo_Numerico_sim2'!$A$2:$A$69,0)),0)+IFERROR(INDEX('Catalogo_Numerico_sim2'!$H$2:$H$69,MATCH(F11,'Catalogo_Numerico_sim2'!$A$2:$A$69,0)),0)+IFERROR(INDEX('Catalogo_Numerico_sim2'!$H$2:$H$69,MATCH(G11,'Catalogo_Numerico_sim2'!$A$2:$A$69,0)),0)+IFERROR(INDEX('Catalogo_Numerico_sim2'!$H$2:$H$69,MATCH(D11,'Catalogo_Numerico_sim2'!$A$2:$A$69,0)),0)</f>
        <v/>
      </c>
      <c r="K11" s="0">
        <f>'Lotes_Pipeline_sim2'!W10</f>
        <v/>
      </c>
      <c r="L11" s="0">
        <f>'Lotes_Pipeline_sim2'!Z10</f>
        <v/>
      </c>
      <c r="M11" s="0">
        <f>'Lotes_Pipeline_sim2'!AC10</f>
        <v/>
      </c>
      <c r="N11" s="0">
        <f>'Lotes_Pipeline_sim2'!AF10</f>
        <v/>
      </c>
      <c r="O11" s="0">
        <f>'Lotes_Pipeline_sim2'!AI10</f>
        <v/>
      </c>
      <c r="P11" s="0">
        <f>'Lotes_Pipeline_sim2'!AL10</f>
        <v/>
      </c>
      <c r="Q11" s="0">
        <f>'Lotes_Pipeline_sim2'!AO10</f>
        <v/>
      </c>
      <c r="R11" s="0">
        <f>'Lotes_Pipeline_sim2'!AR10</f>
        <v/>
      </c>
      <c r="S11" s="0">
        <f>IFERROR(ROUNDDOWN(H11*'Pipeline_sim2'!CE7/'Pipeline_sim2'!I7,0),0)</f>
        <v/>
      </c>
      <c r="T11" s="0">
        <f>ROUNDDOWN(MIN(H11,S11,(M11)/0.4,(O11)/1,(R11)/7),0)</f>
        <v/>
      </c>
      <c r="U11" s="0">
        <f>ROUNDDOWN(T11*'Pipeline_sim2'!AU7,0)</f>
        <v/>
      </c>
      <c r="V11" s="0">
        <f>0</f>
        <v/>
      </c>
      <c r="W11" s="0">
        <f>K11-V11</f>
        <v/>
      </c>
      <c r="X11" s="0">
        <f>IFERROR(V11*U11/T11,0)</f>
        <v/>
      </c>
      <c r="Y11" s="0">
        <f>0</f>
        <v/>
      </c>
      <c r="Z11" s="0">
        <f>L11-Y11</f>
        <v/>
      </c>
      <c r="AA11" s="0">
        <f>IFERROR(Y11*U11/T11,0)</f>
        <v/>
      </c>
      <c r="AB11" s="0">
        <f>MIN(M11,MAX(0,T11*0.4-(V11+Y11)))</f>
        <v/>
      </c>
      <c r="AC11" s="0">
        <f>M11-AB11</f>
        <v/>
      </c>
      <c r="AD11" s="0">
        <f>IFERROR(AB11*U11/T11,0)</f>
        <v/>
      </c>
      <c r="AE11" s="0">
        <f>0</f>
        <v/>
      </c>
      <c r="AF11" s="0">
        <f>N11-AE11</f>
        <v/>
      </c>
      <c r="AG11" s="0">
        <f>IFERROR(AE11*U11/T11,0)</f>
        <v/>
      </c>
      <c r="AH11" s="0">
        <f>MIN(O11,MAX(0,T11*1-(AE11)))</f>
        <v/>
      </c>
      <c r="AI11" s="0">
        <f>O11-AH11</f>
        <v/>
      </c>
      <c r="AJ11" s="0">
        <f>IFERROR(AH11*U11/T11,0)</f>
        <v/>
      </c>
      <c r="AK11" s="0">
        <f>0</f>
        <v/>
      </c>
      <c r="AL11" s="0">
        <f>P11-AK11</f>
        <v/>
      </c>
      <c r="AM11" s="0">
        <f>IFERROR(AK11*U11/T11,0)</f>
        <v/>
      </c>
      <c r="AN11" s="0">
        <f>0</f>
        <v/>
      </c>
      <c r="AO11" s="0">
        <f>Q11-AN11</f>
        <v/>
      </c>
      <c r="AP11" s="0">
        <f>IFERROR(AN11*U11/T11,0)</f>
        <v/>
      </c>
      <c r="AQ11" s="0">
        <f>MIN(R11,MAX(0,T11*7-(AK11+AN11)))</f>
        <v/>
      </c>
      <c r="AR11" s="0">
        <f>R11-AQ11</f>
        <v/>
      </c>
      <c r="AS11" s="0">
        <f>IFERROR(AQ11*U11/T11,0)</f>
        <v/>
      </c>
      <c r="AT11" s="0">
        <f>IF(AND(C11="SEG-03",H11&gt;0),IF(J11&lt;4,0.65,IF(J11&gt;=7,1.4,1)),1)</f>
        <v/>
      </c>
      <c r="AU11" s="0">
        <f>I11*AT11</f>
        <v/>
      </c>
      <c r="AV11" s="0">
        <f>0+U11</f>
        <v/>
      </c>
      <c r="AW11" s="0">
        <f>MIN(AV11,MAX(0,'Mercados_Pipeline_sim2'!I7))</f>
        <v/>
      </c>
      <c r="AX11" s="0">
        <f>AW11*AU11</f>
        <v/>
      </c>
      <c r="AY11" s="0">
        <f>AV11-AW11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SEG-03</t>
        </is>
      </c>
      <c r="D2" s="0" t="inlineStr">
        <is>
          <t>1|SEG-03</t>
        </is>
      </c>
      <c r="E2" s="0">
        <f>TRUE()</f>
        <v/>
      </c>
      <c r="F2" s="0">
        <f>IFERROR(('Lotes_Pipeline_sim2'!I2*'Lotes_Pipeline_sim2'!H2)/('Lotes_Pipeline_sim2'!H2),0)</f>
        <v/>
      </c>
      <c r="G2" s="0">
        <f>'Pipeline_sim2'!DY2</f>
        <v/>
      </c>
      <c r="H2" s="0">
        <f>IFERROR(ROUND(G2/SUMIFS($G$2:$G$8,$D$2:$D$8,"1|SEG-01",$E$2:$E$8,TRUE())*100,0),0)</f>
        <v/>
      </c>
      <c r="I2" s="0">
        <f>MAX(0,ROUNDDOWN(J2*'Pipeline_sim2'!AN2*1.12,0))</f>
        <v/>
      </c>
      <c r="J2" s="0">
        <f>IFERROR(ROUND(L2/SUMIF($D$2:$D$8,D2,$L$2:$L$8)*10*1,0),0)</f>
        <v/>
      </c>
      <c r="K2" s="0">
        <f>100-ABS(F2-250)/250*100</f>
        <v/>
      </c>
      <c r="L2" s="0">
        <f>IF(E2,0.1*K2+0.5*G2*10+0.4*H2,0)</f>
        <v/>
      </c>
      <c r="M2" s="0">
        <f>G2*10</f>
        <v/>
      </c>
      <c r="N2" s="0">
        <f>IFERROR(L2/SUMIF($D$2:$D$8,D2,$L$2:$L$8),0)</f>
        <v/>
      </c>
    </row>
    <row r="3">
      <c r="A3" s="0" t="n">
        <v>1</v>
      </c>
      <c r="B3" s="0" t="inlineStr">
        <is>
          <t>B</t>
        </is>
      </c>
      <c r="C3" s="0" t="inlineStr">
        <is>
          <t>SEG-03</t>
        </is>
      </c>
      <c r="D3" s="0" t="inlineStr">
        <is>
          <t>1|SEG-03</t>
        </is>
      </c>
      <c r="E3" s="0">
        <f>TRUE()</f>
        <v/>
      </c>
      <c r="F3" s="0">
        <f>IFERROR(('Lotes_Pipeline_sim2'!I3*'Lotes_Pipeline_sim2'!H3+'Lotes_Pipeline_sim2'!I4*'Lotes_Pipeline_sim2'!H4)/('Lotes_Pipeline_sim2'!H3+'Lotes_Pipeline_sim2'!H4),0)</f>
        <v/>
      </c>
      <c r="G3" s="0">
        <f>'Pipeline_sim2'!DY3</f>
        <v/>
      </c>
      <c r="H3" s="0">
        <f>IFERROR(ROUND(G3/SUMIFS($G$2:$G$8,$D$2:$D$8,"1|SEG-01",$E$2:$E$8,TRUE())*100,0),0)</f>
        <v/>
      </c>
      <c r="I3" s="0">
        <f>MAX(0,ROUNDDOWN(J3*'Pipeline_sim2'!AN3*1,0))</f>
        <v/>
      </c>
      <c r="J3" s="0">
        <f>IFERROR(ROUND(L3/SUMIF($D$2:$D$8,D3,$L$2:$L$8)*10*1,0),0)</f>
        <v/>
      </c>
      <c r="K3" s="0">
        <f>100-ABS(F3-250)/250*100</f>
        <v/>
      </c>
      <c r="L3" s="0">
        <f>IF(E3,0.1*K3+0.5*G3*10+0.4*H3,0)</f>
        <v/>
      </c>
      <c r="M3" s="0">
        <f>G3*10</f>
        <v/>
      </c>
      <c r="N3" s="0">
        <f>IFERROR(L3/SUMIF($D$2:$D$8,D3,$L$2:$L$8),0)</f>
        <v/>
      </c>
    </row>
    <row r="4">
      <c r="A4" s="0" t="n">
        <v>2</v>
      </c>
      <c r="B4" s="0" t="inlineStr">
        <is>
          <t>A</t>
        </is>
      </c>
      <c r="C4" s="0" t="inlineStr">
        <is>
          <t>SEG-03</t>
        </is>
      </c>
      <c r="D4" s="0" t="inlineStr">
        <is>
          <t>2|SEG-03</t>
        </is>
      </c>
      <c r="E4" s="0">
        <f>TRUE()</f>
        <v/>
      </c>
      <c r="F4" s="0">
        <f>IFERROR(('Lotes_Pipeline_sim2'!I5*'Lotes_Pipeline_sim2'!H5)/('Lotes_Pipeline_sim2'!H5),0)</f>
        <v/>
      </c>
      <c r="G4" s="0">
        <f>'Pipeline_sim2'!DY4</f>
        <v/>
      </c>
      <c r="H4" s="0">
        <f>IFERROR(ROUND(G4/SUMIFS($G$2:$G$8,$D$2:$D$8,"2|SEG-01",$E$2:$E$8,TRUE())*100,0),0)</f>
        <v/>
      </c>
      <c r="I4" s="0">
        <f>MAX(0,ROUNDDOWN(J4*'Pipeline_sim2'!AN4*1.12,0))</f>
        <v/>
      </c>
      <c r="J4" s="0">
        <f>IFERROR(ROUND(L4/SUMIF($D$2:$D$8,D4,$L$2:$L$8)*10*1,0),0)</f>
        <v/>
      </c>
      <c r="K4" s="0">
        <f>100-ABS(F4-250)/250*100</f>
        <v/>
      </c>
      <c r="L4" s="0">
        <f>IF(E4,0.1*K4+0.5*G4*10+0.4*H4,0)</f>
        <v/>
      </c>
      <c r="M4" s="0">
        <f>G4*10</f>
        <v/>
      </c>
      <c r="N4" s="0">
        <f>IFERROR(L4/SUMIF($D$2:$D$8,D4,$L$2:$L$8),0)</f>
        <v/>
      </c>
    </row>
    <row r="5">
      <c r="A5" s="0" t="n">
        <v>2</v>
      </c>
      <c r="B5" s="0" t="inlineStr">
        <is>
          <t>B</t>
        </is>
      </c>
      <c r="C5" s="0" t="inlineStr">
        <is>
          <t>SEG-03</t>
        </is>
      </c>
      <c r="D5" s="0" t="inlineStr">
        <is>
          <t>2|SEG-03</t>
        </is>
      </c>
      <c r="E5" s="0">
        <f>TRUE()</f>
        <v/>
      </c>
      <c r="F5" s="0">
        <f>IFERROR(('Lotes_Pipeline_sim2'!I6*'Lotes_Pipeline_sim2'!H6+'Lotes_Pipeline_sim2'!I7*'Lotes_Pipeline_sim2'!H7)/('Lotes_Pipeline_sim2'!H6+'Lotes_Pipeline_sim2'!H7),0)</f>
        <v/>
      </c>
      <c r="G5" s="0">
        <f>'Pipeline_sim2'!DY5</f>
        <v/>
      </c>
      <c r="H5" s="0">
        <f>IFERROR(ROUND(G5/SUMIFS($G$2:$G$8,$D$2:$D$8,"2|SEG-01",$E$2:$E$8,TRUE())*100,0),0)</f>
        <v/>
      </c>
      <c r="I5" s="0">
        <f>MAX(0,ROUNDDOWN(J5*'Pipeline_sim2'!AN5*1,0))</f>
        <v/>
      </c>
      <c r="J5" s="0">
        <f>IFERROR(ROUND(L5/SUMIF($D$2:$D$8,D5,$L$2:$L$8)*10*1,0),0)</f>
        <v/>
      </c>
      <c r="K5" s="0">
        <f>100-ABS(F5-250)/250*100</f>
        <v/>
      </c>
      <c r="L5" s="0">
        <f>IF(E5,0.1*K5+0.5*G5*10+0.4*H5,0)</f>
        <v/>
      </c>
      <c r="M5" s="0">
        <f>G5*10</f>
        <v/>
      </c>
      <c r="N5" s="0">
        <f>IFERROR(L5/SUMIF($D$2:$D$8,D5,$L$2:$L$8),0)</f>
        <v/>
      </c>
    </row>
    <row r="6">
      <c r="A6" s="0" t="n">
        <v>3</v>
      </c>
      <c r="B6" s="0" t="inlineStr">
        <is>
          <t>A</t>
        </is>
      </c>
      <c r="C6" s="0" t="inlineStr">
        <is>
          <t>SEG-03</t>
        </is>
      </c>
      <c r="D6" s="0" t="inlineStr">
        <is>
          <t>3|SEG-03</t>
        </is>
      </c>
      <c r="E6" s="0">
        <f>TRUE()</f>
        <v/>
      </c>
      <c r="F6" s="0">
        <f>IFERROR(('Lotes_Pipeline_sim2'!I8*'Lotes_Pipeline_sim2'!H8)/('Lotes_Pipeline_sim2'!H8),0)</f>
        <v/>
      </c>
      <c r="G6" s="0">
        <f>'Pipeline_sim2'!DY6</f>
        <v/>
      </c>
      <c r="H6" s="0">
        <f>IFERROR(ROUND(G6/SUMIFS($G$2:$G$8,$D$2:$D$8,"3|SEG-01",$E$2:$E$8,TRUE())*100,0),0)</f>
        <v/>
      </c>
      <c r="I6" s="0">
        <f>MAX(0,ROUNDDOWN(J6*'Pipeline_sim2'!AN6*1.12,0))</f>
        <v/>
      </c>
      <c r="J6" s="0">
        <f>IFERROR(ROUND(L6/SUMIF($D$2:$D$8,D6,$L$2:$L$8)*10*1,0),0)</f>
        <v/>
      </c>
      <c r="K6" s="0">
        <f>100-ABS(F6-250)/250*100</f>
        <v/>
      </c>
      <c r="L6" s="0">
        <f>IF(E6,0.1*K6+0.5*G6*10+0.4*H6,0)</f>
        <v/>
      </c>
      <c r="M6" s="0">
        <f>G6*10</f>
        <v/>
      </c>
      <c r="N6" s="0">
        <f>IFERROR(L6/SUMIF($D$2:$D$8,D6,$L$2:$L$8),0)</f>
        <v/>
      </c>
    </row>
    <row r="7">
      <c r="A7" s="0" t="n">
        <v>3</v>
      </c>
      <c r="B7" s="0" t="inlineStr">
        <is>
          <t>B</t>
        </is>
      </c>
      <c r="C7" s="0" t="inlineStr">
        <is>
          <t>SEG-02</t>
        </is>
      </c>
      <c r="D7" s="0" t="inlineStr">
        <is>
          <t>3|SEG-02</t>
        </is>
      </c>
      <c r="E7" s="0">
        <f>TRUE()</f>
        <v/>
      </c>
      <c r="F7" s="0">
        <f>IFERROR(('Lotes_Pipeline_sim2'!I11*'Lotes_Pipeline_sim2'!H11)/('Lotes_Pipeline_sim2'!H11),0)</f>
        <v/>
      </c>
      <c r="G7" s="0">
        <f>'Pipeline_sim2'!DY7</f>
        <v/>
      </c>
      <c r="H7" s="0">
        <f>IFERROR(ROUND(G7/SUMIFS($G$2:$G$8,$D$2:$D$8,"3|SEG-01",$E$2:$E$8,TRUE())*100,0),0)</f>
        <v/>
      </c>
      <c r="I7" s="0">
        <f>MAX(0,ROUNDDOWN(J7*'Pipeline_sim2'!AN7*1,0))</f>
        <v/>
      </c>
      <c r="J7" s="0">
        <f>IFERROR(ROUND(L7/SUMIF($D$2:$D$8,D7,$L$2:$L$8)*10*1,0),0)</f>
        <v/>
      </c>
      <c r="K7" s="0">
        <f>100-ABS(F7-100)/100*100</f>
        <v/>
      </c>
      <c r="L7" s="0">
        <f>IF(E7,0.4*K7+0.35*G7*10+0.25*H7,0)</f>
        <v/>
      </c>
      <c r="M7" s="0">
        <f>G7*10</f>
        <v/>
      </c>
      <c r="N7" s="0">
        <f>IFERROR(L7/SUMIF($D$2:$D$8,D7,$L$2:$L$8),0)</f>
        <v/>
      </c>
    </row>
    <row r="8">
      <c r="A8" s="0" t="n">
        <v>3</v>
      </c>
      <c r="B8" s="0" t="inlineStr">
        <is>
          <t>B</t>
        </is>
      </c>
      <c r="C8" s="0" t="inlineStr">
        <is>
          <t>SEG-03</t>
        </is>
      </c>
      <c r="D8" s="0" t="inlineStr">
        <is>
          <t>3|SEG-03</t>
        </is>
      </c>
      <c r="E8" s="0">
        <f>('Lotes_Pipeline_sim2'!AV9+'Lotes_Pipeline_sim2'!AV10)&gt;0</f>
        <v/>
      </c>
      <c r="F8" s="0">
        <f>IFERROR(('Lotes_Pipeline_sim2'!I9*'Lotes_Pipeline_sim2'!AV9+'Lotes_Pipeline_sim2'!I10*'Lotes_Pipeline_sim2'!AV10)/('Lotes_Pipeline_sim2'!AV9+'Lotes_Pipeline_sim2'!AV10),0)</f>
        <v/>
      </c>
      <c r="G8" s="0">
        <f>'Pipeline_sim2'!DY7</f>
        <v/>
      </c>
      <c r="H8" s="0">
        <f>IFERROR(ROUND(G8/SUMIFS($G$2:$G$8,$D$2:$D$8,"3|SEG-01",$E$2:$E$8,TRUE())*100,0),0)</f>
        <v/>
      </c>
      <c r="I8" s="0">
        <f>MAX(0,ROUNDDOWN(J8*'Pipeline_sim2'!AN7*1,0))</f>
        <v/>
      </c>
      <c r="J8" s="0">
        <f>IFERROR(ROUND(L8/SUMIF($D$2:$D$8,D8,$L$2:$L$8)*10*1,0),0)</f>
        <v/>
      </c>
      <c r="K8" s="0">
        <f>100-ABS(F8-250)/250*100</f>
        <v/>
      </c>
      <c r="L8" s="0">
        <f>IF(E8,0.1*K8+0.5*G8*10+0.4*H8,0)</f>
        <v/>
      </c>
      <c r="M8" s="0">
        <f>G8*10</f>
        <v/>
      </c>
      <c r="N8" s="0">
        <f>IFERROR(L8/SUMIF($D$2:$D$8,D8,$L$2:$L$8),0)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2026-10-23T05:11:38Z</dcterms:modified>
</cp:coreProperties>
</file>