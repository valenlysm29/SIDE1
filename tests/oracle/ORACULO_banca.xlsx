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 sheetId="13" state="visible" r:id="rId13"/>
    <sheet xmlns:r="http://schemas.openxmlformats.org/officeDocument/2006/relationships" name="Catalogo_Numerico_banc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1500</v>
      </c>
      <c r="M2" s="0" t="inlineStr">
        <is>
          <t>MYPE</t>
        </is>
      </c>
      <c r="N2" s="0" t="inlineStr">
        <is>
          <t>FIN-01B</t>
        </is>
      </c>
      <c r="O2" s="0" t="inlineStr">
        <is>
          <t>COM-06B</t>
        </is>
      </c>
      <c r="P2" s="0" t="inlineStr">
        <is>
          <t>INV-02A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I$2:$I$69,MATCH(N2,'Catalogo_Numerico_banca'!$A$2:$A$69,0)),0)+IFERROR(INDEX('Catalogo_Numerico_banca'!$I$2:$I$69,MATCH(O2,'Catalogo_Numerico_banca'!$A$2:$A$69,0)),0)+IFERROR(INDEX('Catalogo_Numerico_banca'!$I$2:$I$69,MATCH(P2,'Catalogo_Numerico_banca'!$A$2:$A$69,0)),0)</f>
        <v/>
      </c>
      <c r="AG2" s="0">
        <f>IFERROR(INDEX('Catalogo_Numerico_banca'!$J$2:$J$69,MATCH(N2,'Catalogo_Numerico_banca'!$A$2:$A$69,0)),0)+IFERROR(INDEX('Catalogo_Numerico_banca'!$J$2:$J$69,MATCH(O2,'Catalogo_Numerico_banca'!$A$2:$A$69,0)),0)+IFERROR(INDEX('Catalogo_Numerico_banca'!$J$2:$J$69,MATCH(P2,'Catalogo_Numerico_banca'!$A$2:$A$69,0)),0)</f>
        <v/>
      </c>
      <c r="AH2" s="0">
        <f>IFERROR(INDEX('Catalogo_Numerico_banca'!$K$2:$K$69,MATCH(N2,'Catalogo_Numerico_banca'!$A$2:$A$69,0)),0)+IFERROR(INDEX('Catalogo_Numerico_banca'!$K$2:$K$69,MATCH(O2,'Catalogo_Numerico_banca'!$A$2:$A$69,0)),0)+IFERROR(INDEX('Catalogo_Numerico_banca'!$K$2:$K$69,MATCH(P2,'Catalogo_Numerico_banca'!$A$2:$A$69,0)),0)</f>
        <v/>
      </c>
      <c r="AI2" s="0">
        <f>IFERROR(INDEX('Catalogo_Numerico_banca'!$H$2:$H$69,MATCH(F2,'Catalogo_Numerico_banca'!$A$2:$A$69,0)),0)+IFERROR(INDEX('Catalogo_Numerico_banca'!$H$2:$H$69,MATCH(G2,'Catalogo_Numerico_banca'!$A$2:$A$69,0)),0)+IFERROR(INDEX('Catalogo_Numerico_banca'!$H$2:$H$69,MATCH(H2,'Catalogo_Numerico_banca'!$A$2:$A$69,0)),0)+IFERROR(INDEX('Catalogo_Numerico_banca'!$H$2:$H$69,MATCH(E2,'Catalogo_Numerico_banca'!$A$2:$A$69,0)),0)</f>
        <v/>
      </c>
      <c r="AJ2" s="0">
        <f>IF(AND(D2="SEG-03",I2&gt;0),IF(AI2&lt;4,-2,IF(AI2&gt;=7,2,0)),0)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ROUND(MIN(100,AI2*10),0)</f>
        <v/>
      </c>
      <c r="EF2" s="0">
        <f>0.7*ED2+0.2*DY2*10+0.1*EE2</f>
        <v/>
      </c>
      <c r="EG2" s="0">
        <f>IFERROR(EF2/SUMIF($C$2:$C$4,C2,$EF$2:$EF$4),0)</f>
        <v/>
      </c>
      <c r="EH2" s="0">
        <f>ROUND(EG2*EA2,0)</f>
        <v/>
      </c>
      <c r="EI2" s="0">
        <f>MAX(0,ROUNDDOWN(EH2*AN2*1,0))</f>
        <v/>
      </c>
      <c r="EJ2" s="0">
        <f>MIN(DZ2,EI2)</f>
        <v/>
      </c>
      <c r="EK2" s="0">
        <f>EJ2*J2*AK2</f>
        <v/>
      </c>
      <c r="EL2" s="0">
        <f>EC2*2</f>
        <v/>
      </c>
      <c r="EM2" s="0">
        <f>IF(I2&gt;CE2,0.25*DT2*IFERROR(MIN(1,(I2-CE2)/CE2),1),0)</f>
        <v/>
      </c>
      <c r="EN2" s="0">
        <f>0</f>
        <v/>
      </c>
      <c r="EO2" s="0">
        <f>(0)*1</f>
        <v/>
      </c>
      <c r="EP2" s="0">
        <f>0</f>
        <v/>
      </c>
      <c r="EQ2" s="0" t="n">
        <v>0</v>
      </c>
      <c r="ER2" s="0">
        <f>DT2+DU2+DV2+DW2+L2+EL2+EM2+EN2+EO2+EP2+EQ2</f>
        <v/>
      </c>
      <c r="ES2" s="0">
        <f>EK2-ER2</f>
        <v/>
      </c>
      <c r="ET2" s="0">
        <f>AND(D2="SEG-03",AI2&lt;4,I2&gt;0)</f>
        <v/>
      </c>
      <c r="EU2" s="0">
        <f>AND(D2="SEG-03",AI2&gt;=7,I2&gt;0)</f>
        <v/>
      </c>
      <c r="EV2" s="0">
        <f>AF2&lt;4</f>
        <v/>
      </c>
      <c r="EW2" s="0">
        <f>AM2&gt;=2</f>
        <v/>
      </c>
      <c r="EX2" s="0">
        <f>AH2&lt;3</f>
        <v/>
      </c>
      <c r="EY2" s="0">
        <f>I2&gt;CE2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RH-10B</t>
        </is>
      </c>
      <c r="Q3" s="0" t="inlineStr">
        <is>
          <t>COM-06B</t>
        </is>
      </c>
      <c r="R3" s="0" t="inlineStr"/>
      <c r="S3" s="0" t="inlineStr"/>
      <c r="T3" s="0" t="inlineStr"/>
      <c r="U3" s="0" t="inlineStr"/>
      <c r="V3" s="0" t="inlineStr"/>
      <c r="W3" s="0" t="inlineStr"/>
      <c r="X3" s="0" t="inlineStr"/>
      <c r="Y3" s="0" t="inlineStr"/>
      <c r="Z3" s="0" t="inlineStr"/>
      <c r="AA3" s="0" t="inlineStr"/>
      <c r="AB3" s="0" t="inlineStr"/>
      <c r="AC3" s="0" t="inlineStr"/>
      <c r="AD3" s="0" t="inlineStr"/>
      <c r="AE3" s="0" t="inlineStr"/>
      <c r="AF3" s="0">
        <f>IFERROR(INDEX('Catalogo_Numerico_banca'!$I$2:$I$69,MATCH(N3,'Catalogo_Numerico_banca'!$A$2:$A$69,0)),0)+IFERROR(INDEX('Catalogo_Numerico_banca'!$I$2:$I$69,MATCH(O3,'Catalogo_Numerico_banca'!$A$2:$A$69,0)),0)+IFERROR(INDEX('Catalogo_Numerico_banca'!$I$2:$I$69,MATCH(P3,'Catalogo_Numerico_banca'!$A$2:$A$69,0)),0)+IFERROR(INDEX('Catalogo_Numerico_banca'!$I$2:$I$69,MATCH(Q3,'Catalogo_Numerico_banca'!$A$2:$A$69,0)),0)</f>
        <v/>
      </c>
      <c r="AG3" s="0">
        <f>IFERROR(INDEX('Catalogo_Numerico_banca'!$J$2:$J$69,MATCH(N3,'Catalogo_Numerico_banca'!$A$2:$A$69,0)),0)+IFERROR(INDEX('Catalogo_Numerico_banca'!$J$2:$J$69,MATCH(O3,'Catalogo_Numerico_banca'!$A$2:$A$69,0)),0)+IFERROR(INDEX('Catalogo_Numerico_banca'!$J$2:$J$69,MATCH(P3,'Catalogo_Numerico_banca'!$A$2:$A$69,0)),0)+IFERROR(INDEX('Catalogo_Numerico_banca'!$J$2:$J$69,MATCH(Q3,'Catalogo_Numerico_banca'!$A$2:$A$69,0)),0)</f>
        <v/>
      </c>
      <c r="AH3" s="0">
        <f>IFERROR(INDEX('Catalogo_Numerico_banca'!$K$2:$K$69,MATCH(N3,'Catalogo_Numerico_banca'!$A$2:$A$69,0)),0)+IFERROR(INDEX('Catalogo_Numerico_banca'!$K$2:$K$69,MATCH(O3,'Catalogo_Numerico_banca'!$A$2:$A$69,0)),0)+IFERROR(INDEX('Catalogo_Numerico_banca'!$K$2:$K$69,MATCH(P3,'Catalogo_Numerico_banca'!$A$2:$A$69,0)),0)+IFERROR(INDEX('Catalogo_Numerico_banca'!$K$2:$K$69,MATCH(Q3,'Catalogo_Numerico_banca'!$A$2:$A$69,0)),0)</f>
        <v/>
      </c>
      <c r="AI3" s="0">
        <f>IFERROR(INDEX('Catalogo_Numerico_banca'!$H$2:$H$69,MATCH(F3,'Catalogo_Numerico_banca'!$A$2:$A$69,0)),0)+IFERROR(INDEX('Catalogo_Numerico_banca'!$H$2:$H$69,MATCH(G3,'Catalogo_Numerico_banca'!$A$2:$A$69,0)),0)+IFERROR(INDEX('Catalogo_Numerico_banca'!$H$2:$H$69,MATCH(H3,'Catalogo_Numerico_banca'!$A$2:$A$69,0)),0)+IFERROR(INDEX('Catalogo_Numerico_banca'!$H$2:$H$69,MATCH(E3,'Catalogo_Numerico_banc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ROUND(MIN(100,AI3*10),0)</f>
        <v/>
      </c>
      <c r="EF3" s="0">
        <f>0.7*ED3+0.2*DY3*10+0.1*EE3</f>
        <v/>
      </c>
      <c r="EG3" s="0">
        <f>IFERROR(EF3/SUMIF($C$2:$C$4,C3,$EF$2:$EF$4),0)</f>
        <v/>
      </c>
      <c r="EH3" s="0">
        <f>ROUND(EG3*EA3,0)</f>
        <v/>
      </c>
      <c r="EI3" s="0">
        <f>MAX(0,ROUNDDOWN(EH3*AN3*1,0))</f>
        <v/>
      </c>
      <c r="EJ3" s="0">
        <f>MIN(DZ3,EI3)</f>
        <v/>
      </c>
      <c r="EK3" s="0">
        <f>EJ3*J3*AK3</f>
        <v/>
      </c>
      <c r="EL3" s="0">
        <f>EC3*2</f>
        <v/>
      </c>
      <c r="EM3" s="0">
        <f>IF(I3&gt;CE3,0.25*DT3*IFERROR(MIN(1,(I3-CE3)/CE3),1),0)</f>
        <v/>
      </c>
      <c r="EN3" s="0">
        <f>0</f>
        <v/>
      </c>
      <c r="EO3" s="0">
        <f>(IFERROR(INDEX('Catalogo_Numerico_banca'!$G$2:$G$69,MATCH("COM-01A",'Catalogo_Numerico_banca'!$A$2:$A$69,0)),0))*1</f>
        <v/>
      </c>
      <c r="EP3" s="0">
        <f>0</f>
        <v/>
      </c>
      <c r="EQ3" s="0" t="n">
        <v>0</v>
      </c>
      <c r="ER3" s="0">
        <f>DT3+DU3+DV3+DW3+L3+EL3+EM3+EN3+EO3+EP3+EQ3</f>
        <v/>
      </c>
      <c r="ES3" s="0">
        <f>EK3-ER3</f>
        <v/>
      </c>
      <c r="ET3" s="0">
        <f>AND(D3="SEG-03",AI3&lt;4,I3&gt;0)</f>
        <v/>
      </c>
      <c r="EU3" s="0">
        <f>AND(D3="SEG-03",AI3&gt;=7,I3&gt;0)</f>
        <v/>
      </c>
      <c r="EV3" s="0">
        <f>AF3&lt;4</f>
        <v/>
      </c>
      <c r="EW3" s="0">
        <f>AM3&gt;=2</f>
        <v/>
      </c>
      <c r="EX3" s="0">
        <f>AH3&lt;3</f>
        <v/>
      </c>
      <c r="EY3" s="0">
        <f>I3&gt;CE3</f>
        <v/>
      </c>
      <c r="EZ3" s="0">
        <f>CZ3&gt;EJ3</f>
        <v/>
      </c>
      <c r="FA3" s="0">
        <f>AND(K3=0,AF3&lt;5)</f>
        <v/>
      </c>
      <c r="FB3" t="n">
        <v>1000000</v>
      </c>
      <c r="FC3">
        <f>0*2500*(1+0.03+0.02)+0*3500*(1+0.03+0.02)+0*1200*(1+0.03+0.02)+0*300*(1+0+0.01)</f>
        <v/>
      </c>
      <c r="FD3">
        <f>0*2500+0*3500+0*1200+0*300</f>
        <v/>
      </c>
      <c r="FE3">
        <f>(CF3*25+CH3*45+CJ3*80+CL3*4+CN3*9+CP3*2+CR3*4+CT3*7)*0.92</f>
        <v/>
      </c>
      <c r="FF3">
        <f>(DC3*25+DE3*45+DG3*80+DJ3*4+DL3*9+DO3*2+DQ3*4+DS3*7)*0.92</f>
        <v/>
      </c>
      <c r="FG3">
        <f>FM2</f>
        <v/>
      </c>
      <c r="FH3">
        <f>(1+AR3/100)^(1/12)-1</f>
        <v/>
      </c>
      <c r="FI3">
        <f>AS2*FJ2+AP3*FH3</f>
        <v/>
      </c>
      <c r="FJ3">
        <f>IFERROR(FI3/(AS2+AP3),0)</f>
        <v/>
      </c>
      <c r="FK3">
        <f>FI3*1</f>
        <v/>
      </c>
      <c r="FL3">
        <f>ER3-DW3-DU3+FE3+FK3</f>
        <v/>
      </c>
      <c r="FM3">
        <f>FG3+EK3+AP3-FL3-FC3</f>
        <v/>
      </c>
      <c r="FN3">
        <f>FN2+DW3</f>
        <v/>
      </c>
      <c r="FO3">
        <f>FO2+FD3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RH-10B</t>
        </is>
      </c>
      <c r="P4" s="0" t="inlineStr">
        <is>
          <t>COM-06B</t>
        </is>
      </c>
      <c r="Q4" s="0" t="inlineStr">
        <is>
          <t>FIN-01A</t>
        </is>
      </c>
      <c r="R4" s="0" t="inlineStr"/>
      <c r="S4" s="0" t="inlineStr"/>
      <c r="T4" s="0" t="inlineStr"/>
      <c r="U4" s="0" t="inlineStr"/>
      <c r="V4" s="0" t="inlineStr"/>
      <c r="W4" s="0" t="inlineStr"/>
      <c r="X4" s="0" t="inlineStr"/>
      <c r="Y4" s="0" t="inlineStr"/>
      <c r="Z4" s="0" t="inlineStr"/>
      <c r="AA4" s="0" t="inlineStr"/>
      <c r="AB4" s="0" t="inlineStr"/>
      <c r="AC4" s="0" t="inlineStr"/>
      <c r="AD4" s="0" t="inlineStr"/>
      <c r="AE4" s="0" t="inlineStr"/>
      <c r="AF4" s="0">
        <f>IFERROR(INDEX('Catalogo_Numerico_banca'!$I$2:$I$69,MATCH(N4,'Catalogo_Numerico_banca'!$A$2:$A$69,0)),0)+IFERROR(INDEX('Catalogo_Numerico_banca'!$I$2:$I$69,MATCH(O4,'Catalogo_Numerico_banca'!$A$2:$A$69,0)),0)+IFERROR(INDEX('Catalogo_Numerico_banca'!$I$2:$I$69,MATCH(P4,'Catalogo_Numerico_banca'!$A$2:$A$69,0)),0)+IFERROR(INDEX('Catalogo_Numerico_banca'!$I$2:$I$69,MATCH(Q4,'Catalogo_Numerico_banca'!$A$2:$A$69,0)),0)</f>
        <v/>
      </c>
      <c r="AG4" s="0">
        <f>IFERROR(INDEX('Catalogo_Numerico_banca'!$J$2:$J$69,MATCH(N4,'Catalogo_Numerico_banca'!$A$2:$A$69,0)),0)+IFERROR(INDEX('Catalogo_Numerico_banca'!$J$2:$J$69,MATCH(O4,'Catalogo_Numerico_banca'!$A$2:$A$69,0)),0)+IFERROR(INDEX('Catalogo_Numerico_banca'!$J$2:$J$69,MATCH(P4,'Catalogo_Numerico_banca'!$A$2:$A$69,0)),0)+IFERROR(INDEX('Catalogo_Numerico_banca'!$J$2:$J$69,MATCH(Q4,'Catalogo_Numerico_banca'!$A$2:$A$69,0)),0)</f>
        <v/>
      </c>
      <c r="AH4" s="0">
        <f>IFERROR(INDEX('Catalogo_Numerico_banca'!$K$2:$K$69,MATCH(N4,'Catalogo_Numerico_banca'!$A$2:$A$69,0)),0)+IFERROR(INDEX('Catalogo_Numerico_banca'!$K$2:$K$69,MATCH(O4,'Catalogo_Numerico_banca'!$A$2:$A$69,0)),0)+IFERROR(INDEX('Catalogo_Numerico_banca'!$K$2:$K$69,MATCH(P4,'Catalogo_Numerico_banca'!$A$2:$A$69,0)),0)+IFERROR(INDEX('Catalogo_Numerico_banca'!$K$2:$K$69,MATCH(Q4,'Catalogo_Numerico_banca'!$A$2:$A$69,0)),0)</f>
        <v/>
      </c>
      <c r="AI4" s="0">
        <f>IFERROR(INDEX('Catalogo_Numerico_banca'!$H$2:$H$69,MATCH(F4,'Catalogo_Numerico_banca'!$A$2:$A$69,0)),0)+IFERROR(INDEX('Catalogo_Numerico_banca'!$H$2:$H$69,MATCH(G4,'Catalogo_Numerico_banca'!$A$2:$A$69,0)),0)+IFERROR(INDEX('Catalogo_Numerico_banca'!$H$2:$H$69,MATCH(H4,'Catalogo_Numerico_banca'!$A$2:$A$69,0)),0)+IFERROR(INDEX('Catalogo_Numerico_banca'!$H$2:$H$69,MATCH(E4,'Catalogo_Numerico_banc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ROUND(MIN(100,AI4*10),0)</f>
        <v/>
      </c>
      <c r="EF4" s="0">
        <f>0.7*ED4+0.2*DY4*10+0.1*EE4</f>
        <v/>
      </c>
      <c r="EG4" s="0">
        <f>IFERROR(EF4/SUMIF($C$2:$C$4,C4,$EF$2:$EF$4),0)</f>
        <v/>
      </c>
      <c r="EH4" s="0">
        <f>ROUND(EG4*EA4,0)</f>
        <v/>
      </c>
      <c r="EI4" s="0">
        <f>MAX(0,ROUNDDOWN(EH4*AN4*1,0))</f>
        <v/>
      </c>
      <c r="EJ4" s="0">
        <f>MIN(DZ4,EI4)</f>
        <v/>
      </c>
      <c r="EK4" s="0">
        <f>EJ4*J4*AK4</f>
        <v/>
      </c>
      <c r="EL4" s="0">
        <f>EC4*2</f>
        <v/>
      </c>
      <c r="EM4" s="0">
        <f>IF(I4&gt;CE4,0.25*DT4*IFERROR(MIN(1,(I4-CE4)/CE4),1),0)</f>
        <v/>
      </c>
      <c r="EN4" s="0">
        <f>0</f>
        <v/>
      </c>
      <c r="EO4" s="0">
        <f>(IFERROR(INDEX('Catalogo_Numerico_banca'!$G$2:$G$69,MATCH("COM-01A",'Catalogo_Numerico_banca'!$A$2:$A$69,0)),0))*1</f>
        <v/>
      </c>
      <c r="EP4" s="0">
        <f>0</f>
        <v/>
      </c>
      <c r="EQ4" s="0" t="n">
        <v>0</v>
      </c>
      <c r="ER4" s="0">
        <f>DT4+DU4+DV4+DW4+L4+EL4+EM4+EN4+EO4+EP4+EQ4</f>
        <v/>
      </c>
      <c r="ES4" s="0">
        <f>EK4-ER4</f>
        <v/>
      </c>
      <c r="ET4" s="0">
        <f>AND(D4="SEG-03",AI4&lt;4,I4&gt;0)</f>
        <v/>
      </c>
      <c r="EU4" s="0">
        <f>AND(D4="SEG-03",AI4&gt;=7,I4&gt;0)</f>
        <v/>
      </c>
      <c r="EV4" s="0">
        <f>AF4&lt;4</f>
        <v/>
      </c>
      <c r="EW4" s="0">
        <f>AM4&gt;=2</f>
        <v/>
      </c>
      <c r="EX4" s="0">
        <f>AH4&lt;3</f>
        <v/>
      </c>
      <c r="EY4" s="0">
        <f>I4&gt;CE4</f>
        <v/>
      </c>
      <c r="EZ4" s="0">
        <f>CZ4&gt;EJ4</f>
        <v/>
      </c>
      <c r="FA4" s="0">
        <f>AND(K4=0,AF4&lt;5)</f>
        <v/>
      </c>
      <c r="FB4" t="n">
        <v>1000000</v>
      </c>
      <c r="FC4">
        <f>0*2500*(1+0.03+0.02)+0*3500*(1+0.03+0.02)+0*1200*(1+0.03+0.02)+0*300*(1+0+0.01)</f>
        <v/>
      </c>
      <c r="FD4">
        <f>0*2500+0*3500+0*1200+0*300</f>
        <v/>
      </c>
      <c r="FE4">
        <f>(CF4*25+CH4*45+CJ4*80+CL4*4+CN4*9+CP4*2+CR4*4+CT4*7)*0.92</f>
        <v/>
      </c>
      <c r="FF4">
        <f>(DC4*25+DE4*45+DG4*80+DJ4*4+DL4*9+DO4*2+DQ4*4+DS4*7)*0.92</f>
        <v/>
      </c>
      <c r="FG4">
        <f>FM3</f>
        <v/>
      </c>
      <c r="FH4">
        <f>(1+AR4/100)^(1/12)-1</f>
        <v/>
      </c>
      <c r="FI4">
        <f>AS3*FJ3+AP4*FH4</f>
        <v/>
      </c>
      <c r="FJ4">
        <f>IFERROR(FI4/(AS3+AP4),0)</f>
        <v/>
      </c>
      <c r="FK4">
        <f>FI4*1</f>
        <v/>
      </c>
      <c r="FL4">
        <f>ER4-DW4-DU4+FE4+FK4</f>
        <v/>
      </c>
      <c r="FM4">
        <f>FG4+EK4+AP4-FL4-FC4</f>
        <v/>
      </c>
      <c r="FN4">
        <f>FN3+DW4</f>
        <v/>
      </c>
      <c r="FO4">
        <f>FO3+FD4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2026-10-11T20:54:12Z</dcterms:modified>
</cp:coreProperties>
</file>