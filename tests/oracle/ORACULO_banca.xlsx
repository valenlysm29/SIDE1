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banca" sheetId="13" state="visible" r:id="rId13"/>
    <sheet xmlns:r="http://schemas.openxmlformats.org/officeDocument/2006/relationships" name="Catalogo_Numerico_banca"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B9&gt;B10</f>
        <v/>
      </c>
      <c r="E7" s="186">
        <f>IF(D7,0.25*B13*MIN(1,IFERROR((B9-B10)/B10,0)),0)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V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inventarioProducto</t>
        </is>
      </c>
      <c r="ED1" s="0" t="inlineStr">
        <is>
          <t>puntajePrecio</t>
        </is>
      </c>
      <c r="EE1" s="0" t="inlineStr">
        <is>
          <t>calidadMercado</t>
        </is>
      </c>
      <c r="EF1" s="0" t="inlineStr">
        <is>
          <t>puntajeTotal</t>
        </is>
      </c>
      <c r="EG1" s="0" t="inlineStr">
        <is>
          <t>porcentaje</t>
        </is>
      </c>
      <c r="EH1" s="0" t="inlineStr">
        <is>
          <t>asignado</t>
        </is>
      </c>
      <c r="EI1" s="0" t="inlineStr">
        <is>
          <t>demandaAjustada</t>
        </is>
      </c>
      <c r="EJ1" s="0" t="inlineStr">
        <is>
          <t>vendido</t>
        </is>
      </c>
      <c r="EK1" s="0" t="inlineStr">
        <is>
          <t>ingresos</t>
        </is>
      </c>
      <c r="EL1" s="0" t="inlineStr">
        <is>
          <t>almacenaje</t>
        </is>
      </c>
      <c r="EM1" s="0" t="inlineStr">
        <is>
          <t>horasExtra</t>
        </is>
      </c>
      <c r="EN1" s="0" t="inlineStr">
        <is>
          <t>costoGarantia</t>
        </is>
      </c>
      <c r="EO1" s="0" t="inlineStr">
        <is>
          <t>costoRecurrente</t>
        </is>
      </c>
      <c r="EP1" s="0" t="inlineStr">
        <is>
          <t>costoLeadTime</t>
        </is>
      </c>
      <c r="EQ1" s="0" t="inlineStr">
        <is>
          <t>costosTotales</t>
        </is>
      </c>
      <c r="ER1" s="0" t="inlineStr">
        <is>
          <t>utilidad</t>
        </is>
      </c>
      <c r="ES1" s="0" t="inlineStr">
        <is>
          <t>CONS-01</t>
        </is>
      </c>
      <c r="ET1" s="0" t="inlineStr">
        <is>
          <t>CONS-02</t>
        </is>
      </c>
      <c r="EU1" s="0" t="inlineStr">
        <is>
          <t>CONS-03</t>
        </is>
      </c>
      <c r="EV1" s="0" t="inlineStr">
        <is>
          <t>CONS-04</t>
        </is>
      </c>
      <c r="EW1" s="0" t="inlineStr">
        <is>
          <t>CONS-05</t>
        </is>
      </c>
      <c r="EX1" s="0" t="inlineStr">
        <is>
          <t>CONS-06</t>
        </is>
      </c>
      <c r="EY1" s="0" t="inlineStr">
        <is>
          <t>CONS-07</t>
        </is>
      </c>
      <c r="EZ1" s="0" t="inlineStr">
        <is>
          <t>CONS-08</t>
        </is>
      </c>
      <c r="FA1" s="0" t="inlineStr">
        <is>
          <t>capitalInicial</t>
        </is>
      </c>
      <c r="FB1" s="0" t="inlineStr">
        <is>
          <t>compraActivos</t>
        </is>
      </c>
      <c r="FC1" s="0" t="inlineStr">
        <is>
          <t>adquisicionNeta</t>
        </is>
      </c>
      <c r="FD1" s="0" t="inlineStr">
        <is>
          <t>valorCompradoNeto</t>
        </is>
      </c>
      <c r="FE1" s="0" t="inlineStr">
        <is>
          <t>valorInventarioNeto</t>
        </is>
      </c>
      <c r="FF1" s="0" t="inlineStr">
        <is>
          <t>cajaInicial</t>
        </is>
      </c>
      <c r="FG1" s="0" t="inlineStr">
        <is>
          <t>tasaNuevoPrestamo</t>
        </is>
      </c>
      <c r="FH1" s="0" t="inlineStr">
        <is>
          <t>interesMensual</t>
        </is>
      </c>
      <c r="FI1" s="0" t="inlineStr">
        <is>
          <t>tasaMensual</t>
        </is>
      </c>
      <c r="FJ1" s="0" t="inlineStr">
        <is>
          <t>intereses</t>
        </is>
      </c>
      <c r="FK1" s="0" t="inlineStr">
        <is>
          <t>pagosOperacion</t>
        </is>
      </c>
      <c r="FL1" s="0" t="inlineStr">
        <is>
          <t>cajaFinal</t>
        </is>
      </c>
      <c r="FM1" s="0" t="inlineStr">
        <is>
          <t>depreciacionAcumulada</t>
        </is>
      </c>
      <c r="FN1" s="0" t="inlineStr">
        <is>
          <t>activosCosto</t>
        </is>
      </c>
      <c r="FO1" s="0" t="inlineStr">
        <is>
          <t>activosFijos</t>
        </is>
      </c>
      <c r="FP1" s="0" t="inlineStr">
        <is>
          <t>financial.estadoResultados.ingresos</t>
        </is>
      </c>
      <c r="FQ1" s="0" t="inlineStr">
        <is>
          <t>financial.estadoResultados.ventasNetas</t>
        </is>
      </c>
      <c r="FR1" s="0" t="inlineStr">
        <is>
          <t>financial.estadoResultados.costos</t>
        </is>
      </c>
      <c r="FS1" s="0" t="inlineStr">
        <is>
          <t>financial.estadoResultados.utilidad</t>
        </is>
      </c>
      <c r="FT1" s="0" t="inlineStr">
        <is>
          <t>financial.estadoResultados.depreciacion</t>
        </is>
      </c>
      <c r="FU1" s="0" t="inlineStr">
        <is>
          <t>financial.estadoResultados.intereses</t>
        </is>
      </c>
      <c r="FV1" s="0" t="inlineStr">
        <is>
          <t>financial.estadoResultados.costosProduccion</t>
        </is>
      </c>
      <c r="FW1" s="0" t="inlineStr">
        <is>
          <t>financial.balanceCaja.cajaInicial</t>
        </is>
      </c>
      <c r="FX1" s="0" t="inlineStr">
        <is>
          <t>financial.balanceCaja.entradas</t>
        </is>
      </c>
      <c r="FY1" s="0" t="inlineStr">
        <is>
          <t>financial.balanceCaja.salidas</t>
        </is>
      </c>
      <c r="FZ1" s="0" t="inlineStr">
        <is>
          <t>financial.balanceCaja.cajaFinal</t>
        </is>
      </c>
      <c r="GA1" s="0" t="inlineStr">
        <is>
          <t>financial.flujoCaja.cajaInicial</t>
        </is>
      </c>
      <c r="GB1" s="0" t="inlineStr">
        <is>
          <t>financial.flujoCaja.cobrosVentas</t>
        </is>
      </c>
      <c r="GC1" s="0" t="inlineStr">
        <is>
          <t>financial.flujoCaja.pagosOperacion</t>
        </is>
      </c>
      <c r="GD1" s="0" t="inlineStr">
        <is>
          <t>financial.flujoCaja.compraActivos</t>
        </is>
      </c>
      <c r="GE1" s="0" t="inlineStr">
        <is>
          <t>financial.flujoCaja.financiamiento</t>
        </is>
      </c>
      <c r="GF1" s="0" t="inlineStr">
        <is>
          <t>financial.flujoCaja.operacion</t>
        </is>
      </c>
      <c r="GG1" s="0" t="inlineStr">
        <is>
          <t>financial.flujoCaja.inversion</t>
        </is>
      </c>
      <c r="GH1" s="0" t="inlineStr">
        <is>
          <t>financial.flujoCaja.flujoNeto</t>
        </is>
      </c>
      <c r="GI1" s="0" t="inlineStr">
        <is>
          <t>financial.flujoCaja.cajaFinal</t>
        </is>
      </c>
      <c r="GJ1" s="0" t="inlineStr">
        <is>
          <t>financial.balanceGeneral.efectivo</t>
        </is>
      </c>
      <c r="GK1" s="0" t="inlineStr">
        <is>
          <t>financial.balanceGeneral.activosFijos</t>
        </is>
      </c>
      <c r="GL1" s="0" t="inlineStr">
        <is>
          <t>financial.balanceGeneral.inventarioMP</t>
        </is>
      </c>
      <c r="GM1" s="0" t="inlineStr">
        <is>
          <t>financial.balanceGeneral.activos</t>
        </is>
      </c>
      <c r="GN1" s="0" t="inlineStr">
        <is>
          <t>financial.balanceGeneral.deuda</t>
        </is>
      </c>
      <c r="GO1" s="0" t="inlineStr">
        <is>
          <t>financial.balanceGeneral.patrimonio</t>
        </is>
      </c>
      <c r="GP1" s="0" t="inlineStr">
        <is>
          <t>financial.balanceGeneral.pasivoPatrimonio</t>
        </is>
      </c>
      <c r="GQ1" s="0" t="inlineStr">
        <is>
          <t>financial.financiamiento.montoPrestamo</t>
        </is>
      </c>
      <c r="GR1" s="0" t="inlineStr">
        <is>
          <t>financial.financiamiento.tasaTEA</t>
        </is>
      </c>
      <c r="GS1" s="0" t="inlineStr">
        <is>
          <t>financial.financiamiento.deudaPrincipal</t>
        </is>
      </c>
      <c r="GT1" s="0" t="inlineStr">
        <is>
          <t>financial.financiamiento.tasaAdicionalProximoPrestamo</t>
        </is>
      </c>
      <c r="GU1" s="0" t="inlineStr">
        <is>
          <t>financial.financiamiento.tasaMensual</t>
        </is>
      </c>
      <c r="GV1" s="0" t="inlineStr">
        <is>
          <t>financial.financiamiento.intereses</t>
        </is>
      </c>
    </row>
    <row r="2">
      <c r="A2" s="0" t="n">
        <v>1</v>
      </c>
      <c r="B2" s="0" t="inlineStr">
        <is>
          <t>A</t>
        </is>
      </c>
      <c r="C2" s="0" t="inlineStr">
        <is>
          <t>1|SEG-01</t>
        </is>
      </c>
      <c r="D2" s="0" t="inlineStr">
        <is>
          <t>SEG-01</t>
        </is>
      </c>
      <c r="E2" s="0" t="inlineStr">
        <is>
          <t>INF-08</t>
        </is>
      </c>
      <c r="F2" s="0" t="inlineStr">
        <is>
          <t>INS-01</t>
        </is>
      </c>
      <c r="G2" s="0" t="inlineStr">
        <is>
          <t>INS-04</t>
        </is>
      </c>
      <c r="H2" s="0" t="inlineStr">
        <is>
          <t>INS-06</t>
        </is>
      </c>
      <c r="I2" s="0" t="n">
        <v>200</v>
      </c>
      <c r="J2" s="0" t="n">
        <v>40</v>
      </c>
      <c r="K2" s="0" t="n">
        <v>0</v>
      </c>
      <c r="L2" s="0" t="n">
        <v>0</v>
      </c>
      <c r="M2" s="0" t="inlineStr">
        <is>
          <t>MYPE</t>
        </is>
      </c>
      <c r="N2" s="0" t="inlineStr">
        <is>
          <t>FIN-01B</t>
        </is>
      </c>
      <c r="O2" s="0" t="inlineStr">
        <is>
          <t>INS-10A</t>
        </is>
      </c>
      <c r="P2" s="0" t="inlineStr">
        <is>
          <t>INV-02A</t>
        </is>
      </c>
      <c r="Q2" s="0" t="inlineStr"/>
      <c r="R2" s="0" t="inlineStr"/>
      <c r="S2" s="0" t="inlineStr"/>
      <c r="T2" s="0" t="inlineStr"/>
      <c r="U2" s="0" t="inlineStr"/>
      <c r="V2" s="0" t="inlineStr"/>
      <c r="W2" s="0" t="inlineStr"/>
      <c r="X2" s="0" t="inlineStr"/>
      <c r="Y2" s="0" t="inlineStr"/>
      <c r="Z2" s="0" t="inlineStr"/>
      <c r="AA2" s="0" t="inlineStr"/>
      <c r="AB2" s="0" t="inlineStr"/>
      <c r="AC2" s="0" t="inlineStr"/>
      <c r="AD2" s="0" t="inlineStr"/>
      <c r="AE2" s="0" t="inlineStr"/>
      <c r="AF2" s="0">
        <f>IFERROR(INDEX('Catalogo_Numerico_banca'!$I$2:$I$69,MATCH(N2,'Catalogo_Numerico_banca'!$A$2:$A$69,0)),0)+IFERROR(INDEX('Catalogo_Numerico_banca'!$I$2:$I$69,MATCH(O2,'Catalogo_Numerico_banca'!$A$2:$A$69,0)),0)+IFERROR(INDEX('Catalogo_Numerico_banca'!$I$2:$I$69,MATCH(P2,'Catalogo_Numerico_banca'!$A$2:$A$69,0)),0)</f>
        <v/>
      </c>
      <c r="AG2" s="0">
        <f>IFERROR(INDEX('Catalogo_Numerico_banca'!$J$2:$J$69,MATCH(N2,'Catalogo_Numerico_banca'!$A$2:$A$69,0)),0)+IFERROR(INDEX('Catalogo_Numerico_banca'!$J$2:$J$69,MATCH(O2,'Catalogo_Numerico_banca'!$A$2:$A$69,0)),0)+IFERROR(INDEX('Catalogo_Numerico_banca'!$J$2:$J$69,MATCH(P2,'Catalogo_Numerico_banca'!$A$2:$A$69,0)),0)</f>
        <v/>
      </c>
      <c r="AH2" s="0">
        <f>IFERROR(INDEX('Catalogo_Numerico_banca'!$K$2:$K$69,MATCH(N2,'Catalogo_Numerico_banca'!$A$2:$A$69,0)),0)+IFERROR(INDEX('Catalogo_Numerico_banca'!$K$2:$K$69,MATCH(O2,'Catalogo_Numerico_banca'!$A$2:$A$69,0)),0)+IFERROR(INDEX('Catalogo_Numerico_banca'!$K$2:$K$69,MATCH(P2,'Catalogo_Numerico_banca'!$A$2:$A$69,0)),0)</f>
        <v/>
      </c>
      <c r="AI2" s="0">
        <f>IFERROR(INDEX('Catalogo_Numerico_banca'!$H$2:$H$69,MATCH(F2,'Catalogo_Numerico_banca'!$A$2:$A$69,0)),0)+IFERROR(INDEX('Catalogo_Numerico_banca'!$H$2:$H$69,MATCH(G2,'Catalogo_Numerico_banca'!$A$2:$A$69,0)),0)+IFERROR(INDEX('Catalogo_Numerico_banca'!$H$2:$H$69,MATCH(H2,'Catalogo_Numerico_banca'!$A$2:$A$69,0)),0)+IFERROR(INDEX('Catalogo_Numerico_banca'!$H$2:$H$69,MATCH(E2,'Catalogo_Numerico_banca'!$A$2:$A$69,0)),0)</f>
        <v/>
      </c>
      <c r="AJ2" s="0">
        <f>IF(AND(D2="SEG-03",I2&gt;0),IF(AI2&lt;4,-2,IF(AI2&gt;=7,2,0)),0)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0</v>
      </c>
      <c r="AZ2" s="0" t="n">
        <v>0</v>
      </c>
      <c r="BA2" s="0" t="n">
        <v>0</v>
      </c>
      <c r="BB2" s="0" t="n">
        <v>0</v>
      </c>
      <c r="BC2" s="0" t="n">
        <v>0</v>
      </c>
      <c r="BD2" s="0" t="n">
        <v>0</v>
      </c>
      <c r="BE2" s="0">
        <f>AV2*5*1+AY2*7*1+BB2*9*1</f>
        <v/>
      </c>
      <c r="BF2" s="0" t="n">
        <v>1</v>
      </c>
      <c r="BG2" s="0" t="n">
        <v>0</v>
      </c>
      <c r="BH2" s="0" t="n">
        <v>0</v>
      </c>
      <c r="BI2" s="0" t="n">
        <v>0</v>
      </c>
      <c r="BJ2" s="0" t="n">
        <v>0</v>
      </c>
      <c r="BK2" s="0" t="n">
        <v>0</v>
      </c>
      <c r="BL2" s="0" t="n">
        <v>0</v>
      </c>
      <c r="BM2" s="0" t="n">
        <v>0</v>
      </c>
      <c r="BN2" s="0" t="n">
        <v>0</v>
      </c>
      <c r="BO2" s="0">
        <f>BF2*6*1+BG2*6*1.2+BH2*6*1.5+BI2*8*1+BJ2*8*1.2+BK2*8*1.5+BL2*12*1+BM2*12*1.2+BN2*12*1.5</f>
        <v/>
      </c>
      <c r="BP2" s="0" t="n">
        <v>1</v>
      </c>
      <c r="BQ2" s="0" t="n">
        <v>0</v>
      </c>
      <c r="BR2" s="0" t="n">
        <v>0</v>
      </c>
      <c r="BS2" s="0" t="n">
        <v>0</v>
      </c>
      <c r="BT2" s="0" t="n">
        <v>0</v>
      </c>
      <c r="BU2" s="0" t="n">
        <v>0</v>
      </c>
      <c r="BV2" s="0" t="n">
        <v>0</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f>
        <v/>
      </c>
      <c r="CE2" s="0">
        <f>ROUND(CD2*CB2,0)</f>
        <v/>
      </c>
      <c r="CF2" s="0" t="n">
        <v>300</v>
      </c>
      <c r="CG2" s="0">
        <f>0+CF2</f>
        <v/>
      </c>
      <c r="CH2" s="0" t="n">
        <v>0</v>
      </c>
      <c r="CI2" s="0">
        <f>0+CH2</f>
        <v/>
      </c>
      <c r="CJ2" s="0" t="n">
        <v>0</v>
      </c>
      <c r="CK2" s="0">
        <f>0+CJ2</f>
        <v/>
      </c>
      <c r="CL2" s="0" t="n">
        <v>1000</v>
      </c>
      <c r="CM2" s="0">
        <f>0+CL2</f>
        <v/>
      </c>
      <c r="CN2" s="0" t="n">
        <v>0</v>
      </c>
      <c r="CO2" s="0">
        <f>0+CN2</f>
        <v/>
      </c>
      <c r="CP2" s="0" t="n">
        <v>6000</v>
      </c>
      <c r="CQ2" s="0">
        <f>0+CP2</f>
        <v/>
      </c>
      <c r="CR2" s="0" t="n">
        <v>0</v>
      </c>
      <c r="CS2" s="0">
        <f>0+CR2</f>
        <v/>
      </c>
      <c r="CT2" s="0" t="n">
        <v>0</v>
      </c>
      <c r="CU2" s="0">
        <f>0+CT2</f>
        <v/>
      </c>
      <c r="CV2" s="0">
        <f>(CG2)/0.3</f>
        <v/>
      </c>
      <c r="CW2" s="0">
        <f>(CM2)/1</f>
        <v/>
      </c>
      <c r="CX2" s="0">
        <f>(CQ2)/6</f>
        <v/>
      </c>
      <c r="CY2" s="0">
        <f>ROUNDDOWN(MIN(I2,CE2,CV2,CW2,CX2),0)</f>
        <v/>
      </c>
      <c r="CZ2" s="0">
        <f>ROUNDDOWN(CY2*AU2,0)</f>
        <v/>
      </c>
      <c r="DA2" s="0">
        <f>CZ2*0.3</f>
        <v/>
      </c>
      <c r="DB2" s="0">
        <f>MIN(CG2,MAX(0,DA2))</f>
        <v/>
      </c>
      <c r="DC2" s="0">
        <f>CG2-DB2</f>
        <v/>
      </c>
      <c r="DD2" s="0">
        <f>0</f>
        <v/>
      </c>
      <c r="DE2" s="0">
        <f>CI2-DD2</f>
        <v/>
      </c>
      <c r="DF2" s="0">
        <f>0</f>
        <v/>
      </c>
      <c r="DG2" s="0">
        <f>CK2-DF2</f>
        <v/>
      </c>
      <c r="DH2" s="0">
        <f>CZ2*1</f>
        <v/>
      </c>
      <c r="DI2" s="0">
        <f>MIN(CM2,MAX(0,DH2))</f>
        <v/>
      </c>
      <c r="DJ2" s="0">
        <f>CM2-DI2</f>
        <v/>
      </c>
      <c r="DK2" s="0">
        <f>0</f>
        <v/>
      </c>
      <c r="DL2" s="0">
        <f>CO2-DK2</f>
        <v/>
      </c>
      <c r="DM2" s="0">
        <f>CZ2*6</f>
        <v/>
      </c>
      <c r="DN2" s="0">
        <f>MIN(CQ2,MAX(0,DM2))</f>
        <v/>
      </c>
      <c r="DO2" s="0">
        <f>CQ2-DN2</f>
        <v/>
      </c>
      <c r="DP2" s="0">
        <f>0</f>
        <v/>
      </c>
      <c r="DQ2" s="0">
        <f>CS2-DP2</f>
        <v/>
      </c>
      <c r="DR2" s="0">
        <f>0</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(DB2*25+DD2*45+DF2*80+DI2*4+DK2*9+DN2*2+DP2*4+DR2*7)*0.8924</f>
        <v/>
      </c>
      <c r="DV2" s="0">
        <f>1*2500*0.05/12*1+1*3500*0.05/12*1+1*1200*0.05/12*1+1*300*0.05/12*1</f>
        <v/>
      </c>
      <c r="DW2" s="0">
        <f>1*(2375.0/10/12*1)+1*(3325.0/10/12*1)+1*(1140.0/8/12*1)+1*(285.0/5/12*1)</f>
        <v/>
      </c>
      <c r="DX2" s="0">
        <f>IF(CZ2&gt;0,0,0)+IFERROR(CA2/BZ2,0)*10+(IFERROR(DF2/(DB2+DD2+DF2),0)+IFERROR(DK2/(DI2+DK2),0)+IFERROR(DR2/(DP2+DR2),0))/3*10+L2/10000*10</f>
        <v/>
      </c>
      <c r="DY2" s="0">
        <f>DX2+AJ2</f>
        <v/>
      </c>
      <c r="DZ2" s="0">
        <f>0+CZ2</f>
        <v/>
      </c>
      <c r="EA2" s="0" t="n">
        <v>3500</v>
      </c>
      <c r="EB2" s="0" t="n">
        <v>0</v>
      </c>
      <c r="EC2" s="0">
        <f>DZ2-EJ2</f>
        <v/>
      </c>
      <c r="ED2" s="0">
        <f>IF(D2="SEG-01",IFERROR(100*(_xlfn.MAXIFS($J$2:$J$4,$C$2:$C$4,C2)-J2)/(_xlfn.MAXIFS($J$2:$J$4,$C$2:$C$4,C2)-_xlfn.MINIFS($J$2:$J$4,$C$2:$C$4,C2)),100),100-ABS(J2-EB2)/EB2*100)</f>
        <v/>
      </c>
      <c r="EE2" s="0">
        <f>ROUND(MIN(100,AI2*10),0)</f>
        <v/>
      </c>
      <c r="EF2" s="0">
        <f>0.7*ED2+0.2*DY2*10+0.1*EE2</f>
        <v/>
      </c>
      <c r="EG2" s="0">
        <f>IFERROR(EF2/SUMIF($C$2:$C$4,C2,$EF$2:$EF$4),0)</f>
        <v/>
      </c>
      <c r="EH2" s="0">
        <f>ROUND(EG2*EA2,0)</f>
        <v/>
      </c>
      <c r="EI2" s="0">
        <f>MAX(0,ROUNDDOWN(EH2*AN2*1,0))</f>
        <v/>
      </c>
      <c r="EJ2" s="0">
        <f>MIN(DZ2,EI2)</f>
        <v/>
      </c>
      <c r="EK2" s="0">
        <f>EJ2*J2*AK2</f>
        <v/>
      </c>
      <c r="EL2" s="0">
        <f>EC2*2</f>
        <v/>
      </c>
      <c r="EM2" s="0">
        <f>IF(I2&gt;CE2,0.25*DT2*IFERROR(MIN(1,(I2-CE2)/CE2),1),0)</f>
        <v/>
      </c>
      <c r="EN2" s="0">
        <f>IFERROR(INDEX('Catalogo_Numerico_banca'!$G$2:$G$69,MATCH("",'Catalogo_Numerico_banca'!$A$2:$A$69,0)),0)*EJ2</f>
        <v/>
      </c>
      <c r="EO2" s="0">
        <f>(IFERROR(INDEX('Catalogo_Numerico_banca'!$G$2:$G$69,MATCH("INV-02A",'Catalogo_Numerico_banca'!$A$2:$A$69,0)),0))*1</f>
        <v/>
      </c>
      <c r="EP2" s="0">
        <f>0</f>
        <v/>
      </c>
      <c r="EQ2" s="0">
        <f>DT2+DU2+DV2+DW2+L2+EL2+EM2+EN2+EO2+EP2</f>
        <v/>
      </c>
      <c r="ER2" s="0">
        <f>EK2-EQ2</f>
        <v/>
      </c>
      <c r="ES2" s="0">
        <f>AND(D2="SEG-03",AI2&lt;4,I2&gt;0)</f>
        <v/>
      </c>
      <c r="ET2" s="0">
        <f>AND(D2="SEG-03",AI2&gt;=7,I2&gt;0)</f>
        <v/>
      </c>
      <c r="EU2" s="0">
        <f>AF2&lt;4</f>
        <v/>
      </c>
      <c r="EV2" s="0">
        <f>AM2&gt;=2</f>
        <v/>
      </c>
      <c r="EW2" s="0">
        <f>AH2&lt;3</f>
        <v/>
      </c>
      <c r="EX2" s="0">
        <f>I2&gt;CE2</f>
        <v/>
      </c>
      <c r="EY2" s="0">
        <f>CZ2&gt;EJ2</f>
        <v/>
      </c>
      <c r="EZ2" s="0">
        <f>AND(K2=0,AF2&lt;5)</f>
        <v/>
      </c>
      <c r="FA2" s="0" t="n">
        <v>1000000</v>
      </c>
      <c r="FB2" s="0">
        <f>1*2500*(1+0.03+0.02)+1*3500*(1+0.03+0.02)+1*1200*(1+0.03+0.02)+1*300*(1+0+0.01)</f>
        <v/>
      </c>
      <c r="FC2" s="0">
        <f>1*2500+1*3500+1*1200+1*300</f>
        <v/>
      </c>
      <c r="FD2" s="0">
        <f>(CF2*25+CH2*45+CJ2*80+CL2*4+CN2*9+CP2*2+CR2*4+CT2*7)*0.8924</f>
        <v/>
      </c>
      <c r="FE2" s="0">
        <f>(DC2*25+DE2*45+DG2*80+DJ2*4+DL2*9+DO2*2+DQ2*4+DS2*7)*0.8924</f>
        <v/>
      </c>
      <c r="FF2" s="0">
        <f>FA2</f>
        <v/>
      </c>
      <c r="FG2" s="0">
        <f>(1+AR2/100)^(1/12)-1</f>
        <v/>
      </c>
      <c r="FH2" s="0">
        <f>0*0+AP2*FG2</f>
        <v/>
      </c>
      <c r="FI2" s="0">
        <f>IFERROR(FH2/(0+AP2),0)</f>
        <v/>
      </c>
      <c r="FJ2" s="0">
        <f>FH2*1</f>
        <v/>
      </c>
      <c r="FK2" s="0">
        <f>EQ2-DW2-DU2+FD2+FJ2</f>
        <v/>
      </c>
      <c r="FL2" s="0">
        <f>FF2+EK2+AP2-FK2-FB2</f>
        <v/>
      </c>
      <c r="FM2" s="0">
        <f>0+DW2</f>
        <v/>
      </c>
      <c r="FN2" s="0">
        <f>0+FC2</f>
        <v/>
      </c>
      <c r="FO2" s="0">
        <f>FN2-FM2</f>
        <v/>
      </c>
      <c r="FP2" s="0">
        <f>EK2</f>
        <v/>
      </c>
      <c r="FQ2" s="0">
        <f>EK2</f>
        <v/>
      </c>
      <c r="FR2" s="0">
        <f>EQ2+FJ2</f>
        <v/>
      </c>
      <c r="FS2" s="0">
        <f>ER2-FJ2</f>
        <v/>
      </c>
      <c r="FT2" s="0">
        <f>DW2</f>
        <v/>
      </c>
      <c r="FU2" s="0">
        <f>FJ2</f>
        <v/>
      </c>
      <c r="FV2" s="0">
        <f>EQ2</f>
        <v/>
      </c>
      <c r="FW2" s="0">
        <f>FF2</f>
        <v/>
      </c>
      <c r="FX2" s="0">
        <f>EK2+AP2</f>
        <v/>
      </c>
      <c r="FY2" s="0">
        <f>FK2+FB2</f>
        <v/>
      </c>
      <c r="FZ2" s="0">
        <f>FL2</f>
        <v/>
      </c>
      <c r="GA2" s="0">
        <f>FF2</f>
        <v/>
      </c>
      <c r="GB2" s="0">
        <f>EK2</f>
        <v/>
      </c>
      <c r="GC2" s="0">
        <f>FK2</f>
        <v/>
      </c>
      <c r="GD2" s="0">
        <f>FB2</f>
        <v/>
      </c>
      <c r="GE2" s="0">
        <f>AP2</f>
        <v/>
      </c>
      <c r="GF2" s="0">
        <f>EK2-FK2</f>
        <v/>
      </c>
      <c r="GG2" s="0">
        <f>-FB2</f>
        <v/>
      </c>
      <c r="GH2" s="0">
        <f>FL2-FF2</f>
        <v/>
      </c>
      <c r="GI2" s="0">
        <f>FL2</f>
        <v/>
      </c>
      <c r="GJ2" s="0">
        <f>FL2</f>
        <v/>
      </c>
      <c r="GK2" s="0">
        <f>FO2</f>
        <v/>
      </c>
      <c r="GL2" s="0">
        <f>FE2</f>
        <v/>
      </c>
      <c r="GM2" s="0">
        <f>FL2+FO2+FE2</f>
        <v/>
      </c>
      <c r="GN2" s="0">
        <f>AS2</f>
        <v/>
      </c>
      <c r="GO2" s="0">
        <f>FL2+FO2+FE2-AS2</f>
        <v/>
      </c>
      <c r="GP2" s="0">
        <f>FL2+FO2+FE2</f>
        <v/>
      </c>
      <c r="GQ2" s="0">
        <f>AP2</f>
        <v/>
      </c>
      <c r="GR2" s="0">
        <f>AR2</f>
        <v/>
      </c>
      <c r="GS2" s="0">
        <f>AS2</f>
        <v/>
      </c>
      <c r="GT2" s="0">
        <f>AT2</f>
        <v/>
      </c>
      <c r="GU2" s="0">
        <f>FI2</f>
        <v/>
      </c>
      <c r="GV2" s="0">
        <f>FJ2</f>
        <v/>
      </c>
    </row>
    <row r="3">
      <c r="A3" s="0" t="n">
        <v>2</v>
      </c>
      <c r="B3" s="0" t="inlineStr">
        <is>
          <t>A</t>
        </is>
      </c>
      <c r="C3" s="0" t="inlineStr">
        <is>
          <t>2|SEG-01</t>
        </is>
      </c>
      <c r="D3" s="0" t="inlineStr">
        <is>
          <t>SEG-01</t>
        </is>
      </c>
      <c r="E3" s="0" t="inlineStr">
        <is>
          <t>INF-08</t>
        </is>
      </c>
      <c r="F3" s="0" t="inlineStr">
        <is>
          <t>INS-01</t>
        </is>
      </c>
      <c r="G3" s="0" t="inlineStr">
        <is>
          <t>INS-04</t>
        </is>
      </c>
      <c r="H3" s="0" t="inlineStr">
        <is>
          <t>INS-06</t>
        </is>
      </c>
      <c r="I3" s="0" t="n">
        <v>200</v>
      </c>
      <c r="J3" s="0" t="n">
        <v>40</v>
      </c>
      <c r="K3" s="0" t="n">
        <v>0</v>
      </c>
      <c r="L3" s="0" t="n">
        <v>0</v>
      </c>
      <c r="M3" s="0" t="inlineStr">
        <is>
          <t>MYPE</t>
        </is>
      </c>
      <c r="N3" s="0" t="inlineStr">
        <is>
          <t>COM-01A</t>
        </is>
      </c>
      <c r="O3" s="0" t="inlineStr">
        <is>
          <t>FIN-01B</t>
        </is>
      </c>
      <c r="P3" s="0" t="inlineStr">
        <is>
          <t>INS-09A</t>
        </is>
      </c>
      <c r="Q3" s="0" t="inlineStr">
        <is>
          <t>INS-10B</t>
        </is>
      </c>
      <c r="R3" s="0" t="inlineStr">
        <is>
          <t>INS-11C</t>
        </is>
      </c>
      <c r="S3" s="0" t="inlineStr">
        <is>
          <t>RH-10B</t>
        </is>
      </c>
      <c r="T3" s="0" t="inlineStr">
        <is>
          <t>FIN-02B</t>
        </is>
      </c>
      <c r="U3" s="0" t="inlineStr">
        <is>
          <t>COM-06A</t>
        </is>
      </c>
      <c r="V3" s="0" t="inlineStr">
        <is>
          <t>INF-11A</t>
        </is>
      </c>
      <c r="W3" s="0" t="inlineStr">
        <is>
          <t>INS-12A</t>
        </is>
      </c>
      <c r="X3" s="0" t="inlineStr"/>
      <c r="Y3" s="0" t="inlineStr"/>
      <c r="Z3" s="0" t="inlineStr"/>
      <c r="AA3" s="0" t="inlineStr"/>
      <c r="AB3" s="0" t="inlineStr"/>
      <c r="AC3" s="0" t="inlineStr"/>
      <c r="AD3" s="0" t="inlineStr"/>
      <c r="AE3" s="0" t="inlineStr"/>
      <c r="AF3" s="0">
        <f>IFERROR(INDEX('Catalogo_Numerico_banca'!$I$2:$I$69,MATCH(N3,'Catalogo_Numerico_banca'!$A$2:$A$69,0)),0)+IFERROR(INDEX('Catalogo_Numerico_banca'!$I$2:$I$69,MATCH(O3,'Catalogo_Numerico_banca'!$A$2:$A$69,0)),0)+IFERROR(INDEX('Catalogo_Numerico_banca'!$I$2:$I$69,MATCH(P3,'Catalogo_Numerico_banca'!$A$2:$A$69,0)),0)+IFERROR(INDEX('Catalogo_Numerico_banca'!$I$2:$I$69,MATCH(Q3,'Catalogo_Numerico_banca'!$A$2:$A$69,0)),0)+IFERROR(INDEX('Catalogo_Numerico_banca'!$I$2:$I$69,MATCH(R3,'Catalogo_Numerico_banca'!$A$2:$A$69,0)),0)+IFERROR(INDEX('Catalogo_Numerico_banca'!$I$2:$I$69,MATCH(S3,'Catalogo_Numerico_banca'!$A$2:$A$69,0)),0)+IFERROR(INDEX('Catalogo_Numerico_banca'!$I$2:$I$69,MATCH(T3,'Catalogo_Numerico_banca'!$A$2:$A$69,0)),0)+IFERROR(INDEX('Catalogo_Numerico_banca'!$I$2:$I$69,MATCH(U3,'Catalogo_Numerico_banca'!$A$2:$A$69,0)),0)+IFERROR(INDEX('Catalogo_Numerico_banca'!$I$2:$I$69,MATCH(V3,'Catalogo_Numerico_banca'!$A$2:$A$69,0)),0)+IFERROR(INDEX('Catalogo_Numerico_banca'!$I$2:$I$69,MATCH(W3,'Catalogo_Numerico_banca'!$A$2:$A$69,0)),0)</f>
        <v/>
      </c>
      <c r="AG3" s="0">
        <f>IFERROR(INDEX('Catalogo_Numerico_banca'!$J$2:$J$69,MATCH(N3,'Catalogo_Numerico_banca'!$A$2:$A$69,0)),0)+IFERROR(INDEX('Catalogo_Numerico_banca'!$J$2:$J$69,MATCH(O3,'Catalogo_Numerico_banca'!$A$2:$A$69,0)),0)+IFERROR(INDEX('Catalogo_Numerico_banca'!$J$2:$J$69,MATCH(P3,'Catalogo_Numerico_banca'!$A$2:$A$69,0)),0)+IFERROR(INDEX('Catalogo_Numerico_banca'!$J$2:$J$69,MATCH(Q3,'Catalogo_Numerico_banca'!$A$2:$A$69,0)),0)+IFERROR(INDEX('Catalogo_Numerico_banca'!$J$2:$J$69,MATCH(R3,'Catalogo_Numerico_banca'!$A$2:$A$69,0)),0)+IFERROR(INDEX('Catalogo_Numerico_banca'!$J$2:$J$69,MATCH(S3,'Catalogo_Numerico_banca'!$A$2:$A$69,0)),0)+IFERROR(INDEX('Catalogo_Numerico_banca'!$J$2:$J$69,MATCH(T3,'Catalogo_Numerico_banca'!$A$2:$A$69,0)),0)+IFERROR(INDEX('Catalogo_Numerico_banca'!$J$2:$J$69,MATCH(U3,'Catalogo_Numerico_banca'!$A$2:$A$69,0)),0)+IFERROR(INDEX('Catalogo_Numerico_banca'!$J$2:$J$69,MATCH(V3,'Catalogo_Numerico_banca'!$A$2:$A$69,0)),0)+IFERROR(INDEX('Catalogo_Numerico_banca'!$J$2:$J$69,MATCH(W3,'Catalogo_Numerico_banca'!$A$2:$A$69,0)),0)</f>
        <v/>
      </c>
      <c r="AH3" s="0">
        <f>IFERROR(INDEX('Catalogo_Numerico_banca'!$K$2:$K$69,MATCH(N3,'Catalogo_Numerico_banca'!$A$2:$A$69,0)),0)+IFERROR(INDEX('Catalogo_Numerico_banca'!$K$2:$K$69,MATCH(O3,'Catalogo_Numerico_banca'!$A$2:$A$69,0)),0)+IFERROR(INDEX('Catalogo_Numerico_banca'!$K$2:$K$69,MATCH(P3,'Catalogo_Numerico_banca'!$A$2:$A$69,0)),0)+IFERROR(INDEX('Catalogo_Numerico_banca'!$K$2:$K$69,MATCH(Q3,'Catalogo_Numerico_banca'!$A$2:$A$69,0)),0)+IFERROR(INDEX('Catalogo_Numerico_banca'!$K$2:$K$69,MATCH(R3,'Catalogo_Numerico_banca'!$A$2:$A$69,0)),0)+IFERROR(INDEX('Catalogo_Numerico_banca'!$K$2:$K$69,MATCH(S3,'Catalogo_Numerico_banca'!$A$2:$A$69,0)),0)+IFERROR(INDEX('Catalogo_Numerico_banca'!$K$2:$K$69,MATCH(T3,'Catalogo_Numerico_banca'!$A$2:$A$69,0)),0)+IFERROR(INDEX('Catalogo_Numerico_banca'!$K$2:$K$69,MATCH(U3,'Catalogo_Numerico_banca'!$A$2:$A$69,0)),0)+IFERROR(INDEX('Catalogo_Numerico_banca'!$K$2:$K$69,MATCH(V3,'Catalogo_Numerico_banca'!$A$2:$A$69,0)),0)+IFERROR(INDEX('Catalogo_Numerico_banca'!$K$2:$K$69,MATCH(W3,'Catalogo_Numerico_banca'!$A$2:$A$69,0)),0)</f>
        <v/>
      </c>
      <c r="AI3" s="0">
        <f>IFERROR(INDEX('Catalogo_Numerico_banca'!$H$2:$H$69,MATCH(F3,'Catalogo_Numerico_banca'!$A$2:$A$69,0)),0)+IFERROR(INDEX('Catalogo_Numerico_banca'!$H$2:$H$69,MATCH(G3,'Catalogo_Numerico_banca'!$A$2:$A$69,0)),0)+IFERROR(INDEX('Catalogo_Numerico_banca'!$H$2:$H$69,MATCH(H3,'Catalogo_Numerico_banca'!$A$2:$A$69,0)),0)+IFERROR(INDEX('Catalogo_Numerico_banca'!$H$2:$H$69,MATCH(E3,'Catalogo_Numerico_banca'!$A$2:$A$69,0)),0)</f>
        <v/>
      </c>
      <c r="AJ3" s="0">
        <f>IF(AND(D3="SEG-03",I3&gt;0),IF(AI3&lt;4,-2,IF(AI3&gt;=7,2,0)),0)</f>
        <v/>
      </c>
      <c r="AK3" s="0">
        <f>IF(AND(D3="SEG-03",I3&gt;0),IF(AI3&lt;4,0.65,IF(AI3&gt;=7,1.4,1)),1)</f>
        <v/>
      </c>
      <c r="AL3" s="0">
        <f>AG3+AJ3</f>
        <v/>
      </c>
      <c r="AM3" s="0">
        <f>IF(AL3&lt;3,AM2+1,0)</f>
        <v/>
      </c>
      <c r="AN3" s="0">
        <f>IF(AM3&gt;=2,0.8,1)</f>
        <v/>
      </c>
      <c r="AO3" s="0">
        <f>IF(AH3&lt;3,3,0)</f>
        <v/>
      </c>
      <c r="AP3" s="0" t="n">
        <v>0</v>
      </c>
      <c r="AQ3" s="0" t="n">
        <v>20</v>
      </c>
      <c r="AR3" s="0">
        <f>AQ3+AT2</f>
        <v/>
      </c>
      <c r="AS3" s="0">
        <f>AS2+AP3</f>
        <v/>
      </c>
      <c r="AT3" s="0">
        <f>IF(AP3&gt;0,AO3,MAX(AT2,AO3))</f>
        <v/>
      </c>
      <c r="AU3" s="0">
        <f>IF(AF3&lt;4,0.7,1)*IF(AND(K3=0,AF3&lt;5),0.95,1)</f>
        <v/>
      </c>
      <c r="AV3" s="0" t="n">
        <v>1</v>
      </c>
      <c r="AW3" s="0" t="n">
        <v>0</v>
      </c>
      <c r="AX3" s="0" t="n">
        <v>0</v>
      </c>
      <c r="AY3" s="0" t="n">
        <v>0</v>
      </c>
      <c r="AZ3" s="0" t="n">
        <v>0</v>
      </c>
      <c r="BA3" s="0" t="n">
        <v>0</v>
      </c>
      <c r="BB3" s="0" t="n">
        <v>0</v>
      </c>
      <c r="BC3" s="0" t="n">
        <v>0</v>
      </c>
      <c r="BD3" s="0" t="n">
        <v>0</v>
      </c>
      <c r="BE3" s="0">
        <f>AV3*5*1+AY3*7*1+BB3*9*1</f>
        <v/>
      </c>
      <c r="BF3" s="0" t="n">
        <v>1</v>
      </c>
      <c r="BG3" s="0" t="n">
        <v>0</v>
      </c>
      <c r="BH3" s="0" t="n">
        <v>0</v>
      </c>
      <c r="BI3" s="0" t="n">
        <v>0</v>
      </c>
      <c r="BJ3" s="0" t="n">
        <v>0</v>
      </c>
      <c r="BK3" s="0" t="n">
        <v>0</v>
      </c>
      <c r="BL3" s="0" t="n">
        <v>0</v>
      </c>
      <c r="BM3" s="0" t="n">
        <v>0</v>
      </c>
      <c r="BN3" s="0" t="n">
        <v>0</v>
      </c>
      <c r="BO3" s="0">
        <f>BF3*6*1+BG3*6*1.2+BH3*6*1.5+BI3*8*1+BJ3*8*1.2+BK3*8*1.5+BL3*12*1+BM3*12*1.2+BN3*12*1.5</f>
        <v/>
      </c>
      <c r="BP3" s="0" t="n">
        <v>1</v>
      </c>
      <c r="BQ3" s="0" t="n">
        <v>0</v>
      </c>
      <c r="BR3" s="0" t="n">
        <v>0</v>
      </c>
      <c r="BS3" s="0" t="n">
        <v>0</v>
      </c>
      <c r="BT3" s="0" t="n">
        <v>0</v>
      </c>
      <c r="BU3" s="0" t="n">
        <v>0</v>
      </c>
      <c r="BV3" s="0" t="n">
        <v>0</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f>
        <v/>
      </c>
      <c r="CE3" s="0">
        <f>ROUND(CD3*CB3,0)</f>
        <v/>
      </c>
      <c r="CF3" s="0" t="n">
        <v>300</v>
      </c>
      <c r="CG3" s="0">
        <f>DC2+CF3</f>
        <v/>
      </c>
      <c r="CH3" s="0" t="n">
        <v>0</v>
      </c>
      <c r="CI3" s="0">
        <f>DE2+CH3</f>
        <v/>
      </c>
      <c r="CJ3" s="0" t="n">
        <v>0</v>
      </c>
      <c r="CK3" s="0">
        <f>DG2+CJ3</f>
        <v/>
      </c>
      <c r="CL3" s="0" t="n">
        <v>1000</v>
      </c>
      <c r="CM3" s="0">
        <f>DJ2+CL3</f>
        <v/>
      </c>
      <c r="CN3" s="0" t="n">
        <v>0</v>
      </c>
      <c r="CO3" s="0">
        <f>DL2+CN3</f>
        <v/>
      </c>
      <c r="CP3" s="0" t="n">
        <v>6000</v>
      </c>
      <c r="CQ3" s="0">
        <f>DO2+CP3</f>
        <v/>
      </c>
      <c r="CR3" s="0" t="n">
        <v>0</v>
      </c>
      <c r="CS3" s="0">
        <f>DQ2+CR3</f>
        <v/>
      </c>
      <c r="CT3" s="0" t="n">
        <v>0</v>
      </c>
      <c r="CU3" s="0">
        <f>DS2+CT3</f>
        <v/>
      </c>
      <c r="CV3" s="0">
        <f>(CG3)/0.3</f>
        <v/>
      </c>
      <c r="CW3" s="0">
        <f>(CM3)/1</f>
        <v/>
      </c>
      <c r="CX3" s="0">
        <f>(CQ3)/6</f>
        <v/>
      </c>
      <c r="CY3" s="0">
        <f>ROUNDDOWN(MIN(I3,CE3,CV3,CW3,CX3),0)</f>
        <v/>
      </c>
      <c r="CZ3" s="0">
        <f>ROUNDDOWN(CY3*AU3,0)</f>
        <v/>
      </c>
      <c r="DA3" s="0">
        <f>CZ3*0.3</f>
        <v/>
      </c>
      <c r="DB3" s="0">
        <f>MIN(CG3,MAX(0,DA3))</f>
        <v/>
      </c>
      <c r="DC3" s="0">
        <f>CG3-DB3</f>
        <v/>
      </c>
      <c r="DD3" s="0">
        <f>0</f>
        <v/>
      </c>
      <c r="DE3" s="0">
        <f>CI3-DD3</f>
        <v/>
      </c>
      <c r="DF3" s="0">
        <f>0</f>
        <v/>
      </c>
      <c r="DG3" s="0">
        <f>CK3-DF3</f>
        <v/>
      </c>
      <c r="DH3" s="0">
        <f>CZ3*1</f>
        <v/>
      </c>
      <c r="DI3" s="0">
        <f>MIN(CM3,MAX(0,DH3))</f>
        <v/>
      </c>
      <c r="DJ3" s="0">
        <f>CM3-DI3</f>
        <v/>
      </c>
      <c r="DK3" s="0">
        <f>0</f>
        <v/>
      </c>
      <c r="DL3" s="0">
        <f>CO3-DK3</f>
        <v/>
      </c>
      <c r="DM3" s="0">
        <f>CZ3*6</f>
        <v/>
      </c>
      <c r="DN3" s="0">
        <f>MIN(CQ3,MAX(0,DM3))</f>
        <v/>
      </c>
      <c r="DO3" s="0">
        <f>CQ3-DN3</f>
        <v/>
      </c>
      <c r="DP3" s="0">
        <f>0</f>
        <v/>
      </c>
      <c r="DQ3" s="0">
        <f>CS3-DP3</f>
        <v/>
      </c>
      <c r="DR3" s="0">
        <f>0</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(DB3*25+DD3*45+DF3*80+DI3*4+DK3*9+DN3*2+DP3*4+DR3*7)*0.9016000000000001</f>
        <v/>
      </c>
      <c r="DV3" s="0">
        <f>1*2500*0.05/12*1+1*3500*0.05/12*1+1*1200*0.05/12*1+1*300*0.05/12*1+IFERROR(INDEX('Catalogo_Numerico_banca'!$G$2:$G$69,MATCH(V3,'Catalogo_Numerico_banca'!$A$2:$A$69,0)),0)</f>
        <v/>
      </c>
      <c r="DW3" s="0">
        <f>1*(2375.0*CZ3/100000)+1*(3325.0*CZ3/100000)+1*(1140.0*CZ3/100000)+1*(285.0*CZ3/100000)</f>
        <v/>
      </c>
      <c r="DX3" s="0">
        <f>IF(CZ3&gt;0,0,0)+IFERROR(CA3/BZ3,0)*10+(IFERROR(DF3/(DB3+DD3+DF3),0)+IFERROR(DK3/(DI3+DK3),0)+IFERROR(DR3/(DP3+DR3),0))/3*10+L3/10000*10</f>
        <v/>
      </c>
      <c r="DY3" s="0">
        <f>DX3+AJ3</f>
        <v/>
      </c>
      <c r="DZ3" s="0">
        <f>EC2+CZ3</f>
        <v/>
      </c>
      <c r="EA3" s="0" t="n">
        <v>3500</v>
      </c>
      <c r="EB3" s="0" t="n">
        <v>0</v>
      </c>
      <c r="EC3" s="0">
        <f>DZ3-EJ3</f>
        <v/>
      </c>
      <c r="ED3" s="0">
        <f>IF(D3="SEG-01",IFERROR(100*(_xlfn.MAXIFS($J$2:$J$4,$C$2:$C$4,C3)-J3)/(_xlfn.MAXIFS($J$2:$J$4,$C$2:$C$4,C3)-_xlfn.MINIFS($J$2:$J$4,$C$2:$C$4,C3)),100),100-ABS(J3-EB3)/EB3*100)</f>
        <v/>
      </c>
      <c r="EE3" s="0">
        <f>ROUND(MIN(100,AI3*10),0)</f>
        <v/>
      </c>
      <c r="EF3" s="0">
        <f>0.7*ED3+0.2*DY3*10+0.1*EE3</f>
        <v/>
      </c>
      <c r="EG3" s="0">
        <f>IFERROR(EF3/SUMIF($C$2:$C$4,C3,$EF$2:$EF$4),0)</f>
        <v/>
      </c>
      <c r="EH3" s="0">
        <f>ROUND(EG3*EA3,0)</f>
        <v/>
      </c>
      <c r="EI3" s="0">
        <f>MAX(0,ROUNDDOWN(EH3*AN3*1,0))</f>
        <v/>
      </c>
      <c r="EJ3" s="0">
        <f>MIN(DZ3,EI3)</f>
        <v/>
      </c>
      <c r="EK3" s="0">
        <f>EJ3*J3*AK3</f>
        <v/>
      </c>
      <c r="EL3" s="0">
        <f>EC3*2</f>
        <v/>
      </c>
      <c r="EM3" s="0">
        <f>IF(I3&gt;CE3,0.25*DT3*IFERROR(MIN(1,(I3-CE3)/CE3),1),0)</f>
        <v/>
      </c>
      <c r="EN3" s="0">
        <f>IFERROR(INDEX('Catalogo_Numerico_banca'!$G$2:$G$69,MATCH("COM-06A",'Catalogo_Numerico_banca'!$A$2:$A$69,0)),0)*EJ3</f>
        <v/>
      </c>
      <c r="EO3" s="0">
        <f>(IFERROR(INDEX('Catalogo_Numerico_banca'!$G$2:$G$69,MATCH("COM-01A",'Catalogo_Numerico_banca'!$A$2:$A$69,0)),0)+IFERROR(INDEX('Catalogo_Numerico_banca'!$G$2:$G$69,MATCH("INS-12A",'Catalogo_Numerico_banca'!$A$2:$A$69,0)),0))*1</f>
        <v/>
      </c>
      <c r="EP3" s="0">
        <f>0</f>
        <v/>
      </c>
      <c r="EQ3" s="0">
        <f>DT3+DU3+DV3+DW3+L3+EL3+EM3+EN3+EO3+EP3</f>
        <v/>
      </c>
      <c r="ER3" s="0">
        <f>EK3-EQ3</f>
        <v/>
      </c>
      <c r="ES3" s="0">
        <f>AND(D3="SEG-03",AI3&lt;4,I3&gt;0)</f>
        <v/>
      </c>
      <c r="ET3" s="0">
        <f>AND(D3="SEG-03",AI3&gt;=7,I3&gt;0)</f>
        <v/>
      </c>
      <c r="EU3" s="0">
        <f>AF3&lt;4</f>
        <v/>
      </c>
      <c r="EV3" s="0">
        <f>AM3&gt;=2</f>
        <v/>
      </c>
      <c r="EW3" s="0">
        <f>AH3&lt;3</f>
        <v/>
      </c>
      <c r="EX3" s="0">
        <f>I3&gt;CE3</f>
        <v/>
      </c>
      <c r="EY3" s="0">
        <f>CZ3&gt;EJ3</f>
        <v/>
      </c>
      <c r="EZ3" s="0">
        <f>AND(K3=0,AF3&lt;5)</f>
        <v/>
      </c>
      <c r="FA3" s="0" t="n">
        <v>1000000</v>
      </c>
      <c r="FB3" s="0">
        <f>0*2500*(1+0.03+0.02)+0*3500*(1+0.03+0.02)+0*1200*(1+0.03+0.02)+0*300*(1+0+0.01)</f>
        <v/>
      </c>
      <c r="FC3" s="0">
        <f>0*2500+0*3500+0*1200+0*300</f>
        <v/>
      </c>
      <c r="FD3" s="0">
        <f>(CF3*25+CH3*45+CJ3*80+CL3*4+CN3*9+CP3*2+CR3*4+CT3*7)*0.9016000000000001</f>
        <v/>
      </c>
      <c r="FE3" s="0">
        <f>(DC3*25+DE3*45+DG3*80+DJ3*4+DL3*9+DO3*2+DQ3*4+DS3*7)*0.9016000000000001</f>
        <v/>
      </c>
      <c r="FF3" s="0">
        <f>FL2</f>
        <v/>
      </c>
      <c r="FG3" s="0">
        <f>(1+AR3/100)^(1/12)-1</f>
        <v/>
      </c>
      <c r="FH3" s="0">
        <f>AS2*FI2+AP3*FG3</f>
        <v/>
      </c>
      <c r="FI3" s="0">
        <f>IFERROR(FH3/(AS2+AP3),0)</f>
        <v/>
      </c>
      <c r="FJ3" s="0">
        <f>FH3*1</f>
        <v/>
      </c>
      <c r="FK3" s="0">
        <f>EQ3-DW3-DU3+FD3+FJ3</f>
        <v/>
      </c>
      <c r="FL3" s="0">
        <f>FF3+EK3+AP3-FK3-FB3</f>
        <v/>
      </c>
      <c r="FM3" s="0">
        <f>FM2+DW3</f>
        <v/>
      </c>
      <c r="FN3" s="0">
        <f>FN2+FC3</f>
        <v/>
      </c>
      <c r="FO3" s="0">
        <f>FN3-FM3</f>
        <v/>
      </c>
      <c r="FP3" s="0">
        <f>EK3</f>
        <v/>
      </c>
      <c r="FQ3" s="0">
        <f>EK3</f>
        <v/>
      </c>
      <c r="FR3" s="0">
        <f>EQ3+FJ3</f>
        <v/>
      </c>
      <c r="FS3" s="0">
        <f>ER3-FJ3</f>
        <v/>
      </c>
      <c r="FT3" s="0">
        <f>DW3</f>
        <v/>
      </c>
      <c r="FU3" s="0">
        <f>FJ3</f>
        <v/>
      </c>
      <c r="FV3" s="0">
        <f>EQ3</f>
        <v/>
      </c>
      <c r="FW3" s="0">
        <f>FF3</f>
        <v/>
      </c>
      <c r="FX3" s="0">
        <f>EK3+AP3</f>
        <v/>
      </c>
      <c r="FY3" s="0">
        <f>FK3+FB3</f>
        <v/>
      </c>
      <c r="FZ3" s="0">
        <f>FL3</f>
        <v/>
      </c>
      <c r="GA3" s="0">
        <f>FF3</f>
        <v/>
      </c>
      <c r="GB3" s="0">
        <f>EK3</f>
        <v/>
      </c>
      <c r="GC3" s="0">
        <f>FK3</f>
        <v/>
      </c>
      <c r="GD3" s="0">
        <f>FB3</f>
        <v/>
      </c>
      <c r="GE3" s="0">
        <f>AP3</f>
        <v/>
      </c>
      <c r="GF3" s="0">
        <f>EK3-FK3</f>
        <v/>
      </c>
      <c r="GG3" s="0">
        <f>-FB3</f>
        <v/>
      </c>
      <c r="GH3" s="0">
        <f>FL3-FF3</f>
        <v/>
      </c>
      <c r="GI3" s="0">
        <f>FL3</f>
        <v/>
      </c>
      <c r="GJ3" s="0">
        <f>FL3</f>
        <v/>
      </c>
      <c r="GK3" s="0">
        <f>FO3</f>
        <v/>
      </c>
      <c r="GL3" s="0">
        <f>FE3</f>
        <v/>
      </c>
      <c r="GM3" s="0">
        <f>FL3+FO3+FE3</f>
        <v/>
      </c>
      <c r="GN3" s="0">
        <f>AS3</f>
        <v/>
      </c>
      <c r="GO3" s="0">
        <f>FL3+FO3+FE3-AS3</f>
        <v/>
      </c>
      <c r="GP3" s="0">
        <f>FL3+FO3+FE3</f>
        <v/>
      </c>
      <c r="GQ3" s="0">
        <f>AP3</f>
        <v/>
      </c>
      <c r="GR3" s="0">
        <f>AR3</f>
        <v/>
      </c>
      <c r="GS3" s="0">
        <f>AS3</f>
        <v/>
      </c>
      <c r="GT3" s="0">
        <f>AT3</f>
        <v/>
      </c>
      <c r="GU3" s="0">
        <f>FI3</f>
        <v/>
      </c>
      <c r="GV3" s="0">
        <f>FJ3</f>
        <v/>
      </c>
    </row>
    <row r="4">
      <c r="A4" s="0" t="n">
        <v>3</v>
      </c>
      <c r="B4" s="0" t="inlineStr">
        <is>
          <t>A</t>
        </is>
      </c>
      <c r="C4" s="0" t="inlineStr">
        <is>
          <t>3|SEG-01</t>
        </is>
      </c>
      <c r="D4" s="0" t="inlineStr">
        <is>
          <t>SEG-01</t>
        </is>
      </c>
      <c r="E4" s="0" t="inlineStr">
        <is>
          <t>INF-08</t>
        </is>
      </c>
      <c r="F4" s="0" t="inlineStr">
        <is>
          <t>INS-01</t>
        </is>
      </c>
      <c r="G4" s="0" t="inlineStr">
        <is>
          <t>INS-04</t>
        </is>
      </c>
      <c r="H4" s="0" t="inlineStr">
        <is>
          <t>INS-06</t>
        </is>
      </c>
      <c r="I4" s="0" t="n">
        <v>200</v>
      </c>
      <c r="J4" s="0" t="n">
        <v>40</v>
      </c>
      <c r="K4" s="0" t="n">
        <v>0</v>
      </c>
      <c r="L4" s="0" t="n">
        <v>0</v>
      </c>
      <c r="M4" s="0" t="inlineStr">
        <is>
          <t>MYPE</t>
        </is>
      </c>
      <c r="N4" s="0" t="inlineStr">
        <is>
          <t>COM-01A</t>
        </is>
      </c>
      <c r="O4" s="0" t="inlineStr">
        <is>
          <t>INS-09A</t>
        </is>
      </c>
      <c r="P4" s="0" t="inlineStr">
        <is>
          <t>INS-10B</t>
        </is>
      </c>
      <c r="Q4" s="0" t="inlineStr">
        <is>
          <t>INS-11C</t>
        </is>
      </c>
      <c r="R4" s="0" t="inlineStr">
        <is>
          <t>RH-10B</t>
        </is>
      </c>
      <c r="S4" s="0" t="inlineStr">
        <is>
          <t>FIN-02B</t>
        </is>
      </c>
      <c r="T4" s="0" t="inlineStr">
        <is>
          <t>COM-06A</t>
        </is>
      </c>
      <c r="U4" s="0" t="inlineStr">
        <is>
          <t>INF-11A</t>
        </is>
      </c>
      <c r="V4" s="0" t="inlineStr">
        <is>
          <t>INS-12A</t>
        </is>
      </c>
      <c r="W4" s="0" t="inlineStr">
        <is>
          <t>FIN-01A</t>
        </is>
      </c>
      <c r="X4" s="0" t="inlineStr"/>
      <c r="Y4" s="0" t="inlineStr"/>
      <c r="Z4" s="0" t="inlineStr"/>
      <c r="AA4" s="0" t="inlineStr"/>
      <c r="AB4" s="0" t="inlineStr"/>
      <c r="AC4" s="0" t="inlineStr"/>
      <c r="AD4" s="0" t="inlineStr"/>
      <c r="AE4" s="0" t="inlineStr"/>
      <c r="AF4" s="0">
        <f>IFERROR(INDEX('Catalogo_Numerico_banca'!$I$2:$I$69,MATCH(N4,'Catalogo_Numerico_banca'!$A$2:$A$69,0)),0)+IFERROR(INDEX('Catalogo_Numerico_banca'!$I$2:$I$69,MATCH(O4,'Catalogo_Numerico_banca'!$A$2:$A$69,0)),0)+IFERROR(INDEX('Catalogo_Numerico_banca'!$I$2:$I$69,MATCH(P4,'Catalogo_Numerico_banca'!$A$2:$A$69,0)),0)+IFERROR(INDEX('Catalogo_Numerico_banca'!$I$2:$I$69,MATCH(Q4,'Catalogo_Numerico_banca'!$A$2:$A$69,0)),0)+IFERROR(INDEX('Catalogo_Numerico_banca'!$I$2:$I$69,MATCH(R4,'Catalogo_Numerico_banca'!$A$2:$A$69,0)),0)+IFERROR(INDEX('Catalogo_Numerico_banca'!$I$2:$I$69,MATCH(S4,'Catalogo_Numerico_banca'!$A$2:$A$69,0)),0)+IFERROR(INDEX('Catalogo_Numerico_banca'!$I$2:$I$69,MATCH(T4,'Catalogo_Numerico_banca'!$A$2:$A$69,0)),0)+IFERROR(INDEX('Catalogo_Numerico_banca'!$I$2:$I$69,MATCH(U4,'Catalogo_Numerico_banca'!$A$2:$A$69,0)),0)+IFERROR(INDEX('Catalogo_Numerico_banca'!$I$2:$I$69,MATCH(V4,'Catalogo_Numerico_banca'!$A$2:$A$69,0)),0)+IFERROR(INDEX('Catalogo_Numerico_banca'!$I$2:$I$69,MATCH(W4,'Catalogo_Numerico_banca'!$A$2:$A$69,0)),0)</f>
        <v/>
      </c>
      <c r="AG4" s="0">
        <f>IFERROR(INDEX('Catalogo_Numerico_banca'!$J$2:$J$69,MATCH(N4,'Catalogo_Numerico_banca'!$A$2:$A$69,0)),0)+IFERROR(INDEX('Catalogo_Numerico_banca'!$J$2:$J$69,MATCH(O4,'Catalogo_Numerico_banca'!$A$2:$A$69,0)),0)+IFERROR(INDEX('Catalogo_Numerico_banca'!$J$2:$J$69,MATCH(P4,'Catalogo_Numerico_banca'!$A$2:$A$69,0)),0)+IFERROR(INDEX('Catalogo_Numerico_banca'!$J$2:$J$69,MATCH(Q4,'Catalogo_Numerico_banca'!$A$2:$A$69,0)),0)+IFERROR(INDEX('Catalogo_Numerico_banca'!$J$2:$J$69,MATCH(R4,'Catalogo_Numerico_banca'!$A$2:$A$69,0)),0)+IFERROR(INDEX('Catalogo_Numerico_banca'!$J$2:$J$69,MATCH(S4,'Catalogo_Numerico_banca'!$A$2:$A$69,0)),0)+IFERROR(INDEX('Catalogo_Numerico_banca'!$J$2:$J$69,MATCH(T4,'Catalogo_Numerico_banca'!$A$2:$A$69,0)),0)+IFERROR(INDEX('Catalogo_Numerico_banca'!$J$2:$J$69,MATCH(U4,'Catalogo_Numerico_banca'!$A$2:$A$69,0)),0)+IFERROR(INDEX('Catalogo_Numerico_banca'!$J$2:$J$69,MATCH(V4,'Catalogo_Numerico_banca'!$A$2:$A$69,0)),0)+IFERROR(INDEX('Catalogo_Numerico_banca'!$J$2:$J$69,MATCH(W4,'Catalogo_Numerico_banca'!$A$2:$A$69,0)),0)</f>
        <v/>
      </c>
      <c r="AH4" s="0">
        <f>IFERROR(INDEX('Catalogo_Numerico_banca'!$K$2:$K$69,MATCH(N4,'Catalogo_Numerico_banca'!$A$2:$A$69,0)),0)+IFERROR(INDEX('Catalogo_Numerico_banca'!$K$2:$K$69,MATCH(O4,'Catalogo_Numerico_banca'!$A$2:$A$69,0)),0)+IFERROR(INDEX('Catalogo_Numerico_banca'!$K$2:$K$69,MATCH(P4,'Catalogo_Numerico_banca'!$A$2:$A$69,0)),0)+IFERROR(INDEX('Catalogo_Numerico_banca'!$K$2:$K$69,MATCH(Q4,'Catalogo_Numerico_banca'!$A$2:$A$69,0)),0)+IFERROR(INDEX('Catalogo_Numerico_banca'!$K$2:$K$69,MATCH(R4,'Catalogo_Numerico_banca'!$A$2:$A$69,0)),0)+IFERROR(INDEX('Catalogo_Numerico_banca'!$K$2:$K$69,MATCH(S4,'Catalogo_Numerico_banca'!$A$2:$A$69,0)),0)+IFERROR(INDEX('Catalogo_Numerico_banca'!$K$2:$K$69,MATCH(T4,'Catalogo_Numerico_banca'!$A$2:$A$69,0)),0)+IFERROR(INDEX('Catalogo_Numerico_banca'!$K$2:$K$69,MATCH(U4,'Catalogo_Numerico_banca'!$A$2:$A$69,0)),0)+IFERROR(INDEX('Catalogo_Numerico_banca'!$K$2:$K$69,MATCH(V4,'Catalogo_Numerico_banca'!$A$2:$A$69,0)),0)+IFERROR(INDEX('Catalogo_Numerico_banca'!$K$2:$K$69,MATCH(W4,'Catalogo_Numerico_banca'!$A$2:$A$69,0)),0)</f>
        <v/>
      </c>
      <c r="AI4" s="0">
        <f>IFERROR(INDEX('Catalogo_Numerico_banca'!$H$2:$H$69,MATCH(F4,'Catalogo_Numerico_banca'!$A$2:$A$69,0)),0)+IFERROR(INDEX('Catalogo_Numerico_banca'!$H$2:$H$69,MATCH(G4,'Catalogo_Numerico_banca'!$A$2:$A$69,0)),0)+IFERROR(INDEX('Catalogo_Numerico_banca'!$H$2:$H$69,MATCH(H4,'Catalogo_Numerico_banca'!$A$2:$A$69,0)),0)+IFERROR(INDEX('Catalogo_Numerico_banca'!$H$2:$H$69,MATCH(E4,'Catalogo_Numerico_banca'!$A$2:$A$69,0)),0)</f>
        <v/>
      </c>
      <c r="AJ4" s="0">
        <f>IF(AND(D4="SEG-03",I4&gt;0),IF(AI4&lt;4,-2,IF(AI4&gt;=7,2,0)),0)</f>
        <v/>
      </c>
      <c r="AK4" s="0">
        <f>IF(AND(D4="SEG-03",I4&gt;0),IF(AI4&lt;4,0.65,IF(AI4&gt;=7,1.4,1)),1)</f>
        <v/>
      </c>
      <c r="AL4" s="0">
        <f>AG4+AJ4</f>
        <v/>
      </c>
      <c r="AM4" s="0">
        <f>IF(AL4&lt;3,AM3+1,0)</f>
        <v/>
      </c>
      <c r="AN4" s="0">
        <f>IF(AM4&gt;=2,0.8,1)</f>
        <v/>
      </c>
      <c r="AO4" s="0">
        <f>IF(AH4&lt;3,3,0)</f>
        <v/>
      </c>
      <c r="AP4" s="0" t="n">
        <v>5000</v>
      </c>
      <c r="AQ4" s="0" t="n">
        <v>20</v>
      </c>
      <c r="AR4" s="0">
        <f>AQ4+AT3</f>
        <v/>
      </c>
      <c r="AS4" s="0">
        <f>AS3+AP4</f>
        <v/>
      </c>
      <c r="AT4" s="0">
        <f>IF(AP4&gt;0,AO4,MAX(AT3,AO4))</f>
        <v/>
      </c>
      <c r="AU4" s="0">
        <f>IF(AF4&lt;4,0.7,1)*IF(AND(K4=0,AF4&lt;5),0.95,1)</f>
        <v/>
      </c>
      <c r="AV4" s="0" t="n">
        <v>1</v>
      </c>
      <c r="AW4" s="0" t="n">
        <v>0</v>
      </c>
      <c r="AX4" s="0" t="n">
        <v>0</v>
      </c>
      <c r="AY4" s="0" t="n">
        <v>0</v>
      </c>
      <c r="AZ4" s="0" t="n">
        <v>0</v>
      </c>
      <c r="BA4" s="0" t="n">
        <v>0</v>
      </c>
      <c r="BB4" s="0" t="n">
        <v>0</v>
      </c>
      <c r="BC4" s="0" t="n">
        <v>0</v>
      </c>
      <c r="BD4" s="0" t="n">
        <v>0</v>
      </c>
      <c r="BE4" s="0">
        <f>AV4*5*1+AY4*7*1+BB4*9*1</f>
        <v/>
      </c>
      <c r="BF4" s="0" t="n">
        <v>1</v>
      </c>
      <c r="BG4" s="0" t="n">
        <v>0</v>
      </c>
      <c r="BH4" s="0" t="n">
        <v>0</v>
      </c>
      <c r="BI4" s="0" t="n">
        <v>0</v>
      </c>
      <c r="BJ4" s="0" t="n">
        <v>0</v>
      </c>
      <c r="BK4" s="0" t="n">
        <v>0</v>
      </c>
      <c r="BL4" s="0" t="n">
        <v>0</v>
      </c>
      <c r="BM4" s="0" t="n">
        <v>0</v>
      </c>
      <c r="BN4" s="0" t="n">
        <v>0</v>
      </c>
      <c r="BO4" s="0">
        <f>BF4*6*1+BG4*6*1.2+BH4*6*1.5+BI4*8*1+BJ4*8*1.2+BK4*8*1.5+BL4*12*1+BM4*12*1.2+BN4*12*1.5</f>
        <v/>
      </c>
      <c r="BP4" s="0" t="n">
        <v>1</v>
      </c>
      <c r="BQ4" s="0" t="n">
        <v>0</v>
      </c>
      <c r="BR4" s="0" t="n">
        <v>0</v>
      </c>
      <c r="BS4" s="0" t="n">
        <v>0</v>
      </c>
      <c r="BT4" s="0" t="n">
        <v>0</v>
      </c>
      <c r="BU4" s="0" t="n">
        <v>0</v>
      </c>
      <c r="BV4" s="0" t="n">
        <v>0</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f>
        <v/>
      </c>
      <c r="CE4" s="0">
        <f>ROUND(CD4*CB4,0)</f>
        <v/>
      </c>
      <c r="CF4" s="0" t="n">
        <v>300</v>
      </c>
      <c r="CG4" s="0">
        <f>DC3+CF4</f>
        <v/>
      </c>
      <c r="CH4" s="0" t="n">
        <v>0</v>
      </c>
      <c r="CI4" s="0">
        <f>DE3+CH4</f>
        <v/>
      </c>
      <c r="CJ4" s="0" t="n">
        <v>0</v>
      </c>
      <c r="CK4" s="0">
        <f>DG3+CJ4</f>
        <v/>
      </c>
      <c r="CL4" s="0" t="n">
        <v>1000</v>
      </c>
      <c r="CM4" s="0">
        <f>DJ3+CL4</f>
        <v/>
      </c>
      <c r="CN4" s="0" t="n">
        <v>0</v>
      </c>
      <c r="CO4" s="0">
        <f>DL3+CN4</f>
        <v/>
      </c>
      <c r="CP4" s="0" t="n">
        <v>6000</v>
      </c>
      <c r="CQ4" s="0">
        <f>DO3+CP4</f>
        <v/>
      </c>
      <c r="CR4" s="0" t="n">
        <v>0</v>
      </c>
      <c r="CS4" s="0">
        <f>DQ3+CR4</f>
        <v/>
      </c>
      <c r="CT4" s="0" t="n">
        <v>0</v>
      </c>
      <c r="CU4" s="0">
        <f>DS3+CT4</f>
        <v/>
      </c>
      <c r="CV4" s="0">
        <f>(CG4)/0.3</f>
        <v/>
      </c>
      <c r="CW4" s="0">
        <f>(CM4)/1</f>
        <v/>
      </c>
      <c r="CX4" s="0">
        <f>(CQ4)/6</f>
        <v/>
      </c>
      <c r="CY4" s="0">
        <f>ROUNDDOWN(MIN(I4,CE4,CV4,CW4,CX4),0)</f>
        <v/>
      </c>
      <c r="CZ4" s="0">
        <f>ROUNDDOWN(CY4*AU4,0)</f>
        <v/>
      </c>
      <c r="DA4" s="0">
        <f>CZ4*0.3</f>
        <v/>
      </c>
      <c r="DB4" s="0">
        <f>MIN(CG4,MAX(0,DA4))</f>
        <v/>
      </c>
      <c r="DC4" s="0">
        <f>CG4-DB4</f>
        <v/>
      </c>
      <c r="DD4" s="0">
        <f>0</f>
        <v/>
      </c>
      <c r="DE4" s="0">
        <f>CI4-DD4</f>
        <v/>
      </c>
      <c r="DF4" s="0">
        <f>0</f>
        <v/>
      </c>
      <c r="DG4" s="0">
        <f>CK4-DF4</f>
        <v/>
      </c>
      <c r="DH4" s="0">
        <f>CZ4*1</f>
        <v/>
      </c>
      <c r="DI4" s="0">
        <f>MIN(CM4,MAX(0,DH4))</f>
        <v/>
      </c>
      <c r="DJ4" s="0">
        <f>CM4-DI4</f>
        <v/>
      </c>
      <c r="DK4" s="0">
        <f>0</f>
        <v/>
      </c>
      <c r="DL4" s="0">
        <f>CO4-DK4</f>
        <v/>
      </c>
      <c r="DM4" s="0">
        <f>CZ4*6</f>
        <v/>
      </c>
      <c r="DN4" s="0">
        <f>MIN(CQ4,MAX(0,DM4))</f>
        <v/>
      </c>
      <c r="DO4" s="0">
        <f>CQ4-DN4</f>
        <v/>
      </c>
      <c r="DP4" s="0">
        <f>0</f>
        <v/>
      </c>
      <c r="DQ4" s="0">
        <f>CS4-DP4</f>
        <v/>
      </c>
      <c r="DR4" s="0">
        <f>0</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(DB4*25+DD4*45+DF4*80+DI4*4+DK4*9+DN4*2+DP4*4+DR4*7)*0.9016000000000001</f>
        <v/>
      </c>
      <c r="DV4" s="0">
        <f>1*2500*0.05/12*1+1*3500*0.05/12*1+1*1200*0.05/12*1+1*300*0.05/12*1+IFERROR(INDEX('Catalogo_Numerico_banca'!$G$2:$G$69,MATCH(U4,'Catalogo_Numerico_banca'!$A$2:$A$69,0)),0)</f>
        <v/>
      </c>
      <c r="DW4" s="0">
        <f>1*(2375.0*CZ4/100000)+1*(3325.0*CZ4/100000)+1*(1140.0*CZ4/100000)+1*(285.0*CZ4/100000)</f>
        <v/>
      </c>
      <c r="DX4" s="0">
        <f>IF(CZ4&gt;0,0,0)+IFERROR(CA4/BZ4,0)*10+(IFERROR(DF4/(DB4+DD4+DF4),0)+IFERROR(DK4/(DI4+DK4),0)+IFERROR(DR4/(DP4+DR4),0))/3*10+L4/10000*10</f>
        <v/>
      </c>
      <c r="DY4" s="0">
        <f>DX4+AJ4</f>
        <v/>
      </c>
      <c r="DZ4" s="0">
        <f>EC3+CZ4</f>
        <v/>
      </c>
      <c r="EA4" s="0" t="n">
        <v>3500</v>
      </c>
      <c r="EB4" s="0" t="n">
        <v>0</v>
      </c>
      <c r="EC4" s="0">
        <f>DZ4-EJ4</f>
        <v/>
      </c>
      <c r="ED4" s="0">
        <f>IF(D4="SEG-01",IFERROR(100*(_xlfn.MAXIFS($J$2:$J$4,$C$2:$C$4,C4)-J4)/(_xlfn.MAXIFS($J$2:$J$4,$C$2:$C$4,C4)-_xlfn.MINIFS($J$2:$J$4,$C$2:$C$4,C4)),100),100-ABS(J4-EB4)/EB4*100)</f>
        <v/>
      </c>
      <c r="EE4" s="0">
        <f>ROUND(MIN(100,AI4*10),0)</f>
        <v/>
      </c>
      <c r="EF4" s="0">
        <f>0.7*ED4+0.2*DY4*10+0.1*EE4</f>
        <v/>
      </c>
      <c r="EG4" s="0">
        <f>IFERROR(EF4/SUMIF($C$2:$C$4,C4,$EF$2:$EF$4),0)</f>
        <v/>
      </c>
      <c r="EH4" s="0">
        <f>ROUND(EG4*EA4,0)</f>
        <v/>
      </c>
      <c r="EI4" s="0">
        <f>MAX(0,ROUNDDOWN(EH4*AN4*1,0))</f>
        <v/>
      </c>
      <c r="EJ4" s="0">
        <f>MIN(DZ4,EI4)</f>
        <v/>
      </c>
      <c r="EK4" s="0">
        <f>EJ4*J4*AK4</f>
        <v/>
      </c>
      <c r="EL4" s="0">
        <f>EC4*2</f>
        <v/>
      </c>
      <c r="EM4" s="0">
        <f>IF(I4&gt;CE4,0.25*DT4*IFERROR(MIN(1,(I4-CE4)/CE4),1),0)</f>
        <v/>
      </c>
      <c r="EN4" s="0">
        <f>IFERROR(INDEX('Catalogo_Numerico_banca'!$G$2:$G$69,MATCH("COM-06A",'Catalogo_Numerico_banca'!$A$2:$A$69,0)),0)*EJ4</f>
        <v/>
      </c>
      <c r="EO4" s="0">
        <f>(IFERROR(INDEX('Catalogo_Numerico_banca'!$G$2:$G$69,MATCH("COM-01A",'Catalogo_Numerico_banca'!$A$2:$A$69,0)),0)+IFERROR(INDEX('Catalogo_Numerico_banca'!$G$2:$G$69,MATCH("INS-12A",'Catalogo_Numerico_banca'!$A$2:$A$69,0)),0))*1</f>
        <v/>
      </c>
      <c r="EP4" s="0">
        <f>0</f>
        <v/>
      </c>
      <c r="EQ4" s="0">
        <f>DT4+DU4+DV4+DW4+L4+EL4+EM4+EN4+EO4+EP4</f>
        <v/>
      </c>
      <c r="ER4" s="0">
        <f>EK4-EQ4</f>
        <v/>
      </c>
      <c r="ES4" s="0">
        <f>AND(D4="SEG-03",AI4&lt;4,I4&gt;0)</f>
        <v/>
      </c>
      <c r="ET4" s="0">
        <f>AND(D4="SEG-03",AI4&gt;=7,I4&gt;0)</f>
        <v/>
      </c>
      <c r="EU4" s="0">
        <f>AF4&lt;4</f>
        <v/>
      </c>
      <c r="EV4" s="0">
        <f>AM4&gt;=2</f>
        <v/>
      </c>
      <c r="EW4" s="0">
        <f>AH4&lt;3</f>
        <v/>
      </c>
      <c r="EX4" s="0">
        <f>I4&gt;CE4</f>
        <v/>
      </c>
      <c r="EY4" s="0">
        <f>CZ4&gt;EJ4</f>
        <v/>
      </c>
      <c r="EZ4" s="0">
        <f>AND(K4=0,AF4&lt;5)</f>
        <v/>
      </c>
      <c r="FA4" s="0" t="n">
        <v>1000000</v>
      </c>
      <c r="FB4" s="0">
        <f>0*2500*(1+0.03+0.02)+0*3500*(1+0.03+0.02)+0*1200*(1+0.03+0.02)+0*300*(1+0+0.01)</f>
        <v/>
      </c>
      <c r="FC4" s="0">
        <f>0*2500+0*3500+0*1200+0*300</f>
        <v/>
      </c>
      <c r="FD4" s="0">
        <f>(CF4*25+CH4*45+CJ4*80+CL4*4+CN4*9+CP4*2+CR4*4+CT4*7)*0.9016000000000001</f>
        <v/>
      </c>
      <c r="FE4" s="0">
        <f>(DC4*25+DE4*45+DG4*80+DJ4*4+DL4*9+DO4*2+DQ4*4+DS4*7)*0.9016000000000001</f>
        <v/>
      </c>
      <c r="FF4" s="0">
        <f>FL3</f>
        <v/>
      </c>
      <c r="FG4" s="0">
        <f>(1+AR4/100)^(1/12)-1</f>
        <v/>
      </c>
      <c r="FH4" s="0">
        <f>AS3*FI3+AP4*FG4</f>
        <v/>
      </c>
      <c r="FI4" s="0">
        <f>IFERROR(FH4/(AS3+AP4),0)</f>
        <v/>
      </c>
      <c r="FJ4" s="0">
        <f>FH4*1</f>
        <v/>
      </c>
      <c r="FK4" s="0">
        <f>EQ4-DW4-DU4+FD4+FJ4</f>
        <v/>
      </c>
      <c r="FL4" s="0">
        <f>FF4+EK4+AP4-FK4-FB4</f>
        <v/>
      </c>
      <c r="FM4" s="0">
        <f>FM3+DW4</f>
        <v/>
      </c>
      <c r="FN4" s="0">
        <f>FN3+FC4</f>
        <v/>
      </c>
      <c r="FO4" s="0">
        <f>FN4-FM4</f>
        <v/>
      </c>
      <c r="FP4" s="0">
        <f>EK4</f>
        <v/>
      </c>
      <c r="FQ4" s="0">
        <f>EK4</f>
        <v/>
      </c>
      <c r="FR4" s="0">
        <f>EQ4+FJ4</f>
        <v/>
      </c>
      <c r="FS4" s="0">
        <f>ER4-FJ4</f>
        <v/>
      </c>
      <c r="FT4" s="0">
        <f>DW4</f>
        <v/>
      </c>
      <c r="FU4" s="0">
        <f>FJ4</f>
        <v/>
      </c>
      <c r="FV4" s="0">
        <f>EQ4</f>
        <v/>
      </c>
      <c r="FW4" s="0">
        <f>FF4</f>
        <v/>
      </c>
      <c r="FX4" s="0">
        <f>EK4+AP4</f>
        <v/>
      </c>
      <c r="FY4" s="0">
        <f>FK4+FB4</f>
        <v/>
      </c>
      <c r="FZ4" s="0">
        <f>FL4</f>
        <v/>
      </c>
      <c r="GA4" s="0">
        <f>FF4</f>
        <v/>
      </c>
      <c r="GB4" s="0">
        <f>EK4</f>
        <v/>
      </c>
      <c r="GC4" s="0">
        <f>FK4</f>
        <v/>
      </c>
      <c r="GD4" s="0">
        <f>FB4</f>
        <v/>
      </c>
      <c r="GE4" s="0">
        <f>AP4</f>
        <v/>
      </c>
      <c r="GF4" s="0">
        <f>EK4-FK4</f>
        <v/>
      </c>
      <c r="GG4" s="0">
        <f>-FB4</f>
        <v/>
      </c>
      <c r="GH4" s="0">
        <f>FL4-FF4</f>
        <v/>
      </c>
      <c r="GI4" s="0">
        <f>FL4</f>
        <v/>
      </c>
      <c r="GJ4" s="0">
        <f>FL4</f>
        <v/>
      </c>
      <c r="GK4" s="0">
        <f>FO4</f>
        <v/>
      </c>
      <c r="GL4" s="0">
        <f>FE4</f>
        <v/>
      </c>
      <c r="GM4" s="0">
        <f>FL4+FO4+FE4</f>
        <v/>
      </c>
      <c r="GN4" s="0">
        <f>AS4</f>
        <v/>
      </c>
      <c r="GO4" s="0">
        <f>FL4+FO4+FE4-AS4</f>
        <v/>
      </c>
      <c r="GP4" s="0">
        <f>FL4+FO4+FE4</f>
        <v/>
      </c>
      <c r="GQ4" s="0">
        <f>AP4</f>
        <v/>
      </c>
      <c r="GR4" s="0">
        <f>AR4</f>
        <v/>
      </c>
      <c r="GS4" s="0">
        <f>AS4</f>
        <v/>
      </c>
      <c r="GT4" s="0">
        <f>AT4</f>
        <v/>
      </c>
      <c r="GU4" s="0">
        <f>FI4</f>
        <v/>
      </c>
      <c r="GV4" s="0">
        <f>FJ4</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2026-10-11T16:30:56Z</dcterms:modified>
</cp:coreProperties>
</file>