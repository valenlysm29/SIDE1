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sus\OneDrive\Documentos\side_side_va\SIDE1\docs\"/>
    </mc:Choice>
  </mc:AlternateContent>
  <xr:revisionPtr revIDLastSave="0" documentId="13_ncr:1_{B3FBA045-FDC0-4C16-AD93-6592E8004934}" xr6:coauthVersionLast="47" xr6:coauthVersionMax="47" xr10:uidLastSave="{00000000-0000-0000-0000-000000000000}"/>
  <bookViews>
    <workbookView xWindow="3084" yWindow="816" windowWidth="19068" windowHeight="11424" xr2:uid="{00000000-000D-0000-FFFF-FFFF00000000}"/>
  </bookViews>
  <sheets>
    <sheet name="Instrucciones" sheetId="1" r:id="rId1"/>
    <sheet name="DECISIONES" sheetId="2" r:id="rId2"/>
    <sheet name="Seleccion_Ciclo0" sheetId="3" r:id="rId3"/>
    <sheet name="Catalogo_Decisiones" sheetId="4" r:id="rId4"/>
    <sheet name="FlujoWeb" sheetId="5" r:id="rId5"/>
    <sheet name="CANTIDAD DE PRODUCCIÓN" sheetId="6" r:id="rId6"/>
    <sheet name="Costos De Producción" sheetId="7" r:id="rId7"/>
    <sheet name="Lotes_Produccion" sheetId="8" r:id="rId8"/>
    <sheet name="Motor_Puntajes" sheetId="9" r:id="rId9"/>
    <sheet name="Matriz_Consecuencias" sheetId="10" r:id="rId10"/>
    <sheet name="Supuestos" sheetId="11" r:id="rId11"/>
    <sheet name="Oraculo_v19" sheetId="12" r:id="rId12"/>
    <sheet name="Componentes_v19" sheetId="13" r:id="rId13"/>
    <sheet name="Cierre_oraculo_v19" sheetId="14" r:id="rId14"/>
    <sheet name="Control_de_cambios" sheetId="15" r:id="rId15"/>
  </sheets>
  <definedNames>
    <definedName name="_xlnm._FilterDatabase" localSheetId="13" hidden="1">Cierre_oraculo_v19!$A$1:$AD$13</definedName>
    <definedName name="_xlnm._FilterDatabase" localSheetId="12" hidden="1">Componentes_v19!$A$1:$D$25</definedName>
    <definedName name="_xlnm._FilterDatabase" localSheetId="14" hidden="1">Control_de_cambios!$A$1:$E$538</definedName>
    <definedName name="_xlnm._FilterDatabase" localSheetId="11" hidden="1">Oraculo_v19!$A$1:$X$37</definedName>
    <definedName name="_xlnm._FilterDatabase" localSheetId="10" hidden="1">Supuestos!$A$1:$D$27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14" l="1"/>
  <c r="F13" i="14"/>
  <c r="D13" i="14"/>
  <c r="E13" i="14" s="1"/>
  <c r="N12" i="14"/>
  <c r="I12" i="14"/>
  <c r="F12" i="14"/>
  <c r="D12" i="14"/>
  <c r="E12" i="14" s="1"/>
  <c r="N11" i="14"/>
  <c r="F11" i="14"/>
  <c r="D11" i="14"/>
  <c r="E11" i="14" s="1"/>
  <c r="I10" i="14"/>
  <c r="F10" i="14"/>
  <c r="D10" i="14"/>
  <c r="E10" i="14" s="1"/>
  <c r="N9" i="14"/>
  <c r="I9" i="14"/>
  <c r="F9" i="14"/>
  <c r="D9" i="14"/>
  <c r="E9" i="14" s="1"/>
  <c r="N8" i="14"/>
  <c r="F8" i="14"/>
  <c r="D8" i="14"/>
  <c r="E8" i="14" s="1"/>
  <c r="I7" i="14"/>
  <c r="F7" i="14"/>
  <c r="D7" i="14"/>
  <c r="E7" i="14" s="1"/>
  <c r="N6" i="14"/>
  <c r="I6" i="14"/>
  <c r="F6" i="14"/>
  <c r="D6" i="14"/>
  <c r="E6" i="14" s="1"/>
  <c r="N5" i="14"/>
  <c r="F5" i="14"/>
  <c r="D5" i="14"/>
  <c r="E5" i="14" s="1"/>
  <c r="I4" i="14"/>
  <c r="F4" i="14"/>
  <c r="D4" i="14"/>
  <c r="E4" i="14" s="1"/>
  <c r="N3" i="14"/>
  <c r="I3" i="14"/>
  <c r="F3" i="14"/>
  <c r="D3" i="14"/>
  <c r="E3" i="14" s="1"/>
  <c r="AD2" i="14"/>
  <c r="AC2" i="14"/>
  <c r="AB2" i="14"/>
  <c r="N2" i="14"/>
  <c r="F2" i="14"/>
  <c r="D2" i="14"/>
  <c r="E2" i="14" s="1"/>
  <c r="C25" i="13"/>
  <c r="C24" i="13"/>
  <c r="C23" i="13"/>
  <c r="C11" i="13"/>
  <c r="C10" i="13"/>
  <c r="C9" i="13"/>
  <c r="C8" i="13"/>
  <c r="C7" i="13"/>
  <c r="C6" i="13"/>
  <c r="C5" i="13"/>
  <c r="C4" i="13"/>
  <c r="C3" i="13"/>
  <c r="C2" i="13"/>
  <c r="X37" i="12"/>
  <c r="T37" i="12"/>
  <c r="U37" i="12" s="1"/>
  <c r="O37" i="12"/>
  <c r="P37" i="12" s="1"/>
  <c r="X36" i="12"/>
  <c r="T36" i="12"/>
  <c r="U36" i="12" s="1"/>
  <c r="O36" i="12"/>
  <c r="P36" i="12" s="1"/>
  <c r="X35" i="12"/>
  <c r="T35" i="12"/>
  <c r="U35" i="12" s="1"/>
  <c r="O35" i="12"/>
  <c r="P35" i="12" s="1"/>
  <c r="X34" i="12"/>
  <c r="T34" i="12"/>
  <c r="U34" i="12" s="1"/>
  <c r="O34" i="12"/>
  <c r="P34" i="12" s="1"/>
  <c r="Q34" i="12" s="1"/>
  <c r="R34" i="12" s="1"/>
  <c r="X33" i="12"/>
  <c r="T33" i="12"/>
  <c r="U33" i="12" s="1"/>
  <c r="O33" i="12"/>
  <c r="P33" i="12" s="1"/>
  <c r="X32" i="12"/>
  <c r="T32" i="12"/>
  <c r="U32" i="12" s="1"/>
  <c r="O32" i="12"/>
  <c r="P32" i="12" s="1"/>
  <c r="X31" i="12"/>
  <c r="T31" i="12"/>
  <c r="U31" i="12" s="1"/>
  <c r="O31" i="12"/>
  <c r="P31" i="12" s="1"/>
  <c r="X30" i="12"/>
  <c r="T30" i="12"/>
  <c r="U30" i="12" s="1"/>
  <c r="O30" i="12"/>
  <c r="P30" i="12" s="1"/>
  <c r="Q30" i="12" s="1"/>
  <c r="R30" i="12" s="1"/>
  <c r="X29" i="12"/>
  <c r="T29" i="12"/>
  <c r="U29" i="12" s="1"/>
  <c r="O29" i="12"/>
  <c r="P29" i="12" s="1"/>
  <c r="X28" i="12"/>
  <c r="T28" i="12"/>
  <c r="U28" i="12" s="1"/>
  <c r="O28" i="12"/>
  <c r="P28" i="12" s="1"/>
  <c r="X27" i="12"/>
  <c r="T27" i="12"/>
  <c r="U27" i="12" s="1"/>
  <c r="O27" i="12"/>
  <c r="P27" i="12" s="1"/>
  <c r="X26" i="12"/>
  <c r="T26" i="12"/>
  <c r="U26" i="12" s="1"/>
  <c r="O26" i="12"/>
  <c r="P26" i="12" s="1"/>
  <c r="Q26" i="12" s="1"/>
  <c r="R26" i="12" s="1"/>
  <c r="X25" i="12"/>
  <c r="T25" i="12"/>
  <c r="U25" i="12" s="1"/>
  <c r="O25" i="12"/>
  <c r="X24" i="12"/>
  <c r="T24" i="12"/>
  <c r="U24" i="12" s="1"/>
  <c r="O24" i="12"/>
  <c r="P24" i="12" s="1"/>
  <c r="X23" i="12"/>
  <c r="T23" i="12"/>
  <c r="U23" i="12" s="1"/>
  <c r="O23" i="12"/>
  <c r="P23" i="12" s="1"/>
  <c r="X22" i="12"/>
  <c r="T22" i="12"/>
  <c r="U22" i="12" s="1"/>
  <c r="P22" i="12"/>
  <c r="O22" i="12"/>
  <c r="X21" i="12"/>
  <c r="T21" i="12"/>
  <c r="U21" i="12" s="1"/>
  <c r="O21" i="12"/>
  <c r="P21" i="12" s="1"/>
  <c r="X20" i="12"/>
  <c r="T20" i="12"/>
  <c r="U20" i="12" s="1"/>
  <c r="O20" i="12"/>
  <c r="P20" i="12" s="1"/>
  <c r="X19" i="12"/>
  <c r="T19" i="12"/>
  <c r="U19" i="12" s="1"/>
  <c r="O19" i="12"/>
  <c r="P19" i="12" s="1"/>
  <c r="X18" i="12"/>
  <c r="T18" i="12"/>
  <c r="U18" i="12" s="1"/>
  <c r="O18" i="12"/>
  <c r="P18" i="12" s="1"/>
  <c r="Q18" i="12" s="1"/>
  <c r="R18" i="12" s="1"/>
  <c r="X17" i="12"/>
  <c r="T17" i="12"/>
  <c r="U17" i="12" s="1"/>
  <c r="O17" i="12"/>
  <c r="P17" i="12" s="1"/>
  <c r="X16" i="12"/>
  <c r="T16" i="12"/>
  <c r="U16" i="12" s="1"/>
  <c r="O16" i="12"/>
  <c r="P16" i="12" s="1"/>
  <c r="X15" i="12"/>
  <c r="T15" i="12"/>
  <c r="U15" i="12" s="1"/>
  <c r="O15" i="12"/>
  <c r="P15" i="12" s="1"/>
  <c r="X14" i="12"/>
  <c r="T14" i="12"/>
  <c r="U14" i="12" s="1"/>
  <c r="O14" i="12"/>
  <c r="P14" i="12" s="1"/>
  <c r="X13" i="12"/>
  <c r="T13" i="12"/>
  <c r="U13" i="12" s="1"/>
  <c r="O13" i="12"/>
  <c r="X12" i="12"/>
  <c r="T12" i="12"/>
  <c r="U12" i="12" s="1"/>
  <c r="O12" i="12"/>
  <c r="P12" i="12" s="1"/>
  <c r="X11" i="12"/>
  <c r="T11" i="12"/>
  <c r="U11" i="12" s="1"/>
  <c r="O11" i="12"/>
  <c r="P11" i="12" s="1"/>
  <c r="X10" i="12"/>
  <c r="T10" i="12"/>
  <c r="U10" i="12" s="1"/>
  <c r="O10" i="12"/>
  <c r="P10" i="12" s="1"/>
  <c r="X9" i="12"/>
  <c r="T9" i="12"/>
  <c r="U9" i="12" s="1"/>
  <c r="O9" i="12"/>
  <c r="P9" i="12" s="1"/>
  <c r="X8" i="12"/>
  <c r="T8" i="12"/>
  <c r="U8" i="12" s="1"/>
  <c r="O8" i="12"/>
  <c r="P8" i="12" s="1"/>
  <c r="X7" i="12"/>
  <c r="T7" i="12"/>
  <c r="U7" i="12" s="1"/>
  <c r="O7" i="12"/>
  <c r="P7" i="12" s="1"/>
  <c r="X6" i="12"/>
  <c r="T6" i="12"/>
  <c r="U6" i="12" s="1"/>
  <c r="O6" i="12"/>
  <c r="P6" i="12" s="1"/>
  <c r="Q6" i="12" s="1"/>
  <c r="R6" i="12" s="1"/>
  <c r="X5" i="12"/>
  <c r="T5" i="12"/>
  <c r="U5" i="12" s="1"/>
  <c r="O5" i="12"/>
  <c r="P5" i="12" s="1"/>
  <c r="X4" i="12"/>
  <c r="T4" i="12"/>
  <c r="U4" i="12" s="1"/>
  <c r="O4" i="12"/>
  <c r="P4" i="12" s="1"/>
  <c r="X3" i="12"/>
  <c r="T3" i="12"/>
  <c r="U3" i="12" s="1"/>
  <c r="O3" i="12"/>
  <c r="P3" i="12" s="1"/>
  <c r="X2" i="12"/>
  <c r="T2" i="12"/>
  <c r="U2" i="12" s="1"/>
  <c r="O2" i="12"/>
  <c r="P2" i="12" s="1"/>
  <c r="Q2" i="12" s="1"/>
  <c r="R2" i="12" s="1"/>
  <c r="C5" i="9"/>
  <c r="C4" i="9"/>
  <c r="C3" i="9"/>
  <c r="C5" i="8"/>
  <c r="O4" i="8"/>
  <c r="N4" i="8"/>
  <c r="L4" i="8"/>
  <c r="K4" i="8"/>
  <c r="D5" i="9" s="1"/>
  <c r="J4" i="8"/>
  <c r="I4" i="8"/>
  <c r="H4" i="8"/>
  <c r="O3" i="8"/>
  <c r="N3" i="8"/>
  <c r="L3" i="8"/>
  <c r="K3" i="8"/>
  <c r="D4" i="9" s="1"/>
  <c r="J3" i="8"/>
  <c r="I3" i="8"/>
  <c r="H3" i="8"/>
  <c r="O2" i="8"/>
  <c r="N2" i="8"/>
  <c r="L2" i="8"/>
  <c r="K2" i="8"/>
  <c r="D3" i="9" s="1"/>
  <c r="J2" i="8"/>
  <c r="I2" i="8"/>
  <c r="H2" i="8"/>
  <c r="H5" i="8" s="1"/>
  <c r="B152" i="7"/>
  <c r="D148" i="7"/>
  <c r="P147" i="7"/>
  <c r="O147" i="7"/>
  <c r="N147" i="7"/>
  <c r="S147" i="7" s="1"/>
  <c r="H147" i="7"/>
  <c r="G147" i="7"/>
  <c r="F147" i="7"/>
  <c r="E147" i="7"/>
  <c r="P146" i="7"/>
  <c r="O146" i="7"/>
  <c r="N146" i="7"/>
  <c r="S146" i="7" s="1"/>
  <c r="H146" i="7"/>
  <c r="G146" i="7"/>
  <c r="F146" i="7"/>
  <c r="E146" i="7"/>
  <c r="P145" i="7"/>
  <c r="O145" i="7"/>
  <c r="N145" i="7"/>
  <c r="S145" i="7" s="1"/>
  <c r="H145" i="7"/>
  <c r="G145" i="7"/>
  <c r="F145" i="7"/>
  <c r="E145" i="7"/>
  <c r="P144" i="7"/>
  <c r="O144" i="7"/>
  <c r="N144" i="7"/>
  <c r="S144" i="7" s="1"/>
  <c r="H144" i="7"/>
  <c r="G144" i="7"/>
  <c r="F144" i="7"/>
  <c r="E144" i="7"/>
  <c r="B139" i="7"/>
  <c r="D135" i="7"/>
  <c r="S134" i="7"/>
  <c r="P134" i="7"/>
  <c r="H134" i="7" s="1"/>
  <c r="O134" i="7"/>
  <c r="N134" i="7"/>
  <c r="E134" i="7" s="1"/>
  <c r="G134" i="7"/>
  <c r="F134" i="7"/>
  <c r="S133" i="7"/>
  <c r="P133" i="7"/>
  <c r="O133" i="7"/>
  <c r="H133" i="7"/>
  <c r="G133" i="7"/>
  <c r="F133" i="7"/>
  <c r="S132" i="7"/>
  <c r="P132" i="7"/>
  <c r="O132" i="7"/>
  <c r="H132" i="7"/>
  <c r="G132" i="7"/>
  <c r="F132" i="7"/>
  <c r="S131" i="7"/>
  <c r="P131" i="7"/>
  <c r="O131" i="7"/>
  <c r="H131" i="7"/>
  <c r="I131" i="7" s="1"/>
  <c r="J131" i="7" s="1"/>
  <c r="G131" i="7"/>
  <c r="F131" i="7"/>
  <c r="B126" i="7"/>
  <c r="D122" i="7"/>
  <c r="S121" i="7"/>
  <c r="P121" i="7"/>
  <c r="O121" i="7"/>
  <c r="H121" i="7"/>
  <c r="G121" i="7"/>
  <c r="F121" i="7"/>
  <c r="S120" i="7"/>
  <c r="P120" i="7"/>
  <c r="O120" i="7"/>
  <c r="H120" i="7"/>
  <c r="G120" i="7"/>
  <c r="F120" i="7"/>
  <c r="S119" i="7"/>
  <c r="P119" i="7"/>
  <c r="O119" i="7"/>
  <c r="H119" i="7"/>
  <c r="G119" i="7"/>
  <c r="F119" i="7"/>
  <c r="S118" i="7"/>
  <c r="P118" i="7"/>
  <c r="O118" i="7"/>
  <c r="H118" i="7"/>
  <c r="G118" i="7"/>
  <c r="F118" i="7"/>
  <c r="B109" i="7"/>
  <c r="E104" i="7"/>
  <c r="F104" i="7" s="1"/>
  <c r="E103" i="7"/>
  <c r="F103" i="7" s="1"/>
  <c r="E102" i="7"/>
  <c r="F102" i="7" s="1"/>
  <c r="E101" i="7"/>
  <c r="F101" i="7" s="1"/>
  <c r="AB95" i="7"/>
  <c r="AC95" i="7" s="1"/>
  <c r="B95" i="7"/>
  <c r="AB94" i="7"/>
  <c r="AC94" i="7" s="1"/>
  <c r="V94" i="7"/>
  <c r="W94" i="7" s="1"/>
  <c r="AB93" i="7"/>
  <c r="AC93" i="7" s="1"/>
  <c r="V93" i="7"/>
  <c r="W93" i="7" s="1"/>
  <c r="AB92" i="7"/>
  <c r="AC92" i="7" s="1"/>
  <c r="V92" i="7"/>
  <c r="W92" i="7" s="1"/>
  <c r="AB91" i="7"/>
  <c r="AC91" i="7" s="1"/>
  <c r="V91" i="7"/>
  <c r="W91" i="7" s="1"/>
  <c r="AB90" i="7"/>
  <c r="AC90" i="7" s="1"/>
  <c r="V90" i="7"/>
  <c r="W90" i="7" s="1"/>
  <c r="E90" i="7"/>
  <c r="F90" i="7" s="1"/>
  <c r="AB89" i="7"/>
  <c r="AC89" i="7" s="1"/>
  <c r="V89" i="7"/>
  <c r="W89" i="7" s="1"/>
  <c r="E89" i="7"/>
  <c r="F89" i="7" s="1"/>
  <c r="AB88" i="7"/>
  <c r="V88" i="7"/>
  <c r="W88" i="7" s="1"/>
  <c r="E88" i="7"/>
  <c r="F88" i="7" s="1"/>
  <c r="V87" i="7"/>
  <c r="E87" i="7"/>
  <c r="F87" i="7" s="1"/>
  <c r="AB83" i="7"/>
  <c r="AC83" i="7" s="1"/>
  <c r="W83" i="7"/>
  <c r="AB82" i="7"/>
  <c r="AC82" i="7" s="1"/>
  <c r="W82" i="7"/>
  <c r="AB81" i="7"/>
  <c r="AC81" i="7" s="1"/>
  <c r="W81" i="7"/>
  <c r="B81" i="7"/>
  <c r="AB80" i="7"/>
  <c r="AC80" i="7" s="1"/>
  <c r="W80" i="7"/>
  <c r="AB79" i="7"/>
  <c r="AC79" i="7" s="1"/>
  <c r="W79" i="7"/>
  <c r="AB78" i="7"/>
  <c r="AC78" i="7" s="1"/>
  <c r="W78" i="7"/>
  <c r="AB77" i="7"/>
  <c r="AC77" i="7" s="1"/>
  <c r="W77" i="7"/>
  <c r="AB76" i="7"/>
  <c r="W76" i="7"/>
  <c r="E76" i="7"/>
  <c r="F76" i="7" s="1"/>
  <c r="E75" i="7"/>
  <c r="F75" i="7" s="1"/>
  <c r="E74" i="7"/>
  <c r="F74" i="7" s="1"/>
  <c r="E73" i="7"/>
  <c r="F73" i="7" s="1"/>
  <c r="V70" i="7"/>
  <c r="U70" i="7"/>
  <c r="V69" i="7"/>
  <c r="U69" i="7"/>
  <c r="V68" i="7"/>
  <c r="V71" i="7" s="1"/>
  <c r="U68" i="7"/>
  <c r="U71" i="7" s="1"/>
  <c r="AD65" i="7"/>
  <c r="AC65" i="7"/>
  <c r="Z65" i="7"/>
  <c r="Y65" i="7"/>
  <c r="AD64" i="7"/>
  <c r="AC64" i="7"/>
  <c r="Z64" i="7"/>
  <c r="Y64" i="7"/>
  <c r="AD63" i="7"/>
  <c r="AC63" i="7"/>
  <c r="Z63" i="7"/>
  <c r="Y63" i="7"/>
  <c r="V63" i="7"/>
  <c r="U63" i="7"/>
  <c r="AD62" i="7"/>
  <c r="AD66" i="7" s="1"/>
  <c r="AC62" i="7"/>
  <c r="AC66" i="7" s="1"/>
  <c r="Z62" i="7"/>
  <c r="Z66" i="7" s="1"/>
  <c r="Y62" i="7"/>
  <c r="Y66" i="7" s="1"/>
  <c r="V62" i="7"/>
  <c r="U62" i="7"/>
  <c r="V61" i="7"/>
  <c r="V64" i="7" s="1"/>
  <c r="U61" i="7"/>
  <c r="U64" i="7" s="1"/>
  <c r="AD57" i="7"/>
  <c r="AC57" i="7"/>
  <c r="Z57" i="7"/>
  <c r="Y57" i="7"/>
  <c r="AD56" i="7"/>
  <c r="AC56" i="7"/>
  <c r="Z56" i="7"/>
  <c r="Y56" i="7"/>
  <c r="V56" i="7"/>
  <c r="U56" i="7"/>
  <c r="AD55" i="7"/>
  <c r="AC55" i="7"/>
  <c r="Z55" i="7"/>
  <c r="Y55" i="7"/>
  <c r="V55" i="7"/>
  <c r="U55" i="7"/>
  <c r="AD54" i="7"/>
  <c r="AD58" i="7" s="1"/>
  <c r="AC54" i="7"/>
  <c r="AC58" i="7" s="1"/>
  <c r="Z54" i="7"/>
  <c r="Z58" i="7" s="1"/>
  <c r="Y54" i="7"/>
  <c r="Y58" i="7" s="1"/>
  <c r="V54" i="7"/>
  <c r="V57" i="7" s="1"/>
  <c r="U54" i="7"/>
  <c r="U57" i="7" s="1"/>
  <c r="AD49" i="7"/>
  <c r="AC49" i="7"/>
  <c r="Z49" i="7"/>
  <c r="Y49" i="7"/>
  <c r="V49" i="7"/>
  <c r="U49" i="7"/>
  <c r="E49" i="7"/>
  <c r="D49" i="7"/>
  <c r="AD48" i="7"/>
  <c r="AC48" i="7"/>
  <c r="Z48" i="7"/>
  <c r="Y48" i="7"/>
  <c r="V48" i="7"/>
  <c r="U48" i="7"/>
  <c r="N48" i="7"/>
  <c r="M48" i="7"/>
  <c r="L48" i="7"/>
  <c r="J48" i="7"/>
  <c r="I48" i="7"/>
  <c r="H48" i="7"/>
  <c r="F48" i="7"/>
  <c r="AD47" i="7"/>
  <c r="AC47" i="7"/>
  <c r="Z47" i="7"/>
  <c r="Y47" i="7"/>
  <c r="V47" i="7"/>
  <c r="U47" i="7"/>
  <c r="N47" i="7"/>
  <c r="M47" i="7"/>
  <c r="L47" i="7"/>
  <c r="J47" i="7"/>
  <c r="I47" i="7"/>
  <c r="H47" i="7"/>
  <c r="F47" i="7"/>
  <c r="AD46" i="7"/>
  <c r="AD50" i="7" s="1"/>
  <c r="AC46" i="7"/>
  <c r="AC50" i="7" s="1"/>
  <c r="Z46" i="7"/>
  <c r="Z50" i="7" s="1"/>
  <c r="Y46" i="7"/>
  <c r="Y50" i="7" s="1"/>
  <c r="V46" i="7"/>
  <c r="V50" i="7" s="1"/>
  <c r="U46" i="7"/>
  <c r="U50" i="7" s="1"/>
  <c r="N46" i="7"/>
  <c r="N49" i="7" s="1"/>
  <c r="M46" i="7"/>
  <c r="M49" i="7" s="1"/>
  <c r="L46" i="7"/>
  <c r="L49" i="7" s="1"/>
  <c r="J46" i="7"/>
  <c r="J49" i="7" s="1"/>
  <c r="I46" i="7"/>
  <c r="I49" i="7" s="1"/>
  <c r="H46" i="7"/>
  <c r="H49" i="7" s="1"/>
  <c r="F46" i="7"/>
  <c r="F49" i="7" s="1"/>
  <c r="Z37" i="7"/>
  <c r="Y37" i="7"/>
  <c r="V37" i="7"/>
  <c r="U37" i="7"/>
  <c r="Z35" i="7"/>
  <c r="Y35" i="7"/>
  <c r="V35" i="7"/>
  <c r="U35" i="7"/>
  <c r="Z34" i="7"/>
  <c r="Z38" i="7" s="1"/>
  <c r="Z39" i="7" s="1"/>
  <c r="Y34" i="7"/>
  <c r="Y38" i="7" s="1"/>
  <c r="Y39" i="7" s="1"/>
  <c r="V34" i="7"/>
  <c r="V38" i="7" s="1"/>
  <c r="V39" i="7" s="1"/>
  <c r="U34" i="7"/>
  <c r="U38" i="7" s="1"/>
  <c r="U39" i="7" s="1"/>
  <c r="K33" i="7"/>
  <c r="E61" i="7" s="1"/>
  <c r="J33" i="7"/>
  <c r="E60" i="7" s="1"/>
  <c r="I33" i="7"/>
  <c r="H33" i="7"/>
  <c r="E58" i="7" s="1"/>
  <c r="G33" i="7"/>
  <c r="F33" i="7"/>
  <c r="E56" i="7" s="1"/>
  <c r="E33" i="7"/>
  <c r="E55" i="7" s="1"/>
  <c r="D33" i="7"/>
  <c r="AD27" i="7"/>
  <c r="AC27" i="7"/>
  <c r="Z27" i="7"/>
  <c r="Y27" i="7"/>
  <c r="V27" i="7"/>
  <c r="U27" i="7"/>
  <c r="AD25" i="7"/>
  <c r="AC25" i="7"/>
  <c r="Z25" i="7"/>
  <c r="Y25" i="7"/>
  <c r="V25" i="7"/>
  <c r="U25" i="7"/>
  <c r="AD24" i="7"/>
  <c r="AD28" i="7" s="1"/>
  <c r="AD29" i="7" s="1"/>
  <c r="AC24" i="7"/>
  <c r="AC28" i="7" s="1"/>
  <c r="AC29" i="7" s="1"/>
  <c r="Z24" i="7"/>
  <c r="Z28" i="7" s="1"/>
  <c r="Z29" i="7" s="1"/>
  <c r="Y24" i="7"/>
  <c r="Y28" i="7" s="1"/>
  <c r="Y29" i="7" s="1"/>
  <c r="V24" i="7"/>
  <c r="V28" i="7" s="1"/>
  <c r="V29" i="7" s="1"/>
  <c r="U24" i="7"/>
  <c r="U28" i="7" s="1"/>
  <c r="U29" i="7" s="1"/>
  <c r="E19" i="7"/>
  <c r="I19" i="7" s="1"/>
  <c r="AD18" i="7"/>
  <c r="AC18" i="7"/>
  <c r="Z18" i="7"/>
  <c r="Y18" i="7"/>
  <c r="V18" i="7"/>
  <c r="U18" i="7"/>
  <c r="E18" i="7"/>
  <c r="I18" i="7" s="1"/>
  <c r="V17" i="7"/>
  <c r="U17" i="7"/>
  <c r="E17" i="7"/>
  <c r="I17" i="7" s="1"/>
  <c r="I20" i="7" s="1"/>
  <c r="AD16" i="7"/>
  <c r="AC16" i="7"/>
  <c r="Z16" i="7"/>
  <c r="Y16" i="7"/>
  <c r="V16" i="7"/>
  <c r="U16" i="7"/>
  <c r="AD15" i="7"/>
  <c r="AD19" i="7" s="1"/>
  <c r="AD20" i="7" s="1"/>
  <c r="AC15" i="7"/>
  <c r="AC19" i="7" s="1"/>
  <c r="AC20" i="7" s="1"/>
  <c r="Z15" i="7"/>
  <c r="Y15" i="7"/>
  <c r="Y19" i="7" s="1"/>
  <c r="Y20" i="7" s="1"/>
  <c r="V15" i="7"/>
  <c r="V19" i="7" s="1"/>
  <c r="V20" i="7" s="1"/>
  <c r="U15" i="7"/>
  <c r="U19" i="7" s="1"/>
  <c r="U20" i="7" s="1"/>
  <c r="E13" i="7"/>
  <c r="I13" i="7" s="1"/>
  <c r="E12" i="7"/>
  <c r="I12" i="7" s="1"/>
  <c r="E11" i="7"/>
  <c r="I11" i="7" s="1"/>
  <c r="I14" i="7" s="1"/>
  <c r="L10" i="7"/>
  <c r="AD9" i="7"/>
  <c r="AC9" i="7"/>
  <c r="Z9" i="7"/>
  <c r="Y9" i="7"/>
  <c r="V9" i="7"/>
  <c r="U9" i="7"/>
  <c r="L9" i="7"/>
  <c r="AD7" i="7"/>
  <c r="AC7" i="7"/>
  <c r="Z7" i="7"/>
  <c r="Y7" i="7"/>
  <c r="V7" i="7"/>
  <c r="U7" i="7"/>
  <c r="E7" i="7"/>
  <c r="I7" i="7" s="1"/>
  <c r="AD6" i="7"/>
  <c r="AD10" i="7" s="1"/>
  <c r="AD11" i="7" s="1"/>
  <c r="AC6" i="7"/>
  <c r="AC10" i="7" s="1"/>
  <c r="AC11" i="7" s="1"/>
  <c r="Z6" i="7"/>
  <c r="Z10" i="7" s="1"/>
  <c r="Z11" i="7" s="1"/>
  <c r="Y6" i="7"/>
  <c r="Y10" i="7" s="1"/>
  <c r="Y11" i="7" s="1"/>
  <c r="V6" i="7"/>
  <c r="V10" i="7" s="1"/>
  <c r="V11" i="7" s="1"/>
  <c r="U6" i="7"/>
  <c r="U10" i="7" s="1"/>
  <c r="U11" i="7" s="1"/>
  <c r="E6" i="7"/>
  <c r="I6" i="7" s="1"/>
  <c r="M5" i="7"/>
  <c r="E5" i="7"/>
  <c r="I5" i="7" s="1"/>
  <c r="I8" i="7" s="1"/>
  <c r="K5" i="7" s="1"/>
  <c r="L5" i="7" s="1"/>
  <c r="N5" i="7" s="1"/>
  <c r="B162" i="6"/>
  <c r="D158" i="6"/>
  <c r="P157" i="6"/>
  <c r="O157" i="6"/>
  <c r="N157" i="6"/>
  <c r="S157" i="6" s="1"/>
  <c r="H157" i="6"/>
  <c r="G157" i="6"/>
  <c r="F157" i="6"/>
  <c r="E157" i="6"/>
  <c r="P156" i="6"/>
  <c r="O156" i="6"/>
  <c r="N156" i="6"/>
  <c r="S156" i="6" s="1"/>
  <c r="H156" i="6"/>
  <c r="G156" i="6"/>
  <c r="F156" i="6"/>
  <c r="E156" i="6"/>
  <c r="P155" i="6"/>
  <c r="O155" i="6"/>
  <c r="N155" i="6"/>
  <c r="S155" i="6" s="1"/>
  <c r="H155" i="6"/>
  <c r="G155" i="6"/>
  <c r="F155" i="6"/>
  <c r="E155" i="6"/>
  <c r="P154" i="6"/>
  <c r="O154" i="6"/>
  <c r="N154" i="6"/>
  <c r="S154" i="6" s="1"/>
  <c r="H154" i="6"/>
  <c r="G154" i="6"/>
  <c r="F154" i="6"/>
  <c r="E154" i="6"/>
  <c r="B149" i="6"/>
  <c r="D145" i="6"/>
  <c r="S144" i="6"/>
  <c r="P144" i="6"/>
  <c r="O144" i="6"/>
  <c r="N144" i="6"/>
  <c r="H144" i="6"/>
  <c r="G144" i="6"/>
  <c r="F144" i="6"/>
  <c r="E144" i="6"/>
  <c r="S143" i="6"/>
  <c r="P143" i="6"/>
  <c r="O143" i="6"/>
  <c r="N143" i="6"/>
  <c r="H143" i="6"/>
  <c r="G143" i="6"/>
  <c r="F143" i="6"/>
  <c r="E143" i="6"/>
  <c r="S142" i="6"/>
  <c r="P142" i="6"/>
  <c r="O142" i="6"/>
  <c r="N142" i="6"/>
  <c r="H142" i="6"/>
  <c r="G142" i="6"/>
  <c r="F142" i="6"/>
  <c r="E142" i="6"/>
  <c r="S141" i="6"/>
  <c r="P141" i="6"/>
  <c r="O141" i="6"/>
  <c r="N141" i="6"/>
  <c r="H141" i="6"/>
  <c r="G141" i="6"/>
  <c r="F141" i="6"/>
  <c r="E141" i="6"/>
  <c r="B136" i="6"/>
  <c r="D132" i="6"/>
  <c r="S131" i="6"/>
  <c r="P131" i="6"/>
  <c r="O131" i="6"/>
  <c r="N131" i="6"/>
  <c r="H131" i="6"/>
  <c r="G131" i="6"/>
  <c r="F131" i="6"/>
  <c r="E131" i="6"/>
  <c r="S130" i="6"/>
  <c r="P130" i="6"/>
  <c r="O130" i="6"/>
  <c r="N130" i="6"/>
  <c r="H130" i="6"/>
  <c r="G130" i="6"/>
  <c r="F130" i="6"/>
  <c r="E130" i="6"/>
  <c r="S129" i="6"/>
  <c r="P129" i="6"/>
  <c r="O129" i="6"/>
  <c r="N129" i="6"/>
  <c r="H129" i="6"/>
  <c r="G129" i="6"/>
  <c r="F129" i="6"/>
  <c r="E129" i="6"/>
  <c r="S128" i="6"/>
  <c r="P128" i="6"/>
  <c r="O128" i="6"/>
  <c r="N128" i="6"/>
  <c r="H128" i="6"/>
  <c r="G128" i="6"/>
  <c r="F128" i="6"/>
  <c r="E128" i="6"/>
  <c r="B119" i="6"/>
  <c r="E114" i="6"/>
  <c r="F114" i="6" s="1"/>
  <c r="E113" i="6"/>
  <c r="F113" i="6" s="1"/>
  <c r="E112" i="6"/>
  <c r="F112" i="6" s="1"/>
  <c r="E111" i="6"/>
  <c r="F111" i="6" s="1"/>
  <c r="B105" i="6"/>
  <c r="E100" i="6"/>
  <c r="F100" i="6" s="1"/>
  <c r="E99" i="6"/>
  <c r="F99" i="6" s="1"/>
  <c r="E98" i="6"/>
  <c r="F98" i="6" s="1"/>
  <c r="E97" i="6"/>
  <c r="F97" i="6" s="1"/>
  <c r="B91" i="6"/>
  <c r="E86" i="6"/>
  <c r="F86" i="6" s="1"/>
  <c r="E85" i="6"/>
  <c r="F85" i="6" s="1"/>
  <c r="E84" i="6"/>
  <c r="F84" i="6" s="1"/>
  <c r="E83" i="6"/>
  <c r="F83" i="6" s="1"/>
  <c r="G71" i="6"/>
  <c r="G70" i="6"/>
  <c r="G69" i="6"/>
  <c r="G68" i="6"/>
  <c r="G67" i="6"/>
  <c r="G66" i="6"/>
  <c r="G65" i="6"/>
  <c r="G64" i="6"/>
  <c r="G63" i="6"/>
  <c r="K58" i="6"/>
  <c r="K57" i="6"/>
  <c r="K56" i="6"/>
  <c r="J53" i="6"/>
  <c r="G53" i="6"/>
  <c r="D53" i="6"/>
  <c r="L44" i="6"/>
  <c r="K44" i="6"/>
  <c r="J44" i="6"/>
  <c r="I44" i="6"/>
  <c r="H44" i="6"/>
  <c r="G44" i="6"/>
  <c r="F44" i="6"/>
  <c r="E44" i="6"/>
  <c r="D44" i="6"/>
  <c r="L43" i="6"/>
  <c r="K43" i="6"/>
  <c r="J43" i="6"/>
  <c r="I43" i="6"/>
  <c r="H43" i="6"/>
  <c r="G43" i="6"/>
  <c r="F43" i="6"/>
  <c r="E43" i="6"/>
  <c r="D43" i="6"/>
  <c r="L42" i="6"/>
  <c r="K42" i="6"/>
  <c r="J42" i="6"/>
  <c r="I42" i="6"/>
  <c r="H42" i="6"/>
  <c r="G42" i="6"/>
  <c r="F42" i="6"/>
  <c r="E42" i="6"/>
  <c r="D42" i="6"/>
  <c r="D36" i="6"/>
  <c r="I19" i="6"/>
  <c r="I18" i="6"/>
  <c r="I17" i="6"/>
  <c r="I20" i="6" s="1"/>
  <c r="I13" i="6"/>
  <c r="I12" i="6"/>
  <c r="I11" i="6"/>
  <c r="I14" i="6" s="1"/>
  <c r="L10" i="6"/>
  <c r="L9" i="6"/>
  <c r="I7" i="6"/>
  <c r="I6" i="6"/>
  <c r="M5" i="6"/>
  <c r="I5" i="6"/>
  <c r="I8" i="6" s="1"/>
  <c r="K5" i="6" s="1"/>
  <c r="L5" i="6" s="1"/>
  <c r="N5" i="6" s="1"/>
  <c r="I27" i="3"/>
  <c r="H27" i="3"/>
  <c r="G27" i="3"/>
  <c r="F27" i="3"/>
  <c r="E27" i="3"/>
  <c r="D27" i="3"/>
  <c r="C27" i="3"/>
  <c r="I26" i="3"/>
  <c r="H26" i="3"/>
  <c r="G26" i="3"/>
  <c r="F26" i="3"/>
  <c r="E26" i="3"/>
  <c r="D26" i="3"/>
  <c r="C26" i="3"/>
  <c r="I25" i="3"/>
  <c r="H25" i="3"/>
  <c r="G25" i="3"/>
  <c r="F25" i="3"/>
  <c r="E25" i="3"/>
  <c r="D25" i="3"/>
  <c r="C25" i="3"/>
  <c r="I24" i="3"/>
  <c r="H24" i="3"/>
  <c r="G24" i="3"/>
  <c r="F24" i="3"/>
  <c r="E24" i="3"/>
  <c r="D24" i="3"/>
  <c r="C24" i="3"/>
  <c r="I15" i="3"/>
  <c r="H15" i="3"/>
  <c r="G15" i="3"/>
  <c r="F15" i="3"/>
  <c r="E15" i="3"/>
  <c r="D15" i="3"/>
  <c r="C15" i="3"/>
  <c r="I14" i="3"/>
  <c r="H14" i="3"/>
  <c r="G14" i="3"/>
  <c r="F14" i="3"/>
  <c r="E14" i="3"/>
  <c r="D14" i="3"/>
  <c r="C14" i="3"/>
  <c r="I13" i="3"/>
  <c r="H13" i="3"/>
  <c r="G13" i="3"/>
  <c r="F13" i="3"/>
  <c r="E13" i="3"/>
  <c r="D13" i="3"/>
  <c r="C13" i="3"/>
  <c r="I12" i="3"/>
  <c r="H12" i="3"/>
  <c r="G12" i="3"/>
  <c r="F12" i="3"/>
  <c r="E12" i="3"/>
  <c r="D12" i="3"/>
  <c r="C12" i="3"/>
  <c r="I11" i="3"/>
  <c r="H11" i="3"/>
  <c r="G11" i="3"/>
  <c r="F11" i="3"/>
  <c r="E11" i="3"/>
  <c r="D11" i="3"/>
  <c r="C11" i="3"/>
  <c r="I10" i="3"/>
  <c r="H10" i="3"/>
  <c r="G10" i="3"/>
  <c r="F10" i="3"/>
  <c r="E10" i="3"/>
  <c r="D10" i="3"/>
  <c r="C10" i="3"/>
  <c r="I9" i="3"/>
  <c r="H9" i="3"/>
  <c r="G9" i="3"/>
  <c r="F9" i="3"/>
  <c r="E9" i="3"/>
  <c r="D9" i="3"/>
  <c r="C9" i="3"/>
  <c r="I8" i="3"/>
  <c r="H8" i="3"/>
  <c r="G8" i="3"/>
  <c r="F8" i="3"/>
  <c r="E8" i="3"/>
  <c r="D8" i="3"/>
  <c r="C8" i="3"/>
  <c r="I7" i="3"/>
  <c r="H7" i="3"/>
  <c r="G7" i="3"/>
  <c r="F7" i="3"/>
  <c r="E7" i="3"/>
  <c r="D7" i="3"/>
  <c r="C7" i="3"/>
  <c r="I6" i="3"/>
  <c r="H6" i="3"/>
  <c r="G6" i="3"/>
  <c r="F6" i="3"/>
  <c r="E6" i="3"/>
  <c r="D6" i="3"/>
  <c r="C6" i="3"/>
  <c r="I5" i="3"/>
  <c r="H5" i="3"/>
  <c r="G5" i="3"/>
  <c r="F5" i="3"/>
  <c r="E5" i="3"/>
  <c r="D5" i="3"/>
  <c r="C5" i="3"/>
  <c r="I4" i="3"/>
  <c r="H4" i="3"/>
  <c r="G4" i="3"/>
  <c r="F4" i="3"/>
  <c r="E4" i="3"/>
  <c r="D4" i="3"/>
  <c r="C4" i="3"/>
  <c r="I3" i="3"/>
  <c r="H3" i="3"/>
  <c r="G3" i="3"/>
  <c r="F3" i="3"/>
  <c r="E3" i="3"/>
  <c r="D3" i="3"/>
  <c r="C3" i="3"/>
  <c r="I2" i="3"/>
  <c r="B11" i="9" s="1"/>
  <c r="H2" i="3"/>
  <c r="B10" i="9" s="1"/>
  <c r="G2" i="3"/>
  <c r="B9" i="9" s="1"/>
  <c r="F2" i="3"/>
  <c r="E2" i="3"/>
  <c r="D2" i="3"/>
  <c r="C2" i="3"/>
  <c r="I147" i="7" l="1"/>
  <c r="J147" i="7" s="1"/>
  <c r="I146" i="7"/>
  <c r="J146" i="7" s="1"/>
  <c r="I145" i="7"/>
  <c r="J145" i="7" s="1"/>
  <c r="I133" i="7"/>
  <c r="J133" i="7" s="1"/>
  <c r="I132" i="7"/>
  <c r="J132" i="7" s="1"/>
  <c r="M10" i="7"/>
  <c r="I130" i="6"/>
  <c r="J130" i="6" s="1"/>
  <c r="P25" i="12"/>
  <c r="Q22" i="12" s="1"/>
  <c r="R22" i="12" s="1"/>
  <c r="Q23" i="12"/>
  <c r="R23" i="12" s="1"/>
  <c r="Q15" i="12"/>
  <c r="R15" i="12" s="1"/>
  <c r="I121" i="7"/>
  <c r="J121" i="7" s="1"/>
  <c r="I120" i="7"/>
  <c r="J120" i="7" s="1"/>
  <c r="I119" i="7"/>
  <c r="J119" i="7" s="1"/>
  <c r="Z19" i="7"/>
  <c r="Z20" i="7" s="1"/>
  <c r="I157" i="6"/>
  <c r="J157" i="6" s="1"/>
  <c r="I156" i="6"/>
  <c r="J156" i="6" s="1"/>
  <c r="I155" i="6"/>
  <c r="J155" i="6" s="1"/>
  <c r="I144" i="6"/>
  <c r="J144" i="6" s="1"/>
  <c r="I142" i="6"/>
  <c r="J142" i="6" s="1"/>
  <c r="I131" i="6"/>
  <c r="J131" i="6" s="1"/>
  <c r="M10" i="6"/>
  <c r="P13" i="12"/>
  <c r="I143" i="6"/>
  <c r="J143" i="6" s="1"/>
  <c r="Q143" i="6" s="1"/>
  <c r="R143" i="6" s="1"/>
  <c r="I129" i="6"/>
  <c r="J129" i="6" s="1"/>
  <c r="R13" i="14"/>
  <c r="N13" i="14"/>
  <c r="P13" i="14"/>
  <c r="Q13" i="14"/>
  <c r="P12" i="14"/>
  <c r="R12" i="14"/>
  <c r="Q12" i="14"/>
  <c r="P11" i="14"/>
  <c r="Q11" i="14"/>
  <c r="R11" i="14"/>
  <c r="N10" i="14"/>
  <c r="P10" i="14"/>
  <c r="Q10" i="14"/>
  <c r="R10" i="14"/>
  <c r="J9" i="14"/>
  <c r="P9" i="14"/>
  <c r="Q9" i="14"/>
  <c r="R9" i="14"/>
  <c r="J8" i="14"/>
  <c r="P8" i="14"/>
  <c r="Q8" i="14"/>
  <c r="R8" i="14"/>
  <c r="J7" i="14"/>
  <c r="N7" i="14"/>
  <c r="P7" i="14"/>
  <c r="Q7" i="14"/>
  <c r="R7" i="14"/>
  <c r="P6" i="14"/>
  <c r="Q6" i="14"/>
  <c r="R6" i="14"/>
  <c r="J5" i="14"/>
  <c r="P5" i="14"/>
  <c r="Q5" i="14"/>
  <c r="R5" i="14"/>
  <c r="J4" i="14"/>
  <c r="N4" i="14"/>
  <c r="P4" i="14"/>
  <c r="Q4" i="14"/>
  <c r="R4" i="14"/>
  <c r="P3" i="14"/>
  <c r="Q3" i="14"/>
  <c r="R3" i="14"/>
  <c r="J3" i="14"/>
  <c r="X2" i="14"/>
  <c r="X4" i="14"/>
  <c r="X12" i="14"/>
  <c r="X10" i="14"/>
  <c r="X6" i="14"/>
  <c r="X3" i="14"/>
  <c r="X7" i="14"/>
  <c r="X11" i="14"/>
  <c r="X9" i="14"/>
  <c r="X13" i="14"/>
  <c r="X5" i="14"/>
  <c r="X8" i="14"/>
  <c r="G4" i="14"/>
  <c r="G6" i="14"/>
  <c r="J6" i="14" s="1"/>
  <c r="K6" i="14" s="1"/>
  <c r="L6" i="14" s="1"/>
  <c r="M6" i="14" s="1"/>
  <c r="O6" i="14" s="1"/>
  <c r="G3" i="14"/>
  <c r="G2" i="14"/>
  <c r="G10" i="14"/>
  <c r="J10" i="14" s="1"/>
  <c r="K7" i="14" s="1"/>
  <c r="L7" i="14" s="1"/>
  <c r="M7" i="14" s="1"/>
  <c r="G5" i="14"/>
  <c r="G13" i="14"/>
  <c r="J13" i="14" s="1"/>
  <c r="G8" i="14"/>
  <c r="G11" i="14"/>
  <c r="J11" i="14" s="1"/>
  <c r="G7" i="14"/>
  <c r="G9" i="14"/>
  <c r="G12" i="14"/>
  <c r="J12" i="14" s="1"/>
  <c r="W13" i="14"/>
  <c r="W4" i="14"/>
  <c r="W6" i="14"/>
  <c r="W7" i="14"/>
  <c r="W3" i="14"/>
  <c r="W2" i="14"/>
  <c r="W10" i="14"/>
  <c r="W8" i="14"/>
  <c r="W12" i="14"/>
  <c r="W9" i="14"/>
  <c r="W5" i="14"/>
  <c r="W11" i="14"/>
  <c r="J2" i="14"/>
  <c r="P2" i="14"/>
  <c r="Q2" i="14"/>
  <c r="R2" i="14"/>
  <c r="S34" i="12"/>
  <c r="S30" i="12"/>
  <c r="S26" i="12"/>
  <c r="V26" i="12" s="1"/>
  <c r="W26" i="12"/>
  <c r="S23" i="12"/>
  <c r="S22" i="12"/>
  <c r="V22" i="12" s="1"/>
  <c r="W22" i="12"/>
  <c r="S18" i="12"/>
  <c r="S15" i="12"/>
  <c r="S10" i="12"/>
  <c r="S6" i="12"/>
  <c r="V6" i="12" s="1"/>
  <c r="W6" i="12"/>
  <c r="S2" i="12"/>
  <c r="N133" i="7"/>
  <c r="E133" i="7" s="1"/>
  <c r="B5" i="9"/>
  <c r="C18" i="13" s="1"/>
  <c r="N121" i="7"/>
  <c r="E121" i="7" s="1"/>
  <c r="N120" i="7"/>
  <c r="E120" i="7" s="1"/>
  <c r="B4" i="9"/>
  <c r="C17" i="13" s="1"/>
  <c r="N132" i="7"/>
  <c r="E132" i="7" s="1"/>
  <c r="N119" i="7"/>
  <c r="E119" i="7" s="1"/>
  <c r="B6" i="9"/>
  <c r="N118" i="7"/>
  <c r="E118" i="7" s="1"/>
  <c r="N131" i="7"/>
  <c r="E131" i="7" s="1"/>
  <c r="B3" i="9"/>
  <c r="C16" i="13" s="1"/>
  <c r="I144" i="7"/>
  <c r="J144" i="7" s="1"/>
  <c r="H148" i="7"/>
  <c r="H135" i="7"/>
  <c r="I134" i="7"/>
  <c r="J134" i="7" s="1"/>
  <c r="H122" i="7"/>
  <c r="I118" i="7"/>
  <c r="J118" i="7" s="1"/>
  <c r="F105" i="7"/>
  <c r="G101" i="7" s="1"/>
  <c r="H101" i="7" s="1"/>
  <c r="AB96" i="7"/>
  <c r="AC88" i="7"/>
  <c r="AC96" i="7" s="1"/>
  <c r="V95" i="7"/>
  <c r="V100" i="7" s="1"/>
  <c r="W87" i="7"/>
  <c r="W95" i="7" s="1"/>
  <c r="W100" i="7" s="1"/>
  <c r="F91" i="7"/>
  <c r="G87" i="7" s="1"/>
  <c r="H87" i="7" s="1"/>
  <c r="AB84" i="7"/>
  <c r="AC76" i="7"/>
  <c r="AC84" i="7" s="1"/>
  <c r="F77" i="7"/>
  <c r="G73" i="7" s="1"/>
  <c r="H73" i="7" s="1"/>
  <c r="J38" i="7"/>
  <c r="E59" i="7"/>
  <c r="E57" i="7"/>
  <c r="I38" i="7"/>
  <c r="E54" i="7"/>
  <c r="H38" i="7"/>
  <c r="I154" i="6"/>
  <c r="J154" i="6" s="1"/>
  <c r="H158" i="6"/>
  <c r="H145" i="6"/>
  <c r="I141" i="6"/>
  <c r="J141" i="6" s="1"/>
  <c r="I128" i="6"/>
  <c r="J128" i="6" s="1"/>
  <c r="H132" i="6"/>
  <c r="F115" i="6"/>
  <c r="G111" i="6" s="1"/>
  <c r="H111" i="6" s="1"/>
  <c r="F101" i="6"/>
  <c r="G97" i="6" s="1"/>
  <c r="H97" i="6" s="1"/>
  <c r="F87" i="6"/>
  <c r="G83" i="6"/>
  <c r="H83" i="6" s="1"/>
  <c r="E35" i="6"/>
  <c r="C12" i="13"/>
  <c r="D11" i="9"/>
  <c r="C22" i="13"/>
  <c r="D10" i="9"/>
  <c r="C21" i="13"/>
  <c r="G123" i="6"/>
  <c r="G65" i="7"/>
  <c r="G113" i="7"/>
  <c r="G75" i="6"/>
  <c r="D9" i="9"/>
  <c r="C20" i="13"/>
  <c r="Q14" i="12"/>
  <c r="R14" i="12" s="1"/>
  <c r="Q9" i="12"/>
  <c r="R9" i="12" s="1"/>
  <c r="Q8" i="12"/>
  <c r="R8" i="12" s="1"/>
  <c r="Q7" i="12"/>
  <c r="R7" i="12" s="1"/>
  <c r="Q5" i="12"/>
  <c r="R5" i="12" s="1"/>
  <c r="Q4" i="12"/>
  <c r="R4" i="12" s="1"/>
  <c r="Q3" i="12"/>
  <c r="R3" i="12" s="1"/>
  <c r="Q133" i="7"/>
  <c r="R133" i="7" s="1"/>
  <c r="Q132" i="7"/>
  <c r="R132" i="7" s="1"/>
  <c r="Q131" i="7"/>
  <c r="R131" i="7" s="1"/>
  <c r="Q121" i="7"/>
  <c r="R121" i="7" s="1"/>
  <c r="Q120" i="7"/>
  <c r="R120" i="7" s="1"/>
  <c r="Q119" i="7"/>
  <c r="R119" i="7" s="1"/>
  <c r="Q157" i="6"/>
  <c r="R157" i="6" s="1"/>
  <c r="Q156" i="6"/>
  <c r="R156" i="6" s="1"/>
  <c r="Q155" i="6"/>
  <c r="R155" i="6" s="1"/>
  <c r="Q144" i="6"/>
  <c r="R144" i="6" s="1"/>
  <c r="Q142" i="6"/>
  <c r="R142" i="6" s="1"/>
  <c r="Q131" i="6"/>
  <c r="R131" i="6" s="1"/>
  <c r="Q130" i="6"/>
  <c r="R130" i="6" s="1"/>
  <c r="Q129" i="6"/>
  <c r="R129" i="6" s="1"/>
  <c r="Q37" i="12"/>
  <c r="R37" i="12" s="1"/>
  <c r="Q36" i="12"/>
  <c r="R36" i="12" s="1"/>
  <c r="Q35" i="12"/>
  <c r="R35" i="12" s="1"/>
  <c r="Q33" i="12"/>
  <c r="R33" i="12" s="1"/>
  <c r="Q32" i="12"/>
  <c r="R32" i="12" s="1"/>
  <c r="Q31" i="12"/>
  <c r="R31" i="12" s="1"/>
  <c r="Q29" i="12"/>
  <c r="R29" i="12" s="1"/>
  <c r="Q28" i="12"/>
  <c r="R28" i="12" s="1"/>
  <c r="Q27" i="12"/>
  <c r="R27" i="12" s="1"/>
  <c r="Q25" i="12"/>
  <c r="R25" i="12" s="1"/>
  <c r="Q24" i="12"/>
  <c r="R24" i="12" s="1"/>
  <c r="Q21" i="12"/>
  <c r="R21" i="12" s="1"/>
  <c r="Q20" i="12"/>
  <c r="R20" i="12" s="1"/>
  <c r="Q19" i="12"/>
  <c r="R19" i="12" s="1"/>
  <c r="Q17" i="12"/>
  <c r="R17" i="12" s="1"/>
  <c r="Q16" i="12"/>
  <c r="R16" i="12" s="1"/>
  <c r="Q147" i="7"/>
  <c r="R147" i="7" s="1"/>
  <c r="Q146" i="7"/>
  <c r="R146" i="7" s="1"/>
  <c r="Q145" i="7"/>
  <c r="R145" i="7" s="1"/>
  <c r="K8" i="14" l="1"/>
  <c r="L8" i="14" s="1"/>
  <c r="M8" i="14" s="1"/>
  <c r="O8" i="14" s="1"/>
  <c r="Q10" i="12"/>
  <c r="R10" i="12" s="1"/>
  <c r="Q13" i="12"/>
  <c r="R13" i="12" s="1"/>
  <c r="S13" i="12" s="1"/>
  <c r="Q12" i="12"/>
  <c r="R12" i="12" s="1"/>
  <c r="S12" i="12" s="1"/>
  <c r="Q11" i="12"/>
  <c r="R11" i="12" s="1"/>
  <c r="S11" i="12" s="1"/>
  <c r="V15" i="12"/>
  <c r="W15" i="12"/>
  <c r="D6" i="9"/>
  <c r="C19" i="13"/>
  <c r="Q144" i="7"/>
  <c r="R144" i="7" s="1"/>
  <c r="J148" i="7"/>
  <c r="J135" i="7"/>
  <c r="Q134" i="7"/>
  <c r="R134" i="7" s="1"/>
  <c r="Q118" i="7"/>
  <c r="R118" i="7" s="1"/>
  <c r="J122" i="7"/>
  <c r="G102" i="7"/>
  <c r="H102" i="7" s="1"/>
  <c r="G103" i="7"/>
  <c r="H103" i="7" s="1"/>
  <c r="G104" i="7"/>
  <c r="H104" i="7" s="1"/>
  <c r="G88" i="7"/>
  <c r="H88" i="7" s="1"/>
  <c r="G89" i="7"/>
  <c r="H89" i="7" s="1"/>
  <c r="G90" i="7"/>
  <c r="H90" i="7" s="1"/>
  <c r="G74" i="7"/>
  <c r="H74" i="7" s="1"/>
  <c r="G75" i="7"/>
  <c r="H75" i="7" s="1"/>
  <c r="G76" i="7"/>
  <c r="H76" i="7" s="1"/>
  <c r="F59" i="7"/>
  <c r="G59" i="7"/>
  <c r="F57" i="7"/>
  <c r="F54" i="7"/>
  <c r="G54" i="7"/>
  <c r="Q154" i="6"/>
  <c r="R154" i="6" s="1"/>
  <c r="J158" i="6"/>
  <c r="Q141" i="6"/>
  <c r="R141" i="6" s="1"/>
  <c r="J145" i="6"/>
  <c r="Q128" i="6"/>
  <c r="R128" i="6" s="1"/>
  <c r="J132" i="6"/>
  <c r="G112" i="6"/>
  <c r="H112" i="6" s="1"/>
  <c r="G113" i="6"/>
  <c r="H113" i="6" s="1"/>
  <c r="G114" i="6"/>
  <c r="H114" i="6" s="1"/>
  <c r="G98" i="6"/>
  <c r="H98" i="6" s="1"/>
  <c r="G99" i="6"/>
  <c r="H99" i="6" s="1"/>
  <c r="G100" i="6"/>
  <c r="H100" i="6" s="1"/>
  <c r="G84" i="6"/>
  <c r="H84" i="6" s="1"/>
  <c r="G85" i="6"/>
  <c r="H85" i="6" s="1"/>
  <c r="G86" i="6"/>
  <c r="H86" i="6" s="1"/>
  <c r="E38" i="6"/>
  <c r="D57" i="6" s="1"/>
  <c r="E57" i="6" s="1"/>
  <c r="E37" i="6"/>
  <c r="E39" i="6"/>
  <c r="D58" i="6" s="1"/>
  <c r="E58" i="6" s="1"/>
  <c r="S14" i="12"/>
  <c r="S9" i="12"/>
  <c r="S8" i="12"/>
  <c r="S7" i="12"/>
  <c r="S5" i="12"/>
  <c r="S4" i="12"/>
  <c r="S3" i="12"/>
  <c r="S37" i="12"/>
  <c r="V37" i="12" s="1"/>
  <c r="W37" i="12"/>
  <c r="S36" i="12"/>
  <c r="V36" i="12" s="1"/>
  <c r="W36" i="12"/>
  <c r="S35" i="12"/>
  <c r="S33" i="12"/>
  <c r="S32" i="12"/>
  <c r="S31" i="12"/>
  <c r="S29" i="12"/>
  <c r="S28" i="12"/>
  <c r="S27" i="12"/>
  <c r="S25" i="12"/>
  <c r="S24" i="12"/>
  <c r="S21" i="12"/>
  <c r="S20" i="12"/>
  <c r="S19" i="12"/>
  <c r="S17" i="12"/>
  <c r="S16" i="12"/>
  <c r="K5" i="14"/>
  <c r="L5" i="14" s="1"/>
  <c r="M5" i="14" s="1"/>
  <c r="K4" i="14"/>
  <c r="L4" i="14" s="1"/>
  <c r="M4" i="14" s="1"/>
  <c r="O4" i="14" s="1"/>
  <c r="K3" i="14"/>
  <c r="L3" i="14" s="1"/>
  <c r="M3" i="14" s="1"/>
  <c r="O3" i="14" s="1"/>
  <c r="K2" i="14"/>
  <c r="L2" i="14" s="1"/>
  <c r="M2" i="14" s="1"/>
  <c r="K13" i="14"/>
  <c r="L13" i="14" s="1"/>
  <c r="M13" i="14" s="1"/>
  <c r="O13" i="14" s="1"/>
  <c r="K12" i="14"/>
  <c r="L12" i="14" s="1"/>
  <c r="M12" i="14" s="1"/>
  <c r="O12" i="14" s="1"/>
  <c r="K11" i="14"/>
  <c r="L11" i="14" s="1"/>
  <c r="M11" i="14" s="1"/>
  <c r="K10" i="14"/>
  <c r="L10" i="14" s="1"/>
  <c r="M10" i="14" s="1"/>
  <c r="O10" i="14" s="1"/>
  <c r="K9" i="14"/>
  <c r="L9" i="14" s="1"/>
  <c r="M9" i="14" s="1"/>
  <c r="O7" i="14"/>
  <c r="V34" i="12"/>
  <c r="W34" i="12"/>
  <c r="V30" i="12"/>
  <c r="W30" i="12"/>
  <c r="V23" i="12"/>
  <c r="W23" i="12"/>
  <c r="V18" i="12"/>
  <c r="W18" i="12"/>
  <c r="V10" i="12"/>
  <c r="W10" i="12"/>
  <c r="V2" i="12"/>
  <c r="W2" i="12"/>
  <c r="F58" i="7" l="1"/>
  <c r="G57" i="7"/>
  <c r="V17" i="12"/>
  <c r="W17" i="12"/>
  <c r="F60" i="7"/>
  <c r="G58" i="7"/>
  <c r="H58" i="7"/>
  <c r="F55" i="7"/>
  <c r="G57" i="6"/>
  <c r="H57" i="6"/>
  <c r="I57" i="6"/>
  <c r="C14" i="13"/>
  <c r="D56" i="6"/>
  <c r="E56" i="6" s="1"/>
  <c r="E36" i="6"/>
  <c r="H58" i="6"/>
  <c r="G58" i="6"/>
  <c r="I58" i="6"/>
  <c r="C15" i="13"/>
  <c r="V6" i="14"/>
  <c r="V7" i="14"/>
  <c r="V5" i="14"/>
  <c r="O5" i="14"/>
  <c r="V4" i="14"/>
  <c r="V3" i="14"/>
  <c r="V2" i="14"/>
  <c r="O2" i="14"/>
  <c r="V13" i="14"/>
  <c r="V12" i="14"/>
  <c r="V11" i="14"/>
  <c r="O11" i="14"/>
  <c r="V9" i="14"/>
  <c r="V10" i="14"/>
  <c r="V8" i="14"/>
  <c r="O9" i="14"/>
  <c r="H77" i="7"/>
  <c r="H87" i="6"/>
  <c r="V14" i="12"/>
  <c r="W14" i="12"/>
  <c r="V13" i="12"/>
  <c r="W13" i="12"/>
  <c r="V12" i="12"/>
  <c r="W12" i="12"/>
  <c r="V11" i="12"/>
  <c r="W11" i="12"/>
  <c r="V9" i="12"/>
  <c r="W9" i="12"/>
  <c r="V8" i="12"/>
  <c r="W8" i="12"/>
  <c r="V7" i="12"/>
  <c r="W7" i="12"/>
  <c r="V5" i="12"/>
  <c r="W5" i="12"/>
  <c r="V4" i="12"/>
  <c r="W4" i="12"/>
  <c r="V3" i="12"/>
  <c r="W3" i="12"/>
  <c r="V35" i="12"/>
  <c r="W35" i="12"/>
  <c r="V33" i="12"/>
  <c r="W33" i="12"/>
  <c r="V32" i="12"/>
  <c r="W32" i="12"/>
  <c r="V31" i="12"/>
  <c r="W31" i="12"/>
  <c r="V29" i="12"/>
  <c r="W29" i="12"/>
  <c r="V28" i="12"/>
  <c r="W28" i="12"/>
  <c r="V27" i="12"/>
  <c r="W27" i="12"/>
  <c r="V25" i="12"/>
  <c r="W25" i="12"/>
  <c r="V24" i="12"/>
  <c r="W24" i="12"/>
  <c r="V21" i="12"/>
  <c r="W21" i="12"/>
  <c r="V20" i="12"/>
  <c r="W20" i="12"/>
  <c r="V19" i="12"/>
  <c r="W19" i="12"/>
  <c r="V16" i="12"/>
  <c r="W16" i="12"/>
  <c r="G56" i="6" l="1"/>
  <c r="H56" i="6"/>
  <c r="I56" i="6"/>
  <c r="C13" i="13"/>
  <c r="S6" i="14"/>
  <c r="S7" i="14"/>
  <c r="S5" i="14"/>
  <c r="S4" i="14"/>
  <c r="S3" i="14"/>
  <c r="S2" i="14"/>
  <c r="S13" i="14"/>
  <c r="S12" i="14"/>
  <c r="S11" i="14"/>
  <c r="S9" i="14"/>
  <c r="S8" i="14"/>
  <c r="S10" i="14"/>
  <c r="G60" i="7"/>
  <c r="F61" i="7"/>
  <c r="G55" i="7"/>
  <c r="F56" i="7"/>
  <c r="T6" i="14" l="1"/>
  <c r="U6" i="14"/>
  <c r="T7" i="14"/>
  <c r="U7" i="14"/>
  <c r="T5" i="14"/>
  <c r="U5" i="14" s="1"/>
  <c r="T4" i="14"/>
  <c r="U4" i="14" s="1"/>
  <c r="T3" i="14"/>
  <c r="U3" i="14" s="1"/>
  <c r="T2" i="14"/>
  <c r="U2" i="14" s="1"/>
  <c r="T13" i="14"/>
  <c r="U13" i="14" s="1"/>
  <c r="T12" i="14"/>
  <c r="U12" i="14" s="1"/>
  <c r="T11" i="14"/>
  <c r="U11" i="14" s="1"/>
  <c r="T9" i="14"/>
  <c r="U9" i="14" s="1"/>
  <c r="T8" i="14"/>
  <c r="U8" i="14" s="1"/>
  <c r="T10" i="14"/>
  <c r="U10" i="14" s="1"/>
  <c r="G61" i="7"/>
  <c r="H61" i="7"/>
  <c r="G56" i="7"/>
  <c r="H56" i="7"/>
</calcChain>
</file>

<file path=xl/sharedStrings.xml><?xml version="1.0" encoding="utf-8"?>
<sst xmlns="http://schemas.openxmlformats.org/spreadsheetml/2006/main" count="4271" uniqueCount="1927">
  <si>
    <t>Simulador de empresa de bolsos de cuero — Catalogo maestro de decisiones</t>
  </si>
  <si>
    <t>Como esta organizado este archivo:</t>
  </si>
  <si>
    <t>1) Catalogo_Decisiones: TODAS las opciones posibles del juego. Cada opcion es una fila y cada dato (costo, aporte a cada puntaje) tiene su propia celda — nada esta combinado en una sola celda.</t>
  </si>
  <si>
    <t>2) Seleccion_Ciclo0: aqui el jugador elige, por cada grupo de decision (maquinas, personal, canal, etc.), el codigo de la opcion que quiere (lista desplegable en la columna B). Las demas columnas se completan solas con formulas.</t>
  </si>
  <si>
    <t>2b) Lotes_Produccion: aqui se decide la calidad POR LOTE, no como promedio de toda la empresa. Cada lote (hasta 3 por ciclo) tiene su propia cantidad de unidades, su propio cuero/accesorios/hilo/molde y su propio segmento de venta. El sistema calcula el Puntaje de Calidad de CADA lote y lo compara contra el segmento elegido (si vendes 'Premium' con insumos bajos, el lote sale 'No alcanza el segmento').</t>
  </si>
  <si>
    <t>3) Motor_Puntajes: el Puntaje de Calidad de la empresa es el promedio de los lotes PONDERADO por las unidades de cada uno (un lote de 500 unidades pesa mas que uno de 50). Los otros 3 puntajes (Eficiencia, Reputacion, Salud Financiera) suman los aportes de Seleccion_Ciclo0.</t>
  </si>
  <si>
    <t>4) Matriz_Consecuencias: reglas de negocio — que pasa (efecto numerico) y que mensaje ve el jugador segun el valor de cada puntaje.</t>
  </si>
  <si>
    <t>Celdas amarillas = donde se elige/edita (inputs). Celdas verdes = puntajes/aportes calculados. Celdas grises = fijas u obligatorias.</t>
  </si>
  <si>
    <t>Para agregar una opcion nueva: agrega una fila en Catalogo_Decisiones con su Codigo unico y sus aportes, y aparecera disponible para elegir en Seleccion_Ciclo0 (agregando el codigo a la lista desplegable del grupo correspondiente).</t>
  </si>
  <si>
    <t xml:space="preserve">DECISIONES </t>
  </si>
  <si>
    <t>Puntaje</t>
  </si>
  <si>
    <t>Depreciación</t>
  </si>
  <si>
    <t>Garantía del producto</t>
  </si>
  <si>
    <t>Mantenimiento de maquinaria</t>
  </si>
  <si>
    <t>Política de inventarios</t>
  </si>
  <si>
    <t>Grupo de decision</t>
  </si>
  <si>
    <t>Codigo elegido (elige de la lista)</t>
  </si>
  <si>
    <t>Opcion / Nivel (auto)</t>
  </si>
  <si>
    <t>Descripcion (auto)</t>
  </si>
  <si>
    <t>Costo referencial (auto)</t>
  </si>
  <si>
    <t>Aporte Calidad (auto)</t>
  </si>
  <si>
    <t>Aporte Eficiencia (auto)</t>
  </si>
  <si>
    <t>Aporte Reputacion (auto)</t>
  </si>
  <si>
    <t>Aporte Financiero (auto)</t>
  </si>
  <si>
    <t>Maquina de ensamblado</t>
  </si>
  <si>
    <t>Maquina de acabados</t>
  </si>
  <si>
    <t>Molde</t>
  </si>
  <si>
    <t>Personal de corte</t>
  </si>
  <si>
    <t>Personal de ensamble</t>
  </si>
  <si>
    <t>Personal de acabados</t>
  </si>
  <si>
    <t>Jefatura</t>
  </si>
  <si>
    <t>Canal de venta</t>
  </si>
  <si>
    <t>Acceso a prestamo bancario</t>
  </si>
  <si>
    <t>Numero de proveedores</t>
  </si>
  <si>
    <t>Politica de pago a proveedores</t>
  </si>
  <si>
    <t>Lead time</t>
  </si>
  <si>
    <t>Inversion en RR.HH.</t>
  </si>
  <si>
    <t>Inversion en marketing</t>
  </si>
  <si>
    <t>--- Otras decisiones numericas ---</t>
  </si>
  <si>
    <t>PRO-01 - Cantidad inicial a producir (unidades)</t>
  </si>
  <si>
    <t>COM-02 - N° de tiendas en zona alta (Miraflores)</t>
  </si>
  <si>
    <t>COM-03 - N° de tiendas en zona media (Los Olivos / San Miguel)</t>
  </si>
  <si>
    <t>COM-04 - N° de tiendas en zona baja (SJL / SMP)</t>
  </si>
  <si>
    <t>COM-05N - % de ventas a credito (0-100)</t>
  </si>
  <si>
    <t>FIN-01M - Monto de prestamo solicitado (S/)</t>
  </si>
  <si>
    <t>Método de depreciación</t>
  </si>
  <si>
    <t>Garantía</t>
  </si>
  <si>
    <t>Mantenimiento</t>
  </si>
  <si>
    <t>Codigo</t>
  </si>
  <si>
    <t>Bloque</t>
  </si>
  <si>
    <t>Opcion / Nivel</t>
  </si>
  <si>
    <t>Permanencia</t>
  </si>
  <si>
    <t>Descripcion</t>
  </si>
  <si>
    <t>Costo referencial (S/)</t>
  </si>
  <si>
    <t>Aporte Calidad</t>
  </si>
  <si>
    <t>Aporte Eficiencia</t>
  </si>
  <si>
    <t>Aporte Reputacion</t>
  </si>
  <si>
    <t>Aporte Financiero</t>
  </si>
  <si>
    <t>Notas</t>
  </si>
  <si>
    <t>GEN-01</t>
  </si>
  <si>
    <t>A. Empresa</t>
  </si>
  <si>
    <t>Razon social</t>
  </si>
  <si>
    <t>Texto libre</t>
  </si>
  <si>
    <t>Fija</t>
  </si>
  <si>
    <t>Nombre legal de la empresa (texto)</t>
  </si>
  <si>
    <t>Sin efecto en puntajes</t>
  </si>
  <si>
    <t>GEN-02</t>
  </si>
  <si>
    <t>Nombre comercial / marca</t>
  </si>
  <si>
    <t>Marca comercial (texto)</t>
  </si>
  <si>
    <t>GEN-04</t>
  </si>
  <si>
    <t>Tipos de bolsos</t>
  </si>
  <si>
    <t>Linea de productos que fabrica (tote, cartera, mochila, etc.)</t>
  </si>
  <si>
    <t>SEG-01</t>
  </si>
  <si>
    <t>Segmento / linea</t>
  </si>
  <si>
    <t>Economico</t>
  </si>
  <si>
    <t>Precio bajo, prioriza volumen y costo</t>
  </si>
  <si>
    <t>Exige coherencia con Calidad real</t>
  </si>
  <si>
    <t>SEG-02</t>
  </si>
  <si>
    <t>Estandar</t>
  </si>
  <si>
    <t>Equilibra costo, calidad, demanda y margen</t>
  </si>
  <si>
    <t>SEG-03</t>
  </si>
  <si>
    <t>Premium</t>
  </si>
  <si>
    <t>Precio alto; requiere Calidad&gt;=7 para sostenerse</t>
  </si>
  <si>
    <t>Riesgo si Calidad interna es baja (ver Matriz)</t>
  </si>
  <si>
    <t>INF-01</t>
  </si>
  <si>
    <t>B. Infraestructura</t>
  </si>
  <si>
    <t>Mesa de corte</t>
  </si>
  <si>
    <t>Unica (obligatoria)</t>
  </si>
  <si>
    <t>Inversion fija para todos; habilita la etapa de corte</t>
  </si>
  <si>
    <t>Obligatoria, no otorga niveles</t>
  </si>
  <si>
    <t>INF-02</t>
  </si>
  <si>
    <t>Nivel 1: manual/basica</t>
  </si>
  <si>
    <t>Costura Singer 4423 Heavy Duty; desbastadora a mano con cuchilla o lija</t>
  </si>
  <si>
    <t>INF-03</t>
  </si>
  <si>
    <t>Nivel 2: semi-industrial</t>
  </si>
  <si>
    <t>Maquina de coser de columna/brazo (poste) Typical TB-801</t>
  </si>
  <si>
    <t>INF-04</t>
  </si>
  <si>
    <t>Nivel 3: industrial</t>
  </si>
  <si>
    <t>Juki de triple accionamiento; desbastadora automatica de alta precision, servomotor</t>
  </si>
  <si>
    <t>INF-05</t>
  </si>
  <si>
    <t>Acabado a mano con cera/tinte de bordes, bruñido manual. Lento, variable en calidad</t>
  </si>
  <si>
    <t>INF-06</t>
  </si>
  <si>
    <t>Maquina de pulido de bordes (edge burnisher) electrica, tinte con pincel/aerografo</t>
  </si>
  <si>
    <t>INF-07</t>
  </si>
  <si>
    <t>Linea de acabado con teñido automatico + pulido, control de temperatura y velocidad</t>
  </si>
  <si>
    <t>INF-08</t>
  </si>
  <si>
    <t>Nivel 1 - Generico basico</t>
  </si>
  <si>
    <t>Patrones simples, tipo plantilla estandar de internet o catalogo generico</t>
  </si>
  <si>
    <t>Bajo aprovechamiento de cuero</t>
  </si>
  <si>
    <t>INF-09</t>
  </si>
  <si>
    <t>Nivel 2 - Generico mejorado</t>
  </si>
  <si>
    <t>Patron tecnico mas elaborado, con lineas de corte, marcado y perforaciones bien definidas</t>
  </si>
  <si>
    <t>Aprovechamiento medio-alto</t>
  </si>
  <si>
    <t>INF-10</t>
  </si>
  <si>
    <t>Nivel 3 - Premium</t>
  </si>
  <si>
    <t>La empresa desarrolla su propio patron desde cero, adaptado a su propuesta de marca</t>
  </si>
  <si>
    <t>Maximo aprovechamiento y diferenciacion</t>
  </si>
  <si>
    <t>RH-01</t>
  </si>
  <si>
    <t>C. RRHH</t>
  </si>
  <si>
    <t>Nivel 1 - Operario basico</t>
  </si>
  <si>
    <t>Revisable con costo</t>
  </si>
  <si>
    <t>Corta con plantilla simple, sin experiencia previa. Mas lento, mas margen de error</t>
  </si>
  <si>
    <t>RH-02</t>
  </si>
  <si>
    <t>Nivel 2 - Cortador con experiencia</t>
  </si>
  <si>
    <t>Optimiza el aprovechamiento del cuero, reduce desperdicio, mas rapido</t>
  </si>
  <si>
    <t>RH-03</t>
  </si>
  <si>
    <t>Nivel 3 - Maestro cortador</t>
  </si>
  <si>
    <t>Trabaja cueros irregulares/premium, maximo aprovechamiento, minimo desperdicio</t>
  </si>
  <si>
    <t>RH-04</t>
  </si>
  <si>
    <t>Nivel 1 - Costurero basico</t>
  </si>
  <si>
    <t>Maquina domestica, puntadas rectas simples, funciona con diseños sencillos</t>
  </si>
  <si>
    <t>RH-05</t>
  </si>
  <si>
    <t>Nivel 2 - Maquinista industrial</t>
  </si>
  <si>
    <t>Maquina semi-industrial/industrial, costuras reforzadas, mayor velocidad</t>
  </si>
  <si>
    <t>RH-06</t>
  </si>
  <si>
    <t>Nivel 3 - Marroquinero especializado</t>
  </si>
  <si>
    <t>Costura a mano de alta gama, ejecuta moldes exclusivos complejos, ideal linea premium</t>
  </si>
  <si>
    <t>RH-07</t>
  </si>
  <si>
    <t>Nivel 1 - Operario de acabado basico</t>
  </si>
  <si>
    <t>Aplica tinte y cera de forma simple, resultado variable</t>
  </si>
  <si>
    <t>RH-08</t>
  </si>
  <si>
    <t>Nivel 2 - Tecnico en acabados</t>
  </si>
  <si>
    <t>Maneja maquina de pulido de bordes, tinte con aerografo, resultado consistente</t>
  </si>
  <si>
    <t>RH-09</t>
  </si>
  <si>
    <t>Nivel 3 - Artesano acabador</t>
  </si>
  <si>
    <t>Bruñido fino, dorado, decoracion compleja (pedreria, herrajes especiales)</t>
  </si>
  <si>
    <t>RH-10A</t>
  </si>
  <si>
    <t>Contratar jefatura</t>
  </si>
  <si>
    <t>Coordina el equipo, reduce riesgo de descoordinacion</t>
  </si>
  <si>
    <t>RH-10B</t>
  </si>
  <si>
    <t>No contratar jefatura</t>
  </si>
  <si>
    <t>Ahorra costo fijo, pero aumenta el riesgo de descoordinacion</t>
  </si>
  <si>
    <t>Ahorro de caja pero baja Eficiencia</t>
  </si>
  <si>
    <t>RH-11</t>
  </si>
  <si>
    <t>Limpieza y servicios generales</t>
  </si>
  <si>
    <t>Monto fijo obligatorio para mantener la operacion</t>
  </si>
  <si>
    <t>RH-12</t>
  </si>
  <si>
    <t>Local de produccion</t>
  </si>
  <si>
    <t>Estandar (unico)</t>
  </si>
  <si>
    <t>Local de produccion estandar; alquiler fijo igual para todos los equipos</t>
  </si>
  <si>
    <t>COM-01A</t>
  </si>
  <si>
    <t>D. Canales</t>
  </si>
  <si>
    <t>Solo tienda fisica</t>
  </si>
  <si>
    <t>Revisable cada ciclo</t>
  </si>
  <si>
    <t>Menor cobertura y demanda; menor complejidad y costo</t>
  </si>
  <si>
    <t>COM-01B</t>
  </si>
  <si>
    <t>Solo web</t>
  </si>
  <si>
    <t>Cobertura amplia con menor costo fijo; depende de marketing digital</t>
  </si>
  <si>
    <t>COM-01C</t>
  </si>
  <si>
    <t>Web y fisico</t>
  </si>
  <si>
    <t>Mayor cobertura y demanda; incrementa complejidad y costo</t>
  </si>
  <si>
    <t>FIN-01A</t>
  </si>
  <si>
    <t>Solicitar prestamo</t>
  </si>
  <si>
    <t>Fija: habilita</t>
  </si>
  <si>
    <t>Habilita apalancamiento; permite invertir mas rapido</t>
  </si>
  <si>
    <t>Aumenta apalancamiento</t>
  </si>
  <si>
    <t>FIN-01B</t>
  </si>
  <si>
    <t>No solicitar prestamo</t>
  </si>
  <si>
    <t>Evita intereses; la expansion depende del capital propio</t>
  </si>
  <si>
    <t>INS-01</t>
  </si>
  <si>
    <t>E. Insumos</t>
  </si>
  <si>
    <t>Calidad del cuero</t>
  </si>
  <si>
    <t>Nivel 1 - Cuero sintetico</t>
  </si>
  <si>
    <t>Bajo costo, menor durabilidad, acabado menos premium</t>
  </si>
  <si>
    <t>por unidad, referencial</t>
  </si>
  <si>
    <t>INS-02</t>
  </si>
  <si>
    <t>Nivel 2 - Cuero genuino estandar</t>
  </si>
  <si>
    <t>Costo medio, durabilidad media</t>
  </si>
  <si>
    <t>INS-03</t>
  </si>
  <si>
    <t>Nivel 3 - Cuero genuino premium</t>
  </si>
  <si>
    <t>Full grain / curtido vegetal: alto costo, alta durabilidad, mejor acabado</t>
  </si>
  <si>
    <t>INS-04</t>
  </si>
  <si>
    <t>Calidad de accesorios</t>
  </si>
  <si>
    <t>Nivel 1 - Aleacion economica</t>
  </si>
  <si>
    <t>Bajo costo, se oxida/desgasta mas rapido</t>
  </si>
  <si>
    <t>INS-05</t>
  </si>
  <si>
    <t>Nivel 2 - Metal premium</t>
  </si>
  <si>
    <t>Laton macizo o acero inoxidable, alto costo, mayor durabilidad y brillo</t>
  </si>
  <si>
    <t>INS-06</t>
  </si>
  <si>
    <t>Calidad del hilo</t>
  </si>
  <si>
    <t>Nivel 1 - Poliester estandar</t>
  </si>
  <si>
    <t>Economico, resistencia media</t>
  </si>
  <si>
    <t>INS-07</t>
  </si>
  <si>
    <t>Nivel 2 - Encerado reforzado</t>
  </si>
  <si>
    <t>Costo medio, mayor resistencia a tension</t>
  </si>
  <si>
    <t>INS-08</t>
  </si>
  <si>
    <t>Nivel 3 - Alta tenacidad (nylon trenzado)</t>
  </si>
  <si>
    <t>Costoso, maxima durabilidad, ideal para costura visible/detalle</t>
  </si>
  <si>
    <t>INS-09A</t>
  </si>
  <si>
    <t>Proveedor unico</t>
  </si>
  <si>
    <t>Obtiene 2% adicional de descuento, pero concentra el riesgo de abastecimiento</t>
  </si>
  <si>
    <t>Riesgo de desabastecimiento</t>
  </si>
  <si>
    <t>INS-09B</t>
  </si>
  <si>
    <t>Varios proveedores</t>
  </si>
  <si>
    <t>Menor descuento, pero reduce el riesgo de desabastecimiento</t>
  </si>
  <si>
    <t>INS-10A</t>
  </si>
  <si>
    <t>Contado</t>
  </si>
  <si>
    <t>Obtiene 3% de descuento; reduce la caja inmediatamente</t>
  </si>
  <si>
    <t>INS-10B</t>
  </si>
  <si>
    <t>Credito</t>
  </si>
  <si>
    <t>Sin descuento; conserva liquidez en el ciclo</t>
  </si>
  <si>
    <t>INS-11A</t>
  </si>
  <si>
    <t>Rapido (urgente, con sobrecosto)</t>
  </si>
  <si>
    <t>Entrega en menos dias, pero con sobrecosto</t>
  </si>
  <si>
    <t>INS-11B</t>
  </si>
  <si>
    <t>Normal - 7 dias</t>
  </si>
  <si>
    <t>Equilibrio entre costo y disponibilidad</t>
  </si>
  <si>
    <t>INS-11C</t>
  </si>
  <si>
    <t>Lento (economico)</t>
  </si>
  <si>
    <t>Menor costo, mayor riesgo de quiebre de stock</t>
  </si>
  <si>
    <t>COM-05</t>
  </si>
  <si>
    <t>% de ventas a credito</t>
  </si>
  <si>
    <t>20% a credito (referencia)</t>
  </si>
  <si>
    <t>Balancea liquidez y ventas; riesgo de cobranza bajo</t>
  </si>
  <si>
    <t>Valor ingresado por el jugador en hoja Seleccion</t>
  </si>
  <si>
    <t>INV-01A</t>
  </si>
  <si>
    <t>F. Inversiones</t>
  </si>
  <si>
    <t>Baja</t>
  </si>
  <si>
    <t>Poca capacitacion tecnica</t>
  </si>
  <si>
    <t>INV-01B</t>
  </si>
  <si>
    <t>Media</t>
  </si>
  <si>
    <t>Capacitacion tecnica: +8% de capacidad y mejor reputacion</t>
  </si>
  <si>
    <t>INV-01C</t>
  </si>
  <si>
    <t>Alta</t>
  </si>
  <si>
    <t>Capacitacion avanzada: mayor capacidad y reputacion, alto costo</t>
  </si>
  <si>
    <t>INV-02A</t>
  </si>
  <si>
    <t>Poca visibilidad de marca</t>
  </si>
  <si>
    <t>INV-02B</t>
  </si>
  <si>
    <t>S/ 6,000 por ciclo; aumenta demanda estimada 12% y reputacion</t>
  </si>
  <si>
    <t>INV-02C</t>
  </si>
  <si>
    <t>Alto costo; mayor aumento de demanda y reputacion</t>
  </si>
  <si>
    <t>FIN-02A</t>
  </si>
  <si>
    <t>G. Finanzas</t>
  </si>
  <si>
    <t>Línea recta</t>
  </si>
  <si>
    <t>Fija en Ciclo 0</t>
  </si>
  <si>
    <t>Distribuye el valor depreciable de la maquinaria en cuotas iguales durante su vida útil</t>
  </si>
  <si>
    <t>Gasto contable constante; no representa una salida de efectivo</t>
  </si>
  <si>
    <t>FIN-02B</t>
  </si>
  <si>
    <t>Unidades producidas</t>
  </si>
  <si>
    <t>Calcula la depreciación según el uso real de la maquinaria y las unidades fabricadas</t>
  </si>
  <si>
    <t>Mejora la asignación del costo por unidad; no representa una salida de efectivo</t>
  </si>
  <si>
    <t>FIN-02C</t>
  </si>
  <si>
    <t>Acelerada</t>
  </si>
  <si>
    <t>Reconoce una mayor depreciación durante los primeros ciclos y una menor depreciación después</t>
  </si>
  <si>
    <t>Reduce la utilidad contable inicial; no representa una salida de efectivo</t>
  </si>
  <si>
    <t>COM-06A</t>
  </si>
  <si>
    <t>Sin garantía</t>
  </si>
  <si>
    <t>No cubre fallas posteriores a la venta; reduce el costo inmediato, pero genera desconfianza</t>
  </si>
  <si>
    <t>Mayor riesgo de reclamos y pérdida de clientes</t>
  </si>
  <si>
    <t>COM-06B</t>
  </si>
  <si>
    <t>Garantía de 30 días</t>
  </si>
  <si>
    <t>Cubre defectos de fabricación durante 30 días y brinda seguridad básica al cliente</t>
  </si>
  <si>
    <t>Costo referencial por unidad vendida para atender cambios o reparaciones</t>
  </si>
  <si>
    <t>COM-06C</t>
  </si>
  <si>
    <t>Garantía de 90 días</t>
  </si>
  <si>
    <t>Cubre defectos durante 90 días; aumenta la confianza, pero exige una mayor provisión</t>
  </si>
  <si>
    <t>Costo referencial por unidad vendida; mayor exposición a devoluciones</t>
  </si>
  <si>
    <t>INF-11A</t>
  </si>
  <si>
    <t>Solo correctivo</t>
  </si>
  <si>
    <t>La empresa repara las máquinas únicamente cuando presentan una falla</t>
  </si>
  <si>
    <t>Ahorra al inicio, pero aumenta el riesgo de paradas y retrasos</t>
  </si>
  <si>
    <t>INF-11B</t>
  </si>
  <si>
    <t>Preventivo básico</t>
  </si>
  <si>
    <t>Incluye revisión, limpieza, lubricación y ajustes básicos para prevenir fallas</t>
  </si>
  <si>
    <t>Costo referencial por ciclo; reduce parcialmente las averías</t>
  </si>
  <si>
    <t>INF-11C</t>
  </si>
  <si>
    <t>Preventivo integral</t>
  </si>
  <si>
    <t>Incluye mantenimiento programado, cambio de piezas críticas y calibración de equipos</t>
  </si>
  <si>
    <t>Costo referencial por ciclo; minimiza paradas y defectos de fabricación</t>
  </si>
  <si>
    <t>INS-12A</t>
  </si>
  <si>
    <t>Justo a tiempo</t>
  </si>
  <si>
    <t>Mantiene inventario mínimo y compra cerca de la fecha de producción</t>
  </si>
  <si>
    <t>Menor dinero inmovilizado, pero mayor riesgo de quedarse sin insumos</t>
  </si>
  <si>
    <t>INS-12B</t>
  </si>
  <si>
    <t>Stock de seguridad medio</t>
  </si>
  <si>
    <t>Mantiene una reserva moderada para cubrir retrasos del proveedor o cambios de demanda</t>
  </si>
  <si>
    <t>Costo referencial de almacenamiento por ciclo; alternativa equilibrada</t>
  </si>
  <si>
    <t>INS-12C</t>
  </si>
  <si>
    <t>Stock de seguridad alto</t>
  </si>
  <si>
    <t>Mantiene una reserva amplia de materiales para evitar interrupciones de producción</t>
  </si>
  <si>
    <t>Reduce quiebres de stock, pero inmoviliza más efectivo y aumenta el almacenaje</t>
  </si>
  <si>
    <t>Flujo</t>
  </si>
  <si>
    <t>Steps</t>
  </si>
  <si>
    <t>Docente</t>
  </si>
  <si>
    <t>Jugadores</t>
  </si>
  <si>
    <t>Valeria y Gonzalo</t>
  </si>
  <si>
    <t>Launcher</t>
  </si>
  <si>
    <t>Erick y Miguel</t>
  </si>
  <si>
    <t>Login</t>
  </si>
  <si>
    <t>Se valida el codigo de sala y el nombre empresa(usuario)</t>
  </si>
  <si>
    <t>Configuracion del juego (incluye Creacion de Sala)</t>
  </si>
  <si>
    <t>Tutorial</t>
  </si>
  <si>
    <t>Indicaciones en un carrusel.</t>
  </si>
  <si>
    <t>Ciclo 1</t>
  </si>
  <si>
    <t>Decisiones</t>
  </si>
  <si>
    <t>Espera (Fin de ciclo)</t>
  </si>
  <si>
    <t>El docente define si se hace automatico o manual</t>
  </si>
  <si>
    <t>Información en vivo de las decisiones de los jugadores (Manual: Cierra el ciclo)</t>
  </si>
  <si>
    <t>Estados financieros Generales</t>
  </si>
  <si>
    <t>Estados financieros Individuales e Informacion del mercado</t>
  </si>
  <si>
    <t>Descargables en pdf</t>
  </si>
  <si>
    <t>Ciclo 2</t>
  </si>
  <si>
    <t xml:space="preserve">  </t>
  </si>
  <si>
    <t>Ciclo 3</t>
  </si>
  <si>
    <t>Ciclo N</t>
  </si>
  <si>
    <t>Resumen General - Indicar podio</t>
  </si>
  <si>
    <t>Estados financieros Individuales y Consolidado Final</t>
  </si>
  <si>
    <t>Mostrar Podio</t>
  </si>
  <si>
    <t>Agregar disclaimer indicando que los datos se guardaran un maximo de 24 horas</t>
  </si>
  <si>
    <t>Si el jugador no tomo decision dentro del tiempo establecido y es la primera decisión se le elimina del juego</t>
  </si>
  <si>
    <t>El Docente tiene la opcion de eliminar jugadores en cualquier momento. Sin importar si es manual o automatico</t>
  </si>
  <si>
    <t>Si el jugador no tomo decisiones dentro del tiempo establecido y no es la primera decisión el sistema replica las decisiones del ciclo anterior.</t>
  </si>
  <si>
    <t>Calculo de MO</t>
  </si>
  <si>
    <t xml:space="preserve">AREA DE CORTE </t>
  </si>
  <si>
    <t xml:space="preserve">Bolsas por día </t>
  </si>
  <si>
    <t xml:space="preserve">Producción por día </t>
  </si>
  <si>
    <t>AL MES</t>
  </si>
  <si>
    <t>Eficiencia</t>
  </si>
  <si>
    <t>Produccion Real</t>
  </si>
  <si>
    <t xml:space="preserve">Nivel 1 - Operario basico </t>
  </si>
  <si>
    <t>Esta produccion no puede ser superior a lo que permite el material</t>
  </si>
  <si>
    <t xml:space="preserve">Nivel 2 - Cortador con experiencia </t>
  </si>
  <si>
    <t>Eficiencia BASE</t>
  </si>
  <si>
    <t xml:space="preserve">Nivel 3 - Maestro cortador </t>
  </si>
  <si>
    <t>AREA DE ENSAMBLADO</t>
  </si>
  <si>
    <t>Operarios</t>
  </si>
  <si>
    <t>MAQUINARIA MANUAL</t>
  </si>
  <si>
    <t xml:space="preserve">MAQUINARIA SEMIINDUSTRIAL </t>
  </si>
  <si>
    <t xml:space="preserve">MAQUINARIA INDUSTRIAL </t>
  </si>
  <si>
    <t>Total de trabajadores</t>
  </si>
  <si>
    <t>total de trabajadores N3</t>
  </si>
  <si>
    <t>Nivel 1</t>
  </si>
  <si>
    <t>Nivel 2</t>
  </si>
  <si>
    <t>Nivel 3</t>
  </si>
  <si>
    <t xml:space="preserve">AREA DE ACABADO </t>
  </si>
  <si>
    <t>Jefe de Produccion</t>
  </si>
  <si>
    <t xml:space="preserve">NOTA: EL PROCETANJE DE TRABAJADORES DE NIVEL 3 AFECTA POSITIVAMENTE A LA EFICIENCIA </t>
  </si>
  <si>
    <t>Calculo de MP</t>
  </si>
  <si>
    <t>Nivel 3 - Metal Deluxe</t>
  </si>
  <si>
    <t>UM Compra</t>
  </si>
  <si>
    <t>rollo</t>
  </si>
  <si>
    <t>Piel completa</t>
  </si>
  <si>
    <t>Juego</t>
  </si>
  <si>
    <t>Carrete</t>
  </si>
  <si>
    <t>UM Produccion</t>
  </si>
  <si>
    <t>m2</t>
  </si>
  <si>
    <t>unidad</t>
  </si>
  <si>
    <t>metro</t>
  </si>
  <si>
    <t>Cantidad que desea producir</t>
  </si>
  <si>
    <t>Ejecucion de produccion</t>
  </si>
  <si>
    <t>TOTAL PRODUCIDO REAL</t>
  </si>
  <si>
    <t>Cuero empleado</t>
  </si>
  <si>
    <t>Accesorios empleados</t>
  </si>
  <si>
    <t>Hilo empleado</t>
  </si>
  <si>
    <t>Calidad por Materiales</t>
  </si>
  <si>
    <t>Inventario Inicial</t>
  </si>
  <si>
    <t>Compras</t>
  </si>
  <si>
    <t>Produccion</t>
  </si>
  <si>
    <t>Inventario Final</t>
  </si>
  <si>
    <t>InventarioFinal = InventarioInicial + compras - produccido</t>
  </si>
  <si>
    <t>0 - 10,000(rango en soles)</t>
  </si>
  <si>
    <t>Gastos del ciclo en publicidad</t>
  </si>
  <si>
    <t>Reputación canónica del catálogo (0–10)</t>
  </si>
  <si>
    <t>ptos de reputación</t>
  </si>
  <si>
    <t>Factor de producción</t>
  </si>
  <si>
    <t>Factor de MO</t>
  </si>
  <si>
    <t>Factor de MP (utilizacion)</t>
  </si>
  <si>
    <t>Factor de Publicidad</t>
  </si>
  <si>
    <t>EJEMPLO de distribución de Ventas (Bolsos Economicos)</t>
  </si>
  <si>
    <t>Reputacion</t>
  </si>
  <si>
    <t>Precio</t>
  </si>
  <si>
    <t>Puntaje del precio</t>
  </si>
  <si>
    <t>Puntaje total</t>
  </si>
  <si>
    <t>Porcentaje parcial</t>
  </si>
  <si>
    <t>Unidades Vendidas</t>
  </si>
  <si>
    <t>Empresa A</t>
  </si>
  <si>
    <t>Empresa B</t>
  </si>
  <si>
    <t>Empresa C</t>
  </si>
  <si>
    <t>Empresa D</t>
  </si>
  <si>
    <t>Total</t>
  </si>
  <si>
    <t>unidades mercado</t>
  </si>
  <si>
    <t>unidades mercado real</t>
  </si>
  <si>
    <t>EJEMPLO de distribución de Ventas (Bolsos promedio)</t>
  </si>
  <si>
    <t>EJEMPLO de distribución de Ventas (Bolsos Premium)</t>
  </si>
  <si>
    <t>Peso precio</t>
  </si>
  <si>
    <t>peso reputación</t>
  </si>
  <si>
    <t>Peso calidad</t>
  </si>
  <si>
    <t>Reputación (0-10)</t>
  </si>
  <si>
    <t>Calidad (0-100)</t>
  </si>
  <si>
    <t>Precio Económico (0-100)</t>
  </si>
  <si>
    <t>Reputación (0-100)</t>
  </si>
  <si>
    <t>Calidad lote0–10</t>
  </si>
  <si>
    <t>Stock disponible</t>
  </si>
  <si>
    <t>Producción segmento</t>
  </si>
  <si>
    <t>Venta MIN stock</t>
  </si>
  <si>
    <t>Ingresos S/</t>
  </si>
  <si>
    <t>Precio efectivo S/</t>
  </si>
  <si>
    <t>SUMA</t>
  </si>
  <si>
    <t>TOTAL</t>
  </si>
  <si>
    <t xml:space="preserve">Unidades mercado </t>
  </si>
  <si>
    <t xml:space="preserve">Unidades mercado real </t>
  </si>
  <si>
    <t>EJEMPLO de distribución de Ventas (Bolsos Medio)</t>
  </si>
  <si>
    <t>Precio ideal</t>
  </si>
  <si>
    <t>EJEMPLO de distribución de Ventas (Bolsos Caros)</t>
  </si>
  <si>
    <t>V2 CANÓNICA. Bloques v1 históricos obsoletos. Demanda no atendida se pierde; solo productores compiten.</t>
  </si>
  <si>
    <t>Costos: MO</t>
  </si>
  <si>
    <t>O.Basico</t>
  </si>
  <si>
    <t>MYPE</t>
  </si>
  <si>
    <t>NoMype</t>
  </si>
  <si>
    <t>Costurero básico</t>
  </si>
  <si>
    <t>Operario de acabado clásico</t>
  </si>
  <si>
    <t>Sueldo base</t>
  </si>
  <si>
    <t>Essalud</t>
  </si>
  <si>
    <t>Grati</t>
  </si>
  <si>
    <t>CTS</t>
  </si>
  <si>
    <t>vacaciones</t>
  </si>
  <si>
    <t>Suma anual</t>
  </si>
  <si>
    <t>Pago mensual</t>
  </si>
  <si>
    <t>Cortador con experiencia</t>
  </si>
  <si>
    <t>Maquinista industrial</t>
  </si>
  <si>
    <t>Técnico de acabado</t>
  </si>
  <si>
    <t>Maestro cortador</t>
  </si>
  <si>
    <t>Marroquinero especializado</t>
  </si>
  <si>
    <t>Artesano acabador</t>
  </si>
  <si>
    <t>Cantidad necesaria</t>
  </si>
  <si>
    <t>Compra Jugador</t>
  </si>
  <si>
    <t>Cantidad Produccion</t>
  </si>
  <si>
    <t>Limpieza</t>
  </si>
  <si>
    <t>Local de producción</t>
  </si>
  <si>
    <t>Costo fijo</t>
  </si>
  <si>
    <t>Almacen</t>
  </si>
  <si>
    <t>Moldes (siempre debe comprar al menos uno)</t>
  </si>
  <si>
    <t>Cuero</t>
  </si>
  <si>
    <t>Accesorios</t>
  </si>
  <si>
    <t>Hilos</t>
  </si>
  <si>
    <t>Costos: Maquinaria</t>
  </si>
  <si>
    <t>Maquina de Ensamblado N1</t>
  </si>
  <si>
    <t>Maquina de acabado N1</t>
  </si>
  <si>
    <t>Cuantos Bolso deseas producir ?</t>
  </si>
  <si>
    <t>Producido luego del termino del ciclo</t>
  </si>
  <si>
    <t>Total Cuero Necesario</t>
  </si>
  <si>
    <t>Total Accesorios Necesario</t>
  </si>
  <si>
    <t>Total Hilo Necesario</t>
  </si>
  <si>
    <t>Total Cuero Utilizado</t>
  </si>
  <si>
    <t>Total Accesorios Utilizado</t>
  </si>
  <si>
    <t>Total Hilo Utilizado</t>
  </si>
  <si>
    <t>Costo de adquisición</t>
  </si>
  <si>
    <t xml:space="preserve">Instalación </t>
  </si>
  <si>
    <t>Capacitación</t>
  </si>
  <si>
    <t>Mantenimiento anual</t>
  </si>
  <si>
    <t>Depreciación anual</t>
  </si>
  <si>
    <t>ALMACEN</t>
  </si>
  <si>
    <t>Molde 1</t>
  </si>
  <si>
    <t>Maquina de Ensamblado N2</t>
  </si>
  <si>
    <t>Maquina de acabado N2</t>
  </si>
  <si>
    <t>Molde 2</t>
  </si>
  <si>
    <t>Maquina de Ensamblado N3</t>
  </si>
  <si>
    <t>Maquina de acabado N3</t>
  </si>
  <si>
    <t>Moldes 3</t>
  </si>
  <si>
    <t>Costos: MP</t>
  </si>
  <si>
    <t>Tabla de materia base.</t>
  </si>
  <si>
    <t>Lo que sea comprado por un equipo:</t>
  </si>
  <si>
    <t>Grupo de decisión</t>
  </si>
  <si>
    <t>Opción/Nivel</t>
  </si>
  <si>
    <t>Precio de lista</t>
  </si>
  <si>
    <t>Descontado por cantidad</t>
  </si>
  <si>
    <t>Unidad</t>
  </si>
  <si>
    <t>1- Cuero sintético</t>
  </si>
  <si>
    <t>m²</t>
  </si>
  <si>
    <t>60m²</t>
  </si>
  <si>
    <t>2- Cuero genuino estándar</t>
  </si>
  <si>
    <t>55m²</t>
  </si>
  <si>
    <t>3-Cuero genuino premium</t>
  </si>
  <si>
    <t>15m²</t>
  </si>
  <si>
    <t>1- Aleación económica</t>
  </si>
  <si>
    <t>200 unidad</t>
  </si>
  <si>
    <t>2- Metal premium</t>
  </si>
  <si>
    <t>190 unidad</t>
  </si>
  <si>
    <t>1- Poliéster estándar</t>
  </si>
  <si>
    <t>m</t>
  </si>
  <si>
    <t>0 m</t>
  </si>
  <si>
    <t>2- Encerado reforzado</t>
  </si>
  <si>
    <t>6 m</t>
  </si>
  <si>
    <t>3- Alta tenacidad</t>
  </si>
  <si>
    <t>7 m</t>
  </si>
  <si>
    <t>Inventario Inicial:</t>
  </si>
  <si>
    <t>Unidad*cant. producida</t>
  </si>
  <si>
    <t>Producción:</t>
  </si>
  <si>
    <t>110m²</t>
  </si>
  <si>
    <t>30m²</t>
  </si>
  <si>
    <t>107m²</t>
  </si>
  <si>
    <t>0m²</t>
  </si>
  <si>
    <t>185 unidad</t>
  </si>
  <si>
    <t>1500 m</t>
  </si>
  <si>
    <t>1400 m</t>
  </si>
  <si>
    <t>Inventario final: Inventario inicial - Producción</t>
  </si>
  <si>
    <t>Lote</t>
  </si>
  <si>
    <t>Segmento de venta (elige)</t>
  </si>
  <si>
    <t>Cantidad de unidades (input)</t>
  </si>
  <si>
    <t>Codigo Cuero (elige)</t>
  </si>
  <si>
    <t>Codigo Accesorios (elige)</t>
  </si>
  <si>
    <t>Codigo Hilo (elige)</t>
  </si>
  <si>
    <t>Codigo Molde (elige)</t>
  </si>
  <si>
    <t>Costo unitario insumos (auto)</t>
  </si>
  <si>
    <t>Puntaje Calidad del lote (auto)</t>
  </si>
  <si>
    <t>Umbral requerido por segmento (auto)</t>
  </si>
  <si>
    <t>Resultado (auto)</t>
  </si>
  <si>
    <t>Mensaje para el jugador (auto)</t>
  </si>
  <si>
    <t>Precio elegido (S/ por unidad)</t>
  </si>
  <si>
    <t>Validación de precio</t>
  </si>
  <si>
    <t>Precio efectivo tras consecuencias</t>
  </si>
  <si>
    <t>Lote 1</t>
  </si>
  <si>
    <t>Lote 2</t>
  </si>
  <si>
    <t>Lote 3</t>
  </si>
  <si>
    <t>TOTAL CICLO</t>
  </si>
  <si>
    <t>Nota: cada lote se evalua por separado. El costo unitario de insumos (col H) NO incluye el molde (es inversion fija de Ciclo 0), solo cuero+accesorios+hilo por unidad.</t>
  </si>
  <si>
    <t>Puntaje interno</t>
  </si>
  <si>
    <t>Valor (suma de aportes)</t>
  </si>
  <si>
    <t>Escala</t>
  </si>
  <si>
    <t>Nivel resultante</t>
  </si>
  <si>
    <t>CALIDAD POR LOTE (detalle)</t>
  </si>
  <si>
    <t>Puntaje Calidad - Lote 1</t>
  </si>
  <si>
    <t>Puntaje Calidad - Lote 2</t>
  </si>
  <si>
    <t>Puntaje Calidad - Lote 3</t>
  </si>
  <si>
    <t>Puntaje Calidad EMPRESA (promedio ponderado por unidades)</t>
  </si>
  <si>
    <t>0 - 10 (referencial)</t>
  </si>
  <si>
    <t>OTROS PUNTAJES DE EMPRESA</t>
  </si>
  <si>
    <t>Puntaje de Eficiencia</t>
  </si>
  <si>
    <t>Puntaje de Reputacion</t>
  </si>
  <si>
    <t>Puntaje de Salud Financiera</t>
  </si>
  <si>
    <t>Nota: cada 'Aporte' se define en la hoja Catalogo_Decisiones (columnas H-K) y se suma automaticamente segun lo elegido en Seleccion_Ciclo0.</t>
  </si>
  <si>
    <t>ID</t>
  </si>
  <si>
    <t>Puntaje evaluado</t>
  </si>
  <si>
    <t>Condicion</t>
  </si>
  <si>
    <t>Efecto numerico en el juego</t>
  </si>
  <si>
    <t>Mensaje textual para el jugador</t>
  </si>
  <si>
    <t>CONS-01</t>
  </si>
  <si>
    <t>Calidad</t>
  </si>
  <si>
    <t>&lt; 7 y Segmento = Premium</t>
  </si>
  <si>
    <t>Precio de venta -35%, Reputacion -2</t>
  </si>
  <si>
    <t>Posicionaste tu marca como premium, pero tus materiales e insumos no lo respaldan. Los clientes se sienten enganados y las devoluciones aumentan.</t>
  </si>
  <si>
    <t>CONS-02</t>
  </si>
  <si>
    <t>&gt;= 7 y Segmento = Premium</t>
  </si>
  <si>
    <t>Precio de venta +40%, Reputacion +2</t>
  </si>
  <si>
    <t>Tu producto cumple con los estandares premium. Los clientes perciben el valor y pagan sin problema el precio elevado.</t>
  </si>
  <si>
    <t>CONS-03</t>
  </si>
  <si>
    <t>&lt; 4</t>
  </si>
  <si>
    <t>Produccion real = 70% de lo planeado (retrasos)</t>
  </si>
  <si>
    <t>Tu equipo no dio abasto con el volumen que planeaste. Hubo retrasos y entregaste menos de lo prometido.</t>
  </si>
  <si>
    <t>CONS-04</t>
  </si>
  <si>
    <t>&lt; 3 durante 2 ciclos seguidos</t>
  </si>
  <si>
    <t>Demanda -20%</t>
  </si>
  <si>
    <t>Tu marca empieza a perder terreno. Los clientes prefieren a la competencia.</t>
  </si>
  <si>
    <t>CONS-05</t>
  </si>
  <si>
    <t>Salud Financiera</t>
  </si>
  <si>
    <t>&lt; 3</t>
  </si>
  <si>
    <t>El banco sube la tasa de interes del proximo prestamo</t>
  </si>
  <si>
    <t>Tu situacion financiera es riesgosa. El banco te ofrece condiciones menos favorables la proxima vez.</t>
  </si>
  <si>
    <t>CONS-06</t>
  </si>
  <si>
    <t>Produccion vs Capacidad</t>
  </si>
  <si>
    <t>Cantidad producida &gt; capacidad instalada</t>
  </si>
  <si>
    <t>Retraso de entrega, costo extra por horas extra</t>
  </si>
  <si>
    <t>Intentaste producir mas de lo que tu planta soporta. Hubo cuellos de botella y tuviste que pagar horas extra para cumplir.</t>
  </si>
  <si>
    <t>CONS-07</t>
  </si>
  <si>
    <t>Produccion vs Demanda</t>
  </si>
  <si>
    <t>Cantidad producida &gt; demanda real del mercado</t>
  </si>
  <si>
    <t>Inventario sin vender, costo de almacenaje</t>
  </si>
  <si>
    <t>Produjiste mas de lo que el mercado te pidio. Te quedaste con inventario sin vender.</t>
  </si>
  <si>
    <t>CONS-08</t>
  </si>
  <si>
    <t>Jefatura = No y Eficiencia &lt; 5</t>
  </si>
  <si>
    <t>Riesgo de descoordinacion: -5% produccion adicional</t>
  </si>
  <si>
    <t>Sin jefatura que coordine, tu equipo perdio tiempo resolviendo conflictos de tareas.</t>
  </si>
  <si>
    <t>Parámetro</t>
  </si>
  <si>
    <t>Valor / regla</t>
  </si>
  <si>
    <t>Estado / fundamento</t>
  </si>
  <si>
    <t>FUENTE</t>
  </si>
  <si>
    <t>Base autorizada</t>
  </si>
  <si>
    <t>v16; v18 no disponible</t>
  </si>
  <si>
    <t>Autorizado por usuario; hash en control</t>
  </si>
  <si>
    <t>E3</t>
  </si>
  <si>
    <t>Precio por segmento</t>
  </si>
  <si>
    <t>40–45 /120–200 /220–400; ideales100/250</t>
  </si>
  <si>
    <t>Rangos explícitos usuario; defaults42.5/160/250 supuesto</t>
  </si>
  <si>
    <t>E4</t>
  </si>
  <si>
    <t>Mercado</t>
  </si>
  <si>
    <t>v2; pesos .7/.2/.1,.4/.35/.25,.1/.5/.4;3500/3500/800</t>
  </si>
  <si>
    <t>Canónico por usuario</t>
  </si>
  <si>
    <t>E5</t>
  </si>
  <si>
    <t>Empate económico</t>
  </si>
  <si>
    <t>PrecioScore100 todos; scores acotados0–100</t>
  </si>
  <si>
    <t>Regla solicitada</t>
  </si>
  <si>
    <t>E5e</t>
  </si>
  <si>
    <t>Demanda no atendida</t>
  </si>
  <si>
    <t>Se pierde, sin reasignación</t>
  </si>
  <si>
    <t>E5f</t>
  </si>
  <si>
    <t>Competidores</t>
  </si>
  <si>
    <t>Solo empresas que produjeron lote en segmento</t>
  </si>
  <si>
    <t>Regla solicitada; inventario antiguo solo vende si también produce</t>
  </si>
  <si>
    <t>E6</t>
  </si>
  <si>
    <t>Reputación</t>
  </si>
  <si>
    <t>Catálogo una opción por grupo; clamp0–10, luego CONS01/02 clamp</t>
  </si>
  <si>
    <t>SUPUESTO para aprobación; publicidad no se cuenta otra vez</t>
  </si>
  <si>
    <t>E7</t>
  </si>
  <si>
    <t>Capacidad</t>
  </si>
  <si>
    <t>24d,90%base,+1pp por N3,+4pp jefatura; corte5/7/9,ensamble6/8/12,acabado6/7/10</t>
  </si>
  <si>
    <t>Canon CANTIDAD solicitado</t>
  </si>
  <si>
    <t>E9</t>
  </si>
  <si>
    <t>Calidad y puntajes</t>
  </si>
  <si>
    <t>Tope0–10; Premium&lt;7 CONS01 y&gt;=7 CONS02</t>
  </si>
  <si>
    <t>SUPUESTO hueco Premium resuelto</t>
  </si>
  <si>
    <t>Personal mixto</t>
  </si>
  <si>
    <t>Aporte máximo por grupo, no por cada empleado</t>
  </si>
  <si>
    <t>SUPUESTO para evitar inflar puntajes por volumen</t>
  </si>
  <si>
    <t>E11</t>
  </si>
  <si>
    <t>Canal</t>
  </si>
  <si>
    <t>Cobertura base1 para física/digital/mixto</t>
  </si>
  <si>
    <t>SUPUESTO configurable neutral, pendiente aprobación</t>
  </si>
  <si>
    <t>Tiendas</t>
  </si>
  <si>
    <t>+5% demanda por tienda adicional, máximo+25%</t>
  </si>
  <si>
    <t>SUPUESTO configurable, pendiente aprobación</t>
  </si>
  <si>
    <t>Marketing</t>
  </si>
  <si>
    <t>A1,B1.12,C1.20</t>
  </si>
  <si>
    <t>B+12% del catálogo; A/C SUPUESTO; no publicidad extra</t>
  </si>
  <si>
    <t>Crédito</t>
  </si>
  <si>
    <t>Inicio20%,+5pp/ciclo,+5pp analista,máximo70%; elección explícita prevalece; cobranza ciclo siguiente</t>
  </si>
  <si>
    <t>SUPUESTO heredado configurable, sin mora</t>
  </si>
  <si>
    <t>0/5/10 soles por unidad vendida</t>
  </si>
  <si>
    <t>Costos catálogo</t>
  </si>
  <si>
    <t>A0%,B8%,C12%capacidad</t>
  </si>
  <si>
    <t>B+8% catálogo; otras SUPUESTO</t>
  </si>
  <si>
    <t>0/1500/3000 soles del catálogo; no mejora capacidad automáticamente</t>
  </si>
  <si>
    <t>Factores de capacidad0%; SUPUESTO neutral</t>
  </si>
  <si>
    <t>Inventarios</t>
  </si>
  <si>
    <t>Conservar físicos; política no crea ni borra stock</t>
  </si>
  <si>
    <t>SUPUESTO; costos catálogo0/1000/2500</t>
  </si>
  <si>
    <t>Solo contabilidad; vida productiva100000u; acelerada2×lineal</t>
  </si>
  <si>
    <t>Regla solicitada; vida y aceleración SUPUESTOS</t>
  </si>
  <si>
    <t>Comisión</t>
  </si>
  <si>
    <t>1% de ingresos efectivos</t>
  </si>
  <si>
    <t>SUPUESTO heredado configurable</t>
  </si>
  <si>
    <t>Eficiencia operativa</t>
  </si>
  <si>
    <t>Máximo100%, contando todos los trabajadores N3</t>
  </si>
  <si>
    <t>SUPUESTO coherente con runtime</t>
  </si>
  <si>
    <t>Materiales mixtos</t>
  </si>
  <si>
    <t>FIFO de opciones; calidad media ponderada de lo realmente consumido</t>
  </si>
  <si>
    <t>SUPUESTO para mezclas no especificadas por lote en UI</t>
  </si>
  <si>
    <t>CONS05</t>
  </si>
  <si>
    <t>Riesgo bancario</t>
  </si>
  <si>
    <t>+3 puntos porcentuales al siguiente préstamo</t>
  </si>
  <si>
    <t>SUPUESTO configurable</t>
  </si>
  <si>
    <t>CONS06</t>
  </si>
  <si>
    <t>Sobrecapacidad</t>
  </si>
  <si>
    <t>Sobrecosto25%planilla×fracción exceso, máximo100%; retraso proporcional</t>
  </si>
  <si>
    <t>CONS07</t>
  </si>
  <si>
    <t>Almacenaje</t>
  </si>
  <si>
    <t>S/2 por unidad final sin vender</t>
  </si>
  <si>
    <t>REDONDEO</t>
  </si>
  <si>
    <t>Unidades</t>
  </si>
  <si>
    <t>ROUND demanda, floor producción; MIN stock; ingresos2decimales</t>
  </si>
  <si>
    <t>SUPUESTO para consistencia contable</t>
  </si>
  <si>
    <t>caso</t>
  </si>
  <si>
    <t>empresa</t>
  </si>
  <si>
    <t>segmento</t>
  </si>
  <si>
    <t>precio</t>
  </si>
  <si>
    <t>reputacion</t>
  </si>
  <si>
    <t>calidad0a10</t>
  </si>
  <si>
    <t>stock</t>
  </si>
  <si>
    <t>producido</t>
  </si>
  <si>
    <t>bajaPrevios</t>
  </si>
  <si>
    <t>pesoP</t>
  </si>
  <si>
    <t>pesoR</t>
  </si>
  <si>
    <t>pesoC</t>
  </si>
  <si>
    <t>mercado</t>
  </si>
  <si>
    <t>ideal</t>
  </si>
  <si>
    <t>precioScore</t>
  </si>
  <si>
    <t>puntaje</t>
  </si>
  <si>
    <t>participacion</t>
  </si>
  <si>
    <t>demanda</t>
  </si>
  <si>
    <t>vendidas</t>
  </si>
  <si>
    <t>factorPrecio</t>
  </si>
  <si>
    <t>precioEfectivo</t>
  </si>
  <si>
    <t>ingresos</t>
  </si>
  <si>
    <t>demandaPerdida</t>
  </si>
  <si>
    <t>reputacionFinal</t>
  </si>
  <si>
    <t>normal_economico</t>
  </si>
  <si>
    <t>A</t>
  </si>
  <si>
    <t>B</t>
  </si>
  <si>
    <t>C</t>
  </si>
  <si>
    <t>D</t>
  </si>
  <si>
    <t>normal_medio</t>
  </si>
  <si>
    <t>normal_premium</t>
  </si>
  <si>
    <t>empate</t>
  </si>
  <si>
    <t>sin_stock</t>
  </si>
  <si>
    <t>no_produjo</t>
  </si>
  <si>
    <t>premium_incoherente</t>
  </si>
  <si>
    <t>demanda_no_atendida</t>
  </si>
  <si>
    <t>reputacion_baja_2c</t>
  </si>
  <si>
    <t>bloque</t>
  </si>
  <si>
    <t>nombre</t>
  </si>
  <si>
    <t>valor_formula</t>
  </si>
  <si>
    <t>fuente</t>
  </si>
  <si>
    <t>capacidad</t>
  </si>
  <si>
    <t>corte_nivel1</t>
  </si>
  <si>
    <t>CANTIDAD DE PRODUCCIÓN!E5</t>
  </si>
  <si>
    <t>corte_nivel2</t>
  </si>
  <si>
    <t>CANTIDAD DE PRODUCCIÓN!E6</t>
  </si>
  <si>
    <t>corte_nivel3</t>
  </si>
  <si>
    <t>CANTIDAD DE PRODUCCIÓN!E7</t>
  </si>
  <si>
    <t>ensamble_nivel1</t>
  </si>
  <si>
    <t>CANTIDAD DE PRODUCCIÓN!E11</t>
  </si>
  <si>
    <t>ensamble_nivel2</t>
  </si>
  <si>
    <t>CANTIDAD DE PRODUCCIÓN!E12</t>
  </si>
  <si>
    <t>ensamble_nivel3</t>
  </si>
  <si>
    <t>CANTIDAD DE PRODUCCIÓN!E13</t>
  </si>
  <si>
    <t>acabado_nivel1</t>
  </si>
  <si>
    <t>CANTIDAD DE PRODUCCIÓN!E17</t>
  </si>
  <si>
    <t>acabado_nivel2</t>
  </si>
  <si>
    <t>CANTIDAD DE PRODUCCIÓN!E18</t>
  </si>
  <si>
    <t>acabado_nivel3</t>
  </si>
  <si>
    <t>CANTIDAD DE PRODUCCIÓN!E19</t>
  </si>
  <si>
    <t>produccion</t>
  </si>
  <si>
    <t>eficiencia</t>
  </si>
  <si>
    <t>CANTIDAD DE PRODUCCIÓN!M5</t>
  </si>
  <si>
    <t>CANTIDAD DE PRODUCCIÓN!N5</t>
  </si>
  <si>
    <t>produccion_lote1</t>
  </si>
  <si>
    <t>CANTIDAD DE PRODUCCIÓN!E56</t>
  </si>
  <si>
    <t>produccion_lote2</t>
  </si>
  <si>
    <t>CANTIDAD DE PRODUCCIÓN!E57</t>
  </si>
  <si>
    <t>produccion_lote3</t>
  </si>
  <si>
    <t>CANTIDAD DE PRODUCCIÓN!E58</t>
  </si>
  <si>
    <t>puntajes</t>
  </si>
  <si>
    <t>calidad1</t>
  </si>
  <si>
    <t>Motor_Puntajes!B3</t>
  </si>
  <si>
    <t>calidad2</t>
  </si>
  <si>
    <t>Motor_Puntajes!B4</t>
  </si>
  <si>
    <t>calidad3</t>
  </si>
  <si>
    <t>Motor_Puntajes!B5</t>
  </si>
  <si>
    <t>calidadEmpresa</t>
  </si>
  <si>
    <t>Motor_Puntajes!B6</t>
  </si>
  <si>
    <t>eficienciaPuntaje</t>
  </si>
  <si>
    <t>Motor_Puntajes!B9</t>
  </si>
  <si>
    <t>Motor_Puntajes!B10</t>
  </si>
  <si>
    <t>saludFinanciera</t>
  </si>
  <si>
    <t>Motor_Puntajes!B11</t>
  </si>
  <si>
    <t>nivel1_capacidad</t>
  </si>
  <si>
    <t>4operarios/área,4máquinas,ensamble/acabado industriales,jefatura</t>
  </si>
  <si>
    <t>nivel2_capacidad</t>
  </si>
  <si>
    <t>nivel3_capacidad</t>
  </si>
  <si>
    <t>objetivo</t>
  </si>
  <si>
    <t>calidad</t>
  </si>
  <si>
    <t>asignado</t>
  </si>
  <si>
    <t>vendido</t>
  </si>
  <si>
    <t>consumoCuero</t>
  </si>
  <si>
    <t>consumoAccesorios</t>
  </si>
  <si>
    <t>consumoHilo</t>
  </si>
  <si>
    <t>ingresoEmpresa</t>
  </si>
  <si>
    <t>cuentasCobrar</t>
  </si>
  <si>
    <t>ingresoCaja</t>
  </si>
  <si>
    <t>almacenaje</t>
  </si>
  <si>
    <t>Códigos de entradas del fixture; no resultados JS</t>
  </si>
  <si>
    <t>0</t>
  </si>
  <si>
    <t>1</t>
  </si>
  <si>
    <t>2</t>
  </si>
  <si>
    <t>3</t>
  </si>
  <si>
    <t>Hoja</t>
  </si>
  <si>
    <t>Celda</t>
  </si>
  <si>
    <t>Antes</t>
  </si>
  <si>
    <t>Después</t>
  </si>
  <si>
    <t>Motivo</t>
  </si>
  <si>
    <t>SHA256</t>
  </si>
  <si>
    <t>.codex-work\DECISIONES_SIDE_16.xlsx</t>
  </si>
  <si>
    <t>3b6b42bbbc56a2534ce7e241c607d572dd38dcf02311683609497df36a0c1eb1</t>
  </si>
  <si>
    <t>Base v16 autorizada; no se encontró v18; original intacto</t>
  </si>
  <si>
    <t>Seleccion_Ciclo0</t>
  </si>
  <si>
    <t>C2</t>
  </si>
  <si>
    <t>'=IFERROR(INDEX(Catalogo_Decisiones!$D$2:$D$57,MATCH($B2,Catalogo_Decisiones!$A$2:$A$57,0)),"")</t>
  </si>
  <si>
    <t>'=IFERROR(INDEX(Catalogo_Decisiones!$D$2:$D$69,MATCH($B2,Catalogo_Decisiones!$A$2:$A$69,0)),"")</t>
  </si>
  <si>
    <t>E1: incluir las 68 opciones</t>
  </si>
  <si>
    <t>D2</t>
  </si>
  <si>
    <t>'=IFERROR(INDEX(Catalogo_Decisiones!$F$2:$F$57,MATCH($B2,Catalogo_Decisiones!$A$2:$A$57,0)),"")</t>
  </si>
  <si>
    <t>'=IFERROR(INDEX(Catalogo_Decisiones!$F$2:$F$69,MATCH($B2,Catalogo_Decisiones!$A$2:$A$69,0)),"")</t>
  </si>
  <si>
    <t>E2</t>
  </si>
  <si>
    <t>'=IFERROR(INDEX(Catalogo_Decisiones!$G$2:$G$57,MATCH($B2,Catalogo_Decisiones!$A$2:$A$57,0)),0)</t>
  </si>
  <si>
    <t>'=IFERROR(INDEX(Catalogo_Decisiones!$G$2:$G$69,MATCH($B2,Catalogo_Decisiones!$A$2:$A$69,0)),0)</t>
  </si>
  <si>
    <t>F2</t>
  </si>
  <si>
    <t>'=IFERROR(INDEX(Catalogo_Decisiones!$H$2:$H$57,MATCH($B2,Catalogo_Decisiones!$A$2:$A$57,0)),0)</t>
  </si>
  <si>
    <t>'=IFERROR(INDEX(Catalogo_Decisiones!$H$2:$H$69,MATCH($B2,Catalogo_Decisiones!$A$2:$A$69,0)),0)</t>
  </si>
  <si>
    <t>G2</t>
  </si>
  <si>
    <t>'=IFERROR(INDEX(Catalogo_Decisiones!$I$2:$I$57,MATCH($B2,Catalogo_Decisiones!$A$2:$A$57,0)),0)</t>
  </si>
  <si>
    <t>'=IFERROR(INDEX(Catalogo_Decisiones!$I$2:$I$69,MATCH($B2,Catalogo_Decisiones!$A$2:$A$69,0)),0)</t>
  </si>
  <si>
    <t>H2</t>
  </si>
  <si>
    <t>'=IFERROR(INDEX(Catalogo_Decisiones!$J$2:$J$57,MATCH($B2,Catalogo_Decisiones!$A$2:$A$57,0)),0)</t>
  </si>
  <si>
    <t>'=IFERROR(INDEX(Catalogo_Decisiones!$J$2:$J$69,MATCH($B2,Catalogo_Decisiones!$A$2:$A$69,0)),0)</t>
  </si>
  <si>
    <t>I2</t>
  </si>
  <si>
    <t>'=IFERROR(INDEX(Catalogo_Decisiones!$K$2:$K$57,MATCH($B2,Catalogo_Decisiones!$A$2:$A$57,0)),0)</t>
  </si>
  <si>
    <t>'=IFERROR(INDEX(Catalogo_Decisiones!$K$2:$K$69,MATCH($B2,Catalogo_Decisiones!$A$2:$A$69,0)),0)</t>
  </si>
  <si>
    <t>C3</t>
  </si>
  <si>
    <t>'=IFERROR(INDEX(Catalogo_Decisiones!$D$2:$D$57,MATCH($B3,Catalogo_Decisiones!$A$2:$A$57,0)),"")</t>
  </si>
  <si>
    <t>'=IFERROR(INDEX(Catalogo_Decisiones!$D$2:$D$69,MATCH($B3,Catalogo_Decisiones!$A$2:$A$69,0)),"")</t>
  </si>
  <si>
    <t>D3</t>
  </si>
  <si>
    <t>'=IFERROR(INDEX(Catalogo_Decisiones!$F$2:$F$57,MATCH($B3,Catalogo_Decisiones!$A$2:$A$57,0)),"")</t>
  </si>
  <si>
    <t>'=IFERROR(INDEX(Catalogo_Decisiones!$F$2:$F$69,MATCH($B3,Catalogo_Decisiones!$A$2:$A$69,0)),"")</t>
  </si>
  <si>
    <t>'=IFERROR(INDEX(Catalogo_Decisiones!$G$2:$G$57,MATCH($B3,Catalogo_Decisiones!$A$2:$A$57,0)),0)</t>
  </si>
  <si>
    <t>'=IFERROR(INDEX(Catalogo_Decisiones!$G$2:$G$69,MATCH($B3,Catalogo_Decisiones!$A$2:$A$69,0)),0)</t>
  </si>
  <si>
    <t>F3</t>
  </si>
  <si>
    <t>'=IFERROR(INDEX(Catalogo_Decisiones!$H$2:$H$57,MATCH($B3,Catalogo_Decisiones!$A$2:$A$57,0)),0)</t>
  </si>
  <si>
    <t>'=IFERROR(INDEX(Catalogo_Decisiones!$H$2:$H$69,MATCH($B3,Catalogo_Decisiones!$A$2:$A$69,0)),0)</t>
  </si>
  <si>
    <t>G3</t>
  </si>
  <si>
    <t>'=IFERROR(INDEX(Catalogo_Decisiones!$I$2:$I$57,MATCH($B3,Catalogo_Decisiones!$A$2:$A$57,0)),0)</t>
  </si>
  <si>
    <t>'=IFERROR(INDEX(Catalogo_Decisiones!$I$2:$I$69,MATCH($B3,Catalogo_Decisiones!$A$2:$A$69,0)),0)</t>
  </si>
  <si>
    <t>H3</t>
  </si>
  <si>
    <t>'=IFERROR(INDEX(Catalogo_Decisiones!$J$2:$J$57,MATCH($B3,Catalogo_Decisiones!$A$2:$A$57,0)),0)</t>
  </si>
  <si>
    <t>'=IFERROR(INDEX(Catalogo_Decisiones!$J$2:$J$69,MATCH($B3,Catalogo_Decisiones!$A$2:$A$69,0)),0)</t>
  </si>
  <si>
    <t>I3</t>
  </si>
  <si>
    <t>'=IFERROR(INDEX(Catalogo_Decisiones!$K$2:$K$57,MATCH($B3,Catalogo_Decisiones!$A$2:$A$57,0)),0)</t>
  </si>
  <si>
    <t>'=IFERROR(INDEX(Catalogo_Decisiones!$K$2:$K$69,MATCH($B3,Catalogo_Decisiones!$A$2:$A$69,0)),0)</t>
  </si>
  <si>
    <t>C4</t>
  </si>
  <si>
    <t>'=IFERROR(INDEX(Catalogo_Decisiones!$D$2:$D$57,MATCH($B4,Catalogo_Decisiones!$A$2:$A$57,0)),"")</t>
  </si>
  <si>
    <t>'=IFERROR(INDEX(Catalogo_Decisiones!$D$2:$D$69,MATCH($B4,Catalogo_Decisiones!$A$2:$A$69,0)),"")</t>
  </si>
  <si>
    <t>D4</t>
  </si>
  <si>
    <t>'=IFERROR(INDEX(Catalogo_Decisiones!$F$2:$F$57,MATCH($B4,Catalogo_Decisiones!$A$2:$A$57,0)),"")</t>
  </si>
  <si>
    <t>'=IFERROR(INDEX(Catalogo_Decisiones!$F$2:$F$69,MATCH($B4,Catalogo_Decisiones!$A$2:$A$69,0)),"")</t>
  </si>
  <si>
    <t>'=IFERROR(INDEX(Catalogo_Decisiones!$G$2:$G$57,MATCH($B4,Catalogo_Decisiones!$A$2:$A$57,0)),0)</t>
  </si>
  <si>
    <t>'=IFERROR(INDEX(Catalogo_Decisiones!$G$2:$G$69,MATCH($B4,Catalogo_Decisiones!$A$2:$A$69,0)),0)</t>
  </si>
  <si>
    <t>F4</t>
  </si>
  <si>
    <t>'=IFERROR(INDEX(Catalogo_Decisiones!$H$2:$H$57,MATCH($B4,Catalogo_Decisiones!$A$2:$A$57,0)),0)</t>
  </si>
  <si>
    <t>'=IFERROR(INDEX(Catalogo_Decisiones!$H$2:$H$69,MATCH($B4,Catalogo_Decisiones!$A$2:$A$69,0)),0)</t>
  </si>
  <si>
    <t>G4</t>
  </si>
  <si>
    <t>'=IFERROR(INDEX(Catalogo_Decisiones!$I$2:$I$57,MATCH($B4,Catalogo_Decisiones!$A$2:$A$57,0)),0)</t>
  </si>
  <si>
    <t>'=IFERROR(INDEX(Catalogo_Decisiones!$I$2:$I$69,MATCH($B4,Catalogo_Decisiones!$A$2:$A$69,0)),0)</t>
  </si>
  <si>
    <t>H4</t>
  </si>
  <si>
    <t>'=IFERROR(INDEX(Catalogo_Decisiones!$J$2:$J$57,MATCH($B4,Catalogo_Decisiones!$A$2:$A$57,0)),0)</t>
  </si>
  <si>
    <t>'=IFERROR(INDEX(Catalogo_Decisiones!$J$2:$J$69,MATCH($B4,Catalogo_Decisiones!$A$2:$A$69,0)),0)</t>
  </si>
  <si>
    <t>I4</t>
  </si>
  <si>
    <t>'=IFERROR(INDEX(Catalogo_Decisiones!$K$2:$K$57,MATCH($B4,Catalogo_Decisiones!$A$2:$A$57,0)),0)</t>
  </si>
  <si>
    <t>'=IFERROR(INDEX(Catalogo_Decisiones!$K$2:$K$69,MATCH($B4,Catalogo_Decisiones!$A$2:$A$69,0)),0)</t>
  </si>
  <si>
    <t>C5</t>
  </si>
  <si>
    <t>'=IFERROR(INDEX(Catalogo_Decisiones!$D$2:$D$57,MATCH($B5,Catalogo_Decisiones!$A$2:$A$57,0)),"")</t>
  </si>
  <si>
    <t>'=IFERROR(INDEX(Catalogo_Decisiones!$D$2:$D$69,MATCH($B5,Catalogo_Decisiones!$A$2:$A$69,0)),"")</t>
  </si>
  <si>
    <t>D5</t>
  </si>
  <si>
    <t>'=IFERROR(INDEX(Catalogo_Decisiones!$F$2:$F$57,MATCH($B5,Catalogo_Decisiones!$A$2:$A$57,0)),"")</t>
  </si>
  <si>
    <t>'=IFERROR(INDEX(Catalogo_Decisiones!$F$2:$F$69,MATCH($B5,Catalogo_Decisiones!$A$2:$A$69,0)),"")</t>
  </si>
  <si>
    <t>'=IFERROR(INDEX(Catalogo_Decisiones!$G$2:$G$57,MATCH($B5,Catalogo_Decisiones!$A$2:$A$57,0)),0)</t>
  </si>
  <si>
    <t>'=IFERROR(INDEX(Catalogo_Decisiones!$G$2:$G$69,MATCH($B5,Catalogo_Decisiones!$A$2:$A$69,0)),0)</t>
  </si>
  <si>
    <t>F5</t>
  </si>
  <si>
    <t>'=IFERROR(INDEX(Catalogo_Decisiones!$H$2:$H$57,MATCH($B5,Catalogo_Decisiones!$A$2:$A$57,0)),0)</t>
  </si>
  <si>
    <t>'=IFERROR(INDEX(Catalogo_Decisiones!$H$2:$H$69,MATCH($B5,Catalogo_Decisiones!$A$2:$A$69,0)),0)</t>
  </si>
  <si>
    <t>G5</t>
  </si>
  <si>
    <t>'=IFERROR(INDEX(Catalogo_Decisiones!$I$2:$I$57,MATCH($B5,Catalogo_Decisiones!$A$2:$A$57,0)),0)</t>
  </si>
  <si>
    <t>'=IFERROR(INDEX(Catalogo_Decisiones!$I$2:$I$69,MATCH($B5,Catalogo_Decisiones!$A$2:$A$69,0)),0)</t>
  </si>
  <si>
    <t>H5</t>
  </si>
  <si>
    <t>'=IFERROR(INDEX(Catalogo_Decisiones!$J$2:$J$57,MATCH($B5,Catalogo_Decisiones!$A$2:$A$57,0)),0)</t>
  </si>
  <si>
    <t>'=IFERROR(INDEX(Catalogo_Decisiones!$J$2:$J$69,MATCH($B5,Catalogo_Decisiones!$A$2:$A$69,0)),0)</t>
  </si>
  <si>
    <t>I5</t>
  </si>
  <si>
    <t>'=IFERROR(INDEX(Catalogo_Decisiones!$K$2:$K$57,MATCH($B5,Catalogo_Decisiones!$A$2:$A$57,0)),0)</t>
  </si>
  <si>
    <t>'=IFERROR(INDEX(Catalogo_Decisiones!$K$2:$K$69,MATCH($B5,Catalogo_Decisiones!$A$2:$A$69,0)),0)</t>
  </si>
  <si>
    <t>C6</t>
  </si>
  <si>
    <t>'=IFERROR(INDEX(Catalogo_Decisiones!$D$2:$D$57,MATCH($B6,Catalogo_Decisiones!$A$2:$A$57,0)),"")</t>
  </si>
  <si>
    <t>'=IFERROR(INDEX(Catalogo_Decisiones!$D$2:$D$69,MATCH($B6,Catalogo_Decisiones!$A$2:$A$69,0)),"")</t>
  </si>
  <si>
    <t>D6</t>
  </si>
  <si>
    <t>'=IFERROR(INDEX(Catalogo_Decisiones!$F$2:$F$57,MATCH($B6,Catalogo_Decisiones!$A$2:$A$57,0)),"")</t>
  </si>
  <si>
    <t>'=IFERROR(INDEX(Catalogo_Decisiones!$F$2:$F$69,MATCH($B6,Catalogo_Decisiones!$A$2:$A$69,0)),"")</t>
  </si>
  <si>
    <t>'=IFERROR(INDEX(Catalogo_Decisiones!$G$2:$G$57,MATCH($B6,Catalogo_Decisiones!$A$2:$A$57,0)),0)</t>
  </si>
  <si>
    <t>'=IFERROR(INDEX(Catalogo_Decisiones!$G$2:$G$69,MATCH($B6,Catalogo_Decisiones!$A$2:$A$69,0)),0)</t>
  </si>
  <si>
    <t>F6</t>
  </si>
  <si>
    <t>'=IFERROR(INDEX(Catalogo_Decisiones!$H$2:$H$57,MATCH($B6,Catalogo_Decisiones!$A$2:$A$57,0)),0)</t>
  </si>
  <si>
    <t>'=IFERROR(INDEX(Catalogo_Decisiones!$H$2:$H$69,MATCH($B6,Catalogo_Decisiones!$A$2:$A$69,0)),0)</t>
  </si>
  <si>
    <t>G6</t>
  </si>
  <si>
    <t>'=IFERROR(INDEX(Catalogo_Decisiones!$I$2:$I$57,MATCH($B6,Catalogo_Decisiones!$A$2:$A$57,0)),0)</t>
  </si>
  <si>
    <t>'=IFERROR(INDEX(Catalogo_Decisiones!$I$2:$I$69,MATCH($B6,Catalogo_Decisiones!$A$2:$A$69,0)),0)</t>
  </si>
  <si>
    <t>H6</t>
  </si>
  <si>
    <t>'=IFERROR(INDEX(Catalogo_Decisiones!$J$2:$J$57,MATCH($B6,Catalogo_Decisiones!$A$2:$A$57,0)),0)</t>
  </si>
  <si>
    <t>'=IFERROR(INDEX(Catalogo_Decisiones!$J$2:$J$69,MATCH($B6,Catalogo_Decisiones!$A$2:$A$69,0)),0)</t>
  </si>
  <si>
    <t>I6</t>
  </si>
  <si>
    <t>'=IFERROR(INDEX(Catalogo_Decisiones!$K$2:$K$57,MATCH($B6,Catalogo_Decisiones!$A$2:$A$57,0)),0)</t>
  </si>
  <si>
    <t>'=IFERROR(INDEX(Catalogo_Decisiones!$K$2:$K$69,MATCH($B6,Catalogo_Decisiones!$A$2:$A$69,0)),0)</t>
  </si>
  <si>
    <t>C7</t>
  </si>
  <si>
    <t>'=IFERROR(INDEX(Catalogo_Decisiones!$D$2:$D$57,MATCH($B7,Catalogo_Decisiones!$A$2:$A$57,0)),"")</t>
  </si>
  <si>
    <t>'=IFERROR(INDEX(Catalogo_Decisiones!$D$2:$D$69,MATCH($B7,Catalogo_Decisiones!$A$2:$A$69,0)),"")</t>
  </si>
  <si>
    <t>D7</t>
  </si>
  <si>
    <t>'=IFERROR(INDEX(Catalogo_Decisiones!$F$2:$F$57,MATCH($B7,Catalogo_Decisiones!$A$2:$A$57,0)),"")</t>
  </si>
  <si>
    <t>'=IFERROR(INDEX(Catalogo_Decisiones!$F$2:$F$69,MATCH($B7,Catalogo_Decisiones!$A$2:$A$69,0)),"")</t>
  </si>
  <si>
    <t>'=IFERROR(INDEX(Catalogo_Decisiones!$G$2:$G$57,MATCH($B7,Catalogo_Decisiones!$A$2:$A$57,0)),0)</t>
  </si>
  <si>
    <t>'=IFERROR(INDEX(Catalogo_Decisiones!$G$2:$G$69,MATCH($B7,Catalogo_Decisiones!$A$2:$A$69,0)),0)</t>
  </si>
  <si>
    <t>F7</t>
  </si>
  <si>
    <t>'=IFERROR(INDEX(Catalogo_Decisiones!$H$2:$H$57,MATCH($B7,Catalogo_Decisiones!$A$2:$A$57,0)),0)</t>
  </si>
  <si>
    <t>'=IFERROR(INDEX(Catalogo_Decisiones!$H$2:$H$69,MATCH($B7,Catalogo_Decisiones!$A$2:$A$69,0)),0)</t>
  </si>
  <si>
    <t>G7</t>
  </si>
  <si>
    <t>'=IFERROR(INDEX(Catalogo_Decisiones!$I$2:$I$57,MATCH($B7,Catalogo_Decisiones!$A$2:$A$57,0)),0)</t>
  </si>
  <si>
    <t>'=IFERROR(INDEX(Catalogo_Decisiones!$I$2:$I$69,MATCH($B7,Catalogo_Decisiones!$A$2:$A$69,0)),0)</t>
  </si>
  <si>
    <t>H7</t>
  </si>
  <si>
    <t>'=IFERROR(INDEX(Catalogo_Decisiones!$J$2:$J$57,MATCH($B7,Catalogo_Decisiones!$A$2:$A$57,0)),0)</t>
  </si>
  <si>
    <t>'=IFERROR(INDEX(Catalogo_Decisiones!$J$2:$J$69,MATCH($B7,Catalogo_Decisiones!$A$2:$A$69,0)),0)</t>
  </si>
  <si>
    <t>I7</t>
  </si>
  <si>
    <t>'=IFERROR(INDEX(Catalogo_Decisiones!$K$2:$K$57,MATCH($B7,Catalogo_Decisiones!$A$2:$A$57,0)),0)</t>
  </si>
  <si>
    <t>'=IFERROR(INDEX(Catalogo_Decisiones!$K$2:$K$69,MATCH($B7,Catalogo_Decisiones!$A$2:$A$69,0)),0)</t>
  </si>
  <si>
    <t>C8</t>
  </si>
  <si>
    <t>'=IFERROR(INDEX(Catalogo_Decisiones!$D$2:$D$57,MATCH($B8,Catalogo_Decisiones!$A$2:$A$57,0)),"")</t>
  </si>
  <si>
    <t>'=IFERROR(INDEX(Catalogo_Decisiones!$D$2:$D$69,MATCH($B8,Catalogo_Decisiones!$A$2:$A$69,0)),"")</t>
  </si>
  <si>
    <t>D8</t>
  </si>
  <si>
    <t>'=IFERROR(INDEX(Catalogo_Decisiones!$F$2:$F$57,MATCH($B8,Catalogo_Decisiones!$A$2:$A$57,0)),"")</t>
  </si>
  <si>
    <t>'=IFERROR(INDEX(Catalogo_Decisiones!$F$2:$F$69,MATCH($B8,Catalogo_Decisiones!$A$2:$A$69,0)),"")</t>
  </si>
  <si>
    <t>E8</t>
  </si>
  <si>
    <t>'=IFERROR(INDEX(Catalogo_Decisiones!$G$2:$G$57,MATCH($B8,Catalogo_Decisiones!$A$2:$A$57,0)),0)</t>
  </si>
  <si>
    <t>'=IFERROR(INDEX(Catalogo_Decisiones!$G$2:$G$69,MATCH($B8,Catalogo_Decisiones!$A$2:$A$69,0)),0)</t>
  </si>
  <si>
    <t>F8</t>
  </si>
  <si>
    <t>'=IFERROR(INDEX(Catalogo_Decisiones!$H$2:$H$57,MATCH($B8,Catalogo_Decisiones!$A$2:$A$57,0)),0)</t>
  </si>
  <si>
    <t>'=IFERROR(INDEX(Catalogo_Decisiones!$H$2:$H$69,MATCH($B8,Catalogo_Decisiones!$A$2:$A$69,0)),0)</t>
  </si>
  <si>
    <t>G8</t>
  </si>
  <si>
    <t>'=IFERROR(INDEX(Catalogo_Decisiones!$I$2:$I$57,MATCH($B8,Catalogo_Decisiones!$A$2:$A$57,0)),0)</t>
  </si>
  <si>
    <t>'=IFERROR(INDEX(Catalogo_Decisiones!$I$2:$I$69,MATCH($B8,Catalogo_Decisiones!$A$2:$A$69,0)),0)</t>
  </si>
  <si>
    <t>H8</t>
  </si>
  <si>
    <t>'=IFERROR(INDEX(Catalogo_Decisiones!$J$2:$J$57,MATCH($B8,Catalogo_Decisiones!$A$2:$A$57,0)),0)</t>
  </si>
  <si>
    <t>'=IFERROR(INDEX(Catalogo_Decisiones!$J$2:$J$69,MATCH($B8,Catalogo_Decisiones!$A$2:$A$69,0)),0)</t>
  </si>
  <si>
    <t>I8</t>
  </si>
  <si>
    <t>'=IFERROR(INDEX(Catalogo_Decisiones!$K$2:$K$57,MATCH($B8,Catalogo_Decisiones!$A$2:$A$57,0)),0)</t>
  </si>
  <si>
    <t>'=IFERROR(INDEX(Catalogo_Decisiones!$K$2:$K$69,MATCH($B8,Catalogo_Decisiones!$A$2:$A$69,0)),0)</t>
  </si>
  <si>
    <t>C9</t>
  </si>
  <si>
    <t>'=IFERROR(INDEX(Catalogo_Decisiones!$D$2:$D$57,MATCH($B9,Catalogo_Decisiones!$A$2:$A$57,0)),"")</t>
  </si>
  <si>
    <t>'=IFERROR(INDEX(Catalogo_Decisiones!$D$2:$D$69,MATCH($B9,Catalogo_Decisiones!$A$2:$A$69,0)),"")</t>
  </si>
  <si>
    <t>D9</t>
  </si>
  <si>
    <t>'=IFERROR(INDEX(Catalogo_Decisiones!$F$2:$F$57,MATCH($B9,Catalogo_Decisiones!$A$2:$A$57,0)),"")</t>
  </si>
  <si>
    <t>'=IFERROR(INDEX(Catalogo_Decisiones!$F$2:$F$69,MATCH($B9,Catalogo_Decisiones!$A$2:$A$69,0)),"")</t>
  </si>
  <si>
    <t>'=IFERROR(INDEX(Catalogo_Decisiones!$G$2:$G$57,MATCH($B9,Catalogo_Decisiones!$A$2:$A$57,0)),0)</t>
  </si>
  <si>
    <t>'=IFERROR(INDEX(Catalogo_Decisiones!$G$2:$G$69,MATCH($B9,Catalogo_Decisiones!$A$2:$A$69,0)),0)</t>
  </si>
  <si>
    <t>F9</t>
  </si>
  <si>
    <t>'=IFERROR(INDEX(Catalogo_Decisiones!$H$2:$H$57,MATCH($B9,Catalogo_Decisiones!$A$2:$A$57,0)),0)</t>
  </si>
  <si>
    <t>'=IFERROR(INDEX(Catalogo_Decisiones!$H$2:$H$69,MATCH($B9,Catalogo_Decisiones!$A$2:$A$69,0)),0)</t>
  </si>
  <si>
    <t>G9</t>
  </si>
  <si>
    <t>'=IFERROR(INDEX(Catalogo_Decisiones!$I$2:$I$57,MATCH($B9,Catalogo_Decisiones!$A$2:$A$57,0)),0)</t>
  </si>
  <si>
    <t>'=IFERROR(INDEX(Catalogo_Decisiones!$I$2:$I$69,MATCH($B9,Catalogo_Decisiones!$A$2:$A$69,0)),0)</t>
  </si>
  <si>
    <t>H9</t>
  </si>
  <si>
    <t>'=IFERROR(INDEX(Catalogo_Decisiones!$J$2:$J$57,MATCH($B9,Catalogo_Decisiones!$A$2:$A$57,0)),0)</t>
  </si>
  <si>
    <t>'=IFERROR(INDEX(Catalogo_Decisiones!$J$2:$J$69,MATCH($B9,Catalogo_Decisiones!$A$2:$A$69,0)),0)</t>
  </si>
  <si>
    <t>I9</t>
  </si>
  <si>
    <t>'=IFERROR(INDEX(Catalogo_Decisiones!$K$2:$K$57,MATCH($B9,Catalogo_Decisiones!$A$2:$A$57,0)),0)</t>
  </si>
  <si>
    <t>'=IFERROR(INDEX(Catalogo_Decisiones!$K$2:$K$69,MATCH($B9,Catalogo_Decisiones!$A$2:$A$69,0)),0)</t>
  </si>
  <si>
    <t>C10</t>
  </si>
  <si>
    <t>'=IFERROR(INDEX(Catalogo_Decisiones!$D$2:$D$57,MATCH($B10,Catalogo_Decisiones!$A$2:$A$57,0)),"")</t>
  </si>
  <si>
    <t>'=IFERROR(INDEX(Catalogo_Decisiones!$D$2:$D$69,MATCH($B10,Catalogo_Decisiones!$A$2:$A$69,0)),"")</t>
  </si>
  <si>
    <t>D10</t>
  </si>
  <si>
    <t>'=IFERROR(INDEX(Catalogo_Decisiones!$F$2:$F$57,MATCH($B10,Catalogo_Decisiones!$A$2:$A$57,0)),"")</t>
  </si>
  <si>
    <t>'=IFERROR(INDEX(Catalogo_Decisiones!$F$2:$F$69,MATCH($B10,Catalogo_Decisiones!$A$2:$A$69,0)),"")</t>
  </si>
  <si>
    <t>E10</t>
  </si>
  <si>
    <t>'=IFERROR(INDEX(Catalogo_Decisiones!$G$2:$G$57,MATCH($B10,Catalogo_Decisiones!$A$2:$A$57,0)),0)</t>
  </si>
  <si>
    <t>'=IFERROR(INDEX(Catalogo_Decisiones!$G$2:$G$69,MATCH($B10,Catalogo_Decisiones!$A$2:$A$69,0)),0)</t>
  </si>
  <si>
    <t>F10</t>
  </si>
  <si>
    <t>'=IFERROR(INDEX(Catalogo_Decisiones!$H$2:$H$57,MATCH($B10,Catalogo_Decisiones!$A$2:$A$57,0)),0)</t>
  </si>
  <si>
    <t>'=IFERROR(INDEX(Catalogo_Decisiones!$H$2:$H$69,MATCH($B10,Catalogo_Decisiones!$A$2:$A$69,0)),0)</t>
  </si>
  <si>
    <t>G10</t>
  </si>
  <si>
    <t>'=IFERROR(INDEX(Catalogo_Decisiones!$I$2:$I$57,MATCH($B10,Catalogo_Decisiones!$A$2:$A$57,0)),0)</t>
  </si>
  <si>
    <t>'=IFERROR(INDEX(Catalogo_Decisiones!$I$2:$I$69,MATCH($B10,Catalogo_Decisiones!$A$2:$A$69,0)),0)</t>
  </si>
  <si>
    <t>H10</t>
  </si>
  <si>
    <t>'=IFERROR(INDEX(Catalogo_Decisiones!$J$2:$J$57,MATCH($B10,Catalogo_Decisiones!$A$2:$A$57,0)),0)</t>
  </si>
  <si>
    <t>'=IFERROR(INDEX(Catalogo_Decisiones!$J$2:$J$69,MATCH($B10,Catalogo_Decisiones!$A$2:$A$69,0)),0)</t>
  </si>
  <si>
    <t>I10</t>
  </si>
  <si>
    <t>'=IFERROR(INDEX(Catalogo_Decisiones!$K$2:$K$57,MATCH($B10,Catalogo_Decisiones!$A$2:$A$57,0)),0)</t>
  </si>
  <si>
    <t>'=IFERROR(INDEX(Catalogo_Decisiones!$K$2:$K$69,MATCH($B10,Catalogo_Decisiones!$A$2:$A$69,0)),0)</t>
  </si>
  <si>
    <t>C11</t>
  </si>
  <si>
    <t>'=IFERROR(INDEX(Catalogo_Decisiones!$D$2:$D$57,MATCH($B11,Catalogo_Decisiones!$A$2:$A$57,0)),"")</t>
  </si>
  <si>
    <t>'=IFERROR(INDEX(Catalogo_Decisiones!$D$2:$D$69,MATCH($B11,Catalogo_Decisiones!$A$2:$A$69,0)),"")</t>
  </si>
  <si>
    <t>D11</t>
  </si>
  <si>
    <t>'=IFERROR(INDEX(Catalogo_Decisiones!$F$2:$F$57,MATCH($B11,Catalogo_Decisiones!$A$2:$A$57,0)),"")</t>
  </si>
  <si>
    <t>'=IFERROR(INDEX(Catalogo_Decisiones!$F$2:$F$69,MATCH($B11,Catalogo_Decisiones!$A$2:$A$69,0)),"")</t>
  </si>
  <si>
    <t>'=IFERROR(INDEX(Catalogo_Decisiones!$G$2:$G$57,MATCH($B11,Catalogo_Decisiones!$A$2:$A$57,0)),0)</t>
  </si>
  <si>
    <t>'=IFERROR(INDEX(Catalogo_Decisiones!$G$2:$G$69,MATCH($B11,Catalogo_Decisiones!$A$2:$A$69,0)),0)</t>
  </si>
  <si>
    <t>F11</t>
  </si>
  <si>
    <t>'=IFERROR(INDEX(Catalogo_Decisiones!$H$2:$H$57,MATCH($B11,Catalogo_Decisiones!$A$2:$A$57,0)),0)</t>
  </si>
  <si>
    <t>'=IFERROR(INDEX(Catalogo_Decisiones!$H$2:$H$69,MATCH($B11,Catalogo_Decisiones!$A$2:$A$69,0)),0)</t>
  </si>
  <si>
    <t>G11</t>
  </si>
  <si>
    <t>'=IFERROR(INDEX(Catalogo_Decisiones!$I$2:$I$57,MATCH($B11,Catalogo_Decisiones!$A$2:$A$57,0)),0)</t>
  </si>
  <si>
    <t>'=IFERROR(INDEX(Catalogo_Decisiones!$I$2:$I$69,MATCH($B11,Catalogo_Decisiones!$A$2:$A$69,0)),0)</t>
  </si>
  <si>
    <t>H11</t>
  </si>
  <si>
    <t>'=IFERROR(INDEX(Catalogo_Decisiones!$J$2:$J$57,MATCH($B11,Catalogo_Decisiones!$A$2:$A$57,0)),0)</t>
  </si>
  <si>
    <t>'=IFERROR(INDEX(Catalogo_Decisiones!$J$2:$J$69,MATCH($B11,Catalogo_Decisiones!$A$2:$A$69,0)),0)</t>
  </si>
  <si>
    <t>I11</t>
  </si>
  <si>
    <t>'=IFERROR(INDEX(Catalogo_Decisiones!$K$2:$K$57,MATCH($B11,Catalogo_Decisiones!$A$2:$A$57,0)),0)</t>
  </si>
  <si>
    <t>'=IFERROR(INDEX(Catalogo_Decisiones!$K$2:$K$69,MATCH($B11,Catalogo_Decisiones!$A$2:$A$69,0)),0)</t>
  </si>
  <si>
    <t>C12</t>
  </si>
  <si>
    <t>'=IFERROR(INDEX(Catalogo_Decisiones!$D$2:$D$57,MATCH($B12,Catalogo_Decisiones!$A$2:$A$57,0)),"")</t>
  </si>
  <si>
    <t>'=IFERROR(INDEX(Catalogo_Decisiones!$D$2:$D$69,MATCH($B12,Catalogo_Decisiones!$A$2:$A$69,0)),"")</t>
  </si>
  <si>
    <t>D12</t>
  </si>
  <si>
    <t>'=IFERROR(INDEX(Catalogo_Decisiones!$F$2:$F$57,MATCH($B12,Catalogo_Decisiones!$A$2:$A$57,0)),"")</t>
  </si>
  <si>
    <t>'=IFERROR(INDEX(Catalogo_Decisiones!$F$2:$F$69,MATCH($B12,Catalogo_Decisiones!$A$2:$A$69,0)),"")</t>
  </si>
  <si>
    <t>E12</t>
  </si>
  <si>
    <t>'=IFERROR(INDEX(Catalogo_Decisiones!$G$2:$G$57,MATCH($B12,Catalogo_Decisiones!$A$2:$A$57,0)),0)</t>
  </si>
  <si>
    <t>'=IFERROR(INDEX(Catalogo_Decisiones!$G$2:$G$69,MATCH($B12,Catalogo_Decisiones!$A$2:$A$69,0)),0)</t>
  </si>
  <si>
    <t>F12</t>
  </si>
  <si>
    <t>'=IFERROR(INDEX(Catalogo_Decisiones!$H$2:$H$57,MATCH($B12,Catalogo_Decisiones!$A$2:$A$57,0)),0)</t>
  </si>
  <si>
    <t>'=IFERROR(INDEX(Catalogo_Decisiones!$H$2:$H$69,MATCH($B12,Catalogo_Decisiones!$A$2:$A$69,0)),0)</t>
  </si>
  <si>
    <t>G12</t>
  </si>
  <si>
    <t>'=IFERROR(INDEX(Catalogo_Decisiones!$I$2:$I$57,MATCH($B12,Catalogo_Decisiones!$A$2:$A$57,0)),0)</t>
  </si>
  <si>
    <t>'=IFERROR(INDEX(Catalogo_Decisiones!$I$2:$I$69,MATCH($B12,Catalogo_Decisiones!$A$2:$A$69,0)),0)</t>
  </si>
  <si>
    <t>H12</t>
  </si>
  <si>
    <t>'=IFERROR(INDEX(Catalogo_Decisiones!$J$2:$J$57,MATCH($B12,Catalogo_Decisiones!$A$2:$A$57,0)),0)</t>
  </si>
  <si>
    <t>'=IFERROR(INDEX(Catalogo_Decisiones!$J$2:$J$69,MATCH($B12,Catalogo_Decisiones!$A$2:$A$69,0)),0)</t>
  </si>
  <si>
    <t>I12</t>
  </si>
  <si>
    <t>'=IFERROR(INDEX(Catalogo_Decisiones!$K$2:$K$57,MATCH($B12,Catalogo_Decisiones!$A$2:$A$57,0)),0)</t>
  </si>
  <si>
    <t>'=IFERROR(INDEX(Catalogo_Decisiones!$K$2:$K$69,MATCH($B12,Catalogo_Decisiones!$A$2:$A$69,0)),0)</t>
  </si>
  <si>
    <t>C13</t>
  </si>
  <si>
    <t>'=IFERROR(INDEX(Catalogo_Decisiones!$D$2:$D$57,MATCH($B13,Catalogo_Decisiones!$A$2:$A$57,0)),"")</t>
  </si>
  <si>
    <t>'=IFERROR(INDEX(Catalogo_Decisiones!$D$2:$D$69,MATCH($B13,Catalogo_Decisiones!$A$2:$A$69,0)),"")</t>
  </si>
  <si>
    <t>D13</t>
  </si>
  <si>
    <t>'=IFERROR(INDEX(Catalogo_Decisiones!$F$2:$F$57,MATCH($B13,Catalogo_Decisiones!$A$2:$A$57,0)),"")</t>
  </si>
  <si>
    <t>'=IFERROR(INDEX(Catalogo_Decisiones!$F$2:$F$69,MATCH($B13,Catalogo_Decisiones!$A$2:$A$69,0)),"")</t>
  </si>
  <si>
    <t>E13</t>
  </si>
  <si>
    <t>'=IFERROR(INDEX(Catalogo_Decisiones!$G$2:$G$57,MATCH($B13,Catalogo_Decisiones!$A$2:$A$57,0)),0)</t>
  </si>
  <si>
    <t>'=IFERROR(INDEX(Catalogo_Decisiones!$G$2:$G$69,MATCH($B13,Catalogo_Decisiones!$A$2:$A$69,0)),0)</t>
  </si>
  <si>
    <t>F13</t>
  </si>
  <si>
    <t>'=IFERROR(INDEX(Catalogo_Decisiones!$H$2:$H$57,MATCH($B13,Catalogo_Decisiones!$A$2:$A$57,0)),0)</t>
  </si>
  <si>
    <t>'=IFERROR(INDEX(Catalogo_Decisiones!$H$2:$H$69,MATCH($B13,Catalogo_Decisiones!$A$2:$A$69,0)),0)</t>
  </si>
  <si>
    <t>G13</t>
  </si>
  <si>
    <t>'=IFERROR(INDEX(Catalogo_Decisiones!$I$2:$I$57,MATCH($B13,Catalogo_Decisiones!$A$2:$A$57,0)),0)</t>
  </si>
  <si>
    <t>'=IFERROR(INDEX(Catalogo_Decisiones!$I$2:$I$69,MATCH($B13,Catalogo_Decisiones!$A$2:$A$69,0)),0)</t>
  </si>
  <si>
    <t>H13</t>
  </si>
  <si>
    <t>'=IFERROR(INDEX(Catalogo_Decisiones!$J$2:$J$57,MATCH($B13,Catalogo_Decisiones!$A$2:$A$57,0)),0)</t>
  </si>
  <si>
    <t>'=IFERROR(INDEX(Catalogo_Decisiones!$J$2:$J$69,MATCH($B13,Catalogo_Decisiones!$A$2:$A$69,0)),0)</t>
  </si>
  <si>
    <t>I13</t>
  </si>
  <si>
    <t>'=IFERROR(INDEX(Catalogo_Decisiones!$K$2:$K$57,MATCH($B13,Catalogo_Decisiones!$A$2:$A$57,0)),0)</t>
  </si>
  <si>
    <t>'=IFERROR(INDEX(Catalogo_Decisiones!$K$2:$K$69,MATCH($B13,Catalogo_Decisiones!$A$2:$A$69,0)),0)</t>
  </si>
  <si>
    <t>C14</t>
  </si>
  <si>
    <t>'=IFERROR(INDEX(Catalogo_Decisiones!$D$2:$D$57,MATCH($B14,Catalogo_Decisiones!$A$2:$A$57,0)),"")</t>
  </si>
  <si>
    <t>'=IFERROR(INDEX(Catalogo_Decisiones!$D$2:$D$69,MATCH($B14,Catalogo_Decisiones!$A$2:$A$69,0)),"")</t>
  </si>
  <si>
    <t>D14</t>
  </si>
  <si>
    <t>'=IFERROR(INDEX(Catalogo_Decisiones!$F$2:$F$57,MATCH($B14,Catalogo_Decisiones!$A$2:$A$57,0)),"")</t>
  </si>
  <si>
    <t>'=IFERROR(INDEX(Catalogo_Decisiones!$F$2:$F$69,MATCH($B14,Catalogo_Decisiones!$A$2:$A$69,0)),"")</t>
  </si>
  <si>
    <t>E14</t>
  </si>
  <si>
    <t>'=IFERROR(INDEX(Catalogo_Decisiones!$G$2:$G$57,MATCH($B14,Catalogo_Decisiones!$A$2:$A$57,0)),0)</t>
  </si>
  <si>
    <t>'=IFERROR(INDEX(Catalogo_Decisiones!$G$2:$G$69,MATCH($B14,Catalogo_Decisiones!$A$2:$A$69,0)),0)</t>
  </si>
  <si>
    <t>F14</t>
  </si>
  <si>
    <t>'=IFERROR(INDEX(Catalogo_Decisiones!$H$2:$H$57,MATCH($B14,Catalogo_Decisiones!$A$2:$A$57,0)),0)</t>
  </si>
  <si>
    <t>'=IFERROR(INDEX(Catalogo_Decisiones!$H$2:$H$69,MATCH($B14,Catalogo_Decisiones!$A$2:$A$69,0)),0)</t>
  </si>
  <si>
    <t>G14</t>
  </si>
  <si>
    <t>'=IFERROR(INDEX(Catalogo_Decisiones!$I$2:$I$57,MATCH($B14,Catalogo_Decisiones!$A$2:$A$57,0)),0)</t>
  </si>
  <si>
    <t>'=IFERROR(INDEX(Catalogo_Decisiones!$I$2:$I$69,MATCH($B14,Catalogo_Decisiones!$A$2:$A$69,0)),0)</t>
  </si>
  <si>
    <t>H14</t>
  </si>
  <si>
    <t>'=IFERROR(INDEX(Catalogo_Decisiones!$J$2:$J$57,MATCH($B14,Catalogo_Decisiones!$A$2:$A$57,0)),0)</t>
  </si>
  <si>
    <t>'=IFERROR(INDEX(Catalogo_Decisiones!$J$2:$J$69,MATCH($B14,Catalogo_Decisiones!$A$2:$A$69,0)),0)</t>
  </si>
  <si>
    <t>I14</t>
  </si>
  <si>
    <t>'=IFERROR(INDEX(Catalogo_Decisiones!$K$2:$K$57,MATCH($B14,Catalogo_Decisiones!$A$2:$A$57,0)),0)</t>
  </si>
  <si>
    <t>'=IFERROR(INDEX(Catalogo_Decisiones!$K$2:$K$69,MATCH($B14,Catalogo_Decisiones!$A$2:$A$69,0)),0)</t>
  </si>
  <si>
    <t>C15</t>
  </si>
  <si>
    <t>'=IFERROR(INDEX(Catalogo_Decisiones!$D$2:$D$57,MATCH($B15,Catalogo_Decisiones!$A$2:$A$57,0)),"")</t>
  </si>
  <si>
    <t>'=IFERROR(INDEX(Catalogo_Decisiones!$D$2:$D$69,MATCH($B15,Catalogo_Decisiones!$A$2:$A$69,0)),"")</t>
  </si>
  <si>
    <t>D15</t>
  </si>
  <si>
    <t>'=IFERROR(INDEX(Catalogo_Decisiones!$F$2:$F$57,MATCH($B15,Catalogo_Decisiones!$A$2:$A$57,0)),"")</t>
  </si>
  <si>
    <t>'=IFERROR(INDEX(Catalogo_Decisiones!$F$2:$F$69,MATCH($B15,Catalogo_Decisiones!$A$2:$A$69,0)),"")</t>
  </si>
  <si>
    <t>E15</t>
  </si>
  <si>
    <t>'=IFERROR(INDEX(Catalogo_Decisiones!$G$2:$G$57,MATCH($B15,Catalogo_Decisiones!$A$2:$A$57,0)),0)</t>
  </si>
  <si>
    <t>'=IFERROR(INDEX(Catalogo_Decisiones!$G$2:$G$69,MATCH($B15,Catalogo_Decisiones!$A$2:$A$69,0)),0)</t>
  </si>
  <si>
    <t>F15</t>
  </si>
  <si>
    <t>'=IFERROR(INDEX(Catalogo_Decisiones!$H$2:$H$57,MATCH($B15,Catalogo_Decisiones!$A$2:$A$57,0)),0)</t>
  </si>
  <si>
    <t>'=IFERROR(INDEX(Catalogo_Decisiones!$H$2:$H$69,MATCH($B15,Catalogo_Decisiones!$A$2:$A$69,0)),0)</t>
  </si>
  <si>
    <t>G15</t>
  </si>
  <si>
    <t>'=IFERROR(INDEX(Catalogo_Decisiones!$I$2:$I$57,MATCH($B15,Catalogo_Decisiones!$A$2:$A$57,0)),0)</t>
  </si>
  <si>
    <t>'=IFERROR(INDEX(Catalogo_Decisiones!$I$2:$I$69,MATCH($B15,Catalogo_Decisiones!$A$2:$A$69,0)),0)</t>
  </si>
  <si>
    <t>H15</t>
  </si>
  <si>
    <t>'=IFERROR(INDEX(Catalogo_Decisiones!$J$2:$J$57,MATCH($B15,Catalogo_Decisiones!$A$2:$A$57,0)),0)</t>
  </si>
  <si>
    <t>'=IFERROR(INDEX(Catalogo_Decisiones!$J$2:$J$69,MATCH($B15,Catalogo_Decisiones!$A$2:$A$69,0)),0)</t>
  </si>
  <si>
    <t>I15</t>
  </si>
  <si>
    <t>'=IFERROR(INDEX(Catalogo_Decisiones!$K$2:$K$57,MATCH($B15,Catalogo_Decisiones!$A$2:$A$57,0)),0)</t>
  </si>
  <si>
    <t>'=IFERROR(INDEX(Catalogo_Decisiones!$K$2:$K$69,MATCH($B15,Catalogo_Decisiones!$A$2:$A$69,0)),0)</t>
  </si>
  <si>
    <t>Lotes_Produccion</t>
  </si>
  <si>
    <t>'=IFERROR(INDEX(Catalogo_Decisiones!$G$2:$G$57,MATCH($D2,Catalogo_Decisiones!$A$2:$A$57,0)),0)+IFERROR(INDEX(Catalogo_Decisiones!$G$2:$G$57,MATCH($E2,Catalogo_Decisiones!$A$2:$A$57,0)),0)+IFERROR(INDEX(Catalogo_Decisiones!$G$2:$G$57,MATCH($F2,Catalogo_Decisiones!$A$2:$A$57,0)),0)</t>
  </si>
  <si>
    <t>'=IFERROR(INDEX(Catalogo_Decisiones!$G$2:$G$69,MATCH($D2,Catalogo_Decisiones!$A$2:$A$69,0)),0)+IFERROR(INDEX(Catalogo_Decisiones!$G$2:$G$69,MATCH($E2,Catalogo_Decisiones!$A$2:$A$69,0)),0)+IFERROR(INDEX(Catalogo_Decisiones!$G$2:$G$69,MATCH($F2,Catalogo_Decisiones!$A$2:$A$69,0)),0)</t>
  </si>
  <si>
    <t>'=IFERROR(INDEX(Catalogo_Decisiones!$H$2:$H$57,MATCH($D2,Catalogo_Decisiones!$A$2:$A$57,0)),0)+IFERROR(INDEX(Catalogo_Decisiones!$H$2:$H$57,MATCH($E2,Catalogo_Decisiones!$A$2:$A$57,0)),0)+IFERROR(INDEX(Catalogo_Decisiones!$H$2:$H$57,MATCH($F2,Catalogo_Decisiones!$A$2:$A$57,0)),0)+IFERROR(INDEX(Catalogo_Decisiones!$H$2:$H$57,MATCH($G2,Catalogo_Decisiones!$A$2:$A$57,0)),0)</t>
  </si>
  <si>
    <t>'=IFERROR(INDEX(Catalogo_Decisiones!$H$2:$H$69,MATCH($D2,Catalogo_Decisiones!$A$2:$A$69,0)),0)+IFERROR(INDEX(Catalogo_Decisiones!$H$2:$H$69,MATCH($E2,Catalogo_Decisiones!$A$2:$A$69,0)),0)+IFERROR(INDEX(Catalogo_Decisiones!$H$2:$H$69,MATCH($F2,Catalogo_Decisiones!$A$2:$A$69,0)),0)+IFERROR(INDEX(Catalogo_Decisiones!$H$2:$H$69,MATCH($G2,Catalogo_Decisiones!$A$2:$A$69,0)),0)</t>
  </si>
  <si>
    <t>'=IFERROR(INDEX(Catalogo_Decisiones!$G$2:$G$57,MATCH($D3,Catalogo_Decisiones!$A$2:$A$57,0)),0)+IFERROR(INDEX(Catalogo_Decisiones!$G$2:$G$57,MATCH($E3,Catalogo_Decisiones!$A$2:$A$57,0)),0)+IFERROR(INDEX(Catalogo_Decisiones!$G$2:$G$57,MATCH($F3,Catalogo_Decisiones!$A$2:$A$57,0)),0)</t>
  </si>
  <si>
    <t>'=IFERROR(INDEX(Catalogo_Decisiones!$G$2:$G$69,MATCH($D3,Catalogo_Decisiones!$A$2:$A$69,0)),0)+IFERROR(INDEX(Catalogo_Decisiones!$G$2:$G$69,MATCH($E3,Catalogo_Decisiones!$A$2:$A$69,0)),0)+IFERROR(INDEX(Catalogo_Decisiones!$G$2:$G$69,MATCH($F3,Catalogo_Decisiones!$A$2:$A$69,0)),0)</t>
  </si>
  <si>
    <t>'=IFERROR(INDEX(Catalogo_Decisiones!$H$2:$H$57,MATCH($D3,Catalogo_Decisiones!$A$2:$A$57,0)),0)+IFERROR(INDEX(Catalogo_Decisiones!$H$2:$H$57,MATCH($E3,Catalogo_Decisiones!$A$2:$A$57,0)),0)+IFERROR(INDEX(Catalogo_Decisiones!$H$2:$H$57,MATCH($F3,Catalogo_Decisiones!$A$2:$A$57,0)),0)+IFERROR(INDEX(Catalogo_Decisiones!$H$2:$H$57,MATCH($G3,Catalogo_Decisiones!$A$2:$A$57,0)),0)</t>
  </si>
  <si>
    <t>'=IFERROR(INDEX(Catalogo_Decisiones!$H$2:$H$69,MATCH($D3,Catalogo_Decisiones!$A$2:$A$69,0)),0)+IFERROR(INDEX(Catalogo_Decisiones!$H$2:$H$69,MATCH($E3,Catalogo_Decisiones!$A$2:$A$69,0)),0)+IFERROR(INDEX(Catalogo_Decisiones!$H$2:$H$69,MATCH($F3,Catalogo_Decisiones!$A$2:$A$69,0)),0)+IFERROR(INDEX(Catalogo_Decisiones!$H$2:$H$69,MATCH($G3,Catalogo_Decisiones!$A$2:$A$69,0)),0)</t>
  </si>
  <si>
    <t>'=IFERROR(INDEX(Catalogo_Decisiones!$G$2:$G$57,MATCH($D4,Catalogo_Decisiones!$A$2:$A$57,0)),0)+IFERROR(INDEX(Catalogo_Decisiones!$G$2:$G$57,MATCH($E4,Catalogo_Decisiones!$A$2:$A$57,0)),0)+IFERROR(INDEX(Catalogo_Decisiones!$G$2:$G$57,MATCH($F4,Catalogo_Decisiones!$A$2:$A$57,0)),0)</t>
  </si>
  <si>
    <t>'=IFERROR(INDEX(Catalogo_Decisiones!$G$2:$G$69,MATCH($D4,Catalogo_Decisiones!$A$2:$A$69,0)),0)+IFERROR(INDEX(Catalogo_Decisiones!$G$2:$G$69,MATCH($E4,Catalogo_Decisiones!$A$2:$A$69,0)),0)+IFERROR(INDEX(Catalogo_Decisiones!$G$2:$G$69,MATCH($F4,Catalogo_Decisiones!$A$2:$A$69,0)),0)</t>
  </si>
  <si>
    <t>'=IFERROR(INDEX(Catalogo_Decisiones!$H$2:$H$57,MATCH($D4,Catalogo_Decisiones!$A$2:$A$57,0)),0)+IFERROR(INDEX(Catalogo_Decisiones!$H$2:$H$57,MATCH($E4,Catalogo_Decisiones!$A$2:$A$57,0)),0)+IFERROR(INDEX(Catalogo_Decisiones!$H$2:$H$57,MATCH($F4,Catalogo_Decisiones!$A$2:$A$57,0)),0)+IFERROR(INDEX(Catalogo_Decisiones!$H$2:$H$57,MATCH($G4,Catalogo_Decisiones!$A$2:$A$57,0)),0)</t>
  </si>
  <si>
    <t>'=IFERROR(INDEX(Catalogo_Decisiones!$H$2:$H$69,MATCH($D4,Catalogo_Decisiones!$A$2:$A$69,0)),0)+IFERROR(INDEX(Catalogo_Decisiones!$H$2:$H$69,MATCH($E4,Catalogo_Decisiones!$A$2:$A$69,0)),0)+IFERROR(INDEX(Catalogo_Decisiones!$H$2:$H$69,MATCH($F4,Catalogo_Decisiones!$A$2:$A$69,0)),0)+IFERROR(INDEX(Catalogo_Decisiones!$H$2:$H$69,MATCH($G4,Catalogo_Decisiones!$A$2:$A$69,0)),0)</t>
  </si>
  <si>
    <t>Catalogo_Decisiones</t>
  </si>
  <si>
    <t>G58</t>
  </si>
  <si>
    <t>S/0</t>
  </si>
  <si>
    <t>E2: moneda textual a número, formato monetario</t>
  </si>
  <si>
    <t>G59</t>
  </si>
  <si>
    <t>K59</t>
  </si>
  <si>
    <t>'=+1</t>
  </si>
  <si>
    <t>E2: fórmula constante a literal numérico; original sí evaluaba como número</t>
  </si>
  <si>
    <t>G60</t>
  </si>
  <si>
    <t>G61</t>
  </si>
  <si>
    <t>K61</t>
  </si>
  <si>
    <t>G62</t>
  </si>
  <si>
    <t>S/5</t>
  </si>
  <si>
    <t>J62</t>
  </si>
  <si>
    <t>G63</t>
  </si>
  <si>
    <t>S/10</t>
  </si>
  <si>
    <t>J63</t>
  </si>
  <si>
    <t>'=+2</t>
  </si>
  <si>
    <t>G64</t>
  </si>
  <si>
    <t>K64</t>
  </si>
  <si>
    <t>G65</t>
  </si>
  <si>
    <t>S/1,500</t>
  </si>
  <si>
    <t>I65</t>
  </si>
  <si>
    <t>G66</t>
  </si>
  <si>
    <t>S/3,000</t>
  </si>
  <si>
    <t>H66</t>
  </si>
  <si>
    <t>I66</t>
  </si>
  <si>
    <t>G67</t>
  </si>
  <si>
    <t>K67</t>
  </si>
  <si>
    <t>G68</t>
  </si>
  <si>
    <t>S/1,000</t>
  </si>
  <si>
    <t>I68</t>
  </si>
  <si>
    <t>G69</t>
  </si>
  <si>
    <t>S/2,500</t>
  </si>
  <si>
    <t>I69</t>
  </si>
  <si>
    <t>A24</t>
  </si>
  <si>
    <t>E1: exponer grupo existente del catálogo, sin decisión nueva</t>
  </si>
  <si>
    <t>C24</t>
  </si>
  <si>
    <t>'=IFERROR(INDEX(Catalogo_Decisiones!$D$2:$D$69,MATCH($B24,Catalogo_Decisiones!$A$2:$A$69,0)),"")</t>
  </si>
  <si>
    <t>E1: búsqueda de grupos existentes</t>
  </si>
  <si>
    <t>D24</t>
  </si>
  <si>
    <t>'=IFERROR(INDEX(Catalogo_Decisiones!$F$2:$F$69,MATCH($B24,Catalogo_Decisiones!$A$2:$A$69,0)),"")</t>
  </si>
  <si>
    <t>E24</t>
  </si>
  <si>
    <t>'=IFERROR(INDEX(Catalogo_Decisiones!$G$2:$G$69,MATCH($B24,Catalogo_Decisiones!$A$2:$A$69,0)),0)</t>
  </si>
  <si>
    <t>F24</t>
  </si>
  <si>
    <t>'=IFERROR(INDEX(Catalogo_Decisiones!$H$2:$H$69,MATCH($B24,Catalogo_Decisiones!$A$2:$A$69,0)),0)</t>
  </si>
  <si>
    <t>G24</t>
  </si>
  <si>
    <t>'=IFERROR(INDEX(Catalogo_Decisiones!$I$2:$I$69,MATCH($B24,Catalogo_Decisiones!$A$2:$A$69,0)),0)</t>
  </si>
  <si>
    <t>H24</t>
  </si>
  <si>
    <t>'=IFERROR(INDEX(Catalogo_Decisiones!$J$2:$J$69,MATCH($B24,Catalogo_Decisiones!$A$2:$A$69,0)),0)</t>
  </si>
  <si>
    <t>I24</t>
  </si>
  <si>
    <t>'=IFERROR(INDEX(Catalogo_Decisiones!$K$2:$K$69,MATCH($B24,Catalogo_Decisiones!$A$2:$A$69,0)),0)</t>
  </si>
  <si>
    <t>A25</t>
  </si>
  <si>
    <t>C25</t>
  </si>
  <si>
    <t>'=IFERROR(INDEX(Catalogo_Decisiones!$D$2:$D$69,MATCH($B25,Catalogo_Decisiones!$A$2:$A$69,0)),"")</t>
  </si>
  <si>
    <t>D25</t>
  </si>
  <si>
    <t>'=IFERROR(INDEX(Catalogo_Decisiones!$F$2:$F$69,MATCH($B25,Catalogo_Decisiones!$A$2:$A$69,0)),"")</t>
  </si>
  <si>
    <t>E25</t>
  </si>
  <si>
    <t>'=IFERROR(INDEX(Catalogo_Decisiones!$G$2:$G$69,MATCH($B25,Catalogo_Decisiones!$A$2:$A$69,0)),0)</t>
  </si>
  <si>
    <t>F25</t>
  </si>
  <si>
    <t>'=IFERROR(INDEX(Catalogo_Decisiones!$H$2:$H$69,MATCH($B25,Catalogo_Decisiones!$A$2:$A$69,0)),0)</t>
  </si>
  <si>
    <t>G25</t>
  </si>
  <si>
    <t>'=IFERROR(INDEX(Catalogo_Decisiones!$I$2:$I$69,MATCH($B25,Catalogo_Decisiones!$A$2:$A$69,0)),0)</t>
  </si>
  <si>
    <t>H25</t>
  </si>
  <si>
    <t>'=IFERROR(INDEX(Catalogo_Decisiones!$J$2:$J$69,MATCH($B25,Catalogo_Decisiones!$A$2:$A$69,0)),0)</t>
  </si>
  <si>
    <t>I25</t>
  </si>
  <si>
    <t>'=IFERROR(INDEX(Catalogo_Decisiones!$K$2:$K$69,MATCH($B25,Catalogo_Decisiones!$A$2:$A$69,0)),0)</t>
  </si>
  <si>
    <t>A26</t>
  </si>
  <si>
    <t>C26</t>
  </si>
  <si>
    <t>'=IFERROR(INDEX(Catalogo_Decisiones!$D$2:$D$69,MATCH($B26,Catalogo_Decisiones!$A$2:$A$69,0)),"")</t>
  </si>
  <si>
    <t>D26</t>
  </si>
  <si>
    <t>'=IFERROR(INDEX(Catalogo_Decisiones!$F$2:$F$69,MATCH($B26,Catalogo_Decisiones!$A$2:$A$69,0)),"")</t>
  </si>
  <si>
    <t>E26</t>
  </si>
  <si>
    <t>'=IFERROR(INDEX(Catalogo_Decisiones!$G$2:$G$69,MATCH($B26,Catalogo_Decisiones!$A$2:$A$69,0)),0)</t>
  </si>
  <si>
    <t>F26</t>
  </si>
  <si>
    <t>'=IFERROR(INDEX(Catalogo_Decisiones!$H$2:$H$69,MATCH($B26,Catalogo_Decisiones!$A$2:$A$69,0)),0)</t>
  </si>
  <si>
    <t>G26</t>
  </si>
  <si>
    <t>'=IFERROR(INDEX(Catalogo_Decisiones!$I$2:$I$69,MATCH($B26,Catalogo_Decisiones!$A$2:$A$69,0)),0)</t>
  </si>
  <si>
    <t>H26</t>
  </si>
  <si>
    <t>'=IFERROR(INDEX(Catalogo_Decisiones!$J$2:$J$69,MATCH($B26,Catalogo_Decisiones!$A$2:$A$69,0)),0)</t>
  </si>
  <si>
    <t>I26</t>
  </si>
  <si>
    <t>'=IFERROR(INDEX(Catalogo_Decisiones!$K$2:$K$69,MATCH($B26,Catalogo_Decisiones!$A$2:$A$69,0)),0)</t>
  </si>
  <si>
    <t>A27</t>
  </si>
  <si>
    <t>C27</t>
  </si>
  <si>
    <t>'=IFERROR(INDEX(Catalogo_Decisiones!$D$2:$D$69,MATCH($B27,Catalogo_Decisiones!$A$2:$A$69,0)),"")</t>
  </si>
  <si>
    <t>D27</t>
  </si>
  <si>
    <t>'=IFERROR(INDEX(Catalogo_Decisiones!$F$2:$F$69,MATCH($B27,Catalogo_Decisiones!$A$2:$A$69,0)),"")</t>
  </si>
  <si>
    <t>E27</t>
  </si>
  <si>
    <t>'=IFERROR(INDEX(Catalogo_Decisiones!$G$2:$G$69,MATCH($B27,Catalogo_Decisiones!$A$2:$A$69,0)),0)</t>
  </si>
  <si>
    <t>F27</t>
  </si>
  <si>
    <t>'=IFERROR(INDEX(Catalogo_Decisiones!$H$2:$H$69,MATCH($B27,Catalogo_Decisiones!$A$2:$A$69,0)),0)</t>
  </si>
  <si>
    <t>G27</t>
  </si>
  <si>
    <t>'=IFERROR(INDEX(Catalogo_Decisiones!$I$2:$I$69,MATCH($B27,Catalogo_Decisiones!$A$2:$A$69,0)),0)</t>
  </si>
  <si>
    <t>H27</t>
  </si>
  <si>
    <t>'=IFERROR(INDEX(Catalogo_Decisiones!$J$2:$J$69,MATCH($B27,Catalogo_Decisiones!$A$2:$A$69,0)),0)</t>
  </si>
  <si>
    <t>I27</t>
  </si>
  <si>
    <t>'=IFERROR(INDEX(Catalogo_Decisiones!$K$2:$K$69,MATCH($B27,Catalogo_Decisiones!$A$2:$A$69,0)),0)</t>
  </si>
  <si>
    <t>'=MAX(0,MIN(10,IFERROR(INDEX(Catalogo_Decisiones!$H$2:$H$69,MATCH($D2,Catalogo_Decisiones!$A$2:$A$69,0)),0)+IFERROR(INDEX(Catalogo_Decisiones!$H$2:$H$69,MATCH($E2,Catalogo_Decisiones!$A$2:$A$69,0)),0)+IFERROR(INDEX(Catalogo_Decisiones!$H$2:$H$69,MATCH($F2,Catalogo_Decisiones!$A$2:$A$69,0)),0)+IFERROR(INDEX(Catalogo_Decisiones!$H$2:$H$69,MATCH($G2,Catalogo_Decisiones!$A$2:$A$69,0)),0)))</t>
  </si>
  <si>
    <t>E9: calidad acotada 0–10</t>
  </si>
  <si>
    <t>J2</t>
  </si>
  <si>
    <t>'=IFS($B2="SEG-01",0,$B2="SEG-02",4,$B2="SEG-03",7,TRUE(),0)</t>
  </si>
  <si>
    <t>'=IF(B2="SEG-03",7,IF(B2="SEG-02",4,0))</t>
  </si>
  <si>
    <t>Compatibilidad: IF anidado en vez de IFS sin prefijo</t>
  </si>
  <si>
    <t>M2</t>
  </si>
  <si>
    <t>E3: precio elegido; supuesto inicial por segmento, editable</t>
  </si>
  <si>
    <t>N2</t>
  </si>
  <si>
    <t>'=IF(B2="","",IF(AND(M2&gt;=IF(B2="SEG-01",40,IF(B2="SEG-02",120,220)),M2&lt;=IF(B2="SEG-01",45,400)),"Válido","Fuera de rango"))</t>
  </si>
  <si>
    <t>E3: validación visible de precio</t>
  </si>
  <si>
    <t>'=IF(B2="","",IF(AND(M2&gt;=IF(B2="SEG-01",40,IF(B2="SEG-02",120,220)),M2&lt;=IF(B2="SEG-01",45,IF(B2="SEG-02",200,400))),"Válido","Fuera de rango"))</t>
  </si>
  <si>
    <t>E3: límites económicos40–45,medio120–200,premium220–400</t>
  </si>
  <si>
    <t>O2</t>
  </si>
  <si>
    <t>'=M2*IF(B2="SEG-03",IF(I2&lt;7,0.65,1.4),1)</t>
  </si>
  <si>
    <t>E9: Premium&lt;7 penaliza, &gt;=7 premia</t>
  </si>
  <si>
    <t>'=MAX(0,MIN(10,IFERROR(INDEX(Catalogo_Decisiones!$H$2:$H$69,MATCH($D3,Catalogo_Decisiones!$A$2:$A$69,0)),0)+IFERROR(INDEX(Catalogo_Decisiones!$H$2:$H$69,MATCH($E3,Catalogo_Decisiones!$A$2:$A$69,0)),0)+IFERROR(INDEX(Catalogo_Decisiones!$H$2:$H$69,MATCH($F3,Catalogo_Decisiones!$A$2:$A$69,0)),0)+IFERROR(INDEX(Catalogo_Decisiones!$H$2:$H$69,MATCH($G3,Catalogo_Decisiones!$A$2:$A$69,0)),0)))</t>
  </si>
  <si>
    <t>J3</t>
  </si>
  <si>
    <t>'=IFS($B3="SEG-01",0,$B3="SEG-02",4,$B3="SEG-03",7,TRUE(),0)</t>
  </si>
  <si>
    <t>'=IF(B3="SEG-03",7,IF(B3="SEG-02",4,0))</t>
  </si>
  <si>
    <t>M3</t>
  </si>
  <si>
    <t>N3</t>
  </si>
  <si>
    <t>'=IF(B3="","",IF(AND(M3&gt;=IF(B3="SEG-01",40,IF(B3="SEG-02",120,220)),M3&lt;=IF(B3="SEG-01",45,400)),"Válido","Fuera de rango"))</t>
  </si>
  <si>
    <t>'=IF(B3="","",IF(AND(M3&gt;=IF(B3="SEG-01",40,IF(B3="SEG-02",120,220)),M3&lt;=IF(B3="SEG-01",45,IF(B3="SEG-02",200,400))),"Válido","Fuera de rango"))</t>
  </si>
  <si>
    <t>O3</t>
  </si>
  <si>
    <t>'=M3*IF(B3="SEG-03",IF(I3&lt;7,0.65,1.4),1)</t>
  </si>
  <si>
    <t>'=MAX(0,MIN(10,IFERROR(INDEX(Catalogo_Decisiones!$H$2:$H$69,MATCH($D4,Catalogo_Decisiones!$A$2:$A$69,0)),0)+IFERROR(INDEX(Catalogo_Decisiones!$H$2:$H$69,MATCH($E4,Catalogo_Decisiones!$A$2:$A$69,0)),0)+IFERROR(INDEX(Catalogo_Decisiones!$H$2:$H$69,MATCH($F4,Catalogo_Decisiones!$A$2:$A$69,0)),0)+IFERROR(INDEX(Catalogo_Decisiones!$H$2:$H$69,MATCH($G4,Catalogo_Decisiones!$A$2:$A$69,0)),0)))</t>
  </si>
  <si>
    <t>J4</t>
  </si>
  <si>
    <t>'=IFS($B4="SEG-01",0,$B4="SEG-02",4,$B4="SEG-03",7,TRUE(),0)</t>
  </si>
  <si>
    <t>'=IF(B4="SEG-03",7,IF(B4="SEG-02",4,0))</t>
  </si>
  <si>
    <t>M4</t>
  </si>
  <si>
    <t>N4</t>
  </si>
  <si>
    <t>'=IF(B4="","",IF(AND(M4&gt;=IF(B4="SEG-01",40,IF(B4="SEG-02",120,220)),M4&lt;=IF(B4="SEG-01",45,400)),"Válido","Fuera de rango"))</t>
  </si>
  <si>
    <t>'=IF(B4="","",IF(AND(M4&gt;=IF(B4="SEG-01",40,IF(B4="SEG-02",120,220)),M4&lt;=IF(B4="SEG-01",45,IF(B4="SEG-02",200,400))),"Válido","Fuera de rango"))</t>
  </si>
  <si>
    <t>O4</t>
  </si>
  <si>
    <t>'=M4*IF(B4="SEG-03",IF(I4&lt;7,0.65,1.4),1)</t>
  </si>
  <si>
    <t>M1</t>
  </si>
  <si>
    <t>E3: único campo nuevo permitido</t>
  </si>
  <si>
    <t>N1</t>
  </si>
  <si>
    <t>O1</t>
  </si>
  <si>
    <t>E9/CONS01/02</t>
  </si>
  <si>
    <t>Motor_Puntajes</t>
  </si>
  <si>
    <t>B9</t>
  </si>
  <si>
    <t>'=SUM(Seleccion_Ciclo0!G2:G15)</t>
  </si>
  <si>
    <t>'=MAX(0,MIN(10,SUM(Seleccion_Ciclo0!G2:G15,Seleccion_Ciclo0!G24:G27)))</t>
  </si>
  <si>
    <t>E6/E9: catálogo única fuente, tope0–10</t>
  </si>
  <si>
    <t>B10</t>
  </si>
  <si>
    <t>'=SUM(Seleccion_Ciclo0!H2:H15)</t>
  </si>
  <si>
    <t>'=MAX(0,MIN(10,SUM(Seleccion_Ciclo0!H2:H15,Seleccion_Ciclo0!H24:H27)))</t>
  </si>
  <si>
    <t>B11</t>
  </si>
  <si>
    <t>'=SUM(Seleccion_Ciclo0!I2:I15)</t>
  </si>
  <si>
    <t>'=MAX(0,MIN(10,SUM(Seleccion_Ciclo0!I2:I15,Seleccion_Ciclo0!I24:I27)))</t>
  </si>
  <si>
    <t>Matriz_Consecuencias</t>
  </si>
  <si>
    <t>&lt; 4 y Segmento = Premium</t>
  </si>
  <si>
    <t>E9: cerrar hueco4–6.99; supuesto documentado</t>
  </si>
  <si>
    <t>CANTIDAD DE PRODUCCIÓN</t>
  </si>
  <si>
    <t>A75</t>
  </si>
  <si>
    <t>Calculo de Reputacion</t>
  </si>
  <si>
    <t>E6: retirar mezcla producción/publicidad/puntajes</t>
  </si>
  <si>
    <t>C75</t>
  </si>
  <si>
    <t>'=F51*10</t>
  </si>
  <si>
    <t>E6: componente histórico obsoleto, sin doble publicidad</t>
  </si>
  <si>
    <t>D75</t>
  </si>
  <si>
    <t>'=M10*10</t>
  </si>
  <si>
    <t>E75</t>
  </si>
  <si>
    <t>'=AVERAGE(H65,H68,H71)*10</t>
  </si>
  <si>
    <t>F75</t>
  </si>
  <si>
    <t>'=B73/10000*10</t>
  </si>
  <si>
    <t>G75</t>
  </si>
  <si>
    <t>'=SUM(C75:F75)</t>
  </si>
  <si>
    <t>'=Motor_Puntajes!B10</t>
  </si>
  <si>
    <t>E6: única reputación de decisiones, acotada</t>
  </si>
  <si>
    <t>A123</t>
  </si>
  <si>
    <t>C123</t>
  </si>
  <si>
    <t>D123</t>
  </si>
  <si>
    <t>E123</t>
  </si>
  <si>
    <t>F123</t>
  </si>
  <si>
    <t>G123</t>
  </si>
  <si>
    <t>'=SUM(C123:F123)</t>
  </si>
  <si>
    <t>M10</t>
  </si>
  <si>
    <t>'=L10/L9</t>
  </si>
  <si>
    <t>'=IFERROR(L10/L9,0)</t>
  </si>
  <si>
    <t>Proteger ausencia de personal</t>
  </si>
  <si>
    <t>M5</t>
  </si>
  <si>
    <t>'=K7+(F7+F13+F19)/100+4%*F21</t>
  </si>
  <si>
    <t>'=MIN(1,K7+SUM(F7,F13:H13,F19:H19)/100+4%*F21)</t>
  </si>
  <si>
    <t>E7: bono por TODOS N3; SUPUESTO eficiencia máxima100%</t>
  </si>
  <si>
    <t>Costos De Producción</t>
  </si>
  <si>
    <t>A65</t>
  </si>
  <si>
    <t>C65</t>
  </si>
  <si>
    <t>'=F48*10</t>
  </si>
  <si>
    <t>D65</t>
  </si>
  <si>
    <t>E65</t>
  </si>
  <si>
    <t>'=AVERAGE(H56,H58,H61)*10</t>
  </si>
  <si>
    <t>F65</t>
  </si>
  <si>
    <t>'=B63/10000*10</t>
  </si>
  <si>
    <t>'=SUM(C65:F65)</t>
  </si>
  <si>
    <t>A113</t>
  </si>
  <si>
    <t>C113</t>
  </si>
  <si>
    <t>D113</t>
  </si>
  <si>
    <t>E113</t>
  </si>
  <si>
    <t>F113</t>
  </si>
  <si>
    <t>G113</t>
  </si>
  <si>
    <t>'=SUM(C113:F113)</t>
  </si>
  <si>
    <t>'='CANTIDAD DE PRODUCCIÓN'!E5</t>
  </si>
  <si>
    <t>E7: productividad canónica CANTIDAD</t>
  </si>
  <si>
    <t>'='CANTIDAD DE PRODUCCIÓN'!E6</t>
  </si>
  <si>
    <t>'='CANTIDAD DE PRODUCCIÓN'!E7</t>
  </si>
  <si>
    <t>'='CANTIDAD DE PRODUCCIÓN'!E11</t>
  </si>
  <si>
    <t>'='CANTIDAD DE PRODUCCIÓN'!E12</t>
  </si>
  <si>
    <t>'='CANTIDAD DE PRODUCCIÓN'!E13</t>
  </si>
  <si>
    <t>E17</t>
  </si>
  <si>
    <t>'='CANTIDAD DE PRODUCCIÓN'!E17</t>
  </si>
  <si>
    <t>E18</t>
  </si>
  <si>
    <t>'='CANTIDAD DE PRODUCCIÓN'!E18</t>
  </si>
  <si>
    <t>E19</t>
  </si>
  <si>
    <t>'='CANTIDAD DE PRODUCCIÓN'!E19</t>
  </si>
  <si>
    <t>L5</t>
  </si>
  <si>
    <t>'=K5*30</t>
  </si>
  <si>
    <t>'=K5*24</t>
  </si>
  <si>
    <t>E7:24 días/ciclo</t>
  </si>
  <si>
    <t>E37</t>
  </si>
  <si>
    <t>'=ROUNDDOWN(D37*E35/D36,0)</t>
  </si>
  <si>
    <t>'=IFERROR(ROUNDDOWN(D37*E35/D36,0),0)</t>
  </si>
  <si>
    <t>Proteger plan total cero</t>
  </si>
  <si>
    <t>E38</t>
  </si>
  <si>
    <t>'=ROUNDDOWN(D38*E35/D36,0)</t>
  </si>
  <si>
    <t>'=IFERROR(ROUNDDOWN(D38*E35/D36,0),0)</t>
  </si>
  <si>
    <t>E39</t>
  </si>
  <si>
    <t>'=ROUNDDOWN(D39*E35/D36,0)</t>
  </si>
  <si>
    <t>'=IFERROR(ROUNDDOWN(D39*E35/D36,0),0)</t>
  </si>
  <si>
    <t>K56</t>
  </si>
  <si>
    <t>'=Lotes_Produccion!I2</t>
  </si>
  <si>
    <t>E8: recuperar calidad desde puntaje lote, no fechas</t>
  </si>
  <si>
    <t>K57</t>
  </si>
  <si>
    <t>'=Lotes_Produccion!I3</t>
  </si>
  <si>
    <t>K58</t>
  </si>
  <si>
    <t>'=Lotes_Produccion!I4</t>
  </si>
  <si>
    <t>N128</t>
  </si>
  <si>
    <t>E5a: calidad real lote0–10, editable ejemplo por empresa</t>
  </si>
  <si>
    <t>O128</t>
  </si>
  <si>
    <t>'=Lotes_Produccion!C2</t>
  </si>
  <si>
    <t>E5e: stock inicial+producción disponible, ejemplo</t>
  </si>
  <si>
    <t>P128</t>
  </si>
  <si>
    <t>E5f: producción del segmento; 0 excluye</t>
  </si>
  <si>
    <t>E128</t>
  </si>
  <si>
    <t>'=ROUND((D128/$D$132)*100,0)</t>
  </si>
  <si>
    <t>'=MAX(0,MIN(10,N128))*10</t>
  </si>
  <si>
    <t>E5a/b: calidad normalizada0–100, eliminar división reputaciones</t>
  </si>
  <si>
    <t>F128</t>
  </si>
  <si>
    <t>'=100*(MAX($C$128:$C$131)-C128)/(MAX($C$128:$C$131)-MIN($C$128:$C$131))</t>
  </si>
  <si>
    <t>'=MAX(0,MIN(100,IF(MAX($C$128:$C$131)=MIN($C$128:$C$131),100,100*(MAX($C$128:$C$131)-C128)/(MAX($C$128:$C$131)-MIN($C$128:$C$131)))))</t>
  </si>
  <si>
    <t>E5d: límites y empate</t>
  </si>
  <si>
    <t>G128</t>
  </si>
  <si>
    <t>'=D128*10</t>
  </si>
  <si>
    <t>'=MAX(0,MIN(10,D128))*10</t>
  </si>
  <si>
    <t>E9: reputación0–100</t>
  </si>
  <si>
    <t>H128</t>
  </si>
  <si>
    <t>'=$M$124*F128+$M$125*G128+$M$126*E128</t>
  </si>
  <si>
    <t>'=IF(P128&gt;0,$M$124*F128+$M$125*G128+$M$126*E128,0)</t>
  </si>
  <si>
    <t>E5f: solo compiten productores</t>
  </si>
  <si>
    <t>I128</t>
  </si>
  <si>
    <t>'=H128/$H$132</t>
  </si>
  <si>
    <t>'=IFERROR(H128/SUM($H$128:$H$131),0)</t>
  </si>
  <si>
    <t>E5b: denominador del propio segmento</t>
  </si>
  <si>
    <t>Q128</t>
  </si>
  <si>
    <t>'=MIN(MAX(0,O128),J128)</t>
  </si>
  <si>
    <t>E5e: venta limitada a stock; demanda residual perdida</t>
  </si>
  <si>
    <t>S128</t>
  </si>
  <si>
    <t>'=C128*1</t>
  </si>
  <si>
    <t>E9: precio efectivo Premium por calidad</t>
  </si>
  <si>
    <t>R128</t>
  </si>
  <si>
    <t>'=Q128*S128</t>
  </si>
  <si>
    <t>E3: ingreso con precio efectivo</t>
  </si>
  <si>
    <t>N129</t>
  </si>
  <si>
    <t>O129</t>
  </si>
  <si>
    <t>'=Lotes_Produccion!C3</t>
  </si>
  <si>
    <t>P129</t>
  </si>
  <si>
    <t>E129</t>
  </si>
  <si>
    <t>'=ROUND((D129/$D$132)*100,0)</t>
  </si>
  <si>
    <t>'=MAX(0,MIN(10,N129))*10</t>
  </si>
  <si>
    <t>F129</t>
  </si>
  <si>
    <t>'=100*(MAX($C$128:$C$131)-C129)/(MAX($C$128:$C$131)-MIN($C$128:$C$131))</t>
  </si>
  <si>
    <t>'=MAX(0,MIN(100,IF(MAX($C$128:$C$131)=MIN($C$128:$C$131),100,100*(MAX($C$128:$C$131)-C129)/(MAX($C$128:$C$131)-MIN($C$128:$C$131)))))</t>
  </si>
  <si>
    <t>G129</t>
  </si>
  <si>
    <t>'=D129*10</t>
  </si>
  <si>
    <t>'=MAX(0,MIN(10,D129))*10</t>
  </si>
  <si>
    <t>H129</t>
  </si>
  <si>
    <t>'=$M$124*F129+$M$125*G129+$M$126*E129</t>
  </si>
  <si>
    <t>'=IF(P129&gt;0,$M$124*F129+$M$125*G129+$M$126*E129,0)</t>
  </si>
  <si>
    <t>I129</t>
  </si>
  <si>
    <t>'=H129/$H$132</t>
  </si>
  <si>
    <t>'=IFERROR(H129/SUM($H$128:$H$131),0)</t>
  </si>
  <si>
    <t>Q129</t>
  </si>
  <si>
    <t>'=MIN(MAX(0,O129),J129)</t>
  </si>
  <si>
    <t>S129</t>
  </si>
  <si>
    <t>'=C129*1</t>
  </si>
  <si>
    <t>R129</t>
  </si>
  <si>
    <t>'=Q129*S129</t>
  </si>
  <si>
    <t>N130</t>
  </si>
  <si>
    <t>O130</t>
  </si>
  <si>
    <t>'=Lotes_Produccion!C4</t>
  </si>
  <si>
    <t>P130</t>
  </si>
  <si>
    <t>E130</t>
  </si>
  <si>
    <t>'=ROUND((D130/$D$132)*100,0)</t>
  </si>
  <si>
    <t>'=MAX(0,MIN(10,N130))*10</t>
  </si>
  <si>
    <t>F130</t>
  </si>
  <si>
    <t>'=100*(MAX($C$128:$C$131)-C130)/(MAX($C$128:$C$131)-MIN($C$128:$C$131))</t>
  </si>
  <si>
    <t>'=MAX(0,MIN(100,IF(MAX($C$128:$C$131)=MIN($C$128:$C$131),100,100*(MAX($C$128:$C$131)-C130)/(MAX($C$128:$C$131)-MIN($C$128:$C$131)))))</t>
  </si>
  <si>
    <t>G130</t>
  </si>
  <si>
    <t>'=D130*10</t>
  </si>
  <si>
    <t>'=MAX(0,MIN(10,D130))*10</t>
  </si>
  <si>
    <t>H130</t>
  </si>
  <si>
    <t>'=$M$124*F130+$M$125*G130+$M$126*E130</t>
  </si>
  <si>
    <t>'=IF(P130&gt;0,$M$124*F130+$M$125*G130+$M$126*E130,0)</t>
  </si>
  <si>
    <t>I130</t>
  </si>
  <si>
    <t>'=H130/$H$132</t>
  </si>
  <si>
    <t>'=IFERROR(H130/SUM($H$128:$H$131),0)</t>
  </si>
  <si>
    <t>Q130</t>
  </si>
  <si>
    <t>'=MIN(MAX(0,O130),J130)</t>
  </si>
  <si>
    <t>S130</t>
  </si>
  <si>
    <t>'=C130*1</t>
  </si>
  <si>
    <t>R130</t>
  </si>
  <si>
    <t>'=Q130*S130</t>
  </si>
  <si>
    <t>N131</t>
  </si>
  <si>
    <t>O131</t>
  </si>
  <si>
    <t>P131</t>
  </si>
  <si>
    <t>E131</t>
  </si>
  <si>
    <t>'=ROUND((D131/$D$132)*100,0)</t>
  </si>
  <si>
    <t>'=MAX(0,MIN(10,N131))*10</t>
  </si>
  <si>
    <t>F131</t>
  </si>
  <si>
    <t>'=100*(MAX($C$128:$C$131)-C131)/(MAX($C$128:$C$131)-MIN($C$128:$C$131))</t>
  </si>
  <si>
    <t>'=MAX(0,MIN(100,IF(MAX($C$128:$C$131)=MIN($C$128:$C$131),100,100*(MAX($C$128:$C$131)-C131)/(MAX($C$128:$C$131)-MIN($C$128:$C$131)))))</t>
  </si>
  <si>
    <t>G131</t>
  </si>
  <si>
    <t>'=D131*10</t>
  </si>
  <si>
    <t>'=MAX(0,MIN(10,D131))*10</t>
  </si>
  <si>
    <t>H131</t>
  </si>
  <si>
    <t>'=$M$124*F131+$M$125*G131+$M$126*E131</t>
  </si>
  <si>
    <t>'=IF(P131&gt;0,$M$124*F131+$M$125*G131+$M$126*E131,0)</t>
  </si>
  <si>
    <t>I131</t>
  </si>
  <si>
    <t>'=H131/$H$132</t>
  </si>
  <si>
    <t>'=IFERROR(H131/SUM($H$128:$H$131),0)</t>
  </si>
  <si>
    <t>Q131</t>
  </si>
  <si>
    <t>'=MIN(MAX(0,O131),J131)</t>
  </si>
  <si>
    <t>S131</t>
  </si>
  <si>
    <t>'=C131*1</t>
  </si>
  <si>
    <t>R131</t>
  </si>
  <si>
    <t>'=Q131*S131</t>
  </si>
  <si>
    <t>N127</t>
  </si>
  <si>
    <t>E5: entradas/salidas explícitas</t>
  </si>
  <si>
    <t>O127</t>
  </si>
  <si>
    <t>P127</t>
  </si>
  <si>
    <t>Q127</t>
  </si>
  <si>
    <t>R127</t>
  </si>
  <si>
    <t>S127</t>
  </si>
  <si>
    <t>B136</t>
  </si>
  <si>
    <t>'=B134*B135</t>
  </si>
  <si>
    <t>E5c: mercado real calculado</t>
  </si>
  <si>
    <t>N141</t>
  </si>
  <si>
    <t>O141</t>
  </si>
  <si>
    <t>P141</t>
  </si>
  <si>
    <t>E141</t>
  </si>
  <si>
    <t>'=ROUND((D141/$D$132)*100,0)</t>
  </si>
  <si>
    <t>'=MAX(0,MIN(10,N141))*10</t>
  </si>
  <si>
    <t>F141</t>
  </si>
  <si>
    <t>'=100-(ABS(C141-$M$140)/$M$140*100)</t>
  </si>
  <si>
    <t>'=MAX(0,MIN(100,100-ABS(C141-100)/100*100))</t>
  </si>
  <si>
    <t>G141</t>
  </si>
  <si>
    <t>'=D141*10</t>
  </si>
  <si>
    <t>'=MAX(0,MIN(10,D141))*10</t>
  </si>
  <si>
    <t>H141</t>
  </si>
  <si>
    <t>'=$M$137*F141+$M$138*G141+$M$139*E141</t>
  </si>
  <si>
    <t>'=IF(P141&gt;0,$M$137*F141+$M$138*G141+$M$139*E141,0)</t>
  </si>
  <si>
    <t>I141</t>
  </si>
  <si>
    <t>'=H141/$H$145</t>
  </si>
  <si>
    <t>'=IFERROR(H141/SUM($H$141:$H$144),0)</t>
  </si>
  <si>
    <t>Q141</t>
  </si>
  <si>
    <t>'=MIN(MAX(0,O141),J141)</t>
  </si>
  <si>
    <t>S141</t>
  </si>
  <si>
    <t>'=C141*1</t>
  </si>
  <si>
    <t>R141</t>
  </si>
  <si>
    <t>'=Q141*S141</t>
  </si>
  <si>
    <t>N142</t>
  </si>
  <si>
    <t>O142</t>
  </si>
  <si>
    <t>P142</t>
  </si>
  <si>
    <t>E142</t>
  </si>
  <si>
    <t>'=ROUND((D142/$D$132)*100,0)</t>
  </si>
  <si>
    <t>'=MAX(0,MIN(10,N142))*10</t>
  </si>
  <si>
    <t>F142</t>
  </si>
  <si>
    <t>'=100-(ABS(C142-$M$140)/$M$140*100)</t>
  </si>
  <si>
    <t>'=MAX(0,MIN(100,100-ABS(C142-100)/100*100))</t>
  </si>
  <si>
    <t>G142</t>
  </si>
  <si>
    <t>'=D142*10</t>
  </si>
  <si>
    <t>'=MAX(0,MIN(10,D142))*10</t>
  </si>
  <si>
    <t>H142</t>
  </si>
  <si>
    <t>'=$M$137*F142+$M$138*G142+$M$139*E142</t>
  </si>
  <si>
    <t>'=IF(P142&gt;0,$M$137*F142+$M$138*G142+$M$139*E142,0)</t>
  </si>
  <si>
    <t>I142</t>
  </si>
  <si>
    <t>'=H142/$H$145</t>
  </si>
  <si>
    <t>'=IFERROR(H142/SUM($H$141:$H$144),0)</t>
  </si>
  <si>
    <t>Q142</t>
  </si>
  <si>
    <t>'=MIN(MAX(0,O142),J142)</t>
  </si>
  <si>
    <t>S142</t>
  </si>
  <si>
    <t>'=C142*1</t>
  </si>
  <si>
    <t>R142</t>
  </si>
  <si>
    <t>'=Q142*S142</t>
  </si>
  <si>
    <t>N143</t>
  </si>
  <si>
    <t>O143</t>
  </si>
  <si>
    <t>P143</t>
  </si>
  <si>
    <t>E143</t>
  </si>
  <si>
    <t>'=ROUND((D143/$D$132)*100,0)</t>
  </si>
  <si>
    <t>'=MAX(0,MIN(10,N143))*10</t>
  </si>
  <si>
    <t>F143</t>
  </si>
  <si>
    <t>'=100-(ABS(C143-$M$140)/$M$140*100)</t>
  </si>
  <si>
    <t>'=MAX(0,MIN(100,100-ABS(C143-100)/100*100))</t>
  </si>
  <si>
    <t>G143</t>
  </si>
  <si>
    <t>'=D143*10</t>
  </si>
  <si>
    <t>'=MAX(0,MIN(10,D143))*10</t>
  </si>
  <si>
    <t>H143</t>
  </si>
  <si>
    <t>'=$M$137*F143+$M$138*G143+$M$139*E143</t>
  </si>
  <si>
    <t>'=IF(P143&gt;0,$M$137*F143+$M$138*G143+$M$139*E143,0)</t>
  </si>
  <si>
    <t>I143</t>
  </si>
  <si>
    <t>'=H143/$H$145</t>
  </si>
  <si>
    <t>'=IFERROR(H143/SUM($H$141:$H$144),0)</t>
  </si>
  <si>
    <t>Q143</t>
  </si>
  <si>
    <t>'=MIN(MAX(0,O143),J143)</t>
  </si>
  <si>
    <t>S143</t>
  </si>
  <si>
    <t>'=C143*1</t>
  </si>
  <si>
    <t>R143</t>
  </si>
  <si>
    <t>'=Q143*S143</t>
  </si>
  <si>
    <t>N144</t>
  </si>
  <si>
    <t>O144</t>
  </si>
  <si>
    <t>P144</t>
  </si>
  <si>
    <t>E144</t>
  </si>
  <si>
    <t>'=ROUND((D144/$D$132)*100,0)</t>
  </si>
  <si>
    <t>'=MAX(0,MIN(10,N144))*10</t>
  </si>
  <si>
    <t>F144</t>
  </si>
  <si>
    <t>'=100-(ABS(C144-$M$140)/$M$140*100)</t>
  </si>
  <si>
    <t>'=MAX(0,MIN(100,100-ABS(C144-100)/100*100))</t>
  </si>
  <si>
    <t>G144</t>
  </si>
  <si>
    <t>'=D144*10</t>
  </si>
  <si>
    <t>'=MAX(0,MIN(10,D144))*10</t>
  </si>
  <si>
    <t>H144</t>
  </si>
  <si>
    <t>'=$M$137*F144+$M$138*G144+$M$139*E144</t>
  </si>
  <si>
    <t>'=IF(P144&gt;0,$M$137*F144+$M$138*G144+$M$139*E144,0)</t>
  </si>
  <si>
    <t>I144</t>
  </si>
  <si>
    <t>'=H144/$H$145</t>
  </si>
  <si>
    <t>'=IFERROR(H144/SUM($H$141:$H$144),0)</t>
  </si>
  <si>
    <t>Q144</t>
  </si>
  <si>
    <t>'=MIN(MAX(0,O144),J144)</t>
  </si>
  <si>
    <t>S144</t>
  </si>
  <si>
    <t>'=C144*1</t>
  </si>
  <si>
    <t>R144</t>
  </si>
  <si>
    <t>'=Q144*S144</t>
  </si>
  <si>
    <t>N140</t>
  </si>
  <si>
    <t>O140</t>
  </si>
  <si>
    <t>P140</t>
  </si>
  <si>
    <t>Q140</t>
  </si>
  <si>
    <t>R140</t>
  </si>
  <si>
    <t>S140</t>
  </si>
  <si>
    <t>B149</t>
  </si>
  <si>
    <t>'=B147*B148</t>
  </si>
  <si>
    <t>N154</t>
  </si>
  <si>
    <t>O154</t>
  </si>
  <si>
    <t>P154</t>
  </si>
  <si>
    <t>E154</t>
  </si>
  <si>
    <t>'=ROUND((D154/$D$132)*100,0)</t>
  </si>
  <si>
    <t>'=MAX(0,MIN(10,N154))*10</t>
  </si>
  <si>
    <t>F154</t>
  </si>
  <si>
    <t>'=100-(ABS(C154-$M$153)/$M$153*100)</t>
  </si>
  <si>
    <t>'=MAX(0,MIN(100,100-ABS(C154-250)/250*100))</t>
  </si>
  <si>
    <t>G154</t>
  </si>
  <si>
    <t>'=D154*10</t>
  </si>
  <si>
    <t>'=MAX(0,MIN(10,D154))*10</t>
  </si>
  <si>
    <t>H154</t>
  </si>
  <si>
    <t>'=$M$150*F154+$M$151*G154+$M$152*E154</t>
  </si>
  <si>
    <t>'=IF(P154&gt;0,$M$150*F154+$M$151*G154+$M$152*E154,0)</t>
  </si>
  <si>
    <t>I154</t>
  </si>
  <si>
    <t>'=H154/$H$158</t>
  </si>
  <si>
    <t>'=IFERROR(H154/SUM($H$154:$H$157),0)</t>
  </si>
  <si>
    <t>Q154</t>
  </si>
  <si>
    <t>'=MIN(MAX(0,O154),J154)</t>
  </si>
  <si>
    <t>S154</t>
  </si>
  <si>
    <t>'=C154*IF(N154&lt;7,0.65,1.4)</t>
  </si>
  <si>
    <t>R154</t>
  </si>
  <si>
    <t>'=Q154*S154</t>
  </si>
  <si>
    <t>N155</t>
  </si>
  <si>
    <t>O155</t>
  </si>
  <si>
    <t>P155</t>
  </si>
  <si>
    <t>E155</t>
  </si>
  <si>
    <t>'=ROUND((D155/$D$132)*100,0)</t>
  </si>
  <si>
    <t>'=MAX(0,MIN(10,N155))*10</t>
  </si>
  <si>
    <t>F155</t>
  </si>
  <si>
    <t>'=100-(ABS(C155-$M$153)/$M$153*100)</t>
  </si>
  <si>
    <t>'=MAX(0,MIN(100,100-ABS(C155-250)/250*100))</t>
  </si>
  <si>
    <t>G155</t>
  </si>
  <si>
    <t>'=D155*10</t>
  </si>
  <si>
    <t>'=MAX(0,MIN(10,D155))*10</t>
  </si>
  <si>
    <t>H155</t>
  </si>
  <si>
    <t>'=$M$150*F155+$M$151*G155+$M$152*E155</t>
  </si>
  <si>
    <t>'=IF(P155&gt;0,$M$150*F155+$M$151*G155+$M$152*E155,0)</t>
  </si>
  <si>
    <t>I155</t>
  </si>
  <si>
    <t>'=H155/$H$158</t>
  </si>
  <si>
    <t>'=IFERROR(H155/SUM($H$154:$H$157),0)</t>
  </si>
  <si>
    <t>Q155</t>
  </si>
  <si>
    <t>'=MIN(MAX(0,O155),J155)</t>
  </si>
  <si>
    <t>S155</t>
  </si>
  <si>
    <t>'=C155*IF(N155&lt;7,0.65,1.4)</t>
  </si>
  <si>
    <t>R155</t>
  </si>
  <si>
    <t>'=Q155*S155</t>
  </si>
  <si>
    <t>N156</t>
  </si>
  <si>
    <t>O156</t>
  </si>
  <si>
    <t>P156</t>
  </si>
  <si>
    <t>E156</t>
  </si>
  <si>
    <t>'=ROUND((D156/$D$132)*100,0)</t>
  </si>
  <si>
    <t>'=MAX(0,MIN(10,N156))*10</t>
  </si>
  <si>
    <t>F156</t>
  </si>
  <si>
    <t>'=100-(ABS(C156-$M$153)/$M$153*100)</t>
  </si>
  <si>
    <t>'=MAX(0,MIN(100,100-ABS(C156-250)/250*100))</t>
  </si>
  <si>
    <t>G156</t>
  </si>
  <si>
    <t>'=D156*10</t>
  </si>
  <si>
    <t>'=MAX(0,MIN(10,D156))*10</t>
  </si>
  <si>
    <t>H156</t>
  </si>
  <si>
    <t>'=$M$150*F156+$M$151*G156+$M$152*E156</t>
  </si>
  <si>
    <t>'=IF(P156&gt;0,$M$150*F156+$M$151*G156+$M$152*E156,0)</t>
  </si>
  <si>
    <t>I156</t>
  </si>
  <si>
    <t>'=H156/$H$158</t>
  </si>
  <si>
    <t>'=IFERROR(H156/SUM($H$154:$H$157),0)</t>
  </si>
  <si>
    <t>Q156</t>
  </si>
  <si>
    <t>'=MIN(MAX(0,O156),J156)</t>
  </si>
  <si>
    <t>S156</t>
  </si>
  <si>
    <t>'=C156*IF(N156&lt;7,0.65,1.4)</t>
  </si>
  <si>
    <t>R156</t>
  </si>
  <si>
    <t>'=Q156*S156</t>
  </si>
  <si>
    <t>N157</t>
  </si>
  <si>
    <t>O157</t>
  </si>
  <si>
    <t>P157</t>
  </si>
  <si>
    <t>E157</t>
  </si>
  <si>
    <t>'=ROUND((D157/$D$132)*100,0)</t>
  </si>
  <si>
    <t>'=MAX(0,MIN(10,N157))*10</t>
  </si>
  <si>
    <t>F157</t>
  </si>
  <si>
    <t>'=100-(ABS(C157-$M$153)/$M$153*100)</t>
  </si>
  <si>
    <t>'=MAX(0,MIN(100,100-ABS(C157-250)/250*100))</t>
  </si>
  <si>
    <t>G157</t>
  </si>
  <si>
    <t>'=D157*10</t>
  </si>
  <si>
    <t>'=MAX(0,MIN(10,D157))*10</t>
  </si>
  <si>
    <t>H157</t>
  </si>
  <si>
    <t>'=$M$150*F157+$M$151*G157+$M$152*E157</t>
  </si>
  <si>
    <t>'=IF(P157&gt;0,$M$150*F157+$M$151*G157+$M$152*E157,0)</t>
  </si>
  <si>
    <t>I157</t>
  </si>
  <si>
    <t>'=H157/$H$158</t>
  </si>
  <si>
    <t>'=IFERROR(H157/SUM($H$154:$H$157),0)</t>
  </si>
  <si>
    <t>Q157</t>
  </si>
  <si>
    <t>'=MIN(MAX(0,O157),J157)</t>
  </si>
  <si>
    <t>S157</t>
  </si>
  <si>
    <t>'=C157*IF(N157&lt;7,0.65,1.4)</t>
  </si>
  <si>
    <t>R157</t>
  </si>
  <si>
    <t>'=Q157*S157</t>
  </si>
  <si>
    <t>N153</t>
  </si>
  <si>
    <t>O153</t>
  </si>
  <si>
    <t>P153</t>
  </si>
  <si>
    <t>Q153</t>
  </si>
  <si>
    <t>R153</t>
  </si>
  <si>
    <t>S153</t>
  </si>
  <si>
    <t>B162</t>
  </si>
  <si>
    <t>'=B160*B161</t>
  </si>
  <si>
    <t>A170</t>
  </si>
  <si>
    <t>E4/E5</t>
  </si>
  <si>
    <t>N118</t>
  </si>
  <si>
    <t>O118</t>
  </si>
  <si>
    <t>P118</t>
  </si>
  <si>
    <t>E118</t>
  </si>
  <si>
    <t>'=ROUND((D118/$D$122)*100,0)</t>
  </si>
  <si>
    <t>'=MAX(0,MIN(10,N118))*10</t>
  </si>
  <si>
    <t>F118</t>
  </si>
  <si>
    <t>'=100*(MAX($C$118:$C$121)-C118)/(MAX($C$118:$C$121)-MIN($C$118:$C$121))</t>
  </si>
  <si>
    <t>'=MAX(0,MIN(100,IF(MAX($C$118:$C$121)=MIN($C$118:$C$121),100,100*(MAX($C$118:$C$121)-C118)/(MAX($C$118:$C$121)-MIN($C$118:$C$121)))))</t>
  </si>
  <si>
    <t>G118</t>
  </si>
  <si>
    <t>'=D118*10</t>
  </si>
  <si>
    <t>'=MAX(0,MIN(10,D118))*10</t>
  </si>
  <si>
    <t>H118</t>
  </si>
  <si>
    <t>'=$M$114*F118+$M$115*G118+$M$116*E118</t>
  </si>
  <si>
    <t>'=IF(P118&gt;0,$M$114*F118+$M$115*G118+$M$116*E118,0)</t>
  </si>
  <si>
    <t>I118</t>
  </si>
  <si>
    <t>'=H118/$H$122</t>
  </si>
  <si>
    <t>'=IFERROR(H118/SUM($H$118:$H$121),0)</t>
  </si>
  <si>
    <t>Q118</t>
  </si>
  <si>
    <t>'=MIN(MAX(0,O118),J118)</t>
  </si>
  <si>
    <t>S118</t>
  </si>
  <si>
    <t>'=C118*1</t>
  </si>
  <si>
    <t>R118</t>
  </si>
  <si>
    <t>'=Q118*S118</t>
  </si>
  <si>
    <t>N119</t>
  </si>
  <si>
    <t>O119</t>
  </si>
  <si>
    <t>P119</t>
  </si>
  <si>
    <t>E119</t>
  </si>
  <si>
    <t>'=ROUND((D119/$D$122)*100,0)</t>
  </si>
  <si>
    <t>'=MAX(0,MIN(10,N119))*10</t>
  </si>
  <si>
    <t>F119</t>
  </si>
  <si>
    <t>'=100*(MAX($C$118:$C$121)-C119)/(MAX($C$118:$C$121)-MIN($C$118:$C$121))</t>
  </si>
  <si>
    <t>'=MAX(0,MIN(100,IF(MAX($C$118:$C$121)=MIN($C$118:$C$121),100,100*(MAX($C$118:$C$121)-C119)/(MAX($C$118:$C$121)-MIN($C$118:$C$121)))))</t>
  </si>
  <si>
    <t>G119</t>
  </si>
  <si>
    <t>'=D119*10</t>
  </si>
  <si>
    <t>'=MAX(0,MIN(10,D119))*10</t>
  </si>
  <si>
    <t>H119</t>
  </si>
  <si>
    <t>'=$M$114*F119+$M$115*G119+$M$116*E119</t>
  </si>
  <si>
    <t>'=IF(P119&gt;0,$M$114*F119+$M$115*G119+$M$116*E119,0)</t>
  </si>
  <si>
    <t>I119</t>
  </si>
  <si>
    <t>'=H119/$H$122</t>
  </si>
  <si>
    <t>'=IFERROR(H119/SUM($H$118:$H$121),0)</t>
  </si>
  <si>
    <t>Q119</t>
  </si>
  <si>
    <t>'=MIN(MAX(0,O119),J119)</t>
  </si>
  <si>
    <t>S119</t>
  </si>
  <si>
    <t>'=C119*1</t>
  </si>
  <si>
    <t>R119</t>
  </si>
  <si>
    <t>'=Q119*S119</t>
  </si>
  <si>
    <t>N120</t>
  </si>
  <si>
    <t>O120</t>
  </si>
  <si>
    <t>P120</t>
  </si>
  <si>
    <t>E120</t>
  </si>
  <si>
    <t>'=ROUND((D120/$D$122)*100,0)</t>
  </si>
  <si>
    <t>'=MAX(0,MIN(10,N120))*10</t>
  </si>
  <si>
    <t>F120</t>
  </si>
  <si>
    <t>'=100*(MAX($C$118:$C$121)-C120)/(MAX($C$118:$C$121)-MIN($C$118:$C$121))</t>
  </si>
  <si>
    <t>'=MAX(0,MIN(100,IF(MAX($C$118:$C$121)=MIN($C$118:$C$121),100,100*(MAX($C$118:$C$121)-C120)/(MAX($C$118:$C$121)-MIN($C$118:$C$121)))))</t>
  </si>
  <si>
    <t>G120</t>
  </si>
  <si>
    <t>'=D120*10</t>
  </si>
  <si>
    <t>'=MAX(0,MIN(10,D120))*10</t>
  </si>
  <si>
    <t>H120</t>
  </si>
  <si>
    <t>'=$M$114*F120+$M$115*G120+$M$116*E120</t>
  </si>
  <si>
    <t>'=IF(P120&gt;0,$M$114*F120+$M$115*G120+$M$116*E120,0)</t>
  </si>
  <si>
    <t>I120</t>
  </si>
  <si>
    <t>'=H120/$H$122</t>
  </si>
  <si>
    <t>'=IFERROR(H120/SUM($H$118:$H$121),0)</t>
  </si>
  <si>
    <t>Q120</t>
  </si>
  <si>
    <t>'=MIN(MAX(0,O120),J120)</t>
  </si>
  <si>
    <t>S120</t>
  </si>
  <si>
    <t>'=C120*1</t>
  </si>
  <si>
    <t>R120</t>
  </si>
  <si>
    <t>'=Q120*S120</t>
  </si>
  <si>
    <t>N121</t>
  </si>
  <si>
    <t>O121</t>
  </si>
  <si>
    <t>P121</t>
  </si>
  <si>
    <t>E121</t>
  </si>
  <si>
    <t>'=ROUND((D121/$D$122)*100,0)</t>
  </si>
  <si>
    <t>'=MAX(0,MIN(10,N121))*10</t>
  </si>
  <si>
    <t>F121</t>
  </si>
  <si>
    <t>'=100*(MAX($C$118:$C$121)-C121)/(MAX($C$118:$C$121)-MIN($C$118:$C$121))</t>
  </si>
  <si>
    <t>'=MAX(0,MIN(100,IF(MAX($C$118:$C$121)=MIN($C$118:$C$121),100,100*(MAX($C$118:$C$121)-C121)/(MAX($C$118:$C$121)-MIN($C$118:$C$121)))))</t>
  </si>
  <si>
    <t>G121</t>
  </si>
  <si>
    <t>'=D121*10</t>
  </si>
  <si>
    <t>'=MAX(0,MIN(10,D121))*10</t>
  </si>
  <si>
    <t>H121</t>
  </si>
  <si>
    <t>'=$M$114*F121+$M$115*G121+$M$116*E121</t>
  </si>
  <si>
    <t>'=IF(P121&gt;0,$M$114*F121+$M$115*G121+$M$116*E121,0)</t>
  </si>
  <si>
    <t>I121</t>
  </si>
  <si>
    <t>'=H121/$H$122</t>
  </si>
  <si>
    <t>'=IFERROR(H121/SUM($H$118:$H$121),0)</t>
  </si>
  <si>
    <t>Q121</t>
  </si>
  <si>
    <t>'=MIN(MAX(0,O121),J121)</t>
  </si>
  <si>
    <t>S121</t>
  </si>
  <si>
    <t>'=C121*1</t>
  </si>
  <si>
    <t>R121</t>
  </si>
  <si>
    <t>'=Q121*S121</t>
  </si>
  <si>
    <t>N117</t>
  </si>
  <si>
    <t>O117</t>
  </si>
  <si>
    <t>P117</t>
  </si>
  <si>
    <t>Q117</t>
  </si>
  <si>
    <t>R117</t>
  </si>
  <si>
    <t>S117</t>
  </si>
  <si>
    <t>B126</t>
  </si>
  <si>
    <t>'=B124*B125</t>
  </si>
  <si>
    <t>'=ROUND((D131/$D$122)*100,0)</t>
  </si>
  <si>
    <t>'=100-(ABS(C131-$M$130)/$M$130*100)</t>
  </si>
  <si>
    <t>'=MAX(0,MIN(100,100-ABS(C131-100)/100*100))</t>
  </si>
  <si>
    <t>'=$M$127*F131+$M$128*G131+$M$129*E131</t>
  </si>
  <si>
    <t>'=IF(P131&gt;0,$M$127*F131+$M$128*G131+$M$129*E131,0)</t>
  </si>
  <si>
    <t>'=H131/$H$135</t>
  </si>
  <si>
    <t>'=IFERROR(H131/SUM($H$131:$H$134),0)</t>
  </si>
  <si>
    <t>N132</t>
  </si>
  <si>
    <t>O132</t>
  </si>
  <si>
    <t>P132</t>
  </si>
  <si>
    <t>E132</t>
  </si>
  <si>
    <t>'=ROUND((D132/$D$122)*100,0)</t>
  </si>
  <si>
    <t>'=MAX(0,MIN(10,N132))*10</t>
  </si>
  <si>
    <t>F132</t>
  </si>
  <si>
    <t>'=100-(ABS(C132-$M$130)/$M$130*100)</t>
  </si>
  <si>
    <t>'=MAX(0,MIN(100,100-ABS(C132-100)/100*100))</t>
  </si>
  <si>
    <t>G132</t>
  </si>
  <si>
    <t>'=D132*10</t>
  </si>
  <si>
    <t>'=MAX(0,MIN(10,D132))*10</t>
  </si>
  <si>
    <t>H132</t>
  </si>
  <si>
    <t>'=$M$127*F132+$M$128*G132+$M$129*E132</t>
  </si>
  <si>
    <t>'=IF(P132&gt;0,$M$127*F132+$M$128*G132+$M$129*E132,0)</t>
  </si>
  <si>
    <t>I132</t>
  </si>
  <si>
    <t>'=H132/$H$135</t>
  </si>
  <si>
    <t>'=IFERROR(H132/SUM($H$131:$H$134),0)</t>
  </si>
  <si>
    <t>Q132</t>
  </si>
  <si>
    <t>'=MIN(MAX(0,O132),J132)</t>
  </si>
  <si>
    <t>S132</t>
  </si>
  <si>
    <t>'=C132*1</t>
  </si>
  <si>
    <t>R132</t>
  </si>
  <si>
    <t>'=Q132*S132</t>
  </si>
  <si>
    <t>N133</t>
  </si>
  <si>
    <t>O133</t>
  </si>
  <si>
    <t>P133</t>
  </si>
  <si>
    <t>E133</t>
  </si>
  <si>
    <t>'=ROUND((D133/$D$122)*100,0)</t>
  </si>
  <si>
    <t>'=MAX(0,MIN(10,N133))*10</t>
  </si>
  <si>
    <t>F133</t>
  </si>
  <si>
    <t>'=100-(ABS(C133-$M$130)/$M$130*100)</t>
  </si>
  <si>
    <t>'=MAX(0,MIN(100,100-ABS(C133-100)/100*100))</t>
  </si>
  <si>
    <t>G133</t>
  </si>
  <si>
    <t>'=D133*10</t>
  </si>
  <si>
    <t>'=MAX(0,MIN(10,D133))*10</t>
  </si>
  <si>
    <t>H133</t>
  </si>
  <si>
    <t>'=$M$127*F133+$M$128*G133+$M$129*E133</t>
  </si>
  <si>
    <t>'=IF(P133&gt;0,$M$127*F133+$M$128*G133+$M$129*E133,0)</t>
  </si>
  <si>
    <t>I133</t>
  </si>
  <si>
    <t>'=H133/$H$135</t>
  </si>
  <si>
    <t>'=IFERROR(H133/SUM($H$131:$H$134),0)</t>
  </si>
  <si>
    <t>Q133</t>
  </si>
  <si>
    <t>'=MIN(MAX(0,O133),J133)</t>
  </si>
  <si>
    <t>S133</t>
  </si>
  <si>
    <t>'=C133*1</t>
  </si>
  <si>
    <t>R133</t>
  </si>
  <si>
    <t>'=Q133*S133</t>
  </si>
  <si>
    <t>N134</t>
  </si>
  <si>
    <t>O134</t>
  </si>
  <si>
    <t>P134</t>
  </si>
  <si>
    <t>E134</t>
  </si>
  <si>
    <t>'=ROUND((D134/$D$122)*100,0)</t>
  </si>
  <si>
    <t>'=MAX(0,MIN(10,N134))*10</t>
  </si>
  <si>
    <t>F134</t>
  </si>
  <si>
    <t>'=100-(ABS(C134-$M$130)/$M$130*100)</t>
  </si>
  <si>
    <t>'=MAX(0,MIN(100,100-ABS(C134-100)/100*100))</t>
  </si>
  <si>
    <t>G134</t>
  </si>
  <si>
    <t>'=D134*10</t>
  </si>
  <si>
    <t>'=MAX(0,MIN(10,D134))*10</t>
  </si>
  <si>
    <t>H134</t>
  </si>
  <si>
    <t>'=$M$127*F134+$M$128*G134+$M$129*E134</t>
  </si>
  <si>
    <t>'=IF(P134&gt;0,$M$127*F134+$M$128*G134+$M$129*E134,0)</t>
  </si>
  <si>
    <t>I134</t>
  </si>
  <si>
    <t>'=H134/$H$135</t>
  </si>
  <si>
    <t>'=IFERROR(H134/SUM($H$131:$H$134),0)</t>
  </si>
  <si>
    <t>Q134</t>
  </si>
  <si>
    <t>'=MIN(MAX(0,O134),J134)</t>
  </si>
  <si>
    <t>S134</t>
  </si>
  <si>
    <t>'=C134*1</t>
  </si>
  <si>
    <t>R134</t>
  </si>
  <si>
    <t>'=Q134*S134</t>
  </si>
  <si>
    <t>B139</t>
  </si>
  <si>
    <t>'=B137*B138</t>
  </si>
  <si>
    <t>'=ROUND((D144/$D$122)*100,0)</t>
  </si>
  <si>
    <t>'=100-(ABS(C144-$M$143)/$M$143*100)</t>
  </si>
  <si>
    <t>'=MAX(0,MIN(100,100-ABS(C144-250)/250*100))</t>
  </si>
  <si>
    <t>'=$M$140*F144+$M$141*G144+$M$142*E144</t>
  </si>
  <si>
    <t>'=IF(P144&gt;0,$M$140*F144+$M$141*G144+$M$142*E144,0)</t>
  </si>
  <si>
    <t>'=H144/$H$148</t>
  </si>
  <si>
    <t>'=IFERROR(H144/SUM($H$144:$H$147),0)</t>
  </si>
  <si>
    <t>'=C144*IF(N144&lt;7,0.65,1.4)</t>
  </si>
  <si>
    <t>N145</t>
  </si>
  <si>
    <t>O145</t>
  </si>
  <si>
    <t>P145</t>
  </si>
  <si>
    <t>E145</t>
  </si>
  <si>
    <t>'=ROUND((D145/$D$122)*100,0)</t>
  </si>
  <si>
    <t>'=MAX(0,MIN(10,N145))*10</t>
  </si>
  <si>
    <t>F145</t>
  </si>
  <si>
    <t>'=100-(ABS(C145-$M$143)/$M$143*100)</t>
  </si>
  <si>
    <t>'=MAX(0,MIN(100,100-ABS(C145-250)/250*100))</t>
  </si>
  <si>
    <t>G145</t>
  </si>
  <si>
    <t>'=D145*10</t>
  </si>
  <si>
    <t>'=MAX(0,MIN(10,D145))*10</t>
  </si>
  <si>
    <t>H145</t>
  </si>
  <si>
    <t>'=$M$140*F145+$M$141*G145+$M$142*E145</t>
  </si>
  <si>
    <t>'=IF(P145&gt;0,$M$140*F145+$M$141*G145+$M$142*E145,0)</t>
  </si>
  <si>
    <t>I145</t>
  </si>
  <si>
    <t>'=H145/$H$148</t>
  </si>
  <si>
    <t>'=IFERROR(H145/SUM($H$144:$H$147),0)</t>
  </si>
  <si>
    <t>Q145</t>
  </si>
  <si>
    <t>'=MIN(MAX(0,O145),J145)</t>
  </si>
  <si>
    <t>S145</t>
  </si>
  <si>
    <t>'=C145*IF(N145&lt;7,0.65,1.4)</t>
  </si>
  <si>
    <t>R145</t>
  </si>
  <si>
    <t>'=Q145*S145</t>
  </si>
  <si>
    <t>N146</t>
  </si>
  <si>
    <t>O146</t>
  </si>
  <si>
    <t>P146</t>
  </si>
  <si>
    <t>E146</t>
  </si>
  <si>
    <t>'=ROUND((D146/$D$122)*100,0)</t>
  </si>
  <si>
    <t>'=MAX(0,MIN(10,N146))*10</t>
  </si>
  <si>
    <t>F146</t>
  </si>
  <si>
    <t>'=100-(ABS(C146-$M$143)/$M$143*100)</t>
  </si>
  <si>
    <t>'=MAX(0,MIN(100,100-ABS(C146-250)/250*100))</t>
  </si>
  <si>
    <t>G146</t>
  </si>
  <si>
    <t>'=D146*10</t>
  </si>
  <si>
    <t>'=MAX(0,MIN(10,D146))*10</t>
  </si>
  <si>
    <t>H146</t>
  </si>
  <si>
    <t>'=$M$140*F146+$M$141*G146+$M$142*E146</t>
  </si>
  <si>
    <t>'=IF(P146&gt;0,$M$140*F146+$M$141*G146+$M$142*E146,0)</t>
  </si>
  <si>
    <t>I146</t>
  </si>
  <si>
    <t>'=H146/$H$148</t>
  </si>
  <si>
    <t>'=IFERROR(H146/SUM($H$144:$H$147),0)</t>
  </si>
  <si>
    <t>Q146</t>
  </si>
  <si>
    <t>'=MIN(MAX(0,O146),J146)</t>
  </si>
  <si>
    <t>S146</t>
  </si>
  <si>
    <t>'=C146*IF(N146&lt;7,0.65,1.4)</t>
  </si>
  <si>
    <t>R146</t>
  </si>
  <si>
    <t>'=Q146*S146</t>
  </si>
  <si>
    <t>N147</t>
  </si>
  <si>
    <t>O147</t>
  </si>
  <si>
    <t>P147</t>
  </si>
  <si>
    <t>E147</t>
  </si>
  <si>
    <t>'=ROUND((D147/$D$122)*100,0)</t>
  </si>
  <si>
    <t>'=MAX(0,MIN(10,N147))*10</t>
  </si>
  <si>
    <t>F147</t>
  </si>
  <si>
    <t>'=100-(ABS(C147-$M$143)/$M$143*100)</t>
  </si>
  <si>
    <t>'=MAX(0,MIN(100,100-ABS(C147-250)/250*100))</t>
  </si>
  <si>
    <t>G147</t>
  </si>
  <si>
    <t>'=D147*10</t>
  </si>
  <si>
    <t>'=MAX(0,MIN(10,D147))*10</t>
  </si>
  <si>
    <t>H147</t>
  </si>
  <si>
    <t>'=$M$140*F147+$M$141*G147+$M$142*E147</t>
  </si>
  <si>
    <t>'=IF(P147&gt;0,$M$140*F147+$M$141*G147+$M$142*E147,0)</t>
  </si>
  <si>
    <t>I147</t>
  </si>
  <si>
    <t>'=H147/$H$148</t>
  </si>
  <si>
    <t>'=IFERROR(H147/SUM($H$144:$H$147),0)</t>
  </si>
  <si>
    <t>Q147</t>
  </si>
  <si>
    <t>'=MIN(MAX(0,O147),J147)</t>
  </si>
  <si>
    <t>S147</t>
  </si>
  <si>
    <t>'=C147*IF(N147&lt;7,0.65,1.4)</t>
  </si>
  <si>
    <t>R147</t>
  </si>
  <si>
    <t>'=Q147*S147</t>
  </si>
  <si>
    <t>B152</t>
  </si>
  <si>
    <t>'=B150*B151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</si>
</sst>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S/.]#,##0.00"/>
    <numFmt numFmtId="166" formatCode="d\.m"/>
    <numFmt numFmtId="167" formatCode="&quot;S/&quot;#,##0.00"/>
    <numFmt numFmtId="168" formatCode="yyyy\-mm\-dd\ h:mm:ss"/>
  </numFmts>
  <fonts count="20" x14ac:knownFonts="1">
    <font>
      <sz val="11"/>
      <color theme="1"/>
      <name val="Calibri"/>
      <scheme val="minor"/>
    </font>
    <font>
      <b/>
      <sz val="14"/>
      <color rgb="FF1F3864"/>
      <name val="Arial"/>
    </font>
    <font>
      <b/>
      <sz val="11"/>
      <color rgb="FFFFFFFF"/>
      <name val="Calibri"/>
      <scheme val="minor"/>
    </font>
    <font>
      <sz val="11"/>
      <color theme="1"/>
      <name val="Calibri"/>
      <scheme val="minor"/>
    </font>
    <font>
      <sz val="10"/>
      <color theme="1"/>
      <name val="Arial"/>
    </font>
    <font>
      <b/>
      <sz val="10"/>
      <color theme="1"/>
      <name val="Arial"/>
    </font>
    <font>
      <b/>
      <sz val="11"/>
      <color rgb="FFFFFFFF"/>
      <name val="Arial"/>
    </font>
    <font>
      <sz val="18"/>
      <color theme="1"/>
      <name val="Calibri"/>
      <scheme val="minor"/>
    </font>
    <font>
      <b/>
      <sz val="11"/>
      <color theme="1"/>
      <name val="Calibri"/>
      <scheme val="minor"/>
    </font>
    <font>
      <sz val="19"/>
      <color theme="1"/>
      <name val="Calibri"/>
      <scheme val="minor"/>
    </font>
    <font>
      <sz val="11"/>
      <color rgb="FF000000"/>
      <name val="Calibri"/>
    </font>
    <font>
      <sz val="15"/>
      <color theme="1"/>
      <name val="Calibri"/>
      <scheme val="minor"/>
    </font>
    <font>
      <sz val="17"/>
      <color theme="1"/>
      <name val="Calibri"/>
      <scheme val="minor"/>
    </font>
    <font>
      <sz val="16"/>
      <color theme="1"/>
      <name val="Calibri"/>
      <scheme val="minor"/>
    </font>
    <font>
      <b/>
      <i/>
      <sz val="11"/>
      <color theme="1"/>
      <name val="Calibri"/>
      <scheme val="minor"/>
    </font>
    <font>
      <sz val="11"/>
      <color theme="1"/>
      <name val="Calibri"/>
    </font>
    <font>
      <i/>
      <sz val="9"/>
      <color rgb="FF666666"/>
      <name val="Arial"/>
    </font>
    <font>
      <b/>
      <i/>
      <sz val="10"/>
      <color rgb="FF1F3864"/>
      <name val="Arial"/>
    </font>
    <font>
      <sz val="10"/>
      <name val="Arial"/>
    </font>
    <font>
      <b/>
      <sz val="10"/>
      <color rgb="FFFFFFFF"/>
      <name val="Arial"/>
    </font>
  </fonts>
  <fills count="26">
    <fill>
      <patternFill patternType="none"/>
    </fill>
    <fill>
      <patternFill patternType="gray125"/>
    </fill>
    <fill>
      <patternFill patternType="solid">
        <fgColor rgb="FF134F5C"/>
        <bgColor rgb="FF134F5C"/>
      </patternFill>
    </fill>
    <fill>
      <patternFill patternType="solid">
        <fgColor rgb="FF1F3864"/>
        <bgColor rgb="FF1F3864"/>
      </patternFill>
    </fill>
    <fill>
      <patternFill patternType="solid">
        <fgColor rgb="FFFFF2CC"/>
        <bgColor rgb="FFFFF2CC"/>
      </patternFill>
    </fill>
    <fill>
      <patternFill patternType="solid">
        <fgColor rgb="FF93C47D"/>
        <bgColor rgb="FF93C47D"/>
      </patternFill>
    </fill>
    <fill>
      <patternFill patternType="solid">
        <fgColor rgb="FFE2EFDA"/>
        <bgColor rgb="FFE2EFDA"/>
      </patternFill>
    </fill>
    <fill>
      <patternFill patternType="solid">
        <fgColor rgb="FFFFFF00"/>
        <bgColor rgb="FFFFFF00"/>
      </patternFill>
    </fill>
    <fill>
      <patternFill patternType="solid">
        <fgColor rgb="FF999999"/>
        <bgColor rgb="FF999999"/>
      </patternFill>
    </fill>
    <fill>
      <patternFill patternType="solid">
        <fgColor rgb="FFC9DAF8"/>
        <bgColor rgb="FFC9DAF8"/>
      </patternFill>
    </fill>
    <fill>
      <patternFill patternType="solid">
        <fgColor rgb="FFB7B7B7"/>
        <bgColor rgb="FFB7B7B7"/>
      </patternFill>
    </fill>
    <fill>
      <patternFill patternType="solid">
        <fgColor rgb="FFB6D7A8"/>
        <bgColor rgb="FFB6D7A8"/>
      </patternFill>
    </fill>
    <fill>
      <patternFill patternType="solid">
        <fgColor rgb="FFD0E0E3"/>
        <bgColor rgb="FFD0E0E3"/>
      </patternFill>
    </fill>
    <fill>
      <patternFill patternType="solid">
        <fgColor rgb="FFA2C4C9"/>
        <bgColor rgb="FFA2C4C9"/>
      </patternFill>
    </fill>
    <fill>
      <patternFill patternType="solid">
        <fgColor rgb="FF6D9EEB"/>
        <bgColor rgb="FF6D9EEB"/>
      </patternFill>
    </fill>
    <fill>
      <patternFill patternType="solid">
        <fgColor rgb="FF6AA84F"/>
        <bgColor rgb="FF6AA84F"/>
      </patternFill>
    </fill>
    <fill>
      <patternFill patternType="solid">
        <fgColor rgb="FF3D85C6"/>
        <bgColor rgb="FF3D85C6"/>
      </patternFill>
    </fill>
    <fill>
      <patternFill patternType="solid">
        <fgColor rgb="FFF1C232"/>
        <bgColor rgb="FFF1C232"/>
      </patternFill>
    </fill>
    <fill>
      <patternFill patternType="solid">
        <fgColor theme="9"/>
        <bgColor theme="9"/>
      </patternFill>
    </fill>
    <fill>
      <patternFill patternType="solid">
        <fgColor rgb="FFD5A6BD"/>
        <bgColor rgb="FFD5A6BD"/>
      </patternFill>
    </fill>
    <fill>
      <patternFill patternType="solid">
        <fgColor theme="0"/>
        <bgColor theme="0"/>
      </patternFill>
    </fill>
    <fill>
      <patternFill patternType="solid">
        <fgColor rgb="FFD9D9D9"/>
        <bgColor rgb="FFD9D9D9"/>
      </patternFill>
    </fill>
    <fill>
      <patternFill patternType="solid">
        <fgColor rgb="FFE06666"/>
        <bgColor rgb="FFE06666"/>
      </patternFill>
    </fill>
    <fill>
      <patternFill patternType="solid">
        <fgColor rgb="FFF6B26B"/>
        <bgColor rgb="FFF6B26B"/>
      </patternFill>
    </fill>
    <fill>
      <patternFill patternType="solid">
        <fgColor rgb="FFD9EAD3"/>
        <bgColor rgb="FFD9EAD3"/>
      </patternFill>
    </fill>
    <fill>
      <patternFill patternType="solid">
        <fgColor rgb="FF17365D"/>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ck">
        <color rgb="FFFF9900"/>
      </left>
      <right/>
      <top style="thick">
        <color rgb="FFFF9900"/>
      </top>
      <bottom/>
      <diagonal/>
    </border>
    <border>
      <left/>
      <right/>
      <top style="thick">
        <color rgb="FFFF9900"/>
      </top>
      <bottom/>
      <diagonal/>
    </border>
    <border>
      <left/>
      <right style="thick">
        <color rgb="FFFF9900"/>
      </right>
      <top style="thick">
        <color rgb="FFFF9900"/>
      </top>
      <bottom/>
      <diagonal/>
    </border>
    <border>
      <left style="thick">
        <color rgb="FFFF9900"/>
      </left>
      <right/>
      <top style="thin">
        <color rgb="FFBFBFBF"/>
      </top>
      <bottom style="thin">
        <color rgb="FFBFBFBF"/>
      </bottom>
      <diagonal/>
    </border>
    <border>
      <left/>
      <right style="thick">
        <color rgb="FFFF9900"/>
      </right>
      <top/>
      <bottom/>
      <diagonal/>
    </border>
    <border>
      <left style="thick">
        <color rgb="FFFF9900"/>
      </left>
      <right/>
      <top/>
      <bottom/>
      <diagonal/>
    </border>
    <border>
      <left style="thin">
        <color rgb="FFBFBFBF"/>
      </left>
      <right style="thick">
        <color rgb="FFFF9900"/>
      </right>
      <top style="thin">
        <color rgb="FFBFBFBF"/>
      </top>
      <bottom style="thin">
        <color rgb="FFBFBFBF"/>
      </bottom>
      <diagonal/>
    </border>
    <border>
      <left style="thin">
        <color rgb="FFBFBFBF"/>
      </left>
      <right style="thick">
        <color rgb="FFFF9900"/>
      </right>
      <top style="thin">
        <color rgb="FFBFBFBF"/>
      </top>
      <bottom/>
      <diagonal/>
    </border>
    <border>
      <left style="thin">
        <color rgb="FF000000"/>
      </left>
      <right style="thick">
        <color rgb="FFFF9900"/>
      </right>
      <top style="thin">
        <color rgb="FF000000"/>
      </top>
      <bottom style="thin">
        <color rgb="FF000000"/>
      </bottom>
      <diagonal/>
    </border>
    <border>
      <left style="thick">
        <color rgb="FFFF9900"/>
      </left>
      <right/>
      <top/>
      <bottom style="thick">
        <color rgb="FFFF9900"/>
      </bottom>
      <diagonal/>
    </border>
    <border>
      <left/>
      <right/>
      <top/>
      <bottom style="thick">
        <color rgb="FFFF9900"/>
      </bottom>
      <diagonal/>
    </border>
    <border>
      <left/>
      <right style="thick">
        <color rgb="FFFF9900"/>
      </right>
      <top/>
      <bottom style="thick">
        <color rgb="FFFF99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BFBFBF"/>
      </left>
      <right style="thin">
        <color rgb="FFBFBFBF"/>
      </right>
      <top/>
      <bottom/>
      <diagonal/>
    </border>
    <border>
      <left style="thin">
        <color rgb="FFBFBFBF"/>
      </left>
      <right/>
      <top style="thin">
        <color rgb="FFBFBFBF"/>
      </top>
      <bottom/>
      <diagonal/>
    </border>
  </borders>
  <cellStyleXfs count="1">
    <xf numFmtId="0" fontId="0" fillId="0" borderId="0"/>
  </cellStyleXfs>
  <cellXfs count="158">
    <xf numFmtId="0" fontId="0" fillId="0" borderId="0" xfId="0"/>
    <xf numFmtId="0" fontId="1" fillId="0" borderId="0" xfId="0" applyFont="1"/>
    <xf numFmtId="0" fontId="2" fillId="2" borderId="1" xfId="0" applyFont="1" applyFill="1" applyBorder="1"/>
    <xf numFmtId="0" fontId="3" fillId="0" borderId="1" xfId="0" applyFont="1" applyBorder="1"/>
    <xf numFmtId="0" fontId="4" fillId="0" borderId="0" xfId="0" applyFont="1" applyAlignment="1">
      <alignment wrapText="1"/>
    </xf>
    <xf numFmtId="0" fontId="5" fillId="0" borderId="0" xfId="0" applyFont="1" applyAlignment="1">
      <alignment wrapText="1"/>
    </xf>
    <xf numFmtId="0" fontId="3" fillId="0" borderId="2" xfId="0" applyFont="1" applyBorder="1"/>
    <xf numFmtId="0" fontId="6" fillId="3" borderId="3" xfId="0" applyFont="1" applyFill="1" applyBorder="1" applyAlignment="1">
      <alignment vertical="center" wrapText="1"/>
    </xf>
    <xf numFmtId="0" fontId="5" fillId="0" borderId="3" xfId="0" applyFont="1" applyBorder="1"/>
    <xf numFmtId="0" fontId="4" fillId="0" borderId="3" xfId="0" applyFont="1" applyBorder="1"/>
    <xf numFmtId="0" fontId="4" fillId="4" borderId="3" xfId="0" applyFont="1" applyFill="1" applyBorder="1"/>
    <xf numFmtId="0" fontId="4" fillId="5" borderId="3" xfId="0" applyFont="1" applyFill="1" applyBorder="1"/>
    <xf numFmtId="0" fontId="4" fillId="6" borderId="3" xfId="0" applyFont="1" applyFill="1" applyBorder="1" applyAlignment="1">
      <alignment horizontal="center"/>
    </xf>
    <xf numFmtId="0" fontId="4" fillId="7" borderId="3" xfId="0" applyFont="1" applyFill="1" applyBorder="1"/>
    <xf numFmtId="0" fontId="4" fillId="8" borderId="3" xfId="0" applyFont="1" applyFill="1" applyBorder="1"/>
    <xf numFmtId="0" fontId="7" fillId="0" borderId="0" xfId="0" applyFont="1"/>
    <xf numFmtId="0" fontId="8" fillId="0" borderId="1" xfId="0" applyFont="1" applyBorder="1" applyAlignment="1">
      <alignment horizontal="center"/>
    </xf>
    <xf numFmtId="0" fontId="3" fillId="9" borderId="1" xfId="0" applyFont="1" applyFill="1" applyBorder="1" applyAlignment="1">
      <alignment horizontal="center" vertical="center"/>
    </xf>
    <xf numFmtId="0" fontId="4" fillId="6" borderId="3" xfId="0" applyFont="1" applyFill="1" applyBorder="1"/>
    <xf numFmtId="0" fontId="3" fillId="0" borderId="1" xfId="0" applyFont="1" applyBorder="1" applyAlignment="1">
      <alignment horizontal="center"/>
    </xf>
    <xf numFmtId="0" fontId="3" fillId="0" borderId="1" xfId="0" applyFont="1" applyBorder="1" applyAlignment="1">
      <alignment horizontal="center" vertical="center"/>
    </xf>
    <xf numFmtId="0" fontId="3" fillId="10" borderId="1" xfId="0" applyFont="1" applyFill="1" applyBorder="1" applyAlignment="1">
      <alignment horizontal="center" vertical="center"/>
    </xf>
    <xf numFmtId="0" fontId="3" fillId="11" borderId="1" xfId="0" applyFont="1" applyFill="1" applyBorder="1" applyAlignment="1">
      <alignment horizontal="center" vertical="center"/>
    </xf>
    <xf numFmtId="0" fontId="3" fillId="0" borderId="0" xfId="0" applyFont="1"/>
    <xf numFmtId="0" fontId="8" fillId="0" borderId="0" xfId="0" applyFont="1" applyAlignment="1">
      <alignment wrapText="1"/>
    </xf>
    <xf numFmtId="0" fontId="3" fillId="12" borderId="0" xfId="0" applyFont="1" applyFill="1" applyAlignment="1">
      <alignment horizontal="center" vertical="center"/>
    </xf>
    <xf numFmtId="0" fontId="3" fillId="0" borderId="0" xfId="0" applyFont="1" applyAlignment="1">
      <alignment vertical="center"/>
    </xf>
    <xf numFmtId="0" fontId="3" fillId="13" borderId="0" xfId="0" applyFont="1" applyFill="1" applyAlignment="1">
      <alignment wrapText="1"/>
    </xf>
    <xf numFmtId="0" fontId="3" fillId="0" borderId="1" xfId="0" applyFont="1" applyBorder="1" applyAlignment="1">
      <alignment horizontal="center" vertical="center" wrapText="1"/>
    </xf>
    <xf numFmtId="0" fontId="3" fillId="0" borderId="0" xfId="0" applyFont="1" applyAlignment="1">
      <alignment wrapText="1"/>
    </xf>
    <xf numFmtId="0" fontId="3" fillId="14" borderId="0" xfId="0" applyFont="1" applyFill="1" applyAlignment="1">
      <alignment horizontal="center" vertical="center"/>
    </xf>
    <xf numFmtId="0" fontId="3" fillId="5" borderId="1" xfId="0" applyFont="1" applyFill="1" applyBorder="1" applyAlignment="1">
      <alignment horizontal="center" vertical="center"/>
    </xf>
    <xf numFmtId="0" fontId="3" fillId="0" borderId="0" xfId="0" applyFont="1" applyAlignment="1">
      <alignment horizontal="center" vertical="center"/>
    </xf>
    <xf numFmtId="9" fontId="3" fillId="0" borderId="0" xfId="0" applyNumberFormat="1" applyFont="1"/>
    <xf numFmtId="164" fontId="3" fillId="7" borderId="0" xfId="0" applyNumberFormat="1" applyFont="1" applyFill="1"/>
    <xf numFmtId="9" fontId="3" fillId="14" borderId="0" xfId="0" applyNumberFormat="1" applyFont="1" applyFill="1"/>
    <xf numFmtId="0" fontId="8" fillId="0" borderId="0" xfId="0" applyFont="1"/>
    <xf numFmtId="0" fontId="3" fillId="7" borderId="0" xfId="0" applyFont="1" applyFill="1" applyAlignment="1">
      <alignment vertical="center"/>
    </xf>
    <xf numFmtId="0" fontId="3" fillId="7" borderId="0" xfId="0" applyFont="1" applyFill="1" applyAlignment="1">
      <alignment horizontal="center" vertical="center"/>
    </xf>
    <xf numFmtId="0" fontId="10" fillId="0" borderId="0" xfId="0" applyFont="1"/>
    <xf numFmtId="0" fontId="3" fillId="14" borderId="1" xfId="0" applyFont="1" applyFill="1" applyBorder="1" applyAlignment="1">
      <alignment horizontal="center" vertical="center"/>
    </xf>
    <xf numFmtId="0" fontId="10" fillId="0" borderId="0" xfId="0" applyFont="1" applyAlignment="1">
      <alignment horizontal="right"/>
    </xf>
    <xf numFmtId="10" fontId="3" fillId="0" borderId="0" xfId="0" applyNumberFormat="1" applyFont="1"/>
    <xf numFmtId="0" fontId="3" fillId="7" borderId="0" xfId="0" applyFont="1" applyFill="1"/>
    <xf numFmtId="0" fontId="3" fillId="15" borderId="0" xfId="0" applyFont="1" applyFill="1"/>
    <xf numFmtId="0" fontId="3" fillId="16" borderId="0" xfId="0" applyFont="1" applyFill="1" applyAlignment="1">
      <alignment wrapText="1"/>
    </xf>
    <xf numFmtId="0" fontId="11" fillId="0" borderId="0" xfId="0" applyFont="1" applyAlignment="1">
      <alignment horizontal="center" vertical="center"/>
    </xf>
    <xf numFmtId="0" fontId="3" fillId="16" borderId="0" xfId="0" applyFont="1" applyFill="1"/>
    <xf numFmtId="0" fontId="3" fillId="5" borderId="0" xfId="0" applyFont="1" applyFill="1"/>
    <xf numFmtId="0" fontId="12" fillId="0" borderId="0" xfId="0" applyFont="1"/>
    <xf numFmtId="0" fontId="3" fillId="0" borderId="0" xfId="0" applyFont="1" applyAlignment="1">
      <alignment horizontal="center" vertical="center" wrapText="1"/>
    </xf>
    <xf numFmtId="165" fontId="3" fillId="7" borderId="0" xfId="0" applyNumberFormat="1" applyFont="1" applyFill="1"/>
    <xf numFmtId="0" fontId="4" fillId="17" borderId="3" xfId="0" applyFont="1" applyFill="1" applyBorder="1" applyAlignment="1">
      <alignment horizontal="center" vertical="center" wrapText="1"/>
    </xf>
    <xf numFmtId="165" fontId="3" fillId="15" borderId="0" xfId="0" applyNumberFormat="1" applyFont="1" applyFill="1"/>
    <xf numFmtId="165" fontId="3" fillId="16" borderId="0" xfId="0" applyNumberFormat="1" applyFont="1" applyFill="1"/>
    <xf numFmtId="0" fontId="4" fillId="18" borderId="3"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3" fillId="8" borderId="1" xfId="0" applyFont="1" applyFill="1" applyBorder="1" applyAlignment="1">
      <alignment horizontal="center" vertical="center" wrapText="1"/>
    </xf>
    <xf numFmtId="9" fontId="3" fillId="0" borderId="0" xfId="0" applyNumberFormat="1" applyFont="1" applyAlignment="1">
      <alignment horizontal="center" vertical="center" wrapText="1"/>
    </xf>
    <xf numFmtId="164" fontId="3" fillId="0" borderId="0" xfId="0" applyNumberFormat="1" applyFont="1" applyAlignment="1">
      <alignment horizontal="center" vertical="center" wrapText="1"/>
    </xf>
    <xf numFmtId="0" fontId="4" fillId="0" borderId="5" xfId="0" applyFont="1" applyBorder="1"/>
    <xf numFmtId="0" fontId="3" fillId="14" borderId="1" xfId="0" applyFont="1" applyFill="1" applyBorder="1" applyAlignment="1">
      <alignment horizontal="center"/>
    </xf>
    <xf numFmtId="0" fontId="3" fillId="20" borderId="1" xfId="0" applyFont="1" applyFill="1" applyBorder="1" applyAlignment="1">
      <alignment horizontal="center" vertical="center" wrapText="1"/>
    </xf>
    <xf numFmtId="164" fontId="3" fillId="21" borderId="0" xfId="0" applyNumberFormat="1" applyFont="1" applyFill="1"/>
    <xf numFmtId="0" fontId="3" fillId="0" borderId="6" xfId="0" applyFont="1" applyBorder="1"/>
    <xf numFmtId="0" fontId="8" fillId="0" borderId="7" xfId="0" applyFont="1" applyBorder="1"/>
    <xf numFmtId="0" fontId="8" fillId="21" borderId="7" xfId="0" applyFont="1" applyFill="1" applyBorder="1"/>
    <xf numFmtId="0" fontId="3" fillId="0" borderId="7" xfId="0" applyFont="1" applyBorder="1"/>
    <xf numFmtId="0" fontId="3" fillId="0" borderId="8" xfId="0" applyFont="1" applyBorder="1"/>
    <xf numFmtId="0" fontId="4" fillId="0" borderId="9" xfId="0" applyFont="1" applyBorder="1"/>
    <xf numFmtId="0" fontId="8" fillId="5" borderId="0" xfId="0" applyFont="1" applyFill="1" applyAlignment="1">
      <alignment horizontal="center" vertical="center" wrapText="1"/>
    </xf>
    <xf numFmtId="0" fontId="3" fillId="21" borderId="0" xfId="0" applyFont="1" applyFill="1"/>
    <xf numFmtId="0" fontId="3" fillId="0" borderId="10" xfId="0" applyFont="1" applyBorder="1"/>
    <xf numFmtId="0" fontId="3" fillId="0" borderId="11" xfId="0" applyFont="1" applyBorder="1"/>
    <xf numFmtId="0" fontId="4" fillId="19" borderId="12" xfId="0" applyFont="1" applyFill="1" applyBorder="1" applyAlignment="1">
      <alignment horizontal="center" vertical="center" wrapText="1"/>
    </xf>
    <xf numFmtId="0" fontId="4" fillId="0" borderId="13" xfId="0" applyFont="1" applyBorder="1" applyAlignment="1">
      <alignment horizontal="center" vertical="center" wrapText="1"/>
    </xf>
    <xf numFmtId="0" fontId="3" fillId="0" borderId="14" xfId="0" applyFont="1" applyBorder="1" applyAlignment="1">
      <alignment horizontal="center" vertical="center"/>
    </xf>
    <xf numFmtId="0" fontId="3" fillId="20" borderId="0" xfId="0" applyFont="1" applyFill="1"/>
    <xf numFmtId="0" fontId="3" fillId="20" borderId="15" xfId="0" applyFont="1" applyFill="1" applyBorder="1"/>
    <xf numFmtId="0" fontId="4" fillId="20" borderId="16" xfId="0" applyFont="1" applyFill="1" applyBorder="1" applyAlignment="1">
      <alignment horizontal="center" vertical="center" wrapText="1"/>
    </xf>
    <xf numFmtId="0" fontId="4" fillId="20" borderId="17" xfId="0" applyFont="1" applyFill="1" applyBorder="1" applyAlignment="1">
      <alignment horizontal="center" vertical="center" wrapText="1"/>
    </xf>
    <xf numFmtId="0" fontId="4" fillId="20" borderId="0" xfId="0" applyFont="1" applyFill="1" applyAlignment="1">
      <alignment horizontal="center" vertical="center" wrapText="1"/>
    </xf>
    <xf numFmtId="0" fontId="3" fillId="7" borderId="0" xfId="0" applyFont="1" applyFill="1" applyAlignment="1">
      <alignment wrapText="1"/>
    </xf>
    <xf numFmtId="0" fontId="3" fillId="15" borderId="0" xfId="0" applyFont="1" applyFill="1" applyAlignment="1">
      <alignment wrapText="1"/>
    </xf>
    <xf numFmtId="0" fontId="8" fillId="0" borderId="0" xfId="0" applyFont="1" applyAlignment="1">
      <alignment horizontal="center" vertical="center" wrapText="1"/>
    </xf>
    <xf numFmtId="0" fontId="3" fillId="0" borderId="0" xfId="0" applyFont="1" applyAlignment="1">
      <alignment horizontal="center"/>
    </xf>
    <xf numFmtId="0" fontId="8" fillId="0" borderId="0" xfId="0" applyFont="1" applyAlignment="1">
      <alignment horizontal="center"/>
    </xf>
    <xf numFmtId="10" fontId="3" fillId="0" borderId="0" xfId="0" applyNumberFormat="1" applyFont="1" applyAlignment="1">
      <alignment horizontal="center" vertical="center"/>
    </xf>
    <xf numFmtId="2" fontId="3" fillId="0" borderId="0" xfId="0" applyNumberFormat="1" applyFont="1"/>
    <xf numFmtId="0" fontId="4" fillId="4" borderId="3" xfId="0" applyFont="1" applyFill="1" applyBorder="1" applyAlignment="1">
      <alignment vertical="center" wrapText="1"/>
    </xf>
    <xf numFmtId="0" fontId="4" fillId="6" borderId="3" xfId="0" applyFont="1" applyFill="1" applyBorder="1" applyAlignment="1">
      <alignment vertical="center" wrapText="1"/>
    </xf>
    <xf numFmtId="0" fontId="8" fillId="0" borderId="1" xfId="0" applyFont="1" applyBorder="1" applyAlignment="1">
      <alignment horizontal="center" vertical="center"/>
    </xf>
    <xf numFmtId="10" fontId="8" fillId="0" borderId="0" xfId="0" applyNumberFormat="1" applyFont="1" applyAlignment="1">
      <alignment horizontal="center" vertical="center"/>
    </xf>
    <xf numFmtId="0" fontId="4" fillId="0" borderId="3" xfId="0" applyFont="1" applyBorder="1" applyAlignment="1">
      <alignment vertical="center" wrapText="1"/>
    </xf>
    <xf numFmtId="0" fontId="13" fillId="0" borderId="0" xfId="0" applyFont="1"/>
    <xf numFmtId="2" fontId="3" fillId="0" borderId="0" xfId="0" applyNumberFormat="1" applyFont="1" applyAlignment="1">
      <alignment horizontal="center" vertical="center"/>
    </xf>
    <xf numFmtId="0" fontId="14" fillId="0" borderId="0" xfId="0" applyFont="1" applyAlignment="1">
      <alignment horizontal="right" vertical="center"/>
    </xf>
    <xf numFmtId="2" fontId="3" fillId="0" borderId="1" xfId="0" applyNumberFormat="1" applyFont="1" applyBorder="1"/>
    <xf numFmtId="10" fontId="3" fillId="0" borderId="1" xfId="0" applyNumberFormat="1" applyFont="1" applyBorder="1"/>
    <xf numFmtId="0" fontId="3" fillId="0" borderId="2" xfId="0" applyFont="1" applyBorder="1" applyAlignment="1">
      <alignment horizontal="center" vertical="center" wrapText="1"/>
    </xf>
    <xf numFmtId="166" fontId="3" fillId="0" borderId="0" xfId="0" applyNumberFormat="1" applyFont="1" applyAlignment="1">
      <alignment horizontal="center" vertical="center"/>
    </xf>
    <xf numFmtId="4" fontId="3" fillId="0" borderId="1" xfId="0" applyNumberFormat="1" applyFont="1" applyBorder="1" applyAlignment="1">
      <alignment horizontal="center" vertical="center"/>
    </xf>
    <xf numFmtId="2" fontId="3" fillId="0" borderId="18" xfId="0" applyNumberFormat="1" applyFont="1" applyBorder="1"/>
    <xf numFmtId="0" fontId="3" fillId="0" borderId="18" xfId="0" applyFont="1" applyBorder="1"/>
    <xf numFmtId="9" fontId="3" fillId="0" borderId="2" xfId="0" applyNumberFormat="1" applyFont="1" applyBorder="1"/>
    <xf numFmtId="0" fontId="3" fillId="0" borderId="19" xfId="0" applyFont="1" applyBorder="1"/>
    <xf numFmtId="0" fontId="15" fillId="0" borderId="3" xfId="0" applyFont="1" applyBorder="1"/>
    <xf numFmtId="0" fontId="3" fillId="0" borderId="20" xfId="0" applyFont="1" applyBorder="1"/>
    <xf numFmtId="0" fontId="3" fillId="0" borderId="21" xfId="0" applyFont="1" applyBorder="1"/>
    <xf numFmtId="0" fontId="5" fillId="6" borderId="3" xfId="0" applyFont="1" applyFill="1" applyBorder="1"/>
    <xf numFmtId="0" fontId="16" fillId="0" borderId="0" xfId="0" applyFont="1"/>
    <xf numFmtId="0" fontId="4" fillId="0" borderId="22" xfId="0" applyFont="1" applyBorder="1" applyAlignment="1">
      <alignment vertical="center" wrapText="1"/>
    </xf>
    <xf numFmtId="0" fontId="3" fillId="5" borderId="1" xfId="0" applyFont="1" applyFill="1" applyBorder="1" applyAlignment="1">
      <alignment horizontal="center" vertical="center" wrapText="1"/>
    </xf>
    <xf numFmtId="0" fontId="4" fillId="0" borderId="23" xfId="0" applyFont="1" applyBorder="1" applyAlignment="1">
      <alignment vertical="center" wrapText="1"/>
    </xf>
    <xf numFmtId="0" fontId="3" fillId="14" borderId="1" xfId="0" applyFont="1" applyFill="1" applyBorder="1" applyAlignment="1">
      <alignment horizontal="center" vertical="center" wrapText="1"/>
    </xf>
    <xf numFmtId="0" fontId="3" fillId="22" borderId="0" xfId="0" applyFont="1" applyFill="1"/>
    <xf numFmtId="0" fontId="3" fillId="23" borderId="0" xfId="0" applyFont="1" applyFill="1"/>
    <xf numFmtId="0" fontId="3" fillId="8" borderId="0" xfId="0" applyFont="1" applyFill="1"/>
    <xf numFmtId="165" fontId="3" fillId="22" borderId="0" xfId="0" applyNumberFormat="1" applyFont="1" applyFill="1"/>
    <xf numFmtId="165" fontId="3" fillId="23" borderId="0" xfId="0" applyNumberFormat="1" applyFont="1" applyFill="1"/>
    <xf numFmtId="165" fontId="3" fillId="8" borderId="0" xfId="0" applyNumberFormat="1" applyFont="1" applyFill="1"/>
    <xf numFmtId="165" fontId="3" fillId="0" borderId="0" xfId="0" applyNumberFormat="1" applyFont="1"/>
    <xf numFmtId="0" fontId="5" fillId="0" borderId="0" xfId="0" applyFont="1"/>
    <xf numFmtId="0" fontId="4" fillId="0" borderId="3" xfId="0" applyFont="1" applyBorder="1" applyAlignment="1">
      <alignment wrapText="1"/>
    </xf>
    <xf numFmtId="0" fontId="8" fillId="7" borderId="0" xfId="0" applyFont="1" applyFill="1" applyAlignment="1">
      <alignment horizontal="center" wrapText="1"/>
    </xf>
    <xf numFmtId="0" fontId="3" fillId="7" borderId="1" xfId="0" applyFont="1" applyFill="1" applyBorder="1"/>
    <xf numFmtId="9" fontId="3" fillId="7" borderId="1" xfId="0" applyNumberFormat="1" applyFont="1" applyFill="1" applyBorder="1"/>
    <xf numFmtId="0" fontId="3" fillId="0" borderId="1" xfId="0" applyFont="1" applyBorder="1" applyAlignment="1">
      <alignment vertical="center" wrapText="1"/>
    </xf>
    <xf numFmtId="0" fontId="3" fillId="0" borderId="0" xfId="0" applyFont="1" applyAlignment="1">
      <alignment vertical="center" wrapText="1"/>
    </xf>
    <xf numFmtId="0" fontId="10" fillId="0" borderId="1" xfId="0" applyFont="1" applyBorder="1" applyAlignment="1">
      <alignment horizontal="center"/>
    </xf>
    <xf numFmtId="165" fontId="3" fillId="4" borderId="1" xfId="0" applyNumberFormat="1" applyFont="1" applyFill="1" applyBorder="1" applyAlignment="1">
      <alignment vertical="center" wrapText="1"/>
    </xf>
    <xf numFmtId="0" fontId="3" fillId="4" borderId="1" xfId="0" applyFont="1" applyFill="1" applyBorder="1" applyAlignment="1">
      <alignment vertical="center" wrapText="1"/>
    </xf>
    <xf numFmtId="0" fontId="3" fillId="23" borderId="0" xfId="0" applyFont="1" applyFill="1" applyAlignment="1">
      <alignment wrapText="1"/>
    </xf>
    <xf numFmtId="0" fontId="3" fillId="8" borderId="0" xfId="0" applyFont="1" applyFill="1" applyAlignment="1">
      <alignment wrapText="1"/>
    </xf>
    <xf numFmtId="0" fontId="14" fillId="0" borderId="0" xfId="0" applyFont="1" applyAlignment="1">
      <alignment horizontal="center" vertical="center"/>
    </xf>
    <xf numFmtId="0" fontId="3" fillId="24" borderId="1" xfId="0" applyFont="1" applyFill="1" applyBorder="1" applyAlignment="1">
      <alignment vertical="center" wrapText="1"/>
    </xf>
    <xf numFmtId="10" fontId="3" fillId="24" borderId="1" xfId="0" applyNumberFormat="1" applyFont="1" applyFill="1" applyBorder="1" applyAlignment="1">
      <alignment vertical="center" wrapText="1"/>
    </xf>
    <xf numFmtId="0" fontId="3" fillId="24" borderId="1" xfId="0" applyFont="1" applyFill="1" applyBorder="1" applyAlignment="1">
      <alignment horizontal="right" vertical="center" wrapText="1"/>
    </xf>
    <xf numFmtId="9" fontId="3" fillId="0" borderId="1" xfId="0" applyNumberFormat="1" applyFont="1" applyBorder="1" applyAlignment="1">
      <alignment vertical="center" wrapText="1"/>
    </xf>
    <xf numFmtId="0" fontId="17" fillId="0" borderId="3" xfId="0" applyFont="1" applyBorder="1"/>
    <xf numFmtId="0" fontId="3" fillId="11" borderId="1" xfId="0" applyFont="1" applyFill="1" applyBorder="1" applyAlignment="1">
      <alignment horizontal="right" vertical="center" wrapText="1"/>
    </xf>
    <xf numFmtId="0" fontId="3" fillId="11" borderId="1" xfId="0" applyFont="1" applyFill="1" applyBorder="1" applyAlignment="1">
      <alignment vertical="center" wrapText="1"/>
    </xf>
    <xf numFmtId="0" fontId="3" fillId="5" borderId="0" xfId="0" applyFont="1" applyFill="1" applyAlignment="1">
      <alignment wrapText="1"/>
    </xf>
    <xf numFmtId="165" fontId="3" fillId="5" borderId="0" xfId="0" applyNumberFormat="1" applyFont="1" applyFill="1"/>
    <xf numFmtId="0" fontId="4" fillId="0" borderId="3" xfId="0" applyFont="1" applyBorder="1" applyAlignment="1">
      <alignment vertical="top" wrapText="1"/>
    </xf>
    <xf numFmtId="165" fontId="3" fillId="23" borderId="0" xfId="0" applyNumberFormat="1" applyFont="1" applyFill="1" applyAlignment="1">
      <alignment wrapText="1"/>
    </xf>
    <xf numFmtId="2" fontId="14" fillId="0" borderId="0" xfId="0" applyNumberFormat="1" applyFont="1" applyAlignment="1">
      <alignment horizontal="right" vertical="center"/>
    </xf>
    <xf numFmtId="0" fontId="3" fillId="8" borderId="0" xfId="0" applyFont="1" applyFill="1" applyAlignment="1">
      <alignment horizontal="center" wrapText="1"/>
    </xf>
    <xf numFmtId="165" fontId="3" fillId="8" borderId="0" xfId="0" applyNumberFormat="1" applyFont="1" applyFill="1" applyAlignment="1">
      <alignment horizontal="center"/>
    </xf>
    <xf numFmtId="0" fontId="3" fillId="8" borderId="0" xfId="0" applyFont="1" applyFill="1" applyAlignment="1">
      <alignment horizontal="center"/>
    </xf>
    <xf numFmtId="167" fontId="10" fillId="0" borderId="0" xfId="0" applyNumberFormat="1" applyFont="1" applyAlignment="1">
      <alignment horizontal="right"/>
    </xf>
    <xf numFmtId="0" fontId="19" fillId="25" borderId="0" xfId="0" applyFont="1" applyFill="1"/>
    <xf numFmtId="0" fontId="18" fillId="0" borderId="0" xfId="0" applyFont="1"/>
    <xf numFmtId="168" fontId="18" fillId="0" borderId="0" xfId="0" applyNumberFormat="1" applyFont="1"/>
    <xf numFmtId="0" fontId="9" fillId="0" borderId="0" xfId="0" applyFont="1" applyAlignment="1">
      <alignment horizontal="center" vertical="center" textRotation="90" wrapText="1"/>
    </xf>
    <xf numFmtId="0" fontId="0" fillId="0" borderId="0" xfId="0"/>
    <xf numFmtId="0" fontId="8"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000"/>
  <sheetViews>
    <sheetView showGridLines="0" tabSelected="1" workbookViewId="0"/>
  </sheetViews>
  <sheetFormatPr baseColWidth="10" defaultColWidth="14.44140625" defaultRowHeight="15" customHeight="1" x14ac:dyDescent="0.3"/>
  <cols>
    <col min="1" max="1" width="3" customWidth="1"/>
    <col min="2" max="2" width="110" customWidth="1"/>
    <col min="3" max="26" width="8.6640625" customWidth="1"/>
  </cols>
  <sheetData>
    <row r="1" spans="2:2" ht="14.4" x14ac:dyDescent="0.3"/>
    <row r="2" spans="2:2" ht="17.399999999999999" x14ac:dyDescent="0.3">
      <c r="B2" s="1" t="s">
        <v>0</v>
      </c>
    </row>
    <row r="3" spans="2:2" ht="14.4" x14ac:dyDescent="0.3">
      <c r="B3" s="4"/>
    </row>
    <row r="4" spans="2:2" ht="14.4" x14ac:dyDescent="0.3">
      <c r="B4" s="4" t="s">
        <v>1</v>
      </c>
    </row>
    <row r="5" spans="2:2" ht="14.4" x14ac:dyDescent="0.3">
      <c r="B5" s="4"/>
    </row>
    <row r="6" spans="2:2" ht="27" x14ac:dyDescent="0.3">
      <c r="B6" s="5" t="s">
        <v>2</v>
      </c>
    </row>
    <row r="7" spans="2:2" ht="27" x14ac:dyDescent="0.3">
      <c r="B7" s="5" t="s">
        <v>3</v>
      </c>
    </row>
    <row r="8" spans="2:2" ht="53.4" x14ac:dyDescent="0.3">
      <c r="B8" s="5" t="s">
        <v>4</v>
      </c>
    </row>
    <row r="9" spans="2:2" ht="40.200000000000003" x14ac:dyDescent="0.3">
      <c r="B9" s="5" t="s">
        <v>5</v>
      </c>
    </row>
    <row r="10" spans="2:2" ht="27" x14ac:dyDescent="0.3">
      <c r="B10" s="5" t="s">
        <v>6</v>
      </c>
    </row>
    <row r="11" spans="2:2" ht="14.4" x14ac:dyDescent="0.3">
      <c r="B11" s="4"/>
    </row>
    <row r="12" spans="2:2" ht="14.4" x14ac:dyDescent="0.3">
      <c r="B12" s="4" t="s">
        <v>7</v>
      </c>
    </row>
    <row r="13" spans="2:2" ht="14.4" x14ac:dyDescent="0.3">
      <c r="B13" s="4"/>
    </row>
    <row r="14" spans="2:2" ht="27" x14ac:dyDescent="0.3">
      <c r="B14" s="4" t="s">
        <v>8</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C25"/>
  <sheetViews>
    <sheetView workbookViewId="0"/>
  </sheetViews>
  <sheetFormatPr baseColWidth="10" defaultColWidth="14.44140625" defaultRowHeight="15" customHeight="1" x14ac:dyDescent="0.3"/>
  <cols>
    <col min="2" max="2" width="39.33203125" customWidth="1"/>
  </cols>
  <sheetData>
    <row r="1" spans="2:3" x14ac:dyDescent="0.3"/>
    <row r="2" spans="2:3" x14ac:dyDescent="0.3">
      <c r="B2" s="2" t="s">
        <v>9</v>
      </c>
      <c r="C2" s="2" t="s">
        <v>10</v>
      </c>
    </row>
    <row r="3" spans="2:3" x14ac:dyDescent="0.3">
      <c r="B3" s="3" t="s">
        <v>11</v>
      </c>
      <c r="C3" s="3"/>
    </row>
    <row r="4" spans="2:3" x14ac:dyDescent="0.3">
      <c r="B4" s="3" t="s">
        <v>12</v>
      </c>
      <c r="C4" s="3"/>
    </row>
    <row r="5" spans="2:3" x14ac:dyDescent="0.3">
      <c r="B5" s="6" t="s">
        <v>13</v>
      </c>
      <c r="C5" s="3"/>
    </row>
    <row r="6" spans="2:3" x14ac:dyDescent="0.3">
      <c r="B6" s="3" t="s">
        <v>14</v>
      </c>
      <c r="C6" s="3"/>
    </row>
    <row r="7" spans="2:3" x14ac:dyDescent="0.3">
      <c r="B7" s="3"/>
      <c r="C7" s="3"/>
    </row>
    <row r="8" spans="2:3" x14ac:dyDescent="0.3">
      <c r="B8" s="3"/>
      <c r="C8" s="3"/>
    </row>
    <row r="9" spans="2:3" x14ac:dyDescent="0.3">
      <c r="B9" s="3"/>
      <c r="C9" s="3"/>
    </row>
    <row r="10" spans="2:3" x14ac:dyDescent="0.3">
      <c r="B10" s="3"/>
      <c r="C10" s="3"/>
    </row>
    <row r="11" spans="2:3" x14ac:dyDescent="0.3">
      <c r="B11" s="3"/>
      <c r="C11" s="3"/>
    </row>
    <row r="12" spans="2:3" x14ac:dyDescent="0.3">
      <c r="B12" s="3"/>
      <c r="C12" s="3"/>
    </row>
    <row r="13" spans="2:3" x14ac:dyDescent="0.3">
      <c r="B13" s="3"/>
      <c r="C13" s="3"/>
    </row>
    <row r="14" spans="2:3" x14ac:dyDescent="0.3">
      <c r="B14" s="3"/>
      <c r="C14" s="3"/>
    </row>
    <row r="15" spans="2:3" x14ac:dyDescent="0.3">
      <c r="B15" s="3"/>
      <c r="C15" s="3"/>
    </row>
    <row r="16" spans="2:3" x14ac:dyDescent="0.3">
      <c r="B16" s="3"/>
      <c r="C16" s="3"/>
    </row>
    <row r="17" spans="2:3" x14ac:dyDescent="0.3">
      <c r="B17" s="3"/>
      <c r="C17" s="3"/>
    </row>
    <row r="18" spans="2:3" x14ac:dyDescent="0.3">
      <c r="B18" s="3"/>
      <c r="C18" s="3"/>
    </row>
    <row r="19" spans="2:3" x14ac:dyDescent="0.3">
      <c r="B19" s="3"/>
      <c r="C19" s="3"/>
    </row>
    <row r="20" spans="2:3" x14ac:dyDescent="0.3">
      <c r="B20" s="3"/>
      <c r="C20" s="3"/>
    </row>
    <row r="21" spans="2:3" x14ac:dyDescent="0.3">
      <c r="B21" s="3"/>
      <c r="C21" s="3"/>
    </row>
    <row r="22" spans="2:3" x14ac:dyDescent="0.3">
      <c r="B22" s="3"/>
      <c r="C22" s="3"/>
    </row>
    <row r="23" spans="2:3" x14ac:dyDescent="0.3">
      <c r="B23" s="3"/>
      <c r="C23" s="3"/>
    </row>
    <row r="24" spans="2:3" x14ac:dyDescent="0.3">
      <c r="B24" s="3"/>
      <c r="C24" s="3"/>
    </row>
    <row r="25" spans="2:3" x14ac:dyDescent="0.3">
      <c r="B25" s="3"/>
      <c r="C25" s="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showGridLines="0" workbookViewId="0">
      <pane ySplit="1" topLeftCell="A2" activePane="bottomLeft" state="frozen"/>
      <selection pane="bottomLeft" activeCell="B3" sqref="B3"/>
    </sheetView>
  </sheetViews>
  <sheetFormatPr baseColWidth="10" defaultColWidth="14.44140625" defaultRowHeight="15" customHeight="1" x14ac:dyDescent="0.3"/>
  <cols>
    <col min="1" max="1" width="31.88671875" customWidth="1"/>
    <col min="2" max="2" width="22" customWidth="1"/>
    <col min="3" max="3" width="26" customWidth="1"/>
    <col min="4" max="4" width="40" customWidth="1"/>
    <col min="5" max="5" width="14" customWidth="1"/>
    <col min="6" max="9" width="12" customWidth="1"/>
    <col min="10" max="26" width="8.6640625" customWidth="1"/>
  </cols>
  <sheetData>
    <row r="1" spans="1:9" ht="41.4" x14ac:dyDescent="0.3">
      <c r="A1" s="7" t="s">
        <v>15</v>
      </c>
      <c r="B1" s="7" t="s">
        <v>16</v>
      </c>
      <c r="C1" s="7" t="s">
        <v>17</v>
      </c>
      <c r="D1" s="7" t="s">
        <v>18</v>
      </c>
      <c r="E1" s="7" t="s">
        <v>19</v>
      </c>
      <c r="F1" s="7" t="s">
        <v>20</v>
      </c>
      <c r="G1" s="7" t="s">
        <v>21</v>
      </c>
      <c r="H1" s="7" t="s">
        <v>22</v>
      </c>
      <c r="I1" s="7" t="s">
        <v>23</v>
      </c>
    </row>
    <row r="2" spans="1:9" ht="14.4" x14ac:dyDescent="0.3">
      <c r="A2" s="8" t="s">
        <v>24</v>
      </c>
      <c r="B2" s="10"/>
      <c r="C2" s="9" t="str">
        <f>IFERROR(INDEX(Catalogo_Decisiones!$D$2:$D$69,MATCH($B2,Catalogo_Decisiones!$A$2:$A$69,0)),"")</f>
        <v/>
      </c>
      <c r="D2" s="9" t="str">
        <f>IFERROR(INDEX(Catalogo_Decisiones!$F$2:$F$69,MATCH($B2,Catalogo_Decisiones!$A$2:$A$69,0)),"")</f>
        <v/>
      </c>
      <c r="E2" s="9">
        <f>IFERROR(INDEX(Catalogo_Decisiones!$G$2:$G$69,MATCH($B2,Catalogo_Decisiones!$A$2:$A$69,0)),0)</f>
        <v>0</v>
      </c>
      <c r="F2" s="18">
        <f>IFERROR(INDEX(Catalogo_Decisiones!$H$2:$H$69,MATCH($B2,Catalogo_Decisiones!$A$2:$A$69,0)),0)</f>
        <v>0</v>
      </c>
      <c r="G2" s="18">
        <f>IFERROR(INDEX(Catalogo_Decisiones!$I$2:$I$69,MATCH($B2,Catalogo_Decisiones!$A$2:$A$69,0)),0)</f>
        <v>0</v>
      </c>
      <c r="H2" s="18">
        <f>IFERROR(INDEX(Catalogo_Decisiones!$J$2:$J$69,MATCH($B2,Catalogo_Decisiones!$A$2:$A$69,0)),0)</f>
        <v>0</v>
      </c>
      <c r="I2" s="18">
        <f>IFERROR(INDEX(Catalogo_Decisiones!$K$2:$K$69,MATCH($B2,Catalogo_Decisiones!$A$2:$A$69,0)),0)</f>
        <v>0</v>
      </c>
    </row>
    <row r="3" spans="1:9" ht="14.4" x14ac:dyDescent="0.3">
      <c r="A3" s="8" t="s">
        <v>25</v>
      </c>
      <c r="B3" s="10"/>
      <c r="C3" s="9" t="str">
        <f>IFERROR(INDEX(Catalogo_Decisiones!$D$2:$D$69,MATCH($B3,Catalogo_Decisiones!$A$2:$A$69,0)),"")</f>
        <v/>
      </c>
      <c r="D3" s="9" t="str">
        <f>IFERROR(INDEX(Catalogo_Decisiones!$F$2:$F$69,MATCH($B3,Catalogo_Decisiones!$A$2:$A$69,0)),"")</f>
        <v/>
      </c>
      <c r="E3" s="9">
        <f>IFERROR(INDEX(Catalogo_Decisiones!$G$2:$G$69,MATCH($B3,Catalogo_Decisiones!$A$2:$A$69,0)),0)</f>
        <v>0</v>
      </c>
      <c r="F3" s="18">
        <f>IFERROR(INDEX(Catalogo_Decisiones!$H$2:$H$69,MATCH($B3,Catalogo_Decisiones!$A$2:$A$69,0)),0)</f>
        <v>0</v>
      </c>
      <c r="G3" s="18">
        <f>IFERROR(INDEX(Catalogo_Decisiones!$I$2:$I$69,MATCH($B3,Catalogo_Decisiones!$A$2:$A$69,0)),0)</f>
        <v>0</v>
      </c>
      <c r="H3" s="18">
        <f>IFERROR(INDEX(Catalogo_Decisiones!$J$2:$J$69,MATCH($B3,Catalogo_Decisiones!$A$2:$A$69,0)),0)</f>
        <v>0</v>
      </c>
      <c r="I3" s="18">
        <f>IFERROR(INDEX(Catalogo_Decisiones!$K$2:$K$69,MATCH($B3,Catalogo_Decisiones!$A$2:$A$69,0)),0)</f>
        <v>0</v>
      </c>
    </row>
    <row r="4" spans="1:9" ht="14.4" x14ac:dyDescent="0.3">
      <c r="A4" s="8" t="s">
        <v>26</v>
      </c>
      <c r="B4" s="10"/>
      <c r="C4" s="9" t="str">
        <f>IFERROR(INDEX(Catalogo_Decisiones!$D$2:$D$69,MATCH($B4,Catalogo_Decisiones!$A$2:$A$69,0)),"")</f>
        <v/>
      </c>
      <c r="D4" s="9" t="str">
        <f>IFERROR(INDEX(Catalogo_Decisiones!$F$2:$F$69,MATCH($B4,Catalogo_Decisiones!$A$2:$A$69,0)),"")</f>
        <v/>
      </c>
      <c r="E4" s="9">
        <f>IFERROR(INDEX(Catalogo_Decisiones!$G$2:$G$69,MATCH($B4,Catalogo_Decisiones!$A$2:$A$69,0)),0)</f>
        <v>0</v>
      </c>
      <c r="F4" s="18">
        <f>IFERROR(INDEX(Catalogo_Decisiones!$H$2:$H$69,MATCH($B4,Catalogo_Decisiones!$A$2:$A$69,0)),0)</f>
        <v>0</v>
      </c>
      <c r="G4" s="18">
        <f>IFERROR(INDEX(Catalogo_Decisiones!$I$2:$I$69,MATCH($B4,Catalogo_Decisiones!$A$2:$A$69,0)),0)</f>
        <v>0</v>
      </c>
      <c r="H4" s="18">
        <f>IFERROR(INDEX(Catalogo_Decisiones!$J$2:$J$69,MATCH($B4,Catalogo_Decisiones!$A$2:$A$69,0)),0)</f>
        <v>0</v>
      </c>
      <c r="I4" s="18">
        <f>IFERROR(INDEX(Catalogo_Decisiones!$K$2:$K$69,MATCH($B4,Catalogo_Decisiones!$A$2:$A$69,0)),0)</f>
        <v>0</v>
      </c>
    </row>
    <row r="5" spans="1:9" ht="14.4" x14ac:dyDescent="0.3">
      <c r="A5" s="8" t="s">
        <v>27</v>
      </c>
      <c r="B5" s="10"/>
      <c r="C5" s="9" t="str">
        <f>IFERROR(INDEX(Catalogo_Decisiones!$D$2:$D$69,MATCH($B5,Catalogo_Decisiones!$A$2:$A$69,0)),"")</f>
        <v/>
      </c>
      <c r="D5" s="9" t="str">
        <f>IFERROR(INDEX(Catalogo_Decisiones!$F$2:$F$69,MATCH($B5,Catalogo_Decisiones!$A$2:$A$69,0)),"")</f>
        <v/>
      </c>
      <c r="E5" s="9">
        <f>IFERROR(INDEX(Catalogo_Decisiones!$G$2:$G$69,MATCH($B5,Catalogo_Decisiones!$A$2:$A$69,0)),0)</f>
        <v>0</v>
      </c>
      <c r="F5" s="18">
        <f>IFERROR(INDEX(Catalogo_Decisiones!$H$2:$H$69,MATCH($B5,Catalogo_Decisiones!$A$2:$A$69,0)),0)</f>
        <v>0</v>
      </c>
      <c r="G5" s="18">
        <f>IFERROR(INDEX(Catalogo_Decisiones!$I$2:$I$69,MATCH($B5,Catalogo_Decisiones!$A$2:$A$69,0)),0)</f>
        <v>0</v>
      </c>
      <c r="H5" s="18">
        <f>IFERROR(INDEX(Catalogo_Decisiones!$J$2:$J$69,MATCH($B5,Catalogo_Decisiones!$A$2:$A$69,0)),0)</f>
        <v>0</v>
      </c>
      <c r="I5" s="18">
        <f>IFERROR(INDEX(Catalogo_Decisiones!$K$2:$K$69,MATCH($B5,Catalogo_Decisiones!$A$2:$A$69,0)),0)</f>
        <v>0</v>
      </c>
    </row>
    <row r="6" spans="1:9" ht="14.4" x14ac:dyDescent="0.3">
      <c r="A6" s="8" t="s">
        <v>28</v>
      </c>
      <c r="B6" s="10"/>
      <c r="C6" s="9" t="str">
        <f>IFERROR(INDEX(Catalogo_Decisiones!$D$2:$D$69,MATCH($B6,Catalogo_Decisiones!$A$2:$A$69,0)),"")</f>
        <v/>
      </c>
      <c r="D6" s="9" t="str">
        <f>IFERROR(INDEX(Catalogo_Decisiones!$F$2:$F$69,MATCH($B6,Catalogo_Decisiones!$A$2:$A$69,0)),"")</f>
        <v/>
      </c>
      <c r="E6" s="9">
        <f>IFERROR(INDEX(Catalogo_Decisiones!$G$2:$G$69,MATCH($B6,Catalogo_Decisiones!$A$2:$A$69,0)),0)</f>
        <v>0</v>
      </c>
      <c r="F6" s="18">
        <f>IFERROR(INDEX(Catalogo_Decisiones!$H$2:$H$69,MATCH($B6,Catalogo_Decisiones!$A$2:$A$69,0)),0)</f>
        <v>0</v>
      </c>
      <c r="G6" s="18">
        <f>IFERROR(INDEX(Catalogo_Decisiones!$I$2:$I$69,MATCH($B6,Catalogo_Decisiones!$A$2:$A$69,0)),0)</f>
        <v>0</v>
      </c>
      <c r="H6" s="18">
        <f>IFERROR(INDEX(Catalogo_Decisiones!$J$2:$J$69,MATCH($B6,Catalogo_Decisiones!$A$2:$A$69,0)),0)</f>
        <v>0</v>
      </c>
      <c r="I6" s="18">
        <f>IFERROR(INDEX(Catalogo_Decisiones!$K$2:$K$69,MATCH($B6,Catalogo_Decisiones!$A$2:$A$69,0)),0)</f>
        <v>0</v>
      </c>
    </row>
    <row r="7" spans="1:9" ht="14.4" x14ac:dyDescent="0.3">
      <c r="A7" s="8" t="s">
        <v>29</v>
      </c>
      <c r="B7" s="10"/>
      <c r="C7" s="9" t="str">
        <f>IFERROR(INDEX(Catalogo_Decisiones!$D$2:$D$69,MATCH($B7,Catalogo_Decisiones!$A$2:$A$69,0)),"")</f>
        <v/>
      </c>
      <c r="D7" s="9" t="str">
        <f>IFERROR(INDEX(Catalogo_Decisiones!$F$2:$F$69,MATCH($B7,Catalogo_Decisiones!$A$2:$A$69,0)),"")</f>
        <v/>
      </c>
      <c r="E7" s="9">
        <f>IFERROR(INDEX(Catalogo_Decisiones!$G$2:$G$69,MATCH($B7,Catalogo_Decisiones!$A$2:$A$69,0)),0)</f>
        <v>0</v>
      </c>
      <c r="F7" s="18">
        <f>IFERROR(INDEX(Catalogo_Decisiones!$H$2:$H$69,MATCH($B7,Catalogo_Decisiones!$A$2:$A$69,0)),0)</f>
        <v>0</v>
      </c>
      <c r="G7" s="18">
        <f>IFERROR(INDEX(Catalogo_Decisiones!$I$2:$I$69,MATCH($B7,Catalogo_Decisiones!$A$2:$A$69,0)),0)</f>
        <v>0</v>
      </c>
      <c r="H7" s="18">
        <f>IFERROR(INDEX(Catalogo_Decisiones!$J$2:$J$69,MATCH($B7,Catalogo_Decisiones!$A$2:$A$69,0)),0)</f>
        <v>0</v>
      </c>
      <c r="I7" s="18">
        <f>IFERROR(INDEX(Catalogo_Decisiones!$K$2:$K$69,MATCH($B7,Catalogo_Decisiones!$A$2:$A$69,0)),0)</f>
        <v>0</v>
      </c>
    </row>
    <row r="8" spans="1:9" ht="14.4" x14ac:dyDescent="0.3">
      <c r="A8" s="8" t="s">
        <v>30</v>
      </c>
      <c r="B8" s="10"/>
      <c r="C8" s="9" t="str">
        <f>IFERROR(INDEX(Catalogo_Decisiones!$D$2:$D$69,MATCH($B8,Catalogo_Decisiones!$A$2:$A$69,0)),"")</f>
        <v/>
      </c>
      <c r="D8" s="9" t="str">
        <f>IFERROR(INDEX(Catalogo_Decisiones!$F$2:$F$69,MATCH($B8,Catalogo_Decisiones!$A$2:$A$69,0)),"")</f>
        <v/>
      </c>
      <c r="E8" s="9">
        <f>IFERROR(INDEX(Catalogo_Decisiones!$G$2:$G$69,MATCH($B8,Catalogo_Decisiones!$A$2:$A$69,0)),0)</f>
        <v>0</v>
      </c>
      <c r="F8" s="18">
        <f>IFERROR(INDEX(Catalogo_Decisiones!$H$2:$H$69,MATCH($B8,Catalogo_Decisiones!$A$2:$A$69,0)),0)</f>
        <v>0</v>
      </c>
      <c r="G8" s="18">
        <f>IFERROR(INDEX(Catalogo_Decisiones!$I$2:$I$69,MATCH($B8,Catalogo_Decisiones!$A$2:$A$69,0)),0)</f>
        <v>0</v>
      </c>
      <c r="H8" s="18">
        <f>IFERROR(INDEX(Catalogo_Decisiones!$J$2:$J$69,MATCH($B8,Catalogo_Decisiones!$A$2:$A$69,0)),0)</f>
        <v>0</v>
      </c>
      <c r="I8" s="18">
        <f>IFERROR(INDEX(Catalogo_Decisiones!$K$2:$K$69,MATCH($B8,Catalogo_Decisiones!$A$2:$A$69,0)),0)</f>
        <v>0</v>
      </c>
    </row>
    <row r="9" spans="1:9" ht="14.4" x14ac:dyDescent="0.3">
      <c r="A9" s="8" t="s">
        <v>31</v>
      </c>
      <c r="B9" s="10"/>
      <c r="C9" s="9" t="str">
        <f>IFERROR(INDEX(Catalogo_Decisiones!$D$2:$D$69,MATCH($B9,Catalogo_Decisiones!$A$2:$A$69,0)),"")</f>
        <v/>
      </c>
      <c r="D9" s="9" t="str">
        <f>IFERROR(INDEX(Catalogo_Decisiones!$F$2:$F$69,MATCH($B9,Catalogo_Decisiones!$A$2:$A$69,0)),"")</f>
        <v/>
      </c>
      <c r="E9" s="9">
        <f>IFERROR(INDEX(Catalogo_Decisiones!$G$2:$G$69,MATCH($B9,Catalogo_Decisiones!$A$2:$A$69,0)),0)</f>
        <v>0</v>
      </c>
      <c r="F9" s="18">
        <f>IFERROR(INDEX(Catalogo_Decisiones!$H$2:$H$69,MATCH($B9,Catalogo_Decisiones!$A$2:$A$69,0)),0)</f>
        <v>0</v>
      </c>
      <c r="G9" s="18">
        <f>IFERROR(INDEX(Catalogo_Decisiones!$I$2:$I$69,MATCH($B9,Catalogo_Decisiones!$A$2:$A$69,0)),0)</f>
        <v>0</v>
      </c>
      <c r="H9" s="18">
        <f>IFERROR(INDEX(Catalogo_Decisiones!$J$2:$J$69,MATCH($B9,Catalogo_Decisiones!$A$2:$A$69,0)),0)</f>
        <v>0</v>
      </c>
      <c r="I9" s="18">
        <f>IFERROR(INDEX(Catalogo_Decisiones!$K$2:$K$69,MATCH($B9,Catalogo_Decisiones!$A$2:$A$69,0)),0)</f>
        <v>0</v>
      </c>
    </row>
    <row r="10" spans="1:9" ht="14.4" x14ac:dyDescent="0.3">
      <c r="A10" s="8" t="s">
        <v>32</v>
      </c>
      <c r="B10" s="10"/>
      <c r="C10" s="9" t="str">
        <f>IFERROR(INDEX(Catalogo_Decisiones!$D$2:$D$69,MATCH($B10,Catalogo_Decisiones!$A$2:$A$69,0)),"")</f>
        <v/>
      </c>
      <c r="D10" s="9" t="str">
        <f>IFERROR(INDEX(Catalogo_Decisiones!$F$2:$F$69,MATCH($B10,Catalogo_Decisiones!$A$2:$A$69,0)),"")</f>
        <v/>
      </c>
      <c r="E10" s="9">
        <f>IFERROR(INDEX(Catalogo_Decisiones!$G$2:$G$69,MATCH($B10,Catalogo_Decisiones!$A$2:$A$69,0)),0)</f>
        <v>0</v>
      </c>
      <c r="F10" s="18">
        <f>IFERROR(INDEX(Catalogo_Decisiones!$H$2:$H$69,MATCH($B10,Catalogo_Decisiones!$A$2:$A$69,0)),0)</f>
        <v>0</v>
      </c>
      <c r="G10" s="18">
        <f>IFERROR(INDEX(Catalogo_Decisiones!$I$2:$I$69,MATCH($B10,Catalogo_Decisiones!$A$2:$A$69,0)),0)</f>
        <v>0</v>
      </c>
      <c r="H10" s="18">
        <f>IFERROR(INDEX(Catalogo_Decisiones!$J$2:$J$69,MATCH($B10,Catalogo_Decisiones!$A$2:$A$69,0)),0)</f>
        <v>0</v>
      </c>
      <c r="I10" s="18">
        <f>IFERROR(INDEX(Catalogo_Decisiones!$K$2:$K$69,MATCH($B10,Catalogo_Decisiones!$A$2:$A$69,0)),0)</f>
        <v>0</v>
      </c>
    </row>
    <row r="11" spans="1:9" ht="14.4" x14ac:dyDescent="0.3">
      <c r="A11" s="8" t="s">
        <v>33</v>
      </c>
      <c r="B11" s="10"/>
      <c r="C11" s="9" t="str">
        <f>IFERROR(INDEX(Catalogo_Decisiones!$D$2:$D$69,MATCH($B11,Catalogo_Decisiones!$A$2:$A$69,0)),"")</f>
        <v/>
      </c>
      <c r="D11" s="9" t="str">
        <f>IFERROR(INDEX(Catalogo_Decisiones!$F$2:$F$69,MATCH($B11,Catalogo_Decisiones!$A$2:$A$69,0)),"")</f>
        <v/>
      </c>
      <c r="E11" s="9">
        <f>IFERROR(INDEX(Catalogo_Decisiones!$G$2:$G$69,MATCH($B11,Catalogo_Decisiones!$A$2:$A$69,0)),0)</f>
        <v>0</v>
      </c>
      <c r="F11" s="18">
        <f>IFERROR(INDEX(Catalogo_Decisiones!$H$2:$H$69,MATCH($B11,Catalogo_Decisiones!$A$2:$A$69,0)),0)</f>
        <v>0</v>
      </c>
      <c r="G11" s="18">
        <f>IFERROR(INDEX(Catalogo_Decisiones!$I$2:$I$69,MATCH($B11,Catalogo_Decisiones!$A$2:$A$69,0)),0)</f>
        <v>0</v>
      </c>
      <c r="H11" s="18">
        <f>IFERROR(INDEX(Catalogo_Decisiones!$J$2:$J$69,MATCH($B11,Catalogo_Decisiones!$A$2:$A$69,0)),0)</f>
        <v>0</v>
      </c>
      <c r="I11" s="18">
        <f>IFERROR(INDEX(Catalogo_Decisiones!$K$2:$K$69,MATCH($B11,Catalogo_Decisiones!$A$2:$A$69,0)),0)</f>
        <v>0</v>
      </c>
    </row>
    <row r="12" spans="1:9" ht="14.4" x14ac:dyDescent="0.3">
      <c r="A12" s="8" t="s">
        <v>34</v>
      </c>
      <c r="B12" s="10"/>
      <c r="C12" s="9" t="str">
        <f>IFERROR(INDEX(Catalogo_Decisiones!$D$2:$D$69,MATCH($B12,Catalogo_Decisiones!$A$2:$A$69,0)),"")</f>
        <v/>
      </c>
      <c r="D12" s="9" t="str">
        <f>IFERROR(INDEX(Catalogo_Decisiones!$F$2:$F$69,MATCH($B12,Catalogo_Decisiones!$A$2:$A$69,0)),"")</f>
        <v/>
      </c>
      <c r="E12" s="9">
        <f>IFERROR(INDEX(Catalogo_Decisiones!$G$2:$G$69,MATCH($B12,Catalogo_Decisiones!$A$2:$A$69,0)),0)</f>
        <v>0</v>
      </c>
      <c r="F12" s="18">
        <f>IFERROR(INDEX(Catalogo_Decisiones!$H$2:$H$69,MATCH($B12,Catalogo_Decisiones!$A$2:$A$69,0)),0)</f>
        <v>0</v>
      </c>
      <c r="G12" s="18">
        <f>IFERROR(INDEX(Catalogo_Decisiones!$I$2:$I$69,MATCH($B12,Catalogo_Decisiones!$A$2:$A$69,0)),0)</f>
        <v>0</v>
      </c>
      <c r="H12" s="18">
        <f>IFERROR(INDEX(Catalogo_Decisiones!$J$2:$J$69,MATCH($B12,Catalogo_Decisiones!$A$2:$A$69,0)),0)</f>
        <v>0</v>
      </c>
      <c r="I12" s="18">
        <f>IFERROR(INDEX(Catalogo_Decisiones!$K$2:$K$69,MATCH($B12,Catalogo_Decisiones!$A$2:$A$69,0)),0)</f>
        <v>0</v>
      </c>
    </row>
    <row r="13" spans="1:9" ht="14.4" x14ac:dyDescent="0.3">
      <c r="A13" s="8" t="s">
        <v>35</v>
      </c>
      <c r="B13" s="10"/>
      <c r="C13" s="9" t="str">
        <f>IFERROR(INDEX(Catalogo_Decisiones!$D$2:$D$69,MATCH($B13,Catalogo_Decisiones!$A$2:$A$69,0)),"")</f>
        <v/>
      </c>
      <c r="D13" s="9" t="str">
        <f>IFERROR(INDEX(Catalogo_Decisiones!$F$2:$F$69,MATCH($B13,Catalogo_Decisiones!$A$2:$A$69,0)),"")</f>
        <v/>
      </c>
      <c r="E13" s="9">
        <f>IFERROR(INDEX(Catalogo_Decisiones!$G$2:$G$69,MATCH($B13,Catalogo_Decisiones!$A$2:$A$69,0)),0)</f>
        <v>0</v>
      </c>
      <c r="F13" s="18">
        <f>IFERROR(INDEX(Catalogo_Decisiones!$H$2:$H$69,MATCH($B13,Catalogo_Decisiones!$A$2:$A$69,0)),0)</f>
        <v>0</v>
      </c>
      <c r="G13" s="18">
        <f>IFERROR(INDEX(Catalogo_Decisiones!$I$2:$I$69,MATCH($B13,Catalogo_Decisiones!$A$2:$A$69,0)),0)</f>
        <v>0</v>
      </c>
      <c r="H13" s="18">
        <f>IFERROR(INDEX(Catalogo_Decisiones!$J$2:$J$69,MATCH($B13,Catalogo_Decisiones!$A$2:$A$69,0)),0)</f>
        <v>0</v>
      </c>
      <c r="I13" s="18">
        <f>IFERROR(INDEX(Catalogo_Decisiones!$K$2:$K$69,MATCH($B13,Catalogo_Decisiones!$A$2:$A$69,0)),0)</f>
        <v>0</v>
      </c>
    </row>
    <row r="14" spans="1:9" ht="14.4" x14ac:dyDescent="0.3">
      <c r="A14" s="8" t="s">
        <v>36</v>
      </c>
      <c r="B14" s="10"/>
      <c r="C14" s="9" t="str">
        <f>IFERROR(INDEX(Catalogo_Decisiones!$D$2:$D$69,MATCH($B14,Catalogo_Decisiones!$A$2:$A$69,0)),"")</f>
        <v/>
      </c>
      <c r="D14" s="9" t="str">
        <f>IFERROR(INDEX(Catalogo_Decisiones!$F$2:$F$69,MATCH($B14,Catalogo_Decisiones!$A$2:$A$69,0)),"")</f>
        <v/>
      </c>
      <c r="E14" s="9">
        <f>IFERROR(INDEX(Catalogo_Decisiones!$G$2:$G$69,MATCH($B14,Catalogo_Decisiones!$A$2:$A$69,0)),0)</f>
        <v>0</v>
      </c>
      <c r="F14" s="18">
        <f>IFERROR(INDEX(Catalogo_Decisiones!$H$2:$H$69,MATCH($B14,Catalogo_Decisiones!$A$2:$A$69,0)),0)</f>
        <v>0</v>
      </c>
      <c r="G14" s="18">
        <f>IFERROR(INDEX(Catalogo_Decisiones!$I$2:$I$69,MATCH($B14,Catalogo_Decisiones!$A$2:$A$69,0)),0)</f>
        <v>0</v>
      </c>
      <c r="H14" s="18">
        <f>IFERROR(INDEX(Catalogo_Decisiones!$J$2:$J$69,MATCH($B14,Catalogo_Decisiones!$A$2:$A$69,0)),0)</f>
        <v>0</v>
      </c>
      <c r="I14" s="18">
        <f>IFERROR(INDEX(Catalogo_Decisiones!$K$2:$K$69,MATCH($B14,Catalogo_Decisiones!$A$2:$A$69,0)),0)</f>
        <v>0</v>
      </c>
    </row>
    <row r="15" spans="1:9" ht="14.4" x14ac:dyDescent="0.3">
      <c r="A15" s="8" t="s">
        <v>37</v>
      </c>
      <c r="B15" s="10"/>
      <c r="C15" s="9" t="str">
        <f>IFERROR(INDEX(Catalogo_Decisiones!$D$2:$D$69,MATCH($B15,Catalogo_Decisiones!$A$2:$A$69,0)),"")</f>
        <v/>
      </c>
      <c r="D15" s="9" t="str">
        <f>IFERROR(INDEX(Catalogo_Decisiones!$F$2:$F$69,MATCH($B15,Catalogo_Decisiones!$A$2:$A$69,0)),"")</f>
        <v/>
      </c>
      <c r="E15" s="9">
        <f>IFERROR(INDEX(Catalogo_Decisiones!$G$2:$G$69,MATCH($B15,Catalogo_Decisiones!$A$2:$A$69,0)),0)</f>
        <v>0</v>
      </c>
      <c r="F15" s="18">
        <f>IFERROR(INDEX(Catalogo_Decisiones!$H$2:$H$69,MATCH($B15,Catalogo_Decisiones!$A$2:$A$69,0)),0)</f>
        <v>0</v>
      </c>
      <c r="G15" s="18">
        <f>IFERROR(INDEX(Catalogo_Decisiones!$I$2:$I$69,MATCH($B15,Catalogo_Decisiones!$A$2:$A$69,0)),0)</f>
        <v>0</v>
      </c>
      <c r="H15" s="18">
        <f>IFERROR(INDEX(Catalogo_Decisiones!$J$2:$J$69,MATCH($B15,Catalogo_Decisiones!$A$2:$A$69,0)),0)</f>
        <v>0</v>
      </c>
      <c r="I15" s="18">
        <f>IFERROR(INDEX(Catalogo_Decisiones!$K$2:$K$69,MATCH($B15,Catalogo_Decisiones!$A$2:$A$69,0)),0)</f>
        <v>0</v>
      </c>
    </row>
    <row r="16" spans="1:9" ht="14.4" x14ac:dyDescent="0.3">
      <c r="A16" s="123" t="s">
        <v>38</v>
      </c>
    </row>
    <row r="17" spans="1:9" ht="27" x14ac:dyDescent="0.3">
      <c r="A17" s="124" t="s">
        <v>39</v>
      </c>
      <c r="B17" s="10">
        <v>0</v>
      </c>
    </row>
    <row r="18" spans="1:9" ht="27" x14ac:dyDescent="0.3">
      <c r="A18" s="124" t="s">
        <v>40</v>
      </c>
      <c r="B18" s="10">
        <v>0</v>
      </c>
    </row>
    <row r="19" spans="1:9" ht="27" x14ac:dyDescent="0.3">
      <c r="A19" s="124" t="s">
        <v>41</v>
      </c>
      <c r="B19" s="10">
        <v>0</v>
      </c>
    </row>
    <row r="20" spans="1:9" ht="27" x14ac:dyDescent="0.3">
      <c r="A20" s="124" t="s">
        <v>42</v>
      </c>
      <c r="B20" s="10">
        <v>0</v>
      </c>
    </row>
    <row r="21" spans="1:9" ht="15.75" customHeight="1" x14ac:dyDescent="0.3">
      <c r="A21" s="124" t="s">
        <v>43</v>
      </c>
      <c r="B21" s="10">
        <v>0</v>
      </c>
    </row>
    <row r="22" spans="1:9" ht="15.75" customHeight="1" x14ac:dyDescent="0.3">
      <c r="A22" s="124" t="s">
        <v>44</v>
      </c>
      <c r="B22" s="10">
        <v>0</v>
      </c>
    </row>
    <row r="23" spans="1:9" ht="15.75" customHeight="1" x14ac:dyDescent="0.3"/>
    <row r="24" spans="1:9" ht="15.75" customHeight="1" x14ac:dyDescent="0.3">
      <c r="A24" t="s">
        <v>45</v>
      </c>
      <c r="C24" t="str">
        <f>IFERROR(INDEX(Catalogo_Decisiones!$D$2:$D$69,MATCH($B24,Catalogo_Decisiones!$A$2:$A$69,0)),"")</f>
        <v/>
      </c>
      <c r="D24" t="str">
        <f>IFERROR(INDEX(Catalogo_Decisiones!$F$2:$F$69,MATCH($B24,Catalogo_Decisiones!$A$2:$A$69,0)),"")</f>
        <v/>
      </c>
      <c r="E24">
        <f>IFERROR(INDEX(Catalogo_Decisiones!$G$2:$G$69,MATCH($B24,Catalogo_Decisiones!$A$2:$A$69,0)),0)</f>
        <v>0</v>
      </c>
      <c r="F24">
        <f>IFERROR(INDEX(Catalogo_Decisiones!$H$2:$H$69,MATCH($B24,Catalogo_Decisiones!$A$2:$A$69,0)),0)</f>
        <v>0</v>
      </c>
      <c r="G24">
        <f>IFERROR(INDEX(Catalogo_Decisiones!$I$2:$I$69,MATCH($B24,Catalogo_Decisiones!$A$2:$A$69,0)),0)</f>
        <v>0</v>
      </c>
      <c r="H24">
        <f>IFERROR(INDEX(Catalogo_Decisiones!$J$2:$J$69,MATCH($B24,Catalogo_Decisiones!$A$2:$A$69,0)),0)</f>
        <v>0</v>
      </c>
      <c r="I24">
        <f>IFERROR(INDEX(Catalogo_Decisiones!$K$2:$K$69,MATCH($B24,Catalogo_Decisiones!$A$2:$A$69,0)),0)</f>
        <v>0</v>
      </c>
    </row>
    <row r="25" spans="1:9" ht="15.75" customHeight="1" x14ac:dyDescent="0.3">
      <c r="A25" t="s">
        <v>46</v>
      </c>
      <c r="C25" t="str">
        <f>IFERROR(INDEX(Catalogo_Decisiones!$D$2:$D$69,MATCH($B25,Catalogo_Decisiones!$A$2:$A$69,0)),"")</f>
        <v/>
      </c>
      <c r="D25" t="str">
        <f>IFERROR(INDEX(Catalogo_Decisiones!$F$2:$F$69,MATCH($B25,Catalogo_Decisiones!$A$2:$A$69,0)),"")</f>
        <v/>
      </c>
      <c r="E25">
        <f>IFERROR(INDEX(Catalogo_Decisiones!$G$2:$G$69,MATCH($B25,Catalogo_Decisiones!$A$2:$A$69,0)),0)</f>
        <v>0</v>
      </c>
      <c r="F25">
        <f>IFERROR(INDEX(Catalogo_Decisiones!$H$2:$H$69,MATCH($B25,Catalogo_Decisiones!$A$2:$A$69,0)),0)</f>
        <v>0</v>
      </c>
      <c r="G25">
        <f>IFERROR(INDEX(Catalogo_Decisiones!$I$2:$I$69,MATCH($B25,Catalogo_Decisiones!$A$2:$A$69,0)),0)</f>
        <v>0</v>
      </c>
      <c r="H25">
        <f>IFERROR(INDEX(Catalogo_Decisiones!$J$2:$J$69,MATCH($B25,Catalogo_Decisiones!$A$2:$A$69,0)),0)</f>
        <v>0</v>
      </c>
      <c r="I25">
        <f>IFERROR(INDEX(Catalogo_Decisiones!$K$2:$K$69,MATCH($B25,Catalogo_Decisiones!$A$2:$A$69,0)),0)</f>
        <v>0</v>
      </c>
    </row>
    <row r="26" spans="1:9" ht="15.75" customHeight="1" x14ac:dyDescent="0.3">
      <c r="A26" t="s">
        <v>47</v>
      </c>
      <c r="C26" t="str">
        <f>IFERROR(INDEX(Catalogo_Decisiones!$D$2:$D$69,MATCH($B26,Catalogo_Decisiones!$A$2:$A$69,0)),"")</f>
        <v/>
      </c>
      <c r="D26" t="str">
        <f>IFERROR(INDEX(Catalogo_Decisiones!$F$2:$F$69,MATCH($B26,Catalogo_Decisiones!$A$2:$A$69,0)),"")</f>
        <v/>
      </c>
      <c r="E26">
        <f>IFERROR(INDEX(Catalogo_Decisiones!$G$2:$G$69,MATCH($B26,Catalogo_Decisiones!$A$2:$A$69,0)),0)</f>
        <v>0</v>
      </c>
      <c r="F26">
        <f>IFERROR(INDEX(Catalogo_Decisiones!$H$2:$H$69,MATCH($B26,Catalogo_Decisiones!$A$2:$A$69,0)),0)</f>
        <v>0</v>
      </c>
      <c r="G26">
        <f>IFERROR(INDEX(Catalogo_Decisiones!$I$2:$I$69,MATCH($B26,Catalogo_Decisiones!$A$2:$A$69,0)),0)</f>
        <v>0</v>
      </c>
      <c r="H26">
        <f>IFERROR(INDEX(Catalogo_Decisiones!$J$2:$J$69,MATCH($B26,Catalogo_Decisiones!$A$2:$A$69,0)),0)</f>
        <v>0</v>
      </c>
      <c r="I26">
        <f>IFERROR(INDEX(Catalogo_Decisiones!$K$2:$K$69,MATCH($B26,Catalogo_Decisiones!$A$2:$A$69,0)),0)</f>
        <v>0</v>
      </c>
    </row>
    <row r="27" spans="1:9" ht="15.75" customHeight="1" x14ac:dyDescent="0.3">
      <c r="A27" t="s">
        <v>14</v>
      </c>
      <c r="C27" t="str">
        <f>IFERROR(INDEX(Catalogo_Decisiones!$D$2:$D$69,MATCH($B27,Catalogo_Decisiones!$A$2:$A$69,0)),"")</f>
        <v/>
      </c>
      <c r="D27" t="str">
        <f>IFERROR(INDEX(Catalogo_Decisiones!$F$2:$F$69,MATCH($B27,Catalogo_Decisiones!$A$2:$A$69,0)),"")</f>
        <v/>
      </c>
      <c r="E27">
        <f>IFERROR(INDEX(Catalogo_Decisiones!$G$2:$G$69,MATCH($B27,Catalogo_Decisiones!$A$2:$A$69,0)),0)</f>
        <v>0</v>
      </c>
      <c r="F27">
        <f>IFERROR(INDEX(Catalogo_Decisiones!$H$2:$H$69,MATCH($B27,Catalogo_Decisiones!$A$2:$A$69,0)),0)</f>
        <v>0</v>
      </c>
      <c r="G27">
        <f>IFERROR(INDEX(Catalogo_Decisiones!$I$2:$I$69,MATCH($B27,Catalogo_Decisiones!$A$2:$A$69,0)),0)</f>
        <v>0</v>
      </c>
      <c r="H27">
        <f>IFERROR(INDEX(Catalogo_Decisiones!$J$2:$J$69,MATCH($B27,Catalogo_Decisiones!$A$2:$A$69,0)),0)</f>
        <v>0</v>
      </c>
      <c r="I27">
        <f>IFERROR(INDEX(Catalogo_Decisiones!$K$2:$K$69,MATCH($B27,Catalogo_Decisiones!$A$2:$A$69,0)),0)</f>
        <v>0</v>
      </c>
    </row>
    <row r="28" spans="1:9" ht="15.75" customHeight="1" x14ac:dyDescent="0.3"/>
    <row r="29" spans="1:9" ht="15.75" customHeight="1" x14ac:dyDescent="0.3"/>
    <row r="30" spans="1:9" ht="15.75" customHeight="1" x14ac:dyDescent="0.3"/>
    <row r="31" spans="1:9" ht="15.75" customHeight="1" x14ac:dyDescent="0.3"/>
    <row r="32" spans="1:9"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4">
    <dataValidation type="list" allowBlank="1" sqref="B4" xr:uid="{00000000-0002-0000-0200-000000000000}">
      <formula1>"INF-08,INF-09,INF-10"</formula1>
    </dataValidation>
    <dataValidation type="list" allowBlank="1" sqref="B8" xr:uid="{00000000-0002-0000-0200-000001000000}">
      <formula1>"RH-10A,RH-10B"</formula1>
    </dataValidation>
    <dataValidation type="list" allowBlank="1" sqref="B10" xr:uid="{00000000-0002-0000-0200-000002000000}">
      <formula1>"FIN-01A,FIN-01B"</formula1>
    </dataValidation>
    <dataValidation type="list" allowBlank="1" sqref="B9" xr:uid="{00000000-0002-0000-0200-000003000000}">
      <formula1>"COM-01A,COM-01B,COM-01C"</formula1>
    </dataValidation>
    <dataValidation type="list" allowBlank="1" sqref="B11" xr:uid="{00000000-0002-0000-0200-000004000000}">
      <formula1>"INS-09A,INS-09B"</formula1>
    </dataValidation>
    <dataValidation type="list" allowBlank="1" sqref="B3" xr:uid="{00000000-0002-0000-0200-000005000000}">
      <formula1>"INF-05,INF-06,INF-07"</formula1>
    </dataValidation>
    <dataValidation type="list" allowBlank="1" sqref="B6" xr:uid="{00000000-0002-0000-0200-000006000000}">
      <formula1>"RH-04,RH-05,RH-06"</formula1>
    </dataValidation>
    <dataValidation type="list" allowBlank="1" sqref="B15" xr:uid="{00000000-0002-0000-0200-000007000000}">
      <formula1>"INV-02A,INV-02B,INV-02C"</formula1>
    </dataValidation>
    <dataValidation type="list" allowBlank="1" sqref="B13" xr:uid="{00000000-0002-0000-0200-000008000000}">
      <formula1>"INS-11A,INS-11B,INS-11C"</formula1>
    </dataValidation>
    <dataValidation type="list" allowBlank="1" sqref="B5" xr:uid="{00000000-0002-0000-0200-000009000000}">
      <formula1>"RH-01,RH-02,RH-03"</formula1>
    </dataValidation>
    <dataValidation type="list" allowBlank="1" sqref="B14" xr:uid="{00000000-0002-0000-0200-00000A000000}">
      <formula1>"INV-01A,INV-01B,INV-01C"</formula1>
    </dataValidation>
    <dataValidation type="list" allowBlank="1" sqref="B12" xr:uid="{00000000-0002-0000-0200-00000B000000}">
      <formula1>"INS-10A,INS-10B"</formula1>
    </dataValidation>
    <dataValidation type="list" allowBlank="1" sqref="B2" xr:uid="{00000000-0002-0000-0200-00000C000000}">
      <formula1>"INF-02,INF-03,INF-04"</formula1>
    </dataValidation>
    <dataValidation type="list" allowBlank="1" sqref="B7" xr:uid="{00000000-0002-0000-0200-00000D000000}">
      <formula1>"RH-07,RH-08,RH-09"</formula1>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1">
        <x14:dataValidation type="list" xr:uid="{00000000-0002-0000-0200-00000E000000}">
          <x14:formula1>
            <xm:f>Catalogo_Decisiones!$A$2:$A$69</xm:f>
          </x14:formula1>
          <xm:sqref>B24:B27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showGridLines="0" workbookViewId="0">
      <pane ySplit="1" topLeftCell="A2" activePane="bottomLeft" state="frozen"/>
      <selection pane="bottomLeft" activeCell="B3" sqref="B3"/>
    </sheetView>
  </sheetViews>
  <sheetFormatPr baseColWidth="10" defaultColWidth="14.44140625" defaultRowHeight="15" customHeight="1" x14ac:dyDescent="0.3"/>
  <cols>
    <col min="1" max="1" width="10" customWidth="1"/>
    <col min="2" max="2" width="16" customWidth="1"/>
    <col min="3" max="3" width="26" customWidth="1"/>
    <col min="4" max="4" width="31.88671875" customWidth="1"/>
    <col min="5" max="5" width="21.33203125" customWidth="1"/>
    <col min="6" max="6" width="79.88671875" customWidth="1"/>
    <col min="7" max="7" width="13.88671875" customWidth="1"/>
    <col min="8" max="11" width="12" customWidth="1"/>
    <col min="12" max="12" width="40.33203125" customWidth="1"/>
    <col min="13" max="26" width="8.6640625" customWidth="1"/>
  </cols>
  <sheetData>
    <row r="1" spans="1:12" ht="41.4" x14ac:dyDescent="0.3">
      <c r="A1" s="7" t="s">
        <v>48</v>
      </c>
      <c r="B1" s="7" t="s">
        <v>49</v>
      </c>
      <c r="C1" s="7" t="s">
        <v>15</v>
      </c>
      <c r="D1" s="7" t="s">
        <v>50</v>
      </c>
      <c r="E1" s="7" t="s">
        <v>51</v>
      </c>
      <c r="F1" s="7" t="s">
        <v>52</v>
      </c>
      <c r="G1" s="7" t="s">
        <v>53</v>
      </c>
      <c r="H1" s="7" t="s">
        <v>54</v>
      </c>
      <c r="I1" s="7" t="s">
        <v>55</v>
      </c>
      <c r="J1" s="7" t="s">
        <v>56</v>
      </c>
      <c r="K1" s="7" t="s">
        <v>57</v>
      </c>
      <c r="L1" s="7" t="s">
        <v>58</v>
      </c>
    </row>
    <row r="2" spans="1:12" ht="14.4" x14ac:dyDescent="0.3">
      <c r="A2" s="9" t="s">
        <v>59</v>
      </c>
      <c r="B2" s="9" t="s">
        <v>60</v>
      </c>
      <c r="C2" s="11" t="s">
        <v>61</v>
      </c>
      <c r="D2" s="9" t="s">
        <v>62</v>
      </c>
      <c r="E2" s="9" t="s">
        <v>63</v>
      </c>
      <c r="F2" s="9" t="s">
        <v>64</v>
      </c>
      <c r="G2" s="9">
        <v>0</v>
      </c>
      <c r="H2" s="12">
        <v>0</v>
      </c>
      <c r="I2" s="12">
        <v>0</v>
      </c>
      <c r="J2" s="12">
        <v>0</v>
      </c>
      <c r="K2" s="12">
        <v>0</v>
      </c>
      <c r="L2" s="9" t="s">
        <v>65</v>
      </c>
    </row>
    <row r="3" spans="1:12" ht="14.4" x14ac:dyDescent="0.3">
      <c r="A3" s="9" t="s">
        <v>66</v>
      </c>
      <c r="B3" s="9" t="s">
        <v>60</v>
      </c>
      <c r="C3" s="13" t="s">
        <v>67</v>
      </c>
      <c r="D3" s="9" t="s">
        <v>62</v>
      </c>
      <c r="E3" s="9" t="s">
        <v>63</v>
      </c>
      <c r="F3" s="9" t="s">
        <v>68</v>
      </c>
      <c r="G3" s="9">
        <v>0</v>
      </c>
      <c r="H3" s="12">
        <v>0</v>
      </c>
      <c r="I3" s="12">
        <v>0</v>
      </c>
      <c r="J3" s="12">
        <v>0</v>
      </c>
      <c r="K3" s="12">
        <v>0</v>
      </c>
      <c r="L3" s="9" t="s">
        <v>65</v>
      </c>
    </row>
    <row r="4" spans="1:12" ht="14.4" x14ac:dyDescent="0.3">
      <c r="A4" s="9" t="s">
        <v>69</v>
      </c>
      <c r="B4" s="9" t="s">
        <v>60</v>
      </c>
      <c r="C4" s="14" t="s">
        <v>70</v>
      </c>
      <c r="D4" s="9" t="s">
        <v>62</v>
      </c>
      <c r="E4" s="9" t="s">
        <v>63</v>
      </c>
      <c r="F4" s="9" t="s">
        <v>71</v>
      </c>
      <c r="G4" s="9">
        <v>0</v>
      </c>
      <c r="H4" s="12">
        <v>0</v>
      </c>
      <c r="I4" s="12">
        <v>0</v>
      </c>
      <c r="J4" s="12">
        <v>0</v>
      </c>
      <c r="K4" s="12">
        <v>0</v>
      </c>
      <c r="L4" s="9" t="s">
        <v>65</v>
      </c>
    </row>
    <row r="5" spans="1:12" ht="14.4" x14ac:dyDescent="0.3">
      <c r="A5" s="9" t="s">
        <v>72</v>
      </c>
      <c r="B5" s="9" t="s">
        <v>60</v>
      </c>
      <c r="C5" s="9" t="s">
        <v>73</v>
      </c>
      <c r="D5" s="9" t="s">
        <v>74</v>
      </c>
      <c r="E5" s="9" t="s">
        <v>63</v>
      </c>
      <c r="F5" s="9" t="s">
        <v>75</v>
      </c>
      <c r="G5" s="9">
        <v>0</v>
      </c>
      <c r="H5" s="12">
        <v>0</v>
      </c>
      <c r="I5" s="12">
        <v>0</v>
      </c>
      <c r="J5" s="12">
        <v>1</v>
      </c>
      <c r="K5" s="12">
        <v>0</v>
      </c>
      <c r="L5" s="9" t="s">
        <v>76</v>
      </c>
    </row>
    <row r="6" spans="1:12" ht="14.4" x14ac:dyDescent="0.3">
      <c r="A6" s="9" t="s">
        <v>77</v>
      </c>
      <c r="B6" s="9" t="s">
        <v>60</v>
      </c>
      <c r="C6" s="9" t="s">
        <v>73</v>
      </c>
      <c r="D6" s="9" t="s">
        <v>78</v>
      </c>
      <c r="E6" s="9" t="s">
        <v>63</v>
      </c>
      <c r="F6" s="9" t="s">
        <v>79</v>
      </c>
      <c r="G6" s="9">
        <v>0</v>
      </c>
      <c r="H6" s="12">
        <v>1</v>
      </c>
      <c r="I6" s="12">
        <v>0</v>
      </c>
      <c r="J6" s="12">
        <v>1</v>
      </c>
      <c r="K6" s="12">
        <v>0</v>
      </c>
      <c r="L6" s="9"/>
    </row>
    <row r="7" spans="1:12" ht="14.4" x14ac:dyDescent="0.3">
      <c r="A7" s="9" t="s">
        <v>80</v>
      </c>
      <c r="B7" s="9" t="s">
        <v>60</v>
      </c>
      <c r="C7" s="9" t="s">
        <v>73</v>
      </c>
      <c r="D7" s="9" t="s">
        <v>81</v>
      </c>
      <c r="E7" s="9" t="s">
        <v>63</v>
      </c>
      <c r="F7" s="9" t="s">
        <v>82</v>
      </c>
      <c r="G7" s="9">
        <v>0</v>
      </c>
      <c r="H7" s="12">
        <v>2</v>
      </c>
      <c r="I7" s="12">
        <v>0</v>
      </c>
      <c r="J7" s="12">
        <v>2</v>
      </c>
      <c r="K7" s="12">
        <v>0</v>
      </c>
      <c r="L7" s="9" t="s">
        <v>83</v>
      </c>
    </row>
    <row r="8" spans="1:12" ht="14.4" x14ac:dyDescent="0.3">
      <c r="A8" s="9" t="s">
        <v>84</v>
      </c>
      <c r="B8" s="9" t="s">
        <v>85</v>
      </c>
      <c r="C8" s="9" t="s">
        <v>86</v>
      </c>
      <c r="D8" s="9" t="s">
        <v>87</v>
      </c>
      <c r="E8" s="9" t="s">
        <v>63</v>
      </c>
      <c r="F8" s="9" t="s">
        <v>88</v>
      </c>
      <c r="G8" s="9">
        <v>2500</v>
      </c>
      <c r="H8" s="12">
        <v>0</v>
      </c>
      <c r="I8" s="12">
        <v>1</v>
      </c>
      <c r="J8" s="12">
        <v>0</v>
      </c>
      <c r="K8" s="12">
        <v>0</v>
      </c>
      <c r="L8" s="9" t="s">
        <v>89</v>
      </c>
    </row>
    <row r="9" spans="1:12" ht="14.4" x14ac:dyDescent="0.3">
      <c r="A9" s="9" t="s">
        <v>90</v>
      </c>
      <c r="B9" s="9" t="s">
        <v>85</v>
      </c>
      <c r="C9" s="9" t="s">
        <v>24</v>
      </c>
      <c r="D9" s="9" t="s">
        <v>91</v>
      </c>
      <c r="E9" s="9" t="s">
        <v>63</v>
      </c>
      <c r="F9" s="9" t="s">
        <v>92</v>
      </c>
      <c r="G9" s="9">
        <v>3500</v>
      </c>
      <c r="H9" s="12">
        <v>1</v>
      </c>
      <c r="I9" s="12">
        <v>1</v>
      </c>
      <c r="J9" s="12">
        <v>0</v>
      </c>
      <c r="K9" s="12">
        <v>0</v>
      </c>
      <c r="L9" s="9"/>
    </row>
    <row r="10" spans="1:12" ht="14.4" x14ac:dyDescent="0.3">
      <c r="A10" s="9" t="s">
        <v>93</v>
      </c>
      <c r="B10" s="9" t="s">
        <v>85</v>
      </c>
      <c r="C10" s="9" t="s">
        <v>24</v>
      </c>
      <c r="D10" s="9" t="s">
        <v>94</v>
      </c>
      <c r="E10" s="9" t="s">
        <v>63</v>
      </c>
      <c r="F10" s="9" t="s">
        <v>95</v>
      </c>
      <c r="G10" s="9">
        <v>7500</v>
      </c>
      <c r="H10" s="12">
        <v>2</v>
      </c>
      <c r="I10" s="12">
        <v>2</v>
      </c>
      <c r="J10" s="12">
        <v>0</v>
      </c>
      <c r="K10" s="12">
        <v>0</v>
      </c>
      <c r="L10" s="9"/>
    </row>
    <row r="11" spans="1:12" ht="14.4" x14ac:dyDescent="0.3">
      <c r="A11" s="9" t="s">
        <v>96</v>
      </c>
      <c r="B11" s="9" t="s">
        <v>85</v>
      </c>
      <c r="C11" s="9" t="s">
        <v>24</v>
      </c>
      <c r="D11" s="9" t="s">
        <v>97</v>
      </c>
      <c r="E11" s="9" t="s">
        <v>63</v>
      </c>
      <c r="F11" s="9" t="s">
        <v>98</v>
      </c>
      <c r="G11" s="9">
        <v>15000</v>
      </c>
      <c r="H11" s="12">
        <v>3</v>
      </c>
      <c r="I11" s="12">
        <v>3</v>
      </c>
      <c r="J11" s="12">
        <v>0</v>
      </c>
      <c r="K11" s="12">
        <v>0</v>
      </c>
      <c r="L11" s="9"/>
    </row>
    <row r="12" spans="1:12" ht="14.4" x14ac:dyDescent="0.3">
      <c r="A12" s="9" t="s">
        <v>99</v>
      </c>
      <c r="B12" s="9" t="s">
        <v>85</v>
      </c>
      <c r="C12" s="9" t="s">
        <v>25</v>
      </c>
      <c r="D12" s="9" t="s">
        <v>91</v>
      </c>
      <c r="E12" s="9" t="s">
        <v>63</v>
      </c>
      <c r="F12" s="9" t="s">
        <v>100</v>
      </c>
      <c r="G12" s="9">
        <v>1200</v>
      </c>
      <c r="H12" s="12">
        <v>1</v>
      </c>
      <c r="I12" s="12">
        <v>1</v>
      </c>
      <c r="J12" s="12">
        <v>0</v>
      </c>
      <c r="K12" s="12">
        <v>0</v>
      </c>
      <c r="L12" s="9"/>
    </row>
    <row r="13" spans="1:12" ht="14.4" x14ac:dyDescent="0.3">
      <c r="A13" s="9" t="s">
        <v>101</v>
      </c>
      <c r="B13" s="9" t="s">
        <v>85</v>
      </c>
      <c r="C13" s="9" t="s">
        <v>25</v>
      </c>
      <c r="D13" s="9" t="s">
        <v>94</v>
      </c>
      <c r="E13" s="9" t="s">
        <v>63</v>
      </c>
      <c r="F13" s="9" t="s">
        <v>102</v>
      </c>
      <c r="G13" s="9">
        <v>4500</v>
      </c>
      <c r="H13" s="12">
        <v>2</v>
      </c>
      <c r="I13" s="12">
        <v>2</v>
      </c>
      <c r="J13" s="12">
        <v>0</v>
      </c>
      <c r="K13" s="12">
        <v>0</v>
      </c>
      <c r="L13" s="9"/>
    </row>
    <row r="14" spans="1:12" ht="14.4" x14ac:dyDescent="0.3">
      <c r="A14" s="9" t="s">
        <v>103</v>
      </c>
      <c r="B14" s="9" t="s">
        <v>85</v>
      </c>
      <c r="C14" s="9" t="s">
        <v>25</v>
      </c>
      <c r="D14" s="9" t="s">
        <v>97</v>
      </c>
      <c r="E14" s="9" t="s">
        <v>63</v>
      </c>
      <c r="F14" s="9" t="s">
        <v>104</v>
      </c>
      <c r="G14" s="9">
        <v>9500</v>
      </c>
      <c r="H14" s="12">
        <v>3</v>
      </c>
      <c r="I14" s="12">
        <v>3</v>
      </c>
      <c r="J14" s="12">
        <v>0</v>
      </c>
      <c r="K14" s="12">
        <v>0</v>
      </c>
      <c r="L14" s="9"/>
    </row>
    <row r="15" spans="1:12" ht="14.4" x14ac:dyDescent="0.3">
      <c r="A15" s="9" t="s">
        <v>105</v>
      </c>
      <c r="B15" s="9" t="s">
        <v>85</v>
      </c>
      <c r="C15" s="9" t="s">
        <v>26</v>
      </c>
      <c r="D15" s="9" t="s">
        <v>106</v>
      </c>
      <c r="E15" s="9" t="s">
        <v>63</v>
      </c>
      <c r="F15" s="9" t="s">
        <v>107</v>
      </c>
      <c r="G15" s="9">
        <v>300</v>
      </c>
      <c r="H15" s="12">
        <v>1</v>
      </c>
      <c r="I15" s="12">
        <v>1</v>
      </c>
      <c r="J15" s="12">
        <v>0</v>
      </c>
      <c r="K15" s="12">
        <v>0</v>
      </c>
      <c r="L15" s="9" t="s">
        <v>108</v>
      </c>
    </row>
    <row r="16" spans="1:12" ht="14.4" x14ac:dyDescent="0.3">
      <c r="A16" s="9" t="s">
        <v>109</v>
      </c>
      <c r="B16" s="9" t="s">
        <v>85</v>
      </c>
      <c r="C16" s="9" t="s">
        <v>26</v>
      </c>
      <c r="D16" s="9" t="s">
        <v>110</v>
      </c>
      <c r="E16" s="9" t="s">
        <v>63</v>
      </c>
      <c r="F16" s="9" t="s">
        <v>111</v>
      </c>
      <c r="G16" s="9">
        <v>1200</v>
      </c>
      <c r="H16" s="12">
        <v>2</v>
      </c>
      <c r="I16" s="12">
        <v>2</v>
      </c>
      <c r="J16" s="12">
        <v>1</v>
      </c>
      <c r="K16" s="12">
        <v>0</v>
      </c>
      <c r="L16" s="9" t="s">
        <v>112</v>
      </c>
    </row>
    <row r="17" spans="1:12" ht="14.4" x14ac:dyDescent="0.3">
      <c r="A17" s="9" t="s">
        <v>113</v>
      </c>
      <c r="B17" s="9" t="s">
        <v>85</v>
      </c>
      <c r="C17" s="9" t="s">
        <v>26</v>
      </c>
      <c r="D17" s="9" t="s">
        <v>114</v>
      </c>
      <c r="E17" s="9" t="s">
        <v>63</v>
      </c>
      <c r="F17" s="9" t="s">
        <v>115</v>
      </c>
      <c r="G17" s="9">
        <v>3500</v>
      </c>
      <c r="H17" s="12">
        <v>4</v>
      </c>
      <c r="I17" s="12">
        <v>2</v>
      </c>
      <c r="J17" s="12">
        <v>2</v>
      </c>
      <c r="K17" s="12">
        <v>0</v>
      </c>
      <c r="L17" s="9" t="s">
        <v>116</v>
      </c>
    </row>
    <row r="18" spans="1:12" ht="14.4" x14ac:dyDescent="0.3">
      <c r="A18" s="9" t="s">
        <v>117</v>
      </c>
      <c r="B18" s="9" t="s">
        <v>118</v>
      </c>
      <c r="C18" s="9" t="s">
        <v>27</v>
      </c>
      <c r="D18" s="9" t="s">
        <v>119</v>
      </c>
      <c r="E18" s="9" t="s">
        <v>120</v>
      </c>
      <c r="F18" s="9" t="s">
        <v>121</v>
      </c>
      <c r="G18" s="9">
        <v>1500</v>
      </c>
      <c r="H18" s="12">
        <v>0</v>
      </c>
      <c r="I18" s="12">
        <v>1</v>
      </c>
      <c r="J18" s="12">
        <v>0</v>
      </c>
      <c r="K18" s="12">
        <v>0</v>
      </c>
      <c r="L18" s="9"/>
    </row>
    <row r="19" spans="1:12" ht="14.4" x14ac:dyDescent="0.3">
      <c r="A19" s="9" t="s">
        <v>122</v>
      </c>
      <c r="B19" s="9" t="s">
        <v>118</v>
      </c>
      <c r="C19" s="9" t="s">
        <v>27</v>
      </c>
      <c r="D19" s="9" t="s">
        <v>123</v>
      </c>
      <c r="E19" s="9" t="s">
        <v>120</v>
      </c>
      <c r="F19" s="9" t="s">
        <v>124</v>
      </c>
      <c r="G19" s="9">
        <v>2500</v>
      </c>
      <c r="H19" s="12">
        <v>1</v>
      </c>
      <c r="I19" s="12">
        <v>2</v>
      </c>
      <c r="J19" s="12">
        <v>0</v>
      </c>
      <c r="K19" s="12">
        <v>0</v>
      </c>
      <c r="L19" s="9"/>
    </row>
    <row r="20" spans="1:12" ht="14.4" x14ac:dyDescent="0.3">
      <c r="A20" s="9" t="s">
        <v>125</v>
      </c>
      <c r="B20" s="9" t="s">
        <v>118</v>
      </c>
      <c r="C20" s="9" t="s">
        <v>27</v>
      </c>
      <c r="D20" s="9" t="s">
        <v>126</v>
      </c>
      <c r="E20" s="9" t="s">
        <v>120</v>
      </c>
      <c r="F20" s="9" t="s">
        <v>127</v>
      </c>
      <c r="G20" s="9">
        <v>4000</v>
      </c>
      <c r="H20" s="12">
        <v>2</v>
      </c>
      <c r="I20" s="12">
        <v>3</v>
      </c>
      <c r="J20" s="12">
        <v>0</v>
      </c>
      <c r="K20" s="12">
        <v>0</v>
      </c>
      <c r="L20" s="9"/>
    </row>
    <row r="21" spans="1:12" ht="15.75" customHeight="1" x14ac:dyDescent="0.3">
      <c r="A21" s="9" t="s">
        <v>128</v>
      </c>
      <c r="B21" s="9" t="s">
        <v>118</v>
      </c>
      <c r="C21" s="9" t="s">
        <v>28</v>
      </c>
      <c r="D21" s="9" t="s">
        <v>129</v>
      </c>
      <c r="E21" s="9" t="s">
        <v>120</v>
      </c>
      <c r="F21" s="9" t="s">
        <v>130</v>
      </c>
      <c r="G21" s="9">
        <v>1500</v>
      </c>
      <c r="H21" s="12">
        <v>0</v>
      </c>
      <c r="I21" s="12">
        <v>1</v>
      </c>
      <c r="J21" s="12">
        <v>0</v>
      </c>
      <c r="K21" s="12">
        <v>0</v>
      </c>
      <c r="L21" s="9"/>
    </row>
    <row r="22" spans="1:12" ht="15.75" customHeight="1" x14ac:dyDescent="0.3">
      <c r="A22" s="9" t="s">
        <v>131</v>
      </c>
      <c r="B22" s="9" t="s">
        <v>118</v>
      </c>
      <c r="C22" s="9" t="s">
        <v>28</v>
      </c>
      <c r="D22" s="9" t="s">
        <v>132</v>
      </c>
      <c r="E22" s="9" t="s">
        <v>120</v>
      </c>
      <c r="F22" s="9" t="s">
        <v>133</v>
      </c>
      <c r="G22" s="9">
        <v>2800</v>
      </c>
      <c r="H22" s="12">
        <v>1</v>
      </c>
      <c r="I22" s="12">
        <v>2</v>
      </c>
      <c r="J22" s="12">
        <v>0</v>
      </c>
      <c r="K22" s="12">
        <v>0</v>
      </c>
      <c r="L22" s="9"/>
    </row>
    <row r="23" spans="1:12" ht="15.75" customHeight="1" x14ac:dyDescent="0.3">
      <c r="A23" s="9" t="s">
        <v>134</v>
      </c>
      <c r="B23" s="9" t="s">
        <v>118</v>
      </c>
      <c r="C23" s="9" t="s">
        <v>28</v>
      </c>
      <c r="D23" s="9" t="s">
        <v>135</v>
      </c>
      <c r="E23" s="9" t="s">
        <v>120</v>
      </c>
      <c r="F23" s="9" t="s">
        <v>136</v>
      </c>
      <c r="G23" s="9">
        <v>4500</v>
      </c>
      <c r="H23" s="12">
        <v>2</v>
      </c>
      <c r="I23" s="12">
        <v>3</v>
      </c>
      <c r="J23" s="12">
        <v>1</v>
      </c>
      <c r="K23" s="12">
        <v>0</v>
      </c>
      <c r="L23" s="9"/>
    </row>
    <row r="24" spans="1:12" ht="15.75" customHeight="1" x14ac:dyDescent="0.3">
      <c r="A24" s="9" t="s">
        <v>137</v>
      </c>
      <c r="B24" s="9" t="s">
        <v>118</v>
      </c>
      <c r="C24" s="9" t="s">
        <v>29</v>
      </c>
      <c r="D24" s="9" t="s">
        <v>138</v>
      </c>
      <c r="E24" s="9" t="s">
        <v>120</v>
      </c>
      <c r="F24" s="9" t="s">
        <v>139</v>
      </c>
      <c r="G24" s="9">
        <v>1500</v>
      </c>
      <c r="H24" s="12">
        <v>0</v>
      </c>
      <c r="I24" s="12">
        <v>1</v>
      </c>
      <c r="J24" s="12">
        <v>0</v>
      </c>
      <c r="K24" s="12">
        <v>0</v>
      </c>
      <c r="L24" s="9"/>
    </row>
    <row r="25" spans="1:12" ht="15.75" customHeight="1" x14ac:dyDescent="0.3">
      <c r="A25" s="9" t="s">
        <v>140</v>
      </c>
      <c r="B25" s="9" t="s">
        <v>118</v>
      </c>
      <c r="C25" s="9" t="s">
        <v>29</v>
      </c>
      <c r="D25" s="9" t="s">
        <v>141</v>
      </c>
      <c r="E25" s="9" t="s">
        <v>120</v>
      </c>
      <c r="F25" s="9" t="s">
        <v>142</v>
      </c>
      <c r="G25" s="9">
        <v>2800</v>
      </c>
      <c r="H25" s="12">
        <v>1</v>
      </c>
      <c r="I25" s="12">
        <v>2</v>
      </c>
      <c r="J25" s="12">
        <v>0</v>
      </c>
      <c r="K25" s="12">
        <v>0</v>
      </c>
      <c r="L25" s="9"/>
    </row>
    <row r="26" spans="1:12" ht="15.75" customHeight="1" x14ac:dyDescent="0.3">
      <c r="A26" s="9" t="s">
        <v>143</v>
      </c>
      <c r="B26" s="9" t="s">
        <v>118</v>
      </c>
      <c r="C26" s="9" t="s">
        <v>29</v>
      </c>
      <c r="D26" s="9" t="s">
        <v>144</v>
      </c>
      <c r="E26" s="9" t="s">
        <v>120</v>
      </c>
      <c r="F26" s="9" t="s">
        <v>145</v>
      </c>
      <c r="G26" s="9">
        <v>4500</v>
      </c>
      <c r="H26" s="12">
        <v>2</v>
      </c>
      <c r="I26" s="12">
        <v>3</v>
      </c>
      <c r="J26" s="12">
        <v>1</v>
      </c>
      <c r="K26" s="12">
        <v>0</v>
      </c>
      <c r="L26" s="9"/>
    </row>
    <row r="27" spans="1:12" ht="15.75" customHeight="1" x14ac:dyDescent="0.3">
      <c r="A27" s="9" t="s">
        <v>146</v>
      </c>
      <c r="B27" s="9" t="s">
        <v>118</v>
      </c>
      <c r="C27" s="9" t="s">
        <v>30</v>
      </c>
      <c r="D27" s="9" t="s">
        <v>147</v>
      </c>
      <c r="E27" s="9" t="s">
        <v>120</v>
      </c>
      <c r="F27" s="9" t="s">
        <v>148</v>
      </c>
      <c r="G27" s="9">
        <v>3000</v>
      </c>
      <c r="H27" s="12">
        <v>0</v>
      </c>
      <c r="I27" s="12">
        <v>2</v>
      </c>
      <c r="J27" s="12">
        <v>1</v>
      </c>
      <c r="K27" s="12">
        <v>0</v>
      </c>
      <c r="L27" s="9"/>
    </row>
    <row r="28" spans="1:12" ht="15.75" customHeight="1" x14ac:dyDescent="0.3">
      <c r="A28" s="9" t="s">
        <v>149</v>
      </c>
      <c r="B28" s="9" t="s">
        <v>118</v>
      </c>
      <c r="C28" s="9" t="s">
        <v>30</v>
      </c>
      <c r="D28" s="9" t="s">
        <v>150</v>
      </c>
      <c r="E28" s="9" t="s">
        <v>120</v>
      </c>
      <c r="F28" s="9" t="s">
        <v>151</v>
      </c>
      <c r="G28" s="9">
        <v>0</v>
      </c>
      <c r="H28" s="12">
        <v>0</v>
      </c>
      <c r="I28" s="12">
        <v>-1</v>
      </c>
      <c r="J28" s="12">
        <v>0</v>
      </c>
      <c r="K28" s="12">
        <v>1</v>
      </c>
      <c r="L28" s="9" t="s">
        <v>152</v>
      </c>
    </row>
    <row r="29" spans="1:12" ht="15.75" customHeight="1" x14ac:dyDescent="0.3">
      <c r="A29" s="9" t="s">
        <v>153</v>
      </c>
      <c r="B29" s="9" t="s">
        <v>118</v>
      </c>
      <c r="C29" s="9" t="s">
        <v>154</v>
      </c>
      <c r="D29" s="9" t="s">
        <v>87</v>
      </c>
      <c r="E29" s="9" t="s">
        <v>63</v>
      </c>
      <c r="F29" s="9" t="s">
        <v>155</v>
      </c>
      <c r="G29" s="9">
        <v>600</v>
      </c>
      <c r="H29" s="12">
        <v>0</v>
      </c>
      <c r="I29" s="12">
        <v>0</v>
      </c>
      <c r="J29" s="12">
        <v>0</v>
      </c>
      <c r="K29" s="12">
        <v>0</v>
      </c>
      <c r="L29" s="9"/>
    </row>
    <row r="30" spans="1:12" ht="15.75" customHeight="1" x14ac:dyDescent="0.3">
      <c r="A30" s="9" t="s">
        <v>156</v>
      </c>
      <c r="B30" s="9" t="s">
        <v>118</v>
      </c>
      <c r="C30" s="9" t="s">
        <v>157</v>
      </c>
      <c r="D30" s="9" t="s">
        <v>158</v>
      </c>
      <c r="E30" s="9" t="s">
        <v>63</v>
      </c>
      <c r="F30" s="9" t="s">
        <v>159</v>
      </c>
      <c r="G30" s="9">
        <v>2000</v>
      </c>
      <c r="H30" s="12">
        <v>0</v>
      </c>
      <c r="I30" s="12">
        <v>0</v>
      </c>
      <c r="J30" s="12">
        <v>0</v>
      </c>
      <c r="K30" s="12">
        <v>0</v>
      </c>
      <c r="L30" s="9"/>
    </row>
    <row r="31" spans="1:12" ht="15.75" customHeight="1" x14ac:dyDescent="0.3">
      <c r="A31" s="9" t="s">
        <v>160</v>
      </c>
      <c r="B31" s="9" t="s">
        <v>161</v>
      </c>
      <c r="C31" s="9" t="s">
        <v>31</v>
      </c>
      <c r="D31" s="9" t="s">
        <v>162</v>
      </c>
      <c r="E31" s="9" t="s">
        <v>163</v>
      </c>
      <c r="F31" s="9" t="s">
        <v>164</v>
      </c>
      <c r="G31" s="9">
        <v>0</v>
      </c>
      <c r="H31" s="12">
        <v>0</v>
      </c>
      <c r="I31" s="12">
        <v>0</v>
      </c>
      <c r="J31" s="12">
        <v>0</v>
      </c>
      <c r="K31" s="12">
        <v>1</v>
      </c>
      <c r="L31" s="9"/>
    </row>
    <row r="32" spans="1:12" ht="15.75" customHeight="1" x14ac:dyDescent="0.3">
      <c r="A32" s="9" t="s">
        <v>165</v>
      </c>
      <c r="B32" s="9" t="s">
        <v>161</v>
      </c>
      <c r="C32" s="9" t="s">
        <v>31</v>
      </c>
      <c r="D32" s="9" t="s">
        <v>166</v>
      </c>
      <c r="E32" s="9" t="s">
        <v>163</v>
      </c>
      <c r="F32" s="9" t="s">
        <v>167</v>
      </c>
      <c r="G32" s="9">
        <v>500</v>
      </c>
      <c r="H32" s="12">
        <v>0</v>
      </c>
      <c r="I32" s="12">
        <v>0</v>
      </c>
      <c r="J32" s="12">
        <v>1</v>
      </c>
      <c r="K32" s="12">
        <v>0</v>
      </c>
      <c r="L32" s="9"/>
    </row>
    <row r="33" spans="1:12" ht="15.75" customHeight="1" x14ac:dyDescent="0.3">
      <c r="A33" s="9" t="s">
        <v>168</v>
      </c>
      <c r="B33" s="9" t="s">
        <v>161</v>
      </c>
      <c r="C33" s="9" t="s">
        <v>31</v>
      </c>
      <c r="D33" s="9" t="s">
        <v>169</v>
      </c>
      <c r="E33" s="9" t="s">
        <v>163</v>
      </c>
      <c r="F33" s="9" t="s">
        <v>170</v>
      </c>
      <c r="G33" s="9">
        <v>1500</v>
      </c>
      <c r="H33" s="12">
        <v>0</v>
      </c>
      <c r="I33" s="12">
        <v>0</v>
      </c>
      <c r="J33" s="12">
        <v>2</v>
      </c>
      <c r="K33" s="12">
        <v>-1</v>
      </c>
      <c r="L33" s="9"/>
    </row>
    <row r="34" spans="1:12" ht="15.75" customHeight="1" x14ac:dyDescent="0.3">
      <c r="A34" s="9" t="s">
        <v>171</v>
      </c>
      <c r="B34" s="9" t="s">
        <v>161</v>
      </c>
      <c r="C34" s="9" t="s">
        <v>32</v>
      </c>
      <c r="D34" s="9" t="s">
        <v>172</v>
      </c>
      <c r="E34" s="9" t="s">
        <v>173</v>
      </c>
      <c r="F34" s="9" t="s">
        <v>174</v>
      </c>
      <c r="G34" s="9">
        <v>0</v>
      </c>
      <c r="H34" s="12">
        <v>0</v>
      </c>
      <c r="I34" s="12">
        <v>0</v>
      </c>
      <c r="J34" s="12">
        <v>0</v>
      </c>
      <c r="K34" s="12">
        <v>-1</v>
      </c>
      <c r="L34" s="9" t="s">
        <v>175</v>
      </c>
    </row>
    <row r="35" spans="1:12" ht="15.75" customHeight="1" x14ac:dyDescent="0.3">
      <c r="A35" s="9" t="s">
        <v>176</v>
      </c>
      <c r="B35" s="9" t="s">
        <v>161</v>
      </c>
      <c r="C35" s="9" t="s">
        <v>32</v>
      </c>
      <c r="D35" s="9" t="s">
        <v>177</v>
      </c>
      <c r="E35" s="9" t="s">
        <v>173</v>
      </c>
      <c r="F35" s="9" t="s">
        <v>178</v>
      </c>
      <c r="G35" s="9">
        <v>0</v>
      </c>
      <c r="H35" s="12">
        <v>0</v>
      </c>
      <c r="I35" s="12">
        <v>0</v>
      </c>
      <c r="J35" s="12">
        <v>1</v>
      </c>
      <c r="K35" s="12">
        <v>1</v>
      </c>
      <c r="L35" s="9"/>
    </row>
    <row r="36" spans="1:12" ht="15.75" customHeight="1" x14ac:dyDescent="0.3">
      <c r="A36" s="9" t="s">
        <v>179</v>
      </c>
      <c r="B36" s="9" t="s">
        <v>180</v>
      </c>
      <c r="C36" s="9" t="s">
        <v>181</v>
      </c>
      <c r="D36" s="9" t="s">
        <v>182</v>
      </c>
      <c r="E36" s="9" t="s">
        <v>163</v>
      </c>
      <c r="F36" s="9" t="s">
        <v>183</v>
      </c>
      <c r="G36" s="9">
        <v>25</v>
      </c>
      <c r="H36" s="12">
        <v>1</v>
      </c>
      <c r="I36" s="12">
        <v>0</v>
      </c>
      <c r="J36" s="12">
        <v>0</v>
      </c>
      <c r="K36" s="12">
        <v>1</v>
      </c>
      <c r="L36" s="9" t="s">
        <v>184</v>
      </c>
    </row>
    <row r="37" spans="1:12" ht="15.75" customHeight="1" x14ac:dyDescent="0.3">
      <c r="A37" s="9" t="s">
        <v>185</v>
      </c>
      <c r="B37" s="9" t="s">
        <v>180</v>
      </c>
      <c r="C37" s="9" t="s">
        <v>181</v>
      </c>
      <c r="D37" s="9" t="s">
        <v>186</v>
      </c>
      <c r="E37" s="9" t="s">
        <v>163</v>
      </c>
      <c r="F37" s="9" t="s">
        <v>187</v>
      </c>
      <c r="G37" s="9">
        <v>45</v>
      </c>
      <c r="H37" s="12">
        <v>2</v>
      </c>
      <c r="I37" s="12">
        <v>0</v>
      </c>
      <c r="J37" s="12">
        <v>0</v>
      </c>
      <c r="K37" s="12">
        <v>0</v>
      </c>
      <c r="L37" s="9" t="s">
        <v>184</v>
      </c>
    </row>
    <row r="38" spans="1:12" ht="15.75" customHeight="1" x14ac:dyDescent="0.3">
      <c r="A38" s="9" t="s">
        <v>188</v>
      </c>
      <c r="B38" s="9" t="s">
        <v>180</v>
      </c>
      <c r="C38" s="9" t="s">
        <v>181</v>
      </c>
      <c r="D38" s="9" t="s">
        <v>189</v>
      </c>
      <c r="E38" s="9" t="s">
        <v>163</v>
      </c>
      <c r="F38" s="9" t="s">
        <v>190</v>
      </c>
      <c r="G38" s="9">
        <v>80</v>
      </c>
      <c r="H38" s="12">
        <v>3</v>
      </c>
      <c r="I38" s="12">
        <v>0</v>
      </c>
      <c r="J38" s="12">
        <v>1</v>
      </c>
      <c r="K38" s="12">
        <v>-1</v>
      </c>
      <c r="L38" s="9" t="s">
        <v>184</v>
      </c>
    </row>
    <row r="39" spans="1:12" ht="15.75" customHeight="1" x14ac:dyDescent="0.3">
      <c r="A39" s="9" t="s">
        <v>191</v>
      </c>
      <c r="B39" s="9" t="s">
        <v>180</v>
      </c>
      <c r="C39" s="9" t="s">
        <v>192</v>
      </c>
      <c r="D39" s="9" t="s">
        <v>193</v>
      </c>
      <c r="E39" s="9" t="s">
        <v>163</v>
      </c>
      <c r="F39" s="9" t="s">
        <v>194</v>
      </c>
      <c r="G39" s="9">
        <v>4</v>
      </c>
      <c r="H39" s="12">
        <v>1</v>
      </c>
      <c r="I39" s="12">
        <v>0</v>
      </c>
      <c r="J39" s="12">
        <v>0</v>
      </c>
      <c r="K39" s="12">
        <v>1</v>
      </c>
      <c r="L39" s="9" t="s">
        <v>184</v>
      </c>
    </row>
    <row r="40" spans="1:12" ht="15.75" customHeight="1" x14ac:dyDescent="0.3">
      <c r="A40" s="9" t="s">
        <v>195</v>
      </c>
      <c r="B40" s="9" t="s">
        <v>180</v>
      </c>
      <c r="C40" s="9" t="s">
        <v>192</v>
      </c>
      <c r="D40" s="9" t="s">
        <v>196</v>
      </c>
      <c r="E40" s="9" t="s">
        <v>163</v>
      </c>
      <c r="F40" s="9" t="s">
        <v>197</v>
      </c>
      <c r="G40" s="9">
        <v>9</v>
      </c>
      <c r="H40" s="12">
        <v>2</v>
      </c>
      <c r="I40" s="12">
        <v>0</v>
      </c>
      <c r="J40" s="12">
        <v>1</v>
      </c>
      <c r="K40" s="12">
        <v>-1</v>
      </c>
      <c r="L40" s="9" t="s">
        <v>184</v>
      </c>
    </row>
    <row r="41" spans="1:12" ht="15.75" customHeight="1" x14ac:dyDescent="0.3">
      <c r="A41" s="9" t="s">
        <v>198</v>
      </c>
      <c r="B41" s="9" t="s">
        <v>180</v>
      </c>
      <c r="C41" s="9" t="s">
        <v>199</v>
      </c>
      <c r="D41" s="9" t="s">
        <v>200</v>
      </c>
      <c r="E41" s="9" t="s">
        <v>163</v>
      </c>
      <c r="F41" s="9" t="s">
        <v>201</v>
      </c>
      <c r="G41" s="9">
        <v>2</v>
      </c>
      <c r="H41" s="12">
        <v>1</v>
      </c>
      <c r="I41" s="12">
        <v>0</v>
      </c>
      <c r="J41" s="12">
        <v>0</v>
      </c>
      <c r="K41" s="12">
        <v>1</v>
      </c>
      <c r="L41" s="9" t="s">
        <v>184</v>
      </c>
    </row>
    <row r="42" spans="1:12" ht="15.75" customHeight="1" x14ac:dyDescent="0.3">
      <c r="A42" s="9" t="s">
        <v>202</v>
      </c>
      <c r="B42" s="9" t="s">
        <v>180</v>
      </c>
      <c r="C42" s="9" t="s">
        <v>199</v>
      </c>
      <c r="D42" s="9" t="s">
        <v>203</v>
      </c>
      <c r="E42" s="9" t="s">
        <v>163</v>
      </c>
      <c r="F42" s="9" t="s">
        <v>204</v>
      </c>
      <c r="G42" s="9">
        <v>4</v>
      </c>
      <c r="H42" s="12">
        <v>2</v>
      </c>
      <c r="I42" s="12">
        <v>0</v>
      </c>
      <c r="J42" s="12">
        <v>0</v>
      </c>
      <c r="K42" s="12">
        <v>0</v>
      </c>
      <c r="L42" s="9" t="s">
        <v>184</v>
      </c>
    </row>
    <row r="43" spans="1:12" ht="15.75" customHeight="1" x14ac:dyDescent="0.3">
      <c r="A43" s="9" t="s">
        <v>205</v>
      </c>
      <c r="B43" s="9" t="s">
        <v>180</v>
      </c>
      <c r="C43" s="9" t="s">
        <v>199</v>
      </c>
      <c r="D43" s="9" t="s">
        <v>206</v>
      </c>
      <c r="E43" s="9" t="s">
        <v>163</v>
      </c>
      <c r="F43" s="9" t="s">
        <v>207</v>
      </c>
      <c r="G43" s="9">
        <v>7</v>
      </c>
      <c r="H43" s="12">
        <v>3</v>
      </c>
      <c r="I43" s="12">
        <v>0</v>
      </c>
      <c r="J43" s="12">
        <v>1</v>
      </c>
      <c r="K43" s="12">
        <v>-1</v>
      </c>
      <c r="L43" s="9" t="s">
        <v>184</v>
      </c>
    </row>
    <row r="44" spans="1:12" ht="15.75" customHeight="1" x14ac:dyDescent="0.3">
      <c r="A44" s="9" t="s">
        <v>208</v>
      </c>
      <c r="B44" s="9" t="s">
        <v>180</v>
      </c>
      <c r="C44" s="9" t="s">
        <v>33</v>
      </c>
      <c r="D44" s="9" t="s">
        <v>209</v>
      </c>
      <c r="E44" s="9" t="s">
        <v>163</v>
      </c>
      <c r="F44" s="9" t="s">
        <v>210</v>
      </c>
      <c r="G44" s="9">
        <v>0</v>
      </c>
      <c r="H44" s="12">
        <v>0</v>
      </c>
      <c r="I44" s="12">
        <v>0</v>
      </c>
      <c r="J44" s="12">
        <v>0</v>
      </c>
      <c r="K44" s="12">
        <v>1</v>
      </c>
      <c r="L44" s="9" t="s">
        <v>211</v>
      </c>
    </row>
    <row r="45" spans="1:12" ht="15.75" customHeight="1" x14ac:dyDescent="0.3">
      <c r="A45" s="9" t="s">
        <v>212</v>
      </c>
      <c r="B45" s="9" t="s">
        <v>180</v>
      </c>
      <c r="C45" s="9" t="s">
        <v>33</v>
      </c>
      <c r="D45" s="9" t="s">
        <v>213</v>
      </c>
      <c r="E45" s="9" t="s">
        <v>163</v>
      </c>
      <c r="F45" s="9" t="s">
        <v>214</v>
      </c>
      <c r="G45" s="9">
        <v>0</v>
      </c>
      <c r="H45" s="12">
        <v>0</v>
      </c>
      <c r="I45" s="12">
        <v>1</v>
      </c>
      <c r="J45" s="12">
        <v>0</v>
      </c>
      <c r="K45" s="12">
        <v>0</v>
      </c>
      <c r="L45" s="9"/>
    </row>
    <row r="46" spans="1:12" ht="15.75" customHeight="1" x14ac:dyDescent="0.3">
      <c r="A46" s="9" t="s">
        <v>215</v>
      </c>
      <c r="B46" s="9" t="s">
        <v>180</v>
      </c>
      <c r="C46" s="9" t="s">
        <v>34</v>
      </c>
      <c r="D46" s="9" t="s">
        <v>216</v>
      </c>
      <c r="E46" s="9" t="s">
        <v>163</v>
      </c>
      <c r="F46" s="9" t="s">
        <v>217</v>
      </c>
      <c r="G46" s="9">
        <v>0</v>
      </c>
      <c r="H46" s="12">
        <v>0</v>
      </c>
      <c r="I46" s="12">
        <v>0</v>
      </c>
      <c r="J46" s="12">
        <v>0</v>
      </c>
      <c r="K46" s="12">
        <v>-1</v>
      </c>
      <c r="L46" s="9"/>
    </row>
    <row r="47" spans="1:12" ht="15.75" customHeight="1" x14ac:dyDescent="0.3">
      <c r="A47" s="9" t="s">
        <v>218</v>
      </c>
      <c r="B47" s="9" t="s">
        <v>180</v>
      </c>
      <c r="C47" s="9" t="s">
        <v>34</v>
      </c>
      <c r="D47" s="9" t="s">
        <v>219</v>
      </c>
      <c r="E47" s="9" t="s">
        <v>163</v>
      </c>
      <c r="F47" s="9" t="s">
        <v>220</v>
      </c>
      <c r="G47" s="9">
        <v>0</v>
      </c>
      <c r="H47" s="12">
        <v>0</v>
      </c>
      <c r="I47" s="12">
        <v>0</v>
      </c>
      <c r="J47" s="12">
        <v>0</v>
      </c>
      <c r="K47" s="12">
        <v>1</v>
      </c>
      <c r="L47" s="9"/>
    </row>
    <row r="48" spans="1:12" ht="15.75" customHeight="1" x14ac:dyDescent="0.3">
      <c r="A48" s="9" t="s">
        <v>221</v>
      </c>
      <c r="B48" s="9" t="s">
        <v>180</v>
      </c>
      <c r="C48" s="9" t="s">
        <v>35</v>
      </c>
      <c r="D48" s="9" t="s">
        <v>222</v>
      </c>
      <c r="E48" s="9" t="s">
        <v>163</v>
      </c>
      <c r="F48" s="9" t="s">
        <v>223</v>
      </c>
      <c r="G48" s="9">
        <v>0</v>
      </c>
      <c r="H48" s="12">
        <v>0</v>
      </c>
      <c r="I48" s="12">
        <v>1</v>
      </c>
      <c r="J48" s="12">
        <v>0</v>
      </c>
      <c r="K48" s="12">
        <v>-1</v>
      </c>
      <c r="L48" s="9"/>
    </row>
    <row r="49" spans="1:12" ht="15.75" customHeight="1" x14ac:dyDescent="0.3">
      <c r="A49" s="9" t="s">
        <v>224</v>
      </c>
      <c r="B49" s="9" t="s">
        <v>180</v>
      </c>
      <c r="C49" s="9" t="s">
        <v>35</v>
      </c>
      <c r="D49" s="9" t="s">
        <v>225</v>
      </c>
      <c r="E49" s="9" t="s">
        <v>163</v>
      </c>
      <c r="F49" s="9" t="s">
        <v>226</v>
      </c>
      <c r="G49" s="9">
        <v>0</v>
      </c>
      <c r="H49" s="12">
        <v>0</v>
      </c>
      <c r="I49" s="12">
        <v>0</v>
      </c>
      <c r="J49" s="12">
        <v>0</v>
      </c>
      <c r="K49" s="12">
        <v>0</v>
      </c>
      <c r="L49" s="9"/>
    </row>
    <row r="50" spans="1:12" ht="15.75" customHeight="1" x14ac:dyDescent="0.3">
      <c r="A50" s="9" t="s">
        <v>227</v>
      </c>
      <c r="B50" s="9" t="s">
        <v>180</v>
      </c>
      <c r="C50" s="9" t="s">
        <v>35</v>
      </c>
      <c r="D50" s="9" t="s">
        <v>228</v>
      </c>
      <c r="E50" s="9" t="s">
        <v>163</v>
      </c>
      <c r="F50" s="9" t="s">
        <v>229</v>
      </c>
      <c r="G50" s="9">
        <v>0</v>
      </c>
      <c r="H50" s="12">
        <v>0</v>
      </c>
      <c r="I50" s="12">
        <v>-1</v>
      </c>
      <c r="J50" s="12">
        <v>0</v>
      </c>
      <c r="K50" s="12">
        <v>1</v>
      </c>
      <c r="L50" s="9"/>
    </row>
    <row r="51" spans="1:12" ht="15.75" customHeight="1" x14ac:dyDescent="0.3">
      <c r="A51" s="9" t="s">
        <v>230</v>
      </c>
      <c r="B51" s="9" t="s">
        <v>161</v>
      </c>
      <c r="C51" s="9" t="s">
        <v>231</v>
      </c>
      <c r="D51" s="9" t="s">
        <v>232</v>
      </c>
      <c r="E51" s="9" t="s">
        <v>163</v>
      </c>
      <c r="F51" s="9" t="s">
        <v>233</v>
      </c>
      <c r="G51" s="9">
        <v>0</v>
      </c>
      <c r="H51" s="12">
        <v>0</v>
      </c>
      <c r="I51" s="12">
        <v>0</v>
      </c>
      <c r="J51" s="12">
        <v>1</v>
      </c>
      <c r="K51" s="12">
        <v>-1</v>
      </c>
      <c r="L51" s="9" t="s">
        <v>234</v>
      </c>
    </row>
    <row r="52" spans="1:12" ht="15.75" customHeight="1" x14ac:dyDescent="0.3">
      <c r="A52" s="9" t="s">
        <v>235</v>
      </c>
      <c r="B52" s="9" t="s">
        <v>236</v>
      </c>
      <c r="C52" s="9" t="s">
        <v>36</v>
      </c>
      <c r="D52" s="9" t="s">
        <v>237</v>
      </c>
      <c r="E52" s="9" t="s">
        <v>163</v>
      </c>
      <c r="F52" s="9" t="s">
        <v>238</v>
      </c>
      <c r="G52" s="9">
        <v>1000</v>
      </c>
      <c r="H52" s="12">
        <v>0</v>
      </c>
      <c r="I52" s="12">
        <v>1</v>
      </c>
      <c r="J52" s="12">
        <v>0</v>
      </c>
      <c r="K52" s="12">
        <v>-1</v>
      </c>
      <c r="L52" s="9"/>
    </row>
    <row r="53" spans="1:12" ht="15.75" customHeight="1" x14ac:dyDescent="0.3">
      <c r="A53" s="9" t="s">
        <v>239</v>
      </c>
      <c r="B53" s="9" t="s">
        <v>236</v>
      </c>
      <c r="C53" s="9" t="s">
        <v>36</v>
      </c>
      <c r="D53" s="9" t="s">
        <v>240</v>
      </c>
      <c r="E53" s="9" t="s">
        <v>163</v>
      </c>
      <c r="F53" s="9" t="s">
        <v>241</v>
      </c>
      <c r="G53" s="9">
        <v>6000</v>
      </c>
      <c r="H53" s="12">
        <v>0</v>
      </c>
      <c r="I53" s="12">
        <v>2</v>
      </c>
      <c r="J53" s="12">
        <v>1</v>
      </c>
      <c r="K53" s="12">
        <v>-1</v>
      </c>
      <c r="L53" s="9"/>
    </row>
    <row r="54" spans="1:12" ht="15.75" customHeight="1" x14ac:dyDescent="0.3">
      <c r="A54" s="9" t="s">
        <v>242</v>
      </c>
      <c r="B54" s="9" t="s">
        <v>236</v>
      </c>
      <c r="C54" s="9" t="s">
        <v>36</v>
      </c>
      <c r="D54" s="9" t="s">
        <v>243</v>
      </c>
      <c r="E54" s="9" t="s">
        <v>163</v>
      </c>
      <c r="F54" s="9" t="s">
        <v>244</v>
      </c>
      <c r="G54" s="9">
        <v>12000</v>
      </c>
      <c r="H54" s="12">
        <v>0</v>
      </c>
      <c r="I54" s="12">
        <v>3</v>
      </c>
      <c r="J54" s="12">
        <v>2</v>
      </c>
      <c r="K54" s="12">
        <v>-2</v>
      </c>
      <c r="L54" s="9"/>
    </row>
    <row r="55" spans="1:12" ht="15.75" customHeight="1" x14ac:dyDescent="0.3">
      <c r="A55" s="9" t="s">
        <v>245</v>
      </c>
      <c r="B55" s="9" t="s">
        <v>236</v>
      </c>
      <c r="C55" s="9" t="s">
        <v>37</v>
      </c>
      <c r="D55" s="9" t="s">
        <v>237</v>
      </c>
      <c r="E55" s="9" t="s">
        <v>163</v>
      </c>
      <c r="F55" s="9" t="s">
        <v>246</v>
      </c>
      <c r="G55" s="9">
        <v>1500</v>
      </c>
      <c r="H55" s="12">
        <v>0</v>
      </c>
      <c r="I55" s="12">
        <v>0</v>
      </c>
      <c r="J55" s="12">
        <v>1</v>
      </c>
      <c r="K55" s="12">
        <v>-1</v>
      </c>
      <c r="L55" s="9"/>
    </row>
    <row r="56" spans="1:12" ht="15.75" customHeight="1" x14ac:dyDescent="0.3">
      <c r="A56" s="9" t="s">
        <v>247</v>
      </c>
      <c r="B56" s="9" t="s">
        <v>236</v>
      </c>
      <c r="C56" s="9" t="s">
        <v>37</v>
      </c>
      <c r="D56" s="9" t="s">
        <v>240</v>
      </c>
      <c r="E56" s="9" t="s">
        <v>163</v>
      </c>
      <c r="F56" s="9" t="s">
        <v>248</v>
      </c>
      <c r="G56" s="9">
        <v>6000</v>
      </c>
      <c r="H56" s="12">
        <v>0</v>
      </c>
      <c r="I56" s="12">
        <v>0</v>
      </c>
      <c r="J56" s="12">
        <v>2</v>
      </c>
      <c r="K56" s="12">
        <v>-1</v>
      </c>
      <c r="L56" s="9"/>
    </row>
    <row r="57" spans="1:12" ht="15.75" customHeight="1" x14ac:dyDescent="0.3">
      <c r="A57" s="9" t="s">
        <v>249</v>
      </c>
      <c r="B57" s="9" t="s">
        <v>236</v>
      </c>
      <c r="C57" s="9" t="s">
        <v>37</v>
      </c>
      <c r="D57" s="9" t="s">
        <v>243</v>
      </c>
      <c r="E57" s="9" t="s">
        <v>163</v>
      </c>
      <c r="F57" s="9" t="s">
        <v>250</v>
      </c>
      <c r="G57" s="9">
        <v>12000</v>
      </c>
      <c r="H57" s="12">
        <v>0</v>
      </c>
      <c r="I57" s="12">
        <v>0</v>
      </c>
      <c r="J57" s="12">
        <v>3</v>
      </c>
      <c r="K57" s="12">
        <v>-2</v>
      </c>
      <c r="L57" s="9"/>
    </row>
    <row r="58" spans="1:12" ht="15.75" customHeight="1" x14ac:dyDescent="0.3">
      <c r="A58" s="39" t="s">
        <v>251</v>
      </c>
      <c r="B58" s="39" t="s">
        <v>252</v>
      </c>
      <c r="C58" s="39" t="s">
        <v>45</v>
      </c>
      <c r="D58" s="39" t="s">
        <v>253</v>
      </c>
      <c r="E58" s="39" t="s">
        <v>254</v>
      </c>
      <c r="F58" s="39" t="s">
        <v>255</v>
      </c>
      <c r="G58" s="151">
        <v>0</v>
      </c>
      <c r="H58" s="41">
        <v>0</v>
      </c>
      <c r="I58" s="41">
        <v>0</v>
      </c>
      <c r="J58" s="41">
        <v>0</v>
      </c>
      <c r="K58" s="41">
        <v>0</v>
      </c>
      <c r="L58" s="39" t="s">
        <v>256</v>
      </c>
    </row>
    <row r="59" spans="1:12" ht="15.75" customHeight="1" x14ac:dyDescent="0.3">
      <c r="A59" s="39" t="s">
        <v>257</v>
      </c>
      <c r="B59" s="39" t="s">
        <v>252</v>
      </c>
      <c r="C59" s="39" t="s">
        <v>45</v>
      </c>
      <c r="D59" s="39" t="s">
        <v>258</v>
      </c>
      <c r="E59" s="39" t="s">
        <v>254</v>
      </c>
      <c r="F59" s="39" t="s">
        <v>259</v>
      </c>
      <c r="G59" s="151">
        <v>0</v>
      </c>
      <c r="H59" s="41">
        <v>0</v>
      </c>
      <c r="I59" s="41">
        <v>0</v>
      </c>
      <c r="J59" s="41">
        <v>0</v>
      </c>
      <c r="K59" s="41">
        <v>1</v>
      </c>
      <c r="L59" s="39" t="s">
        <v>260</v>
      </c>
    </row>
    <row r="60" spans="1:12" ht="15.75" customHeight="1" x14ac:dyDescent="0.3">
      <c r="A60" s="39" t="s">
        <v>261</v>
      </c>
      <c r="B60" s="39" t="s">
        <v>252</v>
      </c>
      <c r="C60" s="39" t="s">
        <v>45</v>
      </c>
      <c r="D60" s="39" t="s">
        <v>262</v>
      </c>
      <c r="E60" s="39" t="s">
        <v>254</v>
      </c>
      <c r="F60" s="39" t="s">
        <v>263</v>
      </c>
      <c r="G60" s="151">
        <v>0</v>
      </c>
      <c r="H60" s="41">
        <v>0</v>
      </c>
      <c r="I60" s="41">
        <v>0</v>
      </c>
      <c r="J60" s="41">
        <v>0</v>
      </c>
      <c r="K60" s="41">
        <v>-1</v>
      </c>
      <c r="L60" s="39" t="s">
        <v>264</v>
      </c>
    </row>
    <row r="61" spans="1:12" ht="15.75" customHeight="1" x14ac:dyDescent="0.3">
      <c r="A61" s="39" t="s">
        <v>265</v>
      </c>
      <c r="B61" s="39" t="s">
        <v>161</v>
      </c>
      <c r="C61" s="39" t="s">
        <v>12</v>
      </c>
      <c r="D61" s="39" t="s">
        <v>266</v>
      </c>
      <c r="E61" s="39" t="s">
        <v>163</v>
      </c>
      <c r="F61" s="39" t="s">
        <v>267</v>
      </c>
      <c r="G61" s="151">
        <v>0</v>
      </c>
      <c r="H61" s="41">
        <v>0</v>
      </c>
      <c r="I61" s="41">
        <v>0</v>
      </c>
      <c r="J61" s="41">
        <v>-1</v>
      </c>
      <c r="K61" s="41">
        <v>1</v>
      </c>
      <c r="L61" s="39" t="s">
        <v>268</v>
      </c>
    </row>
    <row r="62" spans="1:12" ht="15.75" customHeight="1" x14ac:dyDescent="0.3">
      <c r="A62" s="39" t="s">
        <v>269</v>
      </c>
      <c r="B62" s="39" t="s">
        <v>161</v>
      </c>
      <c r="C62" s="39" t="s">
        <v>12</v>
      </c>
      <c r="D62" s="39" t="s">
        <v>270</v>
      </c>
      <c r="E62" s="39" t="s">
        <v>163</v>
      </c>
      <c r="F62" s="39" t="s">
        <v>271</v>
      </c>
      <c r="G62" s="151">
        <v>5</v>
      </c>
      <c r="H62" s="41">
        <v>0</v>
      </c>
      <c r="I62" s="41">
        <v>0</v>
      </c>
      <c r="J62" s="41">
        <v>1</v>
      </c>
      <c r="K62" s="41">
        <v>0</v>
      </c>
      <c r="L62" s="39" t="s">
        <v>272</v>
      </c>
    </row>
    <row r="63" spans="1:12" ht="15.75" customHeight="1" x14ac:dyDescent="0.3">
      <c r="A63" s="39" t="s">
        <v>273</v>
      </c>
      <c r="B63" s="39" t="s">
        <v>161</v>
      </c>
      <c r="C63" s="39" t="s">
        <v>12</v>
      </c>
      <c r="D63" s="39" t="s">
        <v>274</v>
      </c>
      <c r="E63" s="39" t="s">
        <v>163</v>
      </c>
      <c r="F63" s="39" t="s">
        <v>275</v>
      </c>
      <c r="G63" s="151">
        <v>10</v>
      </c>
      <c r="H63" s="41">
        <v>0</v>
      </c>
      <c r="I63" s="41">
        <v>0</v>
      </c>
      <c r="J63" s="41">
        <v>2</v>
      </c>
      <c r="K63" s="41">
        <v>-1</v>
      </c>
      <c r="L63" s="39" t="s">
        <v>276</v>
      </c>
    </row>
    <row r="64" spans="1:12" ht="15.75" customHeight="1" x14ac:dyDescent="0.3">
      <c r="A64" s="39" t="s">
        <v>277</v>
      </c>
      <c r="B64" s="39" t="s">
        <v>85</v>
      </c>
      <c r="C64" s="39" t="s">
        <v>13</v>
      </c>
      <c r="D64" s="39" t="s">
        <v>278</v>
      </c>
      <c r="E64" s="39" t="s">
        <v>163</v>
      </c>
      <c r="F64" s="39" t="s">
        <v>279</v>
      </c>
      <c r="G64" s="151">
        <v>0</v>
      </c>
      <c r="H64" s="41">
        <v>0</v>
      </c>
      <c r="I64" s="41">
        <v>-1</v>
      </c>
      <c r="J64" s="41">
        <v>0</v>
      </c>
      <c r="K64" s="41">
        <v>1</v>
      </c>
      <c r="L64" s="39" t="s">
        <v>280</v>
      </c>
    </row>
    <row r="65" spans="1:12" ht="15.75" customHeight="1" x14ac:dyDescent="0.3">
      <c r="A65" s="39" t="s">
        <v>281</v>
      </c>
      <c r="B65" s="39" t="s">
        <v>85</v>
      </c>
      <c r="C65" s="39" t="s">
        <v>13</v>
      </c>
      <c r="D65" s="39" t="s">
        <v>282</v>
      </c>
      <c r="E65" s="39" t="s">
        <v>163</v>
      </c>
      <c r="F65" s="39" t="s">
        <v>283</v>
      </c>
      <c r="G65" s="151">
        <v>1500</v>
      </c>
      <c r="H65" s="41">
        <v>0</v>
      </c>
      <c r="I65" s="41">
        <v>1</v>
      </c>
      <c r="J65" s="41">
        <v>0</v>
      </c>
      <c r="K65" s="41">
        <v>0</v>
      </c>
      <c r="L65" s="39" t="s">
        <v>284</v>
      </c>
    </row>
    <row r="66" spans="1:12" ht="15.75" customHeight="1" x14ac:dyDescent="0.3">
      <c r="A66" s="39" t="s">
        <v>285</v>
      </c>
      <c r="B66" s="39" t="s">
        <v>85</v>
      </c>
      <c r="C66" s="39" t="s">
        <v>13</v>
      </c>
      <c r="D66" s="39" t="s">
        <v>286</v>
      </c>
      <c r="E66" s="39" t="s">
        <v>163</v>
      </c>
      <c r="F66" s="39" t="s">
        <v>287</v>
      </c>
      <c r="G66" s="151">
        <v>3000</v>
      </c>
      <c r="H66" s="41">
        <v>1</v>
      </c>
      <c r="I66" s="41">
        <v>2</v>
      </c>
      <c r="J66" s="41">
        <v>0</v>
      </c>
      <c r="K66" s="41">
        <v>-1</v>
      </c>
      <c r="L66" s="39" t="s">
        <v>288</v>
      </c>
    </row>
    <row r="67" spans="1:12" ht="15.75" customHeight="1" x14ac:dyDescent="0.3">
      <c r="A67" s="39" t="s">
        <v>289</v>
      </c>
      <c r="B67" s="39" t="s">
        <v>180</v>
      </c>
      <c r="C67" s="39" t="s">
        <v>14</v>
      </c>
      <c r="D67" s="39" t="s">
        <v>290</v>
      </c>
      <c r="E67" s="39" t="s">
        <v>163</v>
      </c>
      <c r="F67" s="39" t="s">
        <v>291</v>
      </c>
      <c r="G67" s="151">
        <v>0</v>
      </c>
      <c r="H67" s="41">
        <v>0</v>
      </c>
      <c r="I67" s="41">
        <v>-1</v>
      </c>
      <c r="J67" s="41">
        <v>0</v>
      </c>
      <c r="K67" s="41">
        <v>1</v>
      </c>
      <c r="L67" s="39" t="s">
        <v>292</v>
      </c>
    </row>
    <row r="68" spans="1:12" ht="15.75" customHeight="1" x14ac:dyDescent="0.3">
      <c r="A68" s="39" t="s">
        <v>293</v>
      </c>
      <c r="B68" s="39" t="s">
        <v>180</v>
      </c>
      <c r="C68" s="39" t="s">
        <v>14</v>
      </c>
      <c r="D68" s="39" t="s">
        <v>294</v>
      </c>
      <c r="E68" s="39" t="s">
        <v>163</v>
      </c>
      <c r="F68" s="39" t="s">
        <v>295</v>
      </c>
      <c r="G68" s="151">
        <v>1000</v>
      </c>
      <c r="H68" s="41">
        <v>0</v>
      </c>
      <c r="I68" s="41">
        <v>1</v>
      </c>
      <c r="J68" s="41">
        <v>0</v>
      </c>
      <c r="K68" s="41">
        <v>0</v>
      </c>
      <c r="L68" s="39" t="s">
        <v>296</v>
      </c>
    </row>
    <row r="69" spans="1:12" ht="15.75" customHeight="1" x14ac:dyDescent="0.3">
      <c r="A69" s="39" t="s">
        <v>297</v>
      </c>
      <c r="B69" s="39" t="s">
        <v>180</v>
      </c>
      <c r="C69" s="39" t="s">
        <v>14</v>
      </c>
      <c r="D69" s="39" t="s">
        <v>298</v>
      </c>
      <c r="E69" s="39" t="s">
        <v>163</v>
      </c>
      <c r="F69" s="39" t="s">
        <v>299</v>
      </c>
      <c r="G69" s="151">
        <v>2500</v>
      </c>
      <c r="H69" s="41">
        <v>0</v>
      </c>
      <c r="I69" s="41">
        <v>2</v>
      </c>
      <c r="J69" s="41">
        <v>0</v>
      </c>
      <c r="K69" s="41">
        <v>-1</v>
      </c>
      <c r="L69" s="39" t="s">
        <v>300</v>
      </c>
    </row>
    <row r="70" spans="1:12" ht="15.75" customHeight="1" x14ac:dyDescent="0.3"/>
    <row r="71" spans="1:12" ht="15.75" customHeight="1" x14ac:dyDescent="0.3"/>
    <row r="72" spans="1:12" ht="15.75" customHeight="1" x14ac:dyDescent="0.3"/>
    <row r="73" spans="1:12" ht="15.75" customHeight="1" x14ac:dyDescent="0.3"/>
    <row r="74" spans="1:12" ht="15.75" customHeight="1" x14ac:dyDescent="0.3"/>
    <row r="75" spans="1:12" ht="15.75" customHeight="1" x14ac:dyDescent="0.3"/>
    <row r="76" spans="1:12" ht="15.75" customHeight="1" x14ac:dyDescent="0.3"/>
    <row r="77" spans="1:12" ht="15.75" customHeight="1" x14ac:dyDescent="0.3"/>
    <row r="78" spans="1:12" ht="15.75" customHeight="1" x14ac:dyDescent="0.3"/>
    <row r="79" spans="1:12" ht="15.75" customHeight="1" x14ac:dyDescent="0.3"/>
    <row r="80" spans="1:12"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39"/>
  <sheetViews>
    <sheetView workbookViewId="0"/>
  </sheetViews>
  <sheetFormatPr baseColWidth="10" defaultColWidth="14.44140625" defaultRowHeight="15" customHeight="1" x14ac:dyDescent="0.3"/>
  <cols>
    <col min="3" max="3" width="46" customWidth="1"/>
    <col min="4" max="4" width="36.6640625" customWidth="1"/>
    <col min="8" max="8" width="17.5546875" customWidth="1"/>
  </cols>
  <sheetData>
    <row r="1" spans="1:8" ht="14.4" x14ac:dyDescent="0.3"/>
    <row r="2" spans="1:8" ht="14.4" x14ac:dyDescent="0.3"/>
    <row r="3" spans="1:8" ht="23.4" x14ac:dyDescent="0.45">
      <c r="B3" s="15" t="s">
        <v>301</v>
      </c>
    </row>
    <row r="4" spans="1:8" ht="14.4" x14ac:dyDescent="0.3">
      <c r="B4" s="16" t="s">
        <v>302</v>
      </c>
      <c r="C4" s="16" t="s">
        <v>303</v>
      </c>
      <c r="D4" s="16" t="s">
        <v>304</v>
      </c>
      <c r="H4" s="17" t="s">
        <v>305</v>
      </c>
    </row>
    <row r="5" spans="1:8" ht="14.4" x14ac:dyDescent="0.3">
      <c r="B5" s="19">
        <v>1</v>
      </c>
      <c r="C5" s="20" t="s">
        <v>306</v>
      </c>
      <c r="D5" s="21"/>
      <c r="H5" s="22" t="s">
        <v>307</v>
      </c>
    </row>
    <row r="6" spans="1:8" ht="14.4" x14ac:dyDescent="0.3">
      <c r="B6" s="19">
        <v>2</v>
      </c>
      <c r="C6" s="17" t="s">
        <v>308</v>
      </c>
      <c r="D6" s="21"/>
      <c r="E6" s="23" t="s">
        <v>309</v>
      </c>
    </row>
    <row r="7" spans="1:8" ht="14.4" x14ac:dyDescent="0.3">
      <c r="B7" s="19">
        <v>3</v>
      </c>
      <c r="C7" s="17" t="s">
        <v>310</v>
      </c>
      <c r="D7" s="21"/>
    </row>
    <row r="8" spans="1:8" ht="14.4" x14ac:dyDescent="0.3">
      <c r="B8" s="19">
        <v>4</v>
      </c>
      <c r="C8" s="21"/>
      <c r="D8" s="20" t="s">
        <v>306</v>
      </c>
    </row>
    <row r="9" spans="1:8" ht="14.4" x14ac:dyDescent="0.3">
      <c r="B9" s="19">
        <v>5</v>
      </c>
      <c r="C9" s="21"/>
      <c r="D9" s="20" t="s">
        <v>308</v>
      </c>
    </row>
    <row r="10" spans="1:8" ht="14.4" x14ac:dyDescent="0.3">
      <c r="B10" s="19">
        <v>6</v>
      </c>
      <c r="C10" s="21"/>
      <c r="D10" s="17" t="s">
        <v>311</v>
      </c>
      <c r="E10" s="23" t="s">
        <v>312</v>
      </c>
    </row>
    <row r="11" spans="1:8" ht="14.4" x14ac:dyDescent="0.3">
      <c r="A11" s="155" t="s">
        <v>313</v>
      </c>
      <c r="B11" s="19">
        <v>7</v>
      </c>
      <c r="C11" s="21"/>
      <c r="D11" s="22" t="s">
        <v>314</v>
      </c>
    </row>
    <row r="12" spans="1:8" ht="14.4" x14ac:dyDescent="0.3">
      <c r="A12" s="156"/>
      <c r="B12" s="19">
        <v>8</v>
      </c>
      <c r="C12" s="21"/>
      <c r="D12" s="20" t="s">
        <v>315</v>
      </c>
      <c r="E12" s="23" t="s">
        <v>316</v>
      </c>
    </row>
    <row r="13" spans="1:8" ht="29.25" customHeight="1" x14ac:dyDescent="0.3">
      <c r="A13" s="156"/>
      <c r="B13" s="19">
        <v>9</v>
      </c>
      <c r="C13" s="28" t="s">
        <v>317</v>
      </c>
      <c r="D13" s="21"/>
    </row>
    <row r="14" spans="1:8" ht="29.25" customHeight="1" x14ac:dyDescent="0.3">
      <c r="A14" s="156"/>
      <c r="B14" s="19">
        <v>10</v>
      </c>
      <c r="C14" s="20" t="s">
        <v>318</v>
      </c>
      <c r="D14" s="28" t="s">
        <v>319</v>
      </c>
      <c r="E14" s="23" t="s">
        <v>320</v>
      </c>
    </row>
    <row r="15" spans="1:8" ht="14.4" x14ac:dyDescent="0.3">
      <c r="A15" s="155" t="s">
        <v>321</v>
      </c>
      <c r="B15" s="19">
        <v>11</v>
      </c>
      <c r="C15" s="21"/>
      <c r="D15" s="20" t="s">
        <v>314</v>
      </c>
      <c r="G15" s="23" t="s">
        <v>322</v>
      </c>
    </row>
    <row r="16" spans="1:8" ht="14.4" x14ac:dyDescent="0.3">
      <c r="A16" s="156"/>
      <c r="B16" s="19">
        <v>12</v>
      </c>
      <c r="C16" s="21"/>
      <c r="D16" s="20" t="s">
        <v>315</v>
      </c>
    </row>
    <row r="17" spans="1:5" ht="28.8" x14ac:dyDescent="0.3">
      <c r="A17" s="156"/>
      <c r="B17" s="19">
        <v>13</v>
      </c>
      <c r="C17" s="28" t="s">
        <v>317</v>
      </c>
      <c r="D17" s="21"/>
    </row>
    <row r="18" spans="1:5" ht="28.8" x14ac:dyDescent="0.3">
      <c r="A18" s="156"/>
      <c r="B18" s="19">
        <v>14</v>
      </c>
      <c r="C18" s="20" t="s">
        <v>318</v>
      </c>
      <c r="D18" s="28" t="s">
        <v>319</v>
      </c>
      <c r="E18" s="23" t="s">
        <v>320</v>
      </c>
    </row>
    <row r="19" spans="1:5" ht="14.4" x14ac:dyDescent="0.3">
      <c r="A19" s="155" t="s">
        <v>323</v>
      </c>
      <c r="B19" s="19">
        <v>15</v>
      </c>
      <c r="C19" s="21"/>
      <c r="D19" s="20" t="s">
        <v>314</v>
      </c>
    </row>
    <row r="20" spans="1:5" ht="14.4" x14ac:dyDescent="0.3">
      <c r="A20" s="156"/>
      <c r="B20" s="19">
        <v>16</v>
      </c>
      <c r="C20" s="21"/>
      <c r="D20" s="20" t="s">
        <v>315</v>
      </c>
    </row>
    <row r="21" spans="1:5" ht="28.8" x14ac:dyDescent="0.3">
      <c r="A21" s="156"/>
      <c r="B21" s="19">
        <v>17</v>
      </c>
      <c r="C21" s="28" t="s">
        <v>317</v>
      </c>
      <c r="D21" s="21"/>
    </row>
    <row r="22" spans="1:5" ht="28.8" x14ac:dyDescent="0.3">
      <c r="A22" s="156"/>
      <c r="B22" s="19">
        <v>18</v>
      </c>
      <c r="C22" s="20" t="s">
        <v>318</v>
      </c>
      <c r="D22" s="28" t="s">
        <v>319</v>
      </c>
      <c r="E22" s="23" t="s">
        <v>320</v>
      </c>
    </row>
    <row r="23" spans="1:5" ht="14.4" x14ac:dyDescent="0.3">
      <c r="A23" s="155" t="s">
        <v>324</v>
      </c>
      <c r="B23" s="19">
        <v>15</v>
      </c>
      <c r="C23" s="21"/>
      <c r="D23" s="20" t="s">
        <v>314</v>
      </c>
    </row>
    <row r="24" spans="1:5" ht="14.4" x14ac:dyDescent="0.3">
      <c r="A24" s="156"/>
      <c r="B24" s="19">
        <v>16</v>
      </c>
      <c r="C24" s="21"/>
      <c r="D24" s="20" t="s">
        <v>315</v>
      </c>
    </row>
    <row r="25" spans="1:5" ht="28.8" x14ac:dyDescent="0.3">
      <c r="A25" s="156"/>
      <c r="B25" s="19">
        <v>17</v>
      </c>
      <c r="C25" s="28" t="s">
        <v>317</v>
      </c>
      <c r="D25" s="21"/>
    </row>
    <row r="26" spans="1:5" ht="28.8" x14ac:dyDescent="0.3">
      <c r="A26" s="156"/>
      <c r="B26" s="19">
        <v>18</v>
      </c>
      <c r="C26" s="20" t="s">
        <v>318</v>
      </c>
      <c r="D26" s="28" t="s">
        <v>319</v>
      </c>
    </row>
    <row r="27" spans="1:5" ht="27" customHeight="1" x14ac:dyDescent="0.3">
      <c r="B27" s="19">
        <v>23</v>
      </c>
      <c r="C27" s="20" t="s">
        <v>325</v>
      </c>
      <c r="D27" s="28" t="s">
        <v>326</v>
      </c>
      <c r="E27" s="23" t="s">
        <v>320</v>
      </c>
    </row>
    <row r="28" spans="1:5" ht="14.4" x14ac:dyDescent="0.3">
      <c r="B28" s="19">
        <v>24</v>
      </c>
      <c r="C28" s="20"/>
      <c r="D28" s="20" t="s">
        <v>327</v>
      </c>
      <c r="E28" s="23" t="s">
        <v>328</v>
      </c>
    </row>
    <row r="29" spans="1:5" ht="14.4" x14ac:dyDescent="0.3">
      <c r="B29" s="19"/>
      <c r="C29" s="19"/>
      <c r="D29" s="19"/>
    </row>
    <row r="30" spans="1:5" ht="14.4" x14ac:dyDescent="0.3">
      <c r="B30" s="19"/>
      <c r="C30" s="19"/>
      <c r="D30" s="19"/>
    </row>
    <row r="31" spans="1:5" ht="14.4" x14ac:dyDescent="0.3">
      <c r="B31" s="19"/>
      <c r="C31" s="19"/>
      <c r="D31" s="19"/>
    </row>
    <row r="32" spans="1:5" ht="14.4" x14ac:dyDescent="0.3">
      <c r="B32" s="19"/>
      <c r="C32" s="19"/>
      <c r="D32" s="19"/>
    </row>
    <row r="33" spans="2:4" ht="14.4" x14ac:dyDescent="0.3">
      <c r="B33" s="19"/>
      <c r="C33" s="19"/>
      <c r="D33" s="19"/>
    </row>
    <row r="34" spans="2:4" ht="14.4" x14ac:dyDescent="0.3">
      <c r="B34" s="19"/>
      <c r="C34" s="19"/>
      <c r="D34" s="19"/>
    </row>
    <row r="35" spans="2:4" ht="14.4" x14ac:dyDescent="0.3"/>
    <row r="36" spans="2:4" ht="14.4" x14ac:dyDescent="0.3"/>
    <row r="37" spans="2:4" ht="14.4" x14ac:dyDescent="0.3">
      <c r="B37" s="23" t="s">
        <v>329</v>
      </c>
    </row>
    <row r="38" spans="2:4" ht="14.4" x14ac:dyDescent="0.3">
      <c r="B38" s="23" t="s">
        <v>330</v>
      </c>
    </row>
    <row r="39" spans="2:4" ht="14.4" x14ac:dyDescent="0.3">
      <c r="B39" s="23" t="s">
        <v>331</v>
      </c>
    </row>
  </sheetData>
  <mergeCells count="4">
    <mergeCell ref="A19:A22"/>
    <mergeCell ref="A11:A14"/>
    <mergeCell ref="A15:A18"/>
    <mergeCell ref="A23:A2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170"/>
  <sheetViews>
    <sheetView showGridLines="0" workbookViewId="0"/>
  </sheetViews>
  <sheetFormatPr baseColWidth="10" defaultColWidth="14.44140625" defaultRowHeight="15" customHeight="1" x14ac:dyDescent="0.3"/>
  <cols>
    <col min="1" max="1" width="17.5546875" customWidth="1"/>
    <col min="2" max="2" width="20.6640625" customWidth="1"/>
    <col min="3" max="3" width="40.109375" customWidth="1"/>
    <col min="4" max="4" width="18.44140625" customWidth="1"/>
    <col min="5" max="5" width="16.5546875" customWidth="1"/>
    <col min="6" max="6" width="18.88671875" customWidth="1"/>
    <col min="7" max="7" width="17.6640625" customWidth="1"/>
    <col min="8" max="8" width="16.88671875" customWidth="1"/>
    <col min="10" max="10" width="10.6640625" customWidth="1"/>
    <col min="11" max="11" width="20.109375" customWidth="1"/>
    <col min="15" max="15" width="17.44140625" customWidth="1"/>
  </cols>
  <sheetData>
    <row r="1" spans="1:15" ht="23.4" x14ac:dyDescent="0.45">
      <c r="A1" s="15" t="s">
        <v>332</v>
      </c>
    </row>
    <row r="2" spans="1:15" ht="14.4" x14ac:dyDescent="0.3">
      <c r="A2" s="24"/>
      <c r="B2" s="24"/>
    </row>
    <row r="3" spans="1:15" ht="14.4" x14ac:dyDescent="0.3">
      <c r="A3" s="157" t="s">
        <v>333</v>
      </c>
      <c r="B3" s="156"/>
    </row>
    <row r="4" spans="1:15" ht="14.4" x14ac:dyDescent="0.3">
      <c r="E4" s="25" t="s">
        <v>334</v>
      </c>
      <c r="F4" s="26" t="s">
        <v>86</v>
      </c>
      <c r="G4" s="26"/>
      <c r="H4" s="26"/>
      <c r="K4" s="27" t="s">
        <v>335</v>
      </c>
      <c r="L4" s="23" t="s">
        <v>336</v>
      </c>
      <c r="M4" s="23" t="s">
        <v>337</v>
      </c>
      <c r="N4" s="23" t="s">
        <v>338</v>
      </c>
      <c r="O4" s="29"/>
    </row>
    <row r="5" spans="1:15" ht="14.4" x14ac:dyDescent="0.3">
      <c r="C5" s="29" t="s">
        <v>339</v>
      </c>
      <c r="E5" s="30">
        <v>5</v>
      </c>
      <c r="F5" s="31">
        <v>1</v>
      </c>
      <c r="G5" s="26"/>
      <c r="H5" s="26"/>
      <c r="I5" s="32">
        <f>E5*F5</f>
        <v>5</v>
      </c>
      <c r="K5" s="23">
        <f>MIN(I8,I14,I20)</f>
        <v>17.2</v>
      </c>
      <c r="L5" s="23">
        <f>K5*24</f>
        <v>412.79999999999995</v>
      </c>
      <c r="M5" s="33">
        <f>MIN(1,K7+SUM(F7,F13:H13,F19:H19)/100+4%*F21)</f>
        <v>0.97000000000000008</v>
      </c>
      <c r="N5" s="34">
        <f>ROUND(L5*M5,0)</f>
        <v>400</v>
      </c>
      <c r="O5" s="23" t="s">
        <v>340</v>
      </c>
    </row>
    <row r="6" spans="1:15" ht="14.4" x14ac:dyDescent="0.3">
      <c r="C6" s="29" t="s">
        <v>341</v>
      </c>
      <c r="E6" s="30">
        <v>7</v>
      </c>
      <c r="F6" s="31">
        <v>1</v>
      </c>
      <c r="G6" s="26"/>
      <c r="H6" s="26"/>
      <c r="I6" s="32">
        <f>E6*F6</f>
        <v>7</v>
      </c>
      <c r="K6" s="23" t="s">
        <v>342</v>
      </c>
    </row>
    <row r="7" spans="1:15" ht="14.4" x14ac:dyDescent="0.3">
      <c r="C7" s="29" t="s">
        <v>343</v>
      </c>
      <c r="E7" s="30">
        <v>9</v>
      </c>
      <c r="F7" s="31">
        <v>1</v>
      </c>
      <c r="G7" s="26"/>
      <c r="H7" s="26"/>
      <c r="I7" s="32">
        <f>E7*F7</f>
        <v>9</v>
      </c>
      <c r="K7" s="35">
        <v>0.9</v>
      </c>
    </row>
    <row r="8" spans="1:15" ht="14.4" x14ac:dyDescent="0.3">
      <c r="A8" s="36" t="s">
        <v>344</v>
      </c>
      <c r="E8" s="32"/>
      <c r="F8" s="26"/>
      <c r="G8" s="37"/>
      <c r="H8" s="37"/>
      <c r="I8" s="38">
        <f>SUM(I5:I7)</f>
        <v>21</v>
      </c>
    </row>
    <row r="9" spans="1:15" ht="28.8" x14ac:dyDescent="0.3">
      <c r="C9" s="23" t="s">
        <v>345</v>
      </c>
      <c r="E9" s="32"/>
      <c r="F9" s="28" t="s">
        <v>346</v>
      </c>
      <c r="G9" s="28" t="s">
        <v>347</v>
      </c>
      <c r="H9" s="28" t="s">
        <v>348</v>
      </c>
      <c r="I9" s="32"/>
      <c r="K9" s="23" t="s">
        <v>349</v>
      </c>
      <c r="L9" s="23">
        <f>SUM(F5:F7,F11:H13,F17:H19)</f>
        <v>8</v>
      </c>
    </row>
    <row r="10" spans="1:15" ht="14.4" x14ac:dyDescent="0.3">
      <c r="A10" s="29"/>
      <c r="B10" s="23"/>
      <c r="C10" s="23"/>
      <c r="E10" s="32"/>
      <c r="F10" s="40">
        <v>1</v>
      </c>
      <c r="G10" s="40">
        <v>1.2</v>
      </c>
      <c r="H10" s="40">
        <v>1.5</v>
      </c>
      <c r="I10" s="32"/>
      <c r="K10" s="23" t="s">
        <v>350</v>
      </c>
      <c r="L10" s="23">
        <f>SUM(F7,F13:H13,F19:H19)</f>
        <v>3</v>
      </c>
      <c r="M10" s="42">
        <f>IFERROR(L10/L9,0)</f>
        <v>0.375</v>
      </c>
    </row>
    <row r="11" spans="1:15" ht="14.4" x14ac:dyDescent="0.3">
      <c r="A11" s="29"/>
      <c r="C11" s="23" t="s">
        <v>351</v>
      </c>
      <c r="E11" s="30">
        <v>6</v>
      </c>
      <c r="F11" s="31"/>
      <c r="G11" s="31"/>
      <c r="H11" s="31">
        <v>1</v>
      </c>
      <c r="I11" s="32">
        <f>SUM(F11*E11*$F$10,G11*E11*$G$10,H11*E11*$H$10)</f>
        <v>9</v>
      </c>
    </row>
    <row r="12" spans="1:15" ht="14.4" x14ac:dyDescent="0.3">
      <c r="A12" s="29"/>
      <c r="C12" s="23" t="s">
        <v>352</v>
      </c>
      <c r="E12" s="30">
        <v>8</v>
      </c>
      <c r="F12" s="31">
        <v>1</v>
      </c>
      <c r="G12" s="31">
        <v>0</v>
      </c>
      <c r="H12" s="31"/>
      <c r="I12" s="32">
        <f>SUM(F12*E12*$F$10,G12*E12*$G$10,H12*E12*$H$10)</f>
        <v>8</v>
      </c>
    </row>
    <row r="13" spans="1:15" ht="14.4" x14ac:dyDescent="0.3">
      <c r="A13" s="29"/>
      <c r="C13" s="23" t="s">
        <v>353</v>
      </c>
      <c r="E13" s="30">
        <v>12</v>
      </c>
      <c r="F13" s="31"/>
      <c r="G13" s="31">
        <v>1</v>
      </c>
      <c r="H13" s="31"/>
      <c r="I13" s="32">
        <f>SUM(F13*E13*$F$10,G13*E13*$G$10,H13*E13*$H$10)</f>
        <v>14.399999999999999</v>
      </c>
    </row>
    <row r="14" spans="1:15" ht="14.4" x14ac:dyDescent="0.3">
      <c r="A14" s="36" t="s">
        <v>354</v>
      </c>
      <c r="E14" s="32"/>
      <c r="F14" s="26"/>
      <c r="G14" s="37"/>
      <c r="H14" s="37"/>
      <c r="I14" s="38">
        <f>SUM(I11:I13)</f>
        <v>31.4</v>
      </c>
    </row>
    <row r="15" spans="1:15" ht="28.8" x14ac:dyDescent="0.3">
      <c r="C15" s="23" t="s">
        <v>345</v>
      </c>
      <c r="E15" s="46"/>
      <c r="F15" s="28" t="s">
        <v>346</v>
      </c>
      <c r="G15" s="28" t="s">
        <v>347</v>
      </c>
      <c r="H15" s="28" t="s">
        <v>348</v>
      </c>
      <c r="I15" s="32"/>
    </row>
    <row r="16" spans="1:15" ht="14.4" x14ac:dyDescent="0.3">
      <c r="A16" s="29"/>
      <c r="C16" s="23"/>
      <c r="E16" s="32"/>
      <c r="F16" s="40">
        <v>1</v>
      </c>
      <c r="G16" s="40">
        <v>1.2</v>
      </c>
      <c r="H16" s="40">
        <v>1.5</v>
      </c>
      <c r="I16" s="32"/>
    </row>
    <row r="17" spans="1:28" ht="14.4" x14ac:dyDescent="0.3">
      <c r="A17" s="29"/>
      <c r="C17" s="23" t="s">
        <v>351</v>
      </c>
      <c r="E17" s="30">
        <v>6</v>
      </c>
      <c r="F17" s="31"/>
      <c r="G17" s="31">
        <v>1</v>
      </c>
      <c r="H17" s="31"/>
      <c r="I17" s="32">
        <f>SUM(F17*E17*$F$16,G17*E17*$G$16,H17*E17*$H$16)</f>
        <v>7.1999999999999993</v>
      </c>
    </row>
    <row r="18" spans="1:28" ht="14.4" x14ac:dyDescent="0.3">
      <c r="A18" s="29"/>
      <c r="C18" s="23" t="s">
        <v>352</v>
      </c>
      <c r="E18" s="30">
        <v>7</v>
      </c>
      <c r="F18" s="31"/>
      <c r="G18" s="31">
        <v>0</v>
      </c>
      <c r="H18" s="31">
        <v>0</v>
      </c>
      <c r="I18" s="32">
        <f>SUM(F18*E18*$F$16,G18*E18*$G$16,H18*E18*$H$16)</f>
        <v>0</v>
      </c>
    </row>
    <row r="19" spans="1:28" ht="14.4" x14ac:dyDescent="0.3">
      <c r="A19" s="29"/>
      <c r="C19" s="23" t="s">
        <v>353</v>
      </c>
      <c r="E19" s="30">
        <v>10</v>
      </c>
      <c r="F19" s="31">
        <v>1</v>
      </c>
      <c r="G19" s="31"/>
      <c r="H19" s="31"/>
      <c r="I19" s="32">
        <f>SUM(F19*E19*$F$16,G19*E19*$G$16,H19*E19*$H$16)</f>
        <v>10</v>
      </c>
    </row>
    <row r="20" spans="1:28" ht="14.4" x14ac:dyDescent="0.3">
      <c r="G20" s="43"/>
      <c r="H20" s="43"/>
      <c r="I20" s="38">
        <f>SUM(I17:I19)</f>
        <v>17.2</v>
      </c>
    </row>
    <row r="21" spans="1:28" ht="14.4" x14ac:dyDescent="0.3">
      <c r="A21" s="23" t="s">
        <v>355</v>
      </c>
      <c r="F21" s="48">
        <v>1</v>
      </c>
    </row>
    <row r="22" spans="1:28" ht="14.4" x14ac:dyDescent="0.3"/>
    <row r="23" spans="1:28" ht="14.4" x14ac:dyDescent="0.3">
      <c r="B23" s="23" t="s">
        <v>356</v>
      </c>
    </row>
    <row r="24" spans="1:28" ht="14.4" x14ac:dyDescent="0.3"/>
    <row r="25" spans="1:28" ht="22.2" x14ac:dyDescent="0.45">
      <c r="A25" s="49" t="s">
        <v>357</v>
      </c>
    </row>
    <row r="26" spans="1:28" ht="14.4" x14ac:dyDescent="0.3"/>
    <row r="27" spans="1:28" ht="51.75" customHeight="1" x14ac:dyDescent="0.3">
      <c r="A27" s="50"/>
      <c r="B27" s="50"/>
      <c r="C27" s="50"/>
      <c r="D27" s="52" t="s">
        <v>181</v>
      </c>
      <c r="E27" s="52" t="s">
        <v>181</v>
      </c>
      <c r="F27" s="52" t="s">
        <v>181</v>
      </c>
      <c r="G27" s="55" t="s">
        <v>192</v>
      </c>
      <c r="H27" s="55" t="s">
        <v>192</v>
      </c>
      <c r="I27" s="55" t="s">
        <v>192</v>
      </c>
      <c r="J27" s="56" t="s">
        <v>199</v>
      </c>
      <c r="K27" s="56" t="s">
        <v>199</v>
      </c>
      <c r="L27" s="56" t="s">
        <v>199</v>
      </c>
      <c r="M27" s="50"/>
      <c r="N27" s="50"/>
      <c r="O27" s="50"/>
      <c r="P27" s="50"/>
      <c r="Q27" s="50"/>
      <c r="R27" s="50"/>
      <c r="S27" s="50"/>
      <c r="T27" s="50"/>
      <c r="U27" s="50"/>
      <c r="V27" s="50"/>
      <c r="W27" s="50"/>
      <c r="X27" s="50"/>
      <c r="Y27" s="50"/>
      <c r="Z27" s="50"/>
      <c r="AA27" s="50"/>
      <c r="AB27" s="50"/>
    </row>
    <row r="28" spans="1:28" ht="51.75" customHeight="1" x14ac:dyDescent="0.3">
      <c r="A28" s="50"/>
      <c r="B28" s="50"/>
      <c r="C28" s="50"/>
      <c r="D28" s="57" t="s">
        <v>182</v>
      </c>
      <c r="E28" s="57" t="s">
        <v>186</v>
      </c>
      <c r="F28" s="57" t="s">
        <v>189</v>
      </c>
      <c r="G28" s="57" t="s">
        <v>193</v>
      </c>
      <c r="H28" s="57" t="s">
        <v>196</v>
      </c>
      <c r="I28" s="57" t="s">
        <v>358</v>
      </c>
      <c r="J28" s="57" t="s">
        <v>200</v>
      </c>
      <c r="K28" s="57" t="s">
        <v>203</v>
      </c>
      <c r="L28" s="57" t="s">
        <v>206</v>
      </c>
      <c r="M28" s="50"/>
      <c r="N28" s="50"/>
      <c r="O28" s="50"/>
      <c r="P28" s="50"/>
      <c r="Q28" s="50"/>
      <c r="R28" s="50"/>
      <c r="S28" s="50"/>
      <c r="T28" s="50"/>
      <c r="U28" s="50"/>
      <c r="V28" s="50"/>
      <c r="W28" s="50"/>
      <c r="X28" s="50"/>
      <c r="Y28" s="50"/>
      <c r="Z28" s="50"/>
      <c r="AA28" s="50"/>
      <c r="AB28" s="50"/>
    </row>
    <row r="29" spans="1:28" ht="51.75" customHeight="1" x14ac:dyDescent="0.3">
      <c r="A29" s="50"/>
      <c r="B29" s="50"/>
      <c r="C29" s="58" t="s">
        <v>359</v>
      </c>
      <c r="D29" s="58" t="s">
        <v>360</v>
      </c>
      <c r="E29" s="58" t="s">
        <v>361</v>
      </c>
      <c r="F29" s="58" t="s">
        <v>361</v>
      </c>
      <c r="G29" s="58" t="s">
        <v>362</v>
      </c>
      <c r="H29" s="58" t="s">
        <v>362</v>
      </c>
      <c r="I29" s="58" t="s">
        <v>362</v>
      </c>
      <c r="J29" s="58" t="s">
        <v>363</v>
      </c>
      <c r="K29" s="58" t="s">
        <v>363</v>
      </c>
      <c r="L29" s="58" t="s">
        <v>363</v>
      </c>
      <c r="M29" s="59"/>
      <c r="N29" s="60"/>
      <c r="O29" s="50"/>
      <c r="P29" s="50"/>
      <c r="Q29" s="50"/>
      <c r="R29" s="50"/>
      <c r="S29" s="50"/>
      <c r="T29" s="50"/>
      <c r="U29" s="50"/>
      <c r="V29" s="50"/>
      <c r="W29" s="50"/>
      <c r="X29" s="50"/>
      <c r="Y29" s="50"/>
      <c r="Z29" s="50"/>
      <c r="AA29" s="50"/>
      <c r="AB29" s="50"/>
    </row>
    <row r="30" spans="1:28" ht="40.5" customHeight="1" x14ac:dyDescent="0.3">
      <c r="C30" s="28" t="s">
        <v>364</v>
      </c>
      <c r="D30" s="20" t="s">
        <v>365</v>
      </c>
      <c r="E30" s="20" t="s">
        <v>365</v>
      </c>
      <c r="F30" s="20" t="s">
        <v>365</v>
      </c>
      <c r="G30" s="20" t="s">
        <v>366</v>
      </c>
      <c r="H30" s="20" t="s">
        <v>366</v>
      </c>
      <c r="I30" s="20" t="s">
        <v>366</v>
      </c>
      <c r="J30" s="20" t="s">
        <v>367</v>
      </c>
      <c r="K30" s="20" t="s">
        <v>367</v>
      </c>
      <c r="L30" s="20" t="s">
        <v>367</v>
      </c>
    </row>
    <row r="31" spans="1:28" ht="14.4" x14ac:dyDescent="0.3">
      <c r="C31" s="61" t="s">
        <v>106</v>
      </c>
      <c r="D31" s="62">
        <v>0.3</v>
      </c>
      <c r="E31" s="62"/>
      <c r="F31" s="62"/>
      <c r="G31" s="63">
        <v>1</v>
      </c>
      <c r="H31" s="63"/>
      <c r="I31" s="63"/>
      <c r="J31" s="63">
        <v>6</v>
      </c>
      <c r="K31" s="63"/>
      <c r="L31" s="63"/>
    </row>
    <row r="32" spans="1:28" ht="14.4" x14ac:dyDescent="0.3">
      <c r="C32" s="61" t="s">
        <v>110</v>
      </c>
      <c r="D32" s="63"/>
      <c r="E32" s="63">
        <v>0.4</v>
      </c>
      <c r="F32" s="63"/>
      <c r="G32" s="62"/>
      <c r="H32" s="62">
        <v>1</v>
      </c>
      <c r="I32" s="62"/>
      <c r="J32" s="63"/>
      <c r="K32" s="63">
        <v>7</v>
      </c>
      <c r="L32" s="63"/>
    </row>
    <row r="33" spans="1:28" ht="14.4" x14ac:dyDescent="0.3">
      <c r="C33" s="61" t="s">
        <v>114</v>
      </c>
      <c r="D33" s="63"/>
      <c r="E33" s="63"/>
      <c r="F33" s="63">
        <v>0.7</v>
      </c>
      <c r="G33" s="63"/>
      <c r="H33" s="63"/>
      <c r="I33" s="63">
        <v>1</v>
      </c>
      <c r="J33" s="62"/>
      <c r="K33" s="62"/>
      <c r="L33" s="62">
        <v>13</v>
      </c>
    </row>
    <row r="34" spans="1:28" ht="14.4" x14ac:dyDescent="0.3"/>
    <row r="35" spans="1:28" ht="14.4" x14ac:dyDescent="0.3">
      <c r="E35" s="64">
        <f>N5</f>
        <v>400</v>
      </c>
    </row>
    <row r="36" spans="1:28" ht="14.4" x14ac:dyDescent="0.3">
      <c r="C36" s="65" t="s">
        <v>368</v>
      </c>
      <c r="D36" s="66">
        <f>SUM(D37:D39)</f>
        <v>520</v>
      </c>
      <c r="E36" s="67">
        <f>SUM(E37:E39)</f>
        <v>399</v>
      </c>
      <c r="F36" s="68"/>
      <c r="G36" s="68"/>
      <c r="H36" s="68"/>
      <c r="I36" s="68"/>
      <c r="J36" s="68"/>
      <c r="K36" s="68"/>
      <c r="L36" s="69"/>
    </row>
    <row r="37" spans="1:28" ht="14.4" x14ac:dyDescent="0.3">
      <c r="C37" s="70" t="s">
        <v>106</v>
      </c>
      <c r="D37" s="71">
        <v>250</v>
      </c>
      <c r="E37" s="72">
        <f>IFERROR(ROUNDDOWN(D37*E35/D36,0),0)</f>
        <v>192</v>
      </c>
      <c r="L37" s="73"/>
    </row>
    <row r="38" spans="1:28" ht="14.4" x14ac:dyDescent="0.3">
      <c r="C38" s="70" t="s">
        <v>110</v>
      </c>
      <c r="D38" s="71">
        <v>180</v>
      </c>
      <c r="E38" s="72">
        <f>IFERROR(ROUNDDOWN(D38*E35/D36,0),0)</f>
        <v>138</v>
      </c>
      <c r="L38" s="73"/>
    </row>
    <row r="39" spans="1:28" ht="14.4" x14ac:dyDescent="0.3">
      <c r="C39" s="70" t="s">
        <v>114</v>
      </c>
      <c r="D39" s="71">
        <v>90</v>
      </c>
      <c r="E39" s="72">
        <f>IFERROR(ROUNDDOWN(D39*E35/D36,0),0)</f>
        <v>69</v>
      </c>
      <c r="L39" s="73"/>
    </row>
    <row r="40" spans="1:28" ht="26.4" x14ac:dyDescent="0.3">
      <c r="C40" s="74"/>
      <c r="D40" s="52" t="s">
        <v>181</v>
      </c>
      <c r="E40" s="52" t="s">
        <v>181</v>
      </c>
      <c r="F40" s="52" t="s">
        <v>181</v>
      </c>
      <c r="G40" s="55" t="s">
        <v>192</v>
      </c>
      <c r="H40" s="55" t="s">
        <v>192</v>
      </c>
      <c r="I40" s="55" t="s">
        <v>192</v>
      </c>
      <c r="J40" s="56" t="s">
        <v>199</v>
      </c>
      <c r="K40" s="56" t="s">
        <v>199</v>
      </c>
      <c r="L40" s="75" t="s">
        <v>199</v>
      </c>
    </row>
    <row r="41" spans="1:28" ht="39.6" x14ac:dyDescent="0.3">
      <c r="C41" s="74"/>
      <c r="D41" s="57" t="s">
        <v>182</v>
      </c>
      <c r="E41" s="57" t="s">
        <v>186</v>
      </c>
      <c r="F41" s="57" t="s">
        <v>189</v>
      </c>
      <c r="G41" s="57" t="s">
        <v>193</v>
      </c>
      <c r="H41" s="57" t="s">
        <v>196</v>
      </c>
      <c r="I41" s="57" t="s">
        <v>358</v>
      </c>
      <c r="J41" s="57" t="s">
        <v>200</v>
      </c>
      <c r="K41" s="57" t="s">
        <v>203</v>
      </c>
      <c r="L41" s="76" t="s">
        <v>206</v>
      </c>
    </row>
    <row r="42" spans="1:28" ht="14.4" x14ac:dyDescent="0.3">
      <c r="C42" s="70" t="s">
        <v>106</v>
      </c>
      <c r="D42" s="20">
        <f t="shared" ref="D42:L42" si="0">$D37*D31</f>
        <v>75</v>
      </c>
      <c r="E42" s="20">
        <f t="shared" si="0"/>
        <v>0</v>
      </c>
      <c r="F42" s="20">
        <f t="shared" si="0"/>
        <v>0</v>
      </c>
      <c r="G42" s="20">
        <f t="shared" si="0"/>
        <v>250</v>
      </c>
      <c r="H42" s="20">
        <f t="shared" si="0"/>
        <v>0</v>
      </c>
      <c r="I42" s="20">
        <f t="shared" si="0"/>
        <v>0</v>
      </c>
      <c r="J42" s="20">
        <f t="shared" si="0"/>
        <v>1500</v>
      </c>
      <c r="K42" s="20">
        <f t="shared" si="0"/>
        <v>0</v>
      </c>
      <c r="L42" s="77">
        <f t="shared" si="0"/>
        <v>0</v>
      </c>
    </row>
    <row r="43" spans="1:28" ht="14.4" x14ac:dyDescent="0.3">
      <c r="C43" s="70" t="s">
        <v>110</v>
      </c>
      <c r="D43" s="20">
        <f t="shared" ref="D43:L43" si="1">$D38*D32</f>
        <v>0</v>
      </c>
      <c r="E43" s="20">
        <f t="shared" si="1"/>
        <v>72</v>
      </c>
      <c r="F43" s="20">
        <f t="shared" si="1"/>
        <v>0</v>
      </c>
      <c r="G43" s="20">
        <f t="shared" si="1"/>
        <v>0</v>
      </c>
      <c r="H43" s="20">
        <f t="shared" si="1"/>
        <v>180</v>
      </c>
      <c r="I43" s="20">
        <f t="shared" si="1"/>
        <v>0</v>
      </c>
      <c r="J43" s="20">
        <f t="shared" si="1"/>
        <v>0</v>
      </c>
      <c r="K43" s="20">
        <f t="shared" si="1"/>
        <v>1260</v>
      </c>
      <c r="L43" s="77">
        <f t="shared" si="1"/>
        <v>0</v>
      </c>
    </row>
    <row r="44" spans="1:28" ht="14.4" x14ac:dyDescent="0.3">
      <c r="C44" s="70" t="s">
        <v>114</v>
      </c>
      <c r="D44" s="20">
        <f t="shared" ref="D44:L44" si="2">$D39*D33</f>
        <v>0</v>
      </c>
      <c r="E44" s="20">
        <f t="shared" si="2"/>
        <v>0</v>
      </c>
      <c r="F44" s="20">
        <f t="shared" si="2"/>
        <v>62.999999999999993</v>
      </c>
      <c r="G44" s="20">
        <f t="shared" si="2"/>
        <v>0</v>
      </c>
      <c r="H44" s="20">
        <f t="shared" si="2"/>
        <v>0</v>
      </c>
      <c r="I44" s="20">
        <f t="shared" si="2"/>
        <v>90</v>
      </c>
      <c r="J44" s="20">
        <f t="shared" si="2"/>
        <v>0</v>
      </c>
      <c r="K44" s="20">
        <f t="shared" si="2"/>
        <v>0</v>
      </c>
      <c r="L44" s="77">
        <f t="shared" si="2"/>
        <v>1170</v>
      </c>
    </row>
    <row r="45" spans="1:28" ht="14.4" x14ac:dyDescent="0.3">
      <c r="A45" s="78"/>
      <c r="B45" s="78"/>
      <c r="C45" s="79"/>
      <c r="D45" s="80"/>
      <c r="E45" s="80"/>
      <c r="F45" s="80"/>
      <c r="G45" s="80"/>
      <c r="H45" s="80"/>
      <c r="I45" s="80"/>
      <c r="J45" s="80"/>
      <c r="K45" s="80"/>
      <c r="L45" s="81"/>
      <c r="M45" s="78"/>
      <c r="N45" s="78"/>
      <c r="O45" s="78"/>
      <c r="P45" s="78"/>
      <c r="Q45" s="78"/>
      <c r="R45" s="78"/>
      <c r="S45" s="78"/>
      <c r="T45" s="78"/>
      <c r="U45" s="78"/>
      <c r="V45" s="78"/>
      <c r="W45" s="78"/>
      <c r="X45" s="78"/>
      <c r="Y45" s="78"/>
      <c r="Z45" s="78"/>
      <c r="AA45" s="78"/>
      <c r="AB45" s="78"/>
    </row>
    <row r="46" spans="1:28" ht="14.4" x14ac:dyDescent="0.3">
      <c r="A46" s="78"/>
      <c r="B46" s="78"/>
      <c r="C46" s="78"/>
      <c r="D46" s="82"/>
      <c r="E46" s="82"/>
      <c r="F46" s="82"/>
      <c r="G46" s="82"/>
      <c r="H46" s="82"/>
      <c r="I46" s="82"/>
      <c r="J46" s="82"/>
      <c r="K46" s="82"/>
      <c r="L46" s="82"/>
      <c r="M46" s="78"/>
      <c r="N46" s="78"/>
      <c r="O46" s="78"/>
      <c r="P46" s="78"/>
      <c r="Q46" s="78"/>
      <c r="R46" s="78"/>
      <c r="S46" s="78"/>
      <c r="T46" s="78"/>
      <c r="U46" s="78"/>
      <c r="V46" s="78"/>
      <c r="W46" s="78"/>
      <c r="X46" s="78"/>
      <c r="Y46" s="78"/>
      <c r="Z46" s="78"/>
      <c r="AA46" s="78"/>
      <c r="AB46" s="78"/>
    </row>
    <row r="47" spans="1:28" ht="26.4" x14ac:dyDescent="0.3">
      <c r="D47" s="52" t="s">
        <v>181</v>
      </c>
      <c r="E47" s="52" t="s">
        <v>181</v>
      </c>
      <c r="F47" s="52" t="s">
        <v>181</v>
      </c>
      <c r="G47" s="55" t="s">
        <v>192</v>
      </c>
      <c r="H47" s="55" t="s">
        <v>192</v>
      </c>
      <c r="I47" s="55" t="s">
        <v>192</v>
      </c>
      <c r="J47" s="56" t="s">
        <v>199</v>
      </c>
      <c r="K47" s="56" t="s">
        <v>199</v>
      </c>
      <c r="L47" s="56" t="s">
        <v>199</v>
      </c>
    </row>
    <row r="48" spans="1:28" ht="40.5" customHeight="1" x14ac:dyDescent="0.3">
      <c r="C48" s="85" t="s">
        <v>369</v>
      </c>
      <c r="D48" s="57" t="s">
        <v>182</v>
      </c>
      <c r="E48" s="57" t="s">
        <v>186</v>
      </c>
      <c r="F48" s="57" t="s">
        <v>189</v>
      </c>
      <c r="G48" s="57" t="s">
        <v>193</v>
      </c>
      <c r="H48" s="57" t="s">
        <v>196</v>
      </c>
      <c r="I48" s="57" t="s">
        <v>358</v>
      </c>
      <c r="J48" s="57" t="s">
        <v>200</v>
      </c>
      <c r="K48" s="57" t="s">
        <v>203</v>
      </c>
      <c r="L48" s="57" t="s">
        <v>206</v>
      </c>
      <c r="M48" s="50"/>
      <c r="N48" s="50"/>
    </row>
    <row r="49" spans="3:14" ht="14.4" x14ac:dyDescent="0.3">
      <c r="C49" s="61" t="s">
        <v>106</v>
      </c>
      <c r="D49" s="63">
        <v>60</v>
      </c>
      <c r="E49" s="63">
        <v>10</v>
      </c>
      <c r="F49" s="63"/>
      <c r="G49" s="63"/>
      <c r="H49" s="63">
        <v>200</v>
      </c>
      <c r="I49" s="63"/>
      <c r="J49" s="63">
        <v>1600</v>
      </c>
      <c r="K49" s="63"/>
      <c r="L49" s="63"/>
      <c r="M49" s="86"/>
      <c r="N49" s="86"/>
    </row>
    <row r="50" spans="3:14" ht="14.4" x14ac:dyDescent="0.3">
      <c r="C50" s="61" t="s">
        <v>110</v>
      </c>
      <c r="D50" s="20"/>
      <c r="E50" s="20">
        <v>50</v>
      </c>
      <c r="F50" s="20"/>
      <c r="G50" s="20"/>
      <c r="H50" s="20">
        <v>150</v>
      </c>
      <c r="I50" s="20"/>
      <c r="J50" s="20"/>
      <c r="K50" s="20"/>
      <c r="L50" s="77">
        <v>1200</v>
      </c>
      <c r="M50" s="86"/>
      <c r="N50" s="86"/>
    </row>
    <row r="51" spans="3:14" ht="14.4" x14ac:dyDescent="0.3">
      <c r="C51" s="61" t="s">
        <v>114</v>
      </c>
      <c r="D51" s="63"/>
      <c r="E51" s="63"/>
      <c r="F51" s="63">
        <v>70</v>
      </c>
      <c r="G51" s="63"/>
      <c r="H51" s="63">
        <v>50</v>
      </c>
      <c r="I51" s="63"/>
      <c r="J51" s="63"/>
      <c r="K51" s="63"/>
      <c r="L51" s="63">
        <v>1100</v>
      </c>
      <c r="M51" s="86"/>
      <c r="N51" s="86"/>
    </row>
    <row r="52" spans="3:14" ht="14.4" x14ac:dyDescent="0.3">
      <c r="D52" s="87"/>
      <c r="E52" s="87"/>
      <c r="F52" s="88"/>
      <c r="H52" s="87"/>
      <c r="I52" s="87"/>
      <c r="J52" s="87"/>
      <c r="L52" s="87"/>
      <c r="M52" s="87"/>
      <c r="N52" s="87"/>
    </row>
    <row r="53" spans="3:14" ht="14.4" x14ac:dyDescent="0.3">
      <c r="D53" s="89">
        <f>D49/D31</f>
        <v>200</v>
      </c>
      <c r="G53" s="23">
        <f>G49/G31</f>
        <v>0</v>
      </c>
      <c r="J53" s="89">
        <f>J49/J31</f>
        <v>266.66666666666669</v>
      </c>
    </row>
    <row r="54" spans="3:14" ht="14.4" x14ac:dyDescent="0.3"/>
    <row r="55" spans="3:14" ht="14.4" x14ac:dyDescent="0.3">
      <c r="C55" s="23" t="s">
        <v>370</v>
      </c>
      <c r="G55" s="23" t="s">
        <v>371</v>
      </c>
      <c r="H55" s="23" t="s">
        <v>372</v>
      </c>
      <c r="I55" s="23" t="s">
        <v>373</v>
      </c>
      <c r="K55" s="23" t="s">
        <v>374</v>
      </c>
    </row>
    <row r="56" spans="3:14" ht="14.4" x14ac:dyDescent="0.3">
      <c r="C56" s="61" t="s">
        <v>106</v>
      </c>
      <c r="D56" s="23">
        <f>MIN(SUM(D49:F49)/D31,SUM(G49:I49)/G31,SUM(J49:L49)/J31,E37,D37)</f>
        <v>192</v>
      </c>
      <c r="E56" s="23">
        <f>ROUNDDOWN(D56,0)</f>
        <v>192</v>
      </c>
      <c r="G56" s="23">
        <f>E56*D31</f>
        <v>57.599999999999994</v>
      </c>
      <c r="H56" s="23">
        <f>E56*G31</f>
        <v>192</v>
      </c>
      <c r="I56" s="23">
        <f>E56*J31</f>
        <v>1152</v>
      </c>
      <c r="K56" s="89">
        <f>Lotes_Produccion!I2</f>
        <v>0</v>
      </c>
    </row>
    <row r="57" spans="3:14" ht="14.4" x14ac:dyDescent="0.3">
      <c r="C57" s="61" t="s">
        <v>110</v>
      </c>
      <c r="D57" s="23">
        <f>MIN(SUM(D50:F50)/E32,SUM(G50:I50)/H32,SUM(J50:L50)/K32,E38,D38)</f>
        <v>125</v>
      </c>
      <c r="E57" s="23">
        <f>ROUNDDOWN(D57,0)</f>
        <v>125</v>
      </c>
      <c r="G57" s="23">
        <f>E57*E32</f>
        <v>50</v>
      </c>
      <c r="H57" s="23">
        <f>E57*H32</f>
        <v>125</v>
      </c>
      <c r="I57" s="23">
        <f>E57*K32</f>
        <v>875</v>
      </c>
      <c r="K57" s="89">
        <f>Lotes_Produccion!I3</f>
        <v>0</v>
      </c>
    </row>
    <row r="58" spans="3:14" ht="14.4" x14ac:dyDescent="0.3">
      <c r="C58" s="61" t="s">
        <v>114</v>
      </c>
      <c r="D58" s="23">
        <f>MIN(SUM(D51:F51)/F33,SUM(G51:I51)/I33,SUM(J51:L51)/L33,E39,D39)</f>
        <v>50</v>
      </c>
      <c r="E58" s="23">
        <f>ROUNDDOWN(D58,0)</f>
        <v>50</v>
      </c>
      <c r="G58" s="23">
        <f>E58*F33</f>
        <v>35</v>
      </c>
      <c r="H58" s="23">
        <f>E58*I33</f>
        <v>50</v>
      </c>
      <c r="I58" s="23">
        <f>E58*L33</f>
        <v>650</v>
      </c>
      <c r="K58" s="89">
        <f>Lotes_Produccion!I4</f>
        <v>0</v>
      </c>
    </row>
    <row r="59" spans="3:14" ht="14.4" x14ac:dyDescent="0.3"/>
    <row r="60" spans="3:14" ht="14.4" x14ac:dyDescent="0.3"/>
    <row r="61" spans="3:14" ht="14.4" x14ac:dyDescent="0.3"/>
    <row r="62" spans="3:14" ht="14.4" x14ac:dyDescent="0.3">
      <c r="C62" s="3"/>
      <c r="D62" s="3" t="s">
        <v>375</v>
      </c>
      <c r="E62" s="3" t="s">
        <v>376</v>
      </c>
      <c r="F62" s="3" t="s">
        <v>377</v>
      </c>
      <c r="G62" s="3" t="s">
        <v>378</v>
      </c>
      <c r="H62" s="23" t="s">
        <v>379</v>
      </c>
    </row>
    <row r="63" spans="3:14" ht="42" customHeight="1" x14ac:dyDescent="0.3">
      <c r="C63" s="52" t="s">
        <v>182</v>
      </c>
      <c r="D63" s="20">
        <v>15</v>
      </c>
      <c r="E63" s="20">
        <v>60</v>
      </c>
      <c r="F63" s="20">
        <v>75</v>
      </c>
      <c r="G63" s="92">
        <f t="shared" ref="G63:G71" si="3">D63+E63-F63</f>
        <v>0</v>
      </c>
    </row>
    <row r="64" spans="3:14" ht="42" customHeight="1" x14ac:dyDescent="0.3">
      <c r="C64" s="52" t="s">
        <v>186</v>
      </c>
      <c r="D64" s="20">
        <v>17</v>
      </c>
      <c r="E64" s="20">
        <v>55</v>
      </c>
      <c r="F64" s="20">
        <v>72</v>
      </c>
      <c r="G64" s="92">
        <f t="shared" si="3"/>
        <v>0</v>
      </c>
      <c r="H64" s="93"/>
    </row>
    <row r="65" spans="1:8" ht="42" customHeight="1" x14ac:dyDescent="0.3">
      <c r="C65" s="52" t="s">
        <v>189</v>
      </c>
      <c r="D65" s="20">
        <v>48</v>
      </c>
      <c r="E65" s="20">
        <v>15</v>
      </c>
      <c r="F65" s="20">
        <v>63</v>
      </c>
      <c r="G65" s="92">
        <f t="shared" si="3"/>
        <v>0</v>
      </c>
      <c r="H65" s="93"/>
    </row>
    <row r="66" spans="1:8" ht="42" customHeight="1" x14ac:dyDescent="0.3">
      <c r="C66" s="55" t="s">
        <v>193</v>
      </c>
      <c r="D66" s="20">
        <v>50</v>
      </c>
      <c r="E66" s="20">
        <v>200</v>
      </c>
      <c r="F66" s="20">
        <v>250</v>
      </c>
      <c r="G66" s="92">
        <f t="shared" si="3"/>
        <v>0</v>
      </c>
      <c r="H66" s="93"/>
    </row>
    <row r="67" spans="1:8" ht="42" customHeight="1" x14ac:dyDescent="0.3">
      <c r="C67" s="55" t="s">
        <v>196</v>
      </c>
      <c r="D67" s="20">
        <v>0</v>
      </c>
      <c r="E67" s="20">
        <v>190</v>
      </c>
      <c r="F67" s="20">
        <v>180</v>
      </c>
      <c r="G67" s="92">
        <f t="shared" si="3"/>
        <v>10</v>
      </c>
      <c r="H67" s="93"/>
    </row>
    <row r="68" spans="1:8" ht="42" customHeight="1" x14ac:dyDescent="0.3">
      <c r="C68" s="55" t="s">
        <v>358</v>
      </c>
      <c r="D68" s="20">
        <v>90</v>
      </c>
      <c r="E68" s="20">
        <v>0</v>
      </c>
      <c r="F68" s="20">
        <v>90</v>
      </c>
      <c r="G68" s="92">
        <f t="shared" si="3"/>
        <v>0</v>
      </c>
      <c r="H68" s="93"/>
    </row>
    <row r="69" spans="1:8" ht="42" customHeight="1" x14ac:dyDescent="0.3">
      <c r="C69" s="56" t="s">
        <v>200</v>
      </c>
      <c r="D69" s="20">
        <v>1494</v>
      </c>
      <c r="E69" s="20">
        <v>6</v>
      </c>
      <c r="F69" s="20">
        <v>1500</v>
      </c>
      <c r="G69" s="92">
        <f t="shared" si="3"/>
        <v>0</v>
      </c>
      <c r="H69" s="93"/>
    </row>
    <row r="70" spans="1:8" ht="42" customHeight="1" x14ac:dyDescent="0.3">
      <c r="C70" s="56" t="s">
        <v>203</v>
      </c>
      <c r="D70" s="20">
        <v>1253</v>
      </c>
      <c r="E70" s="20">
        <v>7</v>
      </c>
      <c r="F70" s="20">
        <v>1260</v>
      </c>
      <c r="G70" s="92">
        <f t="shared" si="3"/>
        <v>0</v>
      </c>
      <c r="H70" s="93"/>
    </row>
    <row r="71" spans="1:8" ht="42" customHeight="1" x14ac:dyDescent="0.3">
      <c r="C71" s="56" t="s">
        <v>206</v>
      </c>
      <c r="D71" s="20">
        <v>1170</v>
      </c>
      <c r="E71" s="20">
        <v>0</v>
      </c>
      <c r="F71" s="20">
        <v>1170</v>
      </c>
      <c r="G71" s="92">
        <f t="shared" si="3"/>
        <v>0</v>
      </c>
      <c r="H71" s="93"/>
    </row>
    <row r="72" spans="1:8" ht="14.4" x14ac:dyDescent="0.3">
      <c r="B72" s="23" t="s">
        <v>380</v>
      </c>
    </row>
    <row r="73" spans="1:8" ht="67.5" customHeight="1" x14ac:dyDescent="0.3">
      <c r="A73" s="50" t="s">
        <v>381</v>
      </c>
      <c r="B73" s="32">
        <v>3000</v>
      </c>
    </row>
    <row r="74" spans="1:8" ht="21" x14ac:dyDescent="0.4">
      <c r="A74" s="95"/>
    </row>
    <row r="75" spans="1:8" ht="21" x14ac:dyDescent="0.4">
      <c r="A75" s="95" t="s">
        <v>382</v>
      </c>
      <c r="C75" s="96">
        <v>0</v>
      </c>
      <c r="D75" s="96">
        <v>0</v>
      </c>
      <c r="E75" s="96">
        <v>0</v>
      </c>
      <c r="F75" s="32">
        <v>0</v>
      </c>
      <c r="G75" s="97">
        <f>Motor_Puntajes!B10</f>
        <v>0</v>
      </c>
      <c r="H75" s="26" t="s">
        <v>383</v>
      </c>
    </row>
    <row r="76" spans="1:8" ht="35.25" customHeight="1" x14ac:dyDescent="0.3">
      <c r="C76" s="50" t="s">
        <v>384</v>
      </c>
      <c r="D76" s="50" t="s">
        <v>385</v>
      </c>
      <c r="E76" s="50" t="s">
        <v>386</v>
      </c>
      <c r="F76" s="50" t="s">
        <v>387</v>
      </c>
    </row>
    <row r="77" spans="1:8" ht="14.4" x14ac:dyDescent="0.3"/>
    <row r="78" spans="1:8" ht="14.4" x14ac:dyDescent="0.3"/>
    <row r="79" spans="1:8" ht="14.4" x14ac:dyDescent="0.3"/>
    <row r="80" spans="1:8" ht="14.4" x14ac:dyDescent="0.3"/>
    <row r="81" spans="2:15" ht="14.4" x14ac:dyDescent="0.3"/>
    <row r="82" spans="2:15" ht="46.5" customHeight="1" x14ac:dyDescent="0.3">
      <c r="B82" s="28" t="s">
        <v>388</v>
      </c>
      <c r="C82" s="20" t="s">
        <v>389</v>
      </c>
      <c r="D82" s="20" t="s">
        <v>390</v>
      </c>
      <c r="E82" s="20" t="s">
        <v>391</v>
      </c>
      <c r="F82" s="20" t="s">
        <v>392</v>
      </c>
      <c r="G82" s="20" t="s">
        <v>393</v>
      </c>
      <c r="H82" s="20" t="s">
        <v>394</v>
      </c>
      <c r="K82" s="50"/>
      <c r="L82" s="32"/>
      <c r="M82" s="32"/>
      <c r="N82" s="32"/>
    </row>
    <row r="83" spans="2:15" ht="14.4" x14ac:dyDescent="0.3">
      <c r="B83" s="20" t="s">
        <v>395</v>
      </c>
      <c r="C83" s="20">
        <v>7</v>
      </c>
      <c r="D83" s="20">
        <v>40</v>
      </c>
      <c r="E83" s="20">
        <f>(MAX($D$83:$D$86)*2-D83)/10</f>
        <v>5</v>
      </c>
      <c r="F83" s="98">
        <f>SUM(C83,E83)</f>
        <v>12</v>
      </c>
      <c r="G83" s="99">
        <f>F83/$F$87</f>
        <v>0.22388059701492538</v>
      </c>
      <c r="H83" s="3">
        <f>ROUND(G83*$B$91,0)</f>
        <v>784</v>
      </c>
      <c r="K83" s="32"/>
      <c r="L83" s="32"/>
      <c r="M83" s="32"/>
      <c r="N83" s="32"/>
      <c r="O83" s="89"/>
    </row>
    <row r="84" spans="2:15" ht="14.4" x14ac:dyDescent="0.3">
      <c r="B84" s="20" t="s">
        <v>396</v>
      </c>
      <c r="C84" s="20">
        <v>8.3000000000000007</v>
      </c>
      <c r="D84" s="20">
        <v>45</v>
      </c>
      <c r="E84" s="20">
        <f>(MAX($D$83:$D$86)*2-D84)/10</f>
        <v>4.5</v>
      </c>
      <c r="F84" s="98">
        <f>SUM(C84,E84)</f>
        <v>12.8</v>
      </c>
      <c r="G84" s="99">
        <f>F84/$F$87</f>
        <v>0.23880597014925373</v>
      </c>
      <c r="H84" s="3">
        <f>ROUND(G84*$B$91,0)</f>
        <v>836</v>
      </c>
      <c r="K84" s="32"/>
      <c r="L84" s="101"/>
      <c r="M84" s="32"/>
      <c r="N84" s="32"/>
      <c r="O84" s="89"/>
    </row>
    <row r="85" spans="2:15" ht="14.4" x14ac:dyDescent="0.3">
      <c r="B85" s="20" t="s">
        <v>397</v>
      </c>
      <c r="C85" s="102">
        <v>10.199999999999999</v>
      </c>
      <c r="D85" s="20">
        <v>43</v>
      </c>
      <c r="E85" s="20">
        <f>(MAX($D$83:$D$86)*2-D85)/10</f>
        <v>4.7</v>
      </c>
      <c r="F85" s="98">
        <f>SUM(C85,E85)</f>
        <v>14.899999999999999</v>
      </c>
      <c r="G85" s="99">
        <f>F85/$F$87</f>
        <v>0.27798507462686561</v>
      </c>
      <c r="H85" s="3">
        <f>ROUND(G85*$B$91,0)</f>
        <v>973</v>
      </c>
      <c r="K85" s="32"/>
      <c r="L85" s="101"/>
      <c r="M85" s="32"/>
      <c r="N85" s="32"/>
      <c r="O85" s="89"/>
    </row>
    <row r="86" spans="2:15" ht="14.4" x14ac:dyDescent="0.3">
      <c r="B86" s="20" t="s">
        <v>398</v>
      </c>
      <c r="C86" s="20">
        <v>9</v>
      </c>
      <c r="D86" s="20">
        <v>41</v>
      </c>
      <c r="E86" s="20">
        <f>(MAX($D$83:$D$86)*2-D86)/10</f>
        <v>4.9000000000000004</v>
      </c>
      <c r="F86" s="98">
        <f>SUM(C86,E86)</f>
        <v>13.9</v>
      </c>
      <c r="G86" s="99">
        <f>F86/$F$87</f>
        <v>0.25932835820895522</v>
      </c>
      <c r="H86" s="3">
        <f>ROUND(G86*$B$91,0)</f>
        <v>908</v>
      </c>
      <c r="K86" s="32"/>
      <c r="L86" s="32"/>
      <c r="M86" s="32"/>
      <c r="N86" s="32"/>
      <c r="O86" s="89"/>
    </row>
    <row r="87" spans="2:15" ht="14.4" x14ac:dyDescent="0.3">
      <c r="B87" s="6"/>
      <c r="E87" s="23" t="s">
        <v>399</v>
      </c>
      <c r="F87" s="103">
        <f>SUM(F83:F86)</f>
        <v>53.6</v>
      </c>
      <c r="H87" s="23">
        <f>SUM(H83:H86)</f>
        <v>3501</v>
      </c>
    </row>
    <row r="88" spans="2:15" ht="14.4" x14ac:dyDescent="0.3">
      <c r="B88" s="6"/>
      <c r="F88" s="104"/>
    </row>
    <row r="89" spans="2:15" ht="14.4" x14ac:dyDescent="0.3">
      <c r="B89" s="6">
        <v>7000</v>
      </c>
      <c r="C89" s="23" t="s">
        <v>400</v>
      </c>
      <c r="F89" s="104"/>
      <c r="K89" s="23"/>
    </row>
    <row r="90" spans="2:15" ht="14.4" x14ac:dyDescent="0.3">
      <c r="B90" s="105">
        <v>0.5</v>
      </c>
      <c r="F90" s="104"/>
      <c r="K90" s="33"/>
    </row>
    <row r="91" spans="2:15" ht="14.4" x14ac:dyDescent="0.3">
      <c r="B91" s="6">
        <f>B89*B90</f>
        <v>3500</v>
      </c>
      <c r="C91" s="23" t="s">
        <v>401</v>
      </c>
      <c r="F91" s="104"/>
    </row>
    <row r="92" spans="2:15" ht="14.4" x14ac:dyDescent="0.3">
      <c r="B92" s="106"/>
      <c r="C92" s="108"/>
      <c r="D92" s="108"/>
      <c r="E92" s="108"/>
      <c r="F92" s="109"/>
    </row>
    <row r="93" spans="2:15" ht="14.4" x14ac:dyDescent="0.3"/>
    <row r="94" spans="2:15" ht="14.4" x14ac:dyDescent="0.3"/>
    <row r="95" spans="2:15" ht="14.4" x14ac:dyDescent="0.3"/>
    <row r="96" spans="2:15" ht="43.2" x14ac:dyDescent="0.3">
      <c r="B96" s="28" t="s">
        <v>402</v>
      </c>
      <c r="C96" s="20" t="s">
        <v>389</v>
      </c>
      <c r="D96" s="20" t="s">
        <v>390</v>
      </c>
      <c r="E96" s="20" t="s">
        <v>391</v>
      </c>
      <c r="F96" s="20" t="s">
        <v>392</v>
      </c>
      <c r="G96" s="20" t="s">
        <v>393</v>
      </c>
      <c r="H96" s="20" t="s">
        <v>394</v>
      </c>
    </row>
    <row r="97" spans="2:8" ht="14.4" x14ac:dyDescent="0.3">
      <c r="B97" s="20" t="s">
        <v>395</v>
      </c>
      <c r="C97" s="20">
        <v>7</v>
      </c>
      <c r="D97" s="20">
        <v>120</v>
      </c>
      <c r="E97" s="20">
        <f>(MAX($D$97:$D$100)*2-D97)/10</f>
        <v>28</v>
      </c>
      <c r="F97" s="98">
        <f>SUM(C97,E97)</f>
        <v>35</v>
      </c>
      <c r="G97" s="99">
        <f>F97/$F$101</f>
        <v>0.2723735408560311</v>
      </c>
      <c r="H97" s="3">
        <f>ROUND(G97*$B$91,0)</f>
        <v>953</v>
      </c>
    </row>
    <row r="98" spans="2:8" ht="14.4" x14ac:dyDescent="0.3">
      <c r="B98" s="20" t="s">
        <v>396</v>
      </c>
      <c r="C98" s="20">
        <v>8.3000000000000007</v>
      </c>
      <c r="D98" s="20">
        <v>150</v>
      </c>
      <c r="E98" s="20">
        <f>(MAX($D$97:$D$100)*2-D98)/10</f>
        <v>25</v>
      </c>
      <c r="F98" s="98">
        <f>SUM(C98,E98)</f>
        <v>33.299999999999997</v>
      </c>
      <c r="G98" s="99">
        <f>F98/$F$101</f>
        <v>0.2591439688715953</v>
      </c>
      <c r="H98" s="3">
        <f>ROUND(G98*$B$91,0)</f>
        <v>907</v>
      </c>
    </row>
    <row r="99" spans="2:8" ht="14.4" x14ac:dyDescent="0.3">
      <c r="B99" s="20" t="s">
        <v>397</v>
      </c>
      <c r="C99" s="20">
        <v>10.199999999999999</v>
      </c>
      <c r="D99" s="20">
        <v>190</v>
      </c>
      <c r="E99" s="20">
        <f>(MAX($D$97:$D$100)*2-D99)/10</f>
        <v>21</v>
      </c>
      <c r="F99" s="98">
        <f>SUM(C99,E99)</f>
        <v>31.2</v>
      </c>
      <c r="G99" s="99">
        <f>F99/$F$101</f>
        <v>0.24280155642023346</v>
      </c>
      <c r="H99" s="3">
        <f>ROUND(G99*$B$91,0)</f>
        <v>850</v>
      </c>
    </row>
    <row r="100" spans="2:8" ht="14.4" x14ac:dyDescent="0.3">
      <c r="B100" s="20" t="s">
        <v>398</v>
      </c>
      <c r="C100" s="20">
        <v>9</v>
      </c>
      <c r="D100" s="20">
        <v>200</v>
      </c>
      <c r="E100" s="20">
        <f>(MAX($D$97:$D$100)*2-D100)/10</f>
        <v>20</v>
      </c>
      <c r="F100" s="98">
        <f>SUM(C100,E100)</f>
        <v>29</v>
      </c>
      <c r="G100" s="99">
        <f>F100/$F$101</f>
        <v>0.22568093385214008</v>
      </c>
      <c r="H100" s="3">
        <f>ROUND(G100*$B$91,0)</f>
        <v>790</v>
      </c>
    </row>
    <row r="101" spans="2:8" ht="14.4" x14ac:dyDescent="0.3">
      <c r="B101" s="6"/>
      <c r="E101" s="23" t="s">
        <v>399</v>
      </c>
      <c r="F101" s="103">
        <f>SUM(F97:F100)</f>
        <v>128.5</v>
      </c>
    </row>
    <row r="102" spans="2:8" ht="14.4" x14ac:dyDescent="0.3">
      <c r="B102" s="6"/>
      <c r="F102" s="104"/>
    </row>
    <row r="103" spans="2:8" ht="14.4" x14ac:dyDescent="0.3">
      <c r="B103" s="6">
        <v>5000</v>
      </c>
      <c r="C103" s="23" t="s">
        <v>400</v>
      </c>
      <c r="F103" s="104"/>
    </row>
    <row r="104" spans="2:8" ht="14.4" x14ac:dyDescent="0.3">
      <c r="B104" s="105">
        <v>0.7</v>
      </c>
      <c r="F104" s="104"/>
    </row>
    <row r="105" spans="2:8" ht="14.4" x14ac:dyDescent="0.3">
      <c r="B105" s="6">
        <f>B103*B104</f>
        <v>3500</v>
      </c>
      <c r="C105" s="23" t="s">
        <v>401</v>
      </c>
      <c r="F105" s="104"/>
    </row>
    <row r="106" spans="2:8" ht="14.4" x14ac:dyDescent="0.3">
      <c r="B106" s="106"/>
      <c r="C106" s="108"/>
      <c r="D106" s="108"/>
      <c r="E106" s="108"/>
      <c r="F106" s="109"/>
    </row>
    <row r="107" spans="2:8" ht="14.4" x14ac:dyDescent="0.3"/>
    <row r="108" spans="2:8" ht="14.4" x14ac:dyDescent="0.3"/>
    <row r="109" spans="2:8" ht="14.4" x14ac:dyDescent="0.3"/>
    <row r="110" spans="2:8" ht="43.2" x14ac:dyDescent="0.3">
      <c r="B110" s="28" t="s">
        <v>403</v>
      </c>
      <c r="C110" s="20" t="s">
        <v>389</v>
      </c>
      <c r="D110" s="20" t="s">
        <v>390</v>
      </c>
      <c r="E110" s="20" t="s">
        <v>391</v>
      </c>
      <c r="F110" s="20" t="s">
        <v>392</v>
      </c>
      <c r="G110" s="20" t="s">
        <v>393</v>
      </c>
      <c r="H110" s="20" t="s">
        <v>394</v>
      </c>
    </row>
    <row r="111" spans="2:8" ht="14.4" x14ac:dyDescent="0.3">
      <c r="B111" s="20" t="s">
        <v>395</v>
      </c>
      <c r="C111" s="20">
        <v>7</v>
      </c>
      <c r="D111" s="20">
        <v>250</v>
      </c>
      <c r="E111" s="20">
        <f>(MAX($D$111:$D$114)*2-D111)/10</f>
        <v>55</v>
      </c>
      <c r="F111" s="98">
        <f>SUM(C111,E111)</f>
        <v>62</v>
      </c>
      <c r="G111" s="99">
        <f>F111/$F$115</f>
        <v>0.26105263157894737</v>
      </c>
      <c r="H111" s="3">
        <f>ROUND(G111*$B$119,0)</f>
        <v>209</v>
      </c>
    </row>
    <row r="112" spans="2:8" ht="14.4" x14ac:dyDescent="0.3">
      <c r="B112" s="20" t="s">
        <v>396</v>
      </c>
      <c r="C112" s="20">
        <v>8.3000000000000007</v>
      </c>
      <c r="D112" s="20">
        <v>300</v>
      </c>
      <c r="E112" s="20">
        <f>(MAX($D$111:$D$114)*2-D112)/10</f>
        <v>50</v>
      </c>
      <c r="F112" s="98">
        <f>SUM(C112,E112)</f>
        <v>58.3</v>
      </c>
      <c r="G112" s="99">
        <f>F112/$F$115</f>
        <v>0.24547368421052632</v>
      </c>
      <c r="H112" s="3">
        <f>ROUND(G112*$B$119,0)</f>
        <v>196</v>
      </c>
    </row>
    <row r="113" spans="1:19" ht="14.4" x14ac:dyDescent="0.3">
      <c r="B113" s="20" t="s">
        <v>397</v>
      </c>
      <c r="C113" s="20">
        <v>10.199999999999999</v>
      </c>
      <c r="D113" s="20">
        <v>220</v>
      </c>
      <c r="E113" s="20">
        <f>(MAX($D$111:$D$114)*2-D113)/10</f>
        <v>58</v>
      </c>
      <c r="F113" s="98">
        <f>SUM(C113,E113)</f>
        <v>68.2</v>
      </c>
      <c r="G113" s="99">
        <f>F113/$F$115</f>
        <v>0.28715789473684211</v>
      </c>
      <c r="H113" s="3">
        <f>ROUND(G113*$B$119,0)</f>
        <v>230</v>
      </c>
    </row>
    <row r="114" spans="1:19" ht="14.4" x14ac:dyDescent="0.3">
      <c r="B114" s="20" t="s">
        <v>398</v>
      </c>
      <c r="C114" s="20">
        <v>9</v>
      </c>
      <c r="D114" s="20">
        <v>400</v>
      </c>
      <c r="E114" s="20">
        <f>(MAX($D$111:$D$114)*2-D114)/10</f>
        <v>40</v>
      </c>
      <c r="F114" s="98">
        <f>SUM(C114,E114)</f>
        <v>49</v>
      </c>
      <c r="G114" s="99">
        <f>F114/$F$115</f>
        <v>0.2063157894736842</v>
      </c>
      <c r="H114" s="3">
        <f>ROUND(G114*$B$119,0)</f>
        <v>165</v>
      </c>
    </row>
    <row r="115" spans="1:19" ht="14.4" x14ac:dyDescent="0.3">
      <c r="B115" s="6"/>
      <c r="E115" s="23" t="s">
        <v>399</v>
      </c>
      <c r="F115" s="103">
        <f>SUM(F111:F114)</f>
        <v>237.5</v>
      </c>
    </row>
    <row r="116" spans="1:19" ht="14.4" x14ac:dyDescent="0.3">
      <c r="B116" s="6"/>
      <c r="F116" s="104"/>
    </row>
    <row r="117" spans="1:19" ht="14.4" x14ac:dyDescent="0.3">
      <c r="B117" s="6">
        <v>2000</v>
      </c>
      <c r="C117" s="23" t="s">
        <v>400</v>
      </c>
      <c r="F117" s="104"/>
    </row>
    <row r="118" spans="1:19" ht="14.4" x14ac:dyDescent="0.3">
      <c r="B118" s="105">
        <v>0.4</v>
      </c>
      <c r="F118" s="104"/>
    </row>
    <row r="119" spans="1:19" ht="14.4" x14ac:dyDescent="0.3">
      <c r="B119" s="6">
        <f>B117*B118</f>
        <v>800</v>
      </c>
      <c r="C119" s="23" t="s">
        <v>401</v>
      </c>
      <c r="F119" s="104"/>
    </row>
    <row r="120" spans="1:19" ht="14.4" x14ac:dyDescent="0.3">
      <c r="B120" s="106"/>
      <c r="C120" s="108"/>
      <c r="D120" s="108"/>
      <c r="E120" s="108"/>
      <c r="F120" s="109"/>
    </row>
    <row r="121" spans="1:19" ht="14.4" x14ac:dyDescent="0.3"/>
    <row r="122" spans="1:19" ht="14.4" x14ac:dyDescent="0.3"/>
    <row r="123" spans="1:19" ht="21" x14ac:dyDescent="0.4">
      <c r="A123" s="95" t="s">
        <v>382</v>
      </c>
      <c r="C123" s="96">
        <v>0</v>
      </c>
      <c r="D123" s="96">
        <v>0</v>
      </c>
      <c r="E123" s="96">
        <v>0</v>
      </c>
      <c r="F123" s="32">
        <v>0</v>
      </c>
      <c r="G123" s="97">
        <f>Motor_Puntajes!B10</f>
        <v>0</v>
      </c>
      <c r="H123" s="26" t="s">
        <v>383</v>
      </c>
    </row>
    <row r="124" spans="1:19" ht="28.8" x14ac:dyDescent="0.3">
      <c r="C124" s="50" t="s">
        <v>384</v>
      </c>
      <c r="D124" s="50" t="s">
        <v>385</v>
      </c>
      <c r="E124" s="50" t="s">
        <v>386</v>
      </c>
      <c r="F124" s="50" t="s">
        <v>387</v>
      </c>
      <c r="L124" s="126" t="s">
        <v>404</v>
      </c>
      <c r="M124" s="127">
        <v>0.7</v>
      </c>
    </row>
    <row r="125" spans="1:19" ht="14.4" x14ac:dyDescent="0.3">
      <c r="L125" s="126" t="s">
        <v>405</v>
      </c>
      <c r="M125" s="127">
        <v>0.2</v>
      </c>
    </row>
    <row r="126" spans="1:19" ht="14.4" x14ac:dyDescent="0.3">
      <c r="L126" s="126" t="s">
        <v>406</v>
      </c>
      <c r="M126" s="127">
        <v>0.1</v>
      </c>
    </row>
    <row r="127" spans="1:19" ht="43.2" x14ac:dyDescent="0.3">
      <c r="B127" s="128" t="s">
        <v>388</v>
      </c>
      <c r="C127" s="128" t="s">
        <v>390</v>
      </c>
      <c r="D127" s="128" t="s">
        <v>407</v>
      </c>
      <c r="E127" s="128" t="s">
        <v>408</v>
      </c>
      <c r="F127" s="128" t="s">
        <v>409</v>
      </c>
      <c r="G127" s="128" t="s">
        <v>410</v>
      </c>
      <c r="H127" s="128" t="s">
        <v>392</v>
      </c>
      <c r="I127" s="128" t="s">
        <v>393</v>
      </c>
      <c r="J127" s="128" t="s">
        <v>394</v>
      </c>
      <c r="K127" s="129"/>
      <c r="N127" t="s">
        <v>411</v>
      </c>
      <c r="O127" t="s">
        <v>412</v>
      </c>
      <c r="P127" t="s">
        <v>413</v>
      </c>
      <c r="Q127" t="s">
        <v>414</v>
      </c>
      <c r="R127" t="s">
        <v>415</v>
      </c>
      <c r="S127" t="s">
        <v>416</v>
      </c>
    </row>
    <row r="128" spans="1:19" ht="14.4" x14ac:dyDescent="0.3">
      <c r="B128" s="130" t="s">
        <v>395</v>
      </c>
      <c r="C128" s="131">
        <v>40</v>
      </c>
      <c r="D128" s="132">
        <v>7</v>
      </c>
      <c r="E128" s="132">
        <f>MAX(0,MIN(10,N128))*10</f>
        <v>0</v>
      </c>
      <c r="F128" s="136">
        <f>MAX(0,MIN(100,IF(MAX($C$128:$C$131)=MIN($C$128:$C$131),100,100*(MAX($C$128:$C$131)-C128)/(MAX($C$128:$C$131)-MIN($C$128:$C$131)))))</f>
        <v>100</v>
      </c>
      <c r="G128" s="136">
        <f>MAX(0,MIN(10,D128))*10</f>
        <v>70</v>
      </c>
      <c r="H128" s="136">
        <f>IF(P128&gt;0,$M$124*F128+$M$125*G128+$M$126*E128,0)</f>
        <v>0</v>
      </c>
      <c r="I128" s="137">
        <f>IFERROR(H128/SUM($H$128:$H$131),0)</f>
        <v>0</v>
      </c>
      <c r="J128" s="136">
        <f>ROUND(I128*$B$136,0)</f>
        <v>0</v>
      </c>
      <c r="K128" s="129"/>
      <c r="N128">
        <f>Lotes_Produccion!I2</f>
        <v>0</v>
      </c>
      <c r="O128">
        <f>Lotes_Produccion!C2</f>
        <v>0</v>
      </c>
      <c r="P128">
        <f>Lotes_Produccion!C2</f>
        <v>0</v>
      </c>
      <c r="Q128">
        <f>MIN(MAX(0,O128),J128)</f>
        <v>0</v>
      </c>
      <c r="R128">
        <f>Q128*S128</f>
        <v>0</v>
      </c>
      <c r="S128">
        <f>C128*1</f>
        <v>40</v>
      </c>
    </row>
    <row r="129" spans="2:19" ht="14.4" x14ac:dyDescent="0.3">
      <c r="B129" s="130" t="s">
        <v>396</v>
      </c>
      <c r="C129" s="131">
        <v>45</v>
      </c>
      <c r="D129" s="132">
        <v>8.3000000000000007</v>
      </c>
      <c r="E129" s="132">
        <f>MAX(0,MIN(10,N129))*10</f>
        <v>0</v>
      </c>
      <c r="F129" s="136">
        <f>MAX(0,MIN(100,IF(MAX($C$128:$C$131)=MIN($C$128:$C$131),100,100*(MAX($C$128:$C$131)-C129)/(MAX($C$128:$C$131)-MIN($C$128:$C$131)))))</f>
        <v>0</v>
      </c>
      <c r="G129" s="136">
        <f>MAX(0,MIN(10,D129))*10</f>
        <v>83</v>
      </c>
      <c r="H129" s="136">
        <f>IF(P129&gt;0,$M$124*F129+$M$125*G129+$M$126*E129,0)</f>
        <v>0</v>
      </c>
      <c r="I129" s="137">
        <f>IFERROR(H129/SUM($H$128:$H$131),0)</f>
        <v>0</v>
      </c>
      <c r="J129" s="136">
        <f>ROUND(I129*$B$136,0)</f>
        <v>0</v>
      </c>
      <c r="K129" s="129"/>
      <c r="N129">
        <f>Lotes_Produccion!I3</f>
        <v>0</v>
      </c>
      <c r="O129">
        <f>Lotes_Produccion!C3</f>
        <v>0</v>
      </c>
      <c r="P129">
        <f>Lotes_Produccion!C3</f>
        <v>0</v>
      </c>
      <c r="Q129">
        <f>MIN(MAX(0,O129),J129)</f>
        <v>0</v>
      </c>
      <c r="R129">
        <f>Q129*S129</f>
        <v>0</v>
      </c>
      <c r="S129">
        <f>C129*1</f>
        <v>45</v>
      </c>
    </row>
    <row r="130" spans="2:19" ht="14.4" x14ac:dyDescent="0.3">
      <c r="B130" s="130" t="s">
        <v>397</v>
      </c>
      <c r="C130" s="131">
        <v>43</v>
      </c>
      <c r="D130" s="132">
        <v>10.199999999999999</v>
      </c>
      <c r="E130" s="132">
        <f>MAX(0,MIN(10,N130))*10</f>
        <v>0</v>
      </c>
      <c r="F130" s="136">
        <f>MAX(0,MIN(100,IF(MAX($C$128:$C$131)=MIN($C$128:$C$131),100,100*(MAX($C$128:$C$131)-C130)/(MAX($C$128:$C$131)-MIN($C$128:$C$131)))))</f>
        <v>40</v>
      </c>
      <c r="G130" s="136">
        <f>MAX(0,MIN(10,D130))*10</f>
        <v>100</v>
      </c>
      <c r="H130" s="136">
        <f>IF(P130&gt;0,$M$124*F130+$M$125*G130+$M$126*E130,0)</f>
        <v>0</v>
      </c>
      <c r="I130" s="137">
        <f>IFERROR(H130/SUM($H$128:$H$131),0)</f>
        <v>0</v>
      </c>
      <c r="J130" s="136">
        <f>ROUND(I130*$B$136,0)</f>
        <v>0</v>
      </c>
      <c r="K130" s="129"/>
      <c r="N130">
        <f>Lotes_Produccion!I4</f>
        <v>0</v>
      </c>
      <c r="O130">
        <f>Lotes_Produccion!C4</f>
        <v>0</v>
      </c>
      <c r="P130">
        <f>Lotes_Produccion!C4</f>
        <v>0</v>
      </c>
      <c r="Q130">
        <f>MIN(MAX(0,O130),J130)</f>
        <v>0</v>
      </c>
      <c r="R130">
        <f>Q130*S130</f>
        <v>0</v>
      </c>
      <c r="S130">
        <f>C130*1</f>
        <v>43</v>
      </c>
    </row>
    <row r="131" spans="2:19" ht="14.4" x14ac:dyDescent="0.3">
      <c r="B131" s="130" t="s">
        <v>398</v>
      </c>
      <c r="C131" s="131">
        <v>41</v>
      </c>
      <c r="D131" s="132">
        <v>9</v>
      </c>
      <c r="E131" s="132">
        <f>MAX(0,MIN(10,N131))*10</f>
        <v>0</v>
      </c>
      <c r="F131" s="136">
        <f>MAX(0,MIN(100,IF(MAX($C$128:$C$131)=MIN($C$128:$C$131),100,100*(MAX($C$128:$C$131)-C131)/(MAX($C$128:$C$131)-MIN($C$128:$C$131)))))</f>
        <v>80</v>
      </c>
      <c r="G131" s="136">
        <f>MAX(0,MIN(10,D131))*10</f>
        <v>90</v>
      </c>
      <c r="H131" s="136">
        <f>IF(P131&gt;0,$M$124*F131+$M$125*G131+$M$126*E131,0)</f>
        <v>0</v>
      </c>
      <c r="I131" s="137">
        <f>IFERROR(H131/SUM($H$128:$H$131),0)</f>
        <v>0</v>
      </c>
      <c r="J131" s="136">
        <f>ROUND(I131*$B$136,0)</f>
        <v>0</v>
      </c>
      <c r="K131" s="129"/>
      <c r="N131">
        <f>Lotes_Produccion!I4</f>
        <v>0</v>
      </c>
      <c r="O131">
        <f>Lotes_Produccion!C4</f>
        <v>0</v>
      </c>
      <c r="P131">
        <f>Lotes_Produccion!C4</f>
        <v>0</v>
      </c>
      <c r="Q131">
        <f>MIN(MAX(0,O131),J131)</f>
        <v>0</v>
      </c>
      <c r="R131">
        <f>Q131*S131</f>
        <v>0</v>
      </c>
      <c r="S131">
        <f>C131*1</f>
        <v>41</v>
      </c>
    </row>
    <row r="132" spans="2:19" ht="14.4" x14ac:dyDescent="0.3">
      <c r="B132" s="128"/>
      <c r="C132" s="128" t="s">
        <v>417</v>
      </c>
      <c r="D132" s="128">
        <f>SUM(D128:D131)</f>
        <v>34.5</v>
      </c>
      <c r="E132" s="128"/>
      <c r="F132" s="128"/>
      <c r="G132" s="138" t="s">
        <v>418</v>
      </c>
      <c r="H132" s="136">
        <f>SUM(H128:H131)</f>
        <v>0</v>
      </c>
      <c r="I132" s="128"/>
      <c r="J132" s="128">
        <f>SUM(J128:J131)</f>
        <v>0</v>
      </c>
      <c r="K132" s="129"/>
    </row>
    <row r="133" spans="2:19" ht="14.4" x14ac:dyDescent="0.3">
      <c r="B133" s="129"/>
      <c r="C133" s="129"/>
      <c r="D133" s="129"/>
      <c r="E133" s="129"/>
      <c r="F133" s="129"/>
      <c r="G133" s="129"/>
      <c r="H133" s="129"/>
      <c r="I133" s="129"/>
      <c r="J133" s="129"/>
      <c r="K133" s="129"/>
    </row>
    <row r="134" spans="2:19" ht="14.4" x14ac:dyDescent="0.3">
      <c r="B134" s="128">
        <v>7000</v>
      </c>
      <c r="C134" s="128" t="s">
        <v>419</v>
      </c>
      <c r="D134" s="129"/>
      <c r="E134" s="129"/>
      <c r="F134" s="129"/>
      <c r="G134" s="129"/>
      <c r="H134" s="129"/>
      <c r="I134" s="129"/>
      <c r="J134" s="129"/>
      <c r="K134" s="129"/>
    </row>
    <row r="135" spans="2:19" ht="14.4" x14ac:dyDescent="0.3">
      <c r="B135" s="139">
        <v>0.5</v>
      </c>
      <c r="C135" s="128"/>
      <c r="D135" s="129"/>
      <c r="E135" s="129"/>
      <c r="F135" s="129"/>
      <c r="G135" s="129"/>
      <c r="H135" s="129"/>
      <c r="I135" s="129"/>
      <c r="J135" s="129"/>
      <c r="K135" s="129"/>
    </row>
    <row r="136" spans="2:19" ht="14.4" x14ac:dyDescent="0.3">
      <c r="B136" s="128">
        <f>B134*B135</f>
        <v>3500</v>
      </c>
      <c r="C136" s="128" t="s">
        <v>420</v>
      </c>
      <c r="D136" s="129"/>
      <c r="E136" s="129"/>
      <c r="F136" s="129"/>
      <c r="G136" s="129"/>
      <c r="H136" s="129"/>
      <c r="I136" s="129"/>
      <c r="J136" s="129"/>
      <c r="K136" s="129"/>
    </row>
    <row r="137" spans="2:19" ht="14.4" x14ac:dyDescent="0.3">
      <c r="B137" s="129"/>
      <c r="C137" s="129"/>
      <c r="D137" s="129"/>
      <c r="E137" s="129"/>
      <c r="F137" s="129"/>
      <c r="G137" s="129"/>
      <c r="H137" s="129"/>
      <c r="I137" s="129"/>
      <c r="J137" s="129"/>
      <c r="K137" s="129"/>
      <c r="L137" s="126" t="s">
        <v>404</v>
      </c>
      <c r="M137" s="127">
        <v>0.4</v>
      </c>
    </row>
    <row r="138" spans="2:19" ht="14.4" x14ac:dyDescent="0.3">
      <c r="B138" s="129"/>
      <c r="C138" s="129"/>
      <c r="D138" s="129"/>
      <c r="E138" s="129"/>
      <c r="F138" s="129"/>
      <c r="G138" s="129"/>
      <c r="H138" s="129"/>
      <c r="I138" s="129"/>
      <c r="J138" s="129"/>
      <c r="K138" s="129"/>
      <c r="L138" s="126" t="s">
        <v>405</v>
      </c>
      <c r="M138" s="127">
        <v>0.35</v>
      </c>
    </row>
    <row r="139" spans="2:19" ht="14.4" x14ac:dyDescent="0.3">
      <c r="B139" s="129"/>
      <c r="C139" s="129"/>
      <c r="D139" s="129"/>
      <c r="E139" s="129"/>
      <c r="F139" s="129"/>
      <c r="G139" s="129"/>
      <c r="H139" s="129"/>
      <c r="I139" s="129"/>
      <c r="J139" s="129"/>
      <c r="K139" s="129"/>
      <c r="L139" s="126" t="s">
        <v>406</v>
      </c>
      <c r="M139" s="127">
        <v>0.25</v>
      </c>
    </row>
    <row r="140" spans="2:19" ht="43.2" x14ac:dyDescent="0.3">
      <c r="B140" s="128" t="s">
        <v>421</v>
      </c>
      <c r="C140" s="128" t="s">
        <v>390</v>
      </c>
      <c r="D140" s="128" t="s">
        <v>407</v>
      </c>
      <c r="E140" s="128" t="s">
        <v>408</v>
      </c>
      <c r="F140" s="128" t="s">
        <v>409</v>
      </c>
      <c r="G140" s="128" t="s">
        <v>410</v>
      </c>
      <c r="H140" s="128" t="s">
        <v>392</v>
      </c>
      <c r="I140" s="128" t="s">
        <v>393</v>
      </c>
      <c r="J140" s="128" t="s">
        <v>394</v>
      </c>
      <c r="K140" s="129"/>
      <c r="L140" s="126" t="s">
        <v>422</v>
      </c>
      <c r="M140" s="126">
        <v>100</v>
      </c>
      <c r="N140" t="s">
        <v>411</v>
      </c>
      <c r="O140" t="s">
        <v>412</v>
      </c>
      <c r="P140" t="s">
        <v>413</v>
      </c>
      <c r="Q140" t="s">
        <v>414</v>
      </c>
      <c r="R140" t="s">
        <v>415</v>
      </c>
      <c r="S140" t="s">
        <v>416</v>
      </c>
    </row>
    <row r="141" spans="2:19" ht="14.4" x14ac:dyDescent="0.3">
      <c r="B141" s="130" t="s">
        <v>395</v>
      </c>
      <c r="C141" s="131">
        <v>120</v>
      </c>
      <c r="D141" s="132">
        <v>7</v>
      </c>
      <c r="E141" s="132">
        <f>MAX(0,MIN(10,N141))*10</f>
        <v>0</v>
      </c>
      <c r="F141" s="136">
        <f>MAX(0,MIN(100,100-ABS(C141-100)/100*100))</f>
        <v>80</v>
      </c>
      <c r="G141" s="136">
        <f>MAX(0,MIN(10,D141))*10</f>
        <v>70</v>
      </c>
      <c r="H141" s="136">
        <f>IF(P141&gt;0,$M$137*F141+$M$138*G141+$M$139*E141,0)</f>
        <v>0</v>
      </c>
      <c r="I141" s="137">
        <f>IFERROR(H141/SUM($H$141:$H$144),0)</f>
        <v>0</v>
      </c>
      <c r="J141" s="136">
        <f>ROUND(I141*$B$149,0)</f>
        <v>0</v>
      </c>
      <c r="K141" s="129"/>
      <c r="N141">
        <f>Lotes_Produccion!I2</f>
        <v>0</v>
      </c>
      <c r="O141">
        <f>Lotes_Produccion!C2</f>
        <v>0</v>
      </c>
      <c r="P141">
        <f>Lotes_Produccion!C2</f>
        <v>0</v>
      </c>
      <c r="Q141">
        <f>MIN(MAX(0,O141),J141)</f>
        <v>0</v>
      </c>
      <c r="R141">
        <f>Q141*S141</f>
        <v>0</v>
      </c>
      <c r="S141">
        <f>C141*1</f>
        <v>120</v>
      </c>
    </row>
    <row r="142" spans="2:19" ht="14.4" x14ac:dyDescent="0.3">
      <c r="B142" s="130" t="s">
        <v>396</v>
      </c>
      <c r="C142" s="131">
        <v>150</v>
      </c>
      <c r="D142" s="132">
        <v>8.3000000000000007</v>
      </c>
      <c r="E142" s="132">
        <f>MAX(0,MIN(10,N142))*10</f>
        <v>0</v>
      </c>
      <c r="F142" s="136">
        <f>MAX(0,MIN(100,100-ABS(C142-100)/100*100))</f>
        <v>50</v>
      </c>
      <c r="G142" s="136">
        <f>MAX(0,MIN(10,D142))*10</f>
        <v>83</v>
      </c>
      <c r="H142" s="136">
        <f>IF(P142&gt;0,$M$137*F142+$M$138*G142+$M$139*E142,0)</f>
        <v>0</v>
      </c>
      <c r="I142" s="137">
        <f>IFERROR(H142/SUM($H$141:$H$144),0)</f>
        <v>0</v>
      </c>
      <c r="J142" s="136">
        <f>ROUND(I142*$B$149,0)</f>
        <v>0</v>
      </c>
      <c r="K142" s="129"/>
      <c r="N142">
        <f>Lotes_Produccion!I3</f>
        <v>0</v>
      </c>
      <c r="O142">
        <f>Lotes_Produccion!C3</f>
        <v>0</v>
      </c>
      <c r="P142">
        <f>Lotes_Produccion!C3</f>
        <v>0</v>
      </c>
      <c r="Q142">
        <f>MIN(MAX(0,O142),J142)</f>
        <v>0</v>
      </c>
      <c r="R142">
        <f>Q142*S142</f>
        <v>0</v>
      </c>
      <c r="S142">
        <f>C142*1</f>
        <v>150</v>
      </c>
    </row>
    <row r="143" spans="2:19" ht="14.4" x14ac:dyDescent="0.3">
      <c r="B143" s="130" t="s">
        <v>397</v>
      </c>
      <c r="C143" s="131">
        <v>190</v>
      </c>
      <c r="D143" s="132">
        <v>10.199999999999999</v>
      </c>
      <c r="E143" s="132">
        <f>MAX(0,MIN(10,N143))*10</f>
        <v>0</v>
      </c>
      <c r="F143" s="136">
        <f>MAX(0,MIN(100,100-ABS(C143-100)/100*100))</f>
        <v>10</v>
      </c>
      <c r="G143" s="136">
        <f>MAX(0,MIN(10,D143))*10</f>
        <v>100</v>
      </c>
      <c r="H143" s="136">
        <f>IF(P143&gt;0,$M$137*F143+$M$138*G143+$M$139*E143,0)</f>
        <v>0</v>
      </c>
      <c r="I143" s="137">
        <f>IFERROR(H143/SUM($H$141:$H$144),0)</f>
        <v>0</v>
      </c>
      <c r="J143" s="136">
        <f>ROUND(I143*$B$149,0)</f>
        <v>0</v>
      </c>
      <c r="K143" s="129"/>
      <c r="N143">
        <f>Lotes_Produccion!I4</f>
        <v>0</v>
      </c>
      <c r="O143">
        <f>Lotes_Produccion!C4</f>
        <v>0</v>
      </c>
      <c r="P143">
        <f>Lotes_Produccion!C4</f>
        <v>0</v>
      </c>
      <c r="Q143">
        <f>MIN(MAX(0,O143),J143)</f>
        <v>0</v>
      </c>
      <c r="R143">
        <f>Q143*S143</f>
        <v>0</v>
      </c>
      <c r="S143">
        <f>C143*1</f>
        <v>190</v>
      </c>
    </row>
    <row r="144" spans="2:19" ht="14.4" x14ac:dyDescent="0.3">
      <c r="B144" s="130" t="s">
        <v>398</v>
      </c>
      <c r="C144" s="131">
        <v>200</v>
      </c>
      <c r="D144" s="132">
        <v>9</v>
      </c>
      <c r="E144" s="132">
        <f>MAX(0,MIN(10,N144))*10</f>
        <v>0</v>
      </c>
      <c r="F144" s="136">
        <f>MAX(0,MIN(100,100-ABS(C144-100)/100*100))</f>
        <v>0</v>
      </c>
      <c r="G144" s="136">
        <f>MAX(0,MIN(10,D144))*10</f>
        <v>90</v>
      </c>
      <c r="H144" s="136">
        <f>IF(P144&gt;0,$M$137*F144+$M$138*G144+$M$139*E144,0)</f>
        <v>0</v>
      </c>
      <c r="I144" s="137">
        <f>IFERROR(H144/SUM($H$141:$H$144),0)</f>
        <v>0</v>
      </c>
      <c r="J144" s="136">
        <f>ROUND(I144*$B$149,0)</f>
        <v>0</v>
      </c>
      <c r="K144" s="129"/>
      <c r="N144">
        <f>Lotes_Produccion!I4</f>
        <v>0</v>
      </c>
      <c r="O144">
        <f>Lotes_Produccion!C4</f>
        <v>0</v>
      </c>
      <c r="P144">
        <f>Lotes_Produccion!C4</f>
        <v>0</v>
      </c>
      <c r="Q144">
        <f>MIN(MAX(0,O144),J144)</f>
        <v>0</v>
      </c>
      <c r="R144">
        <f>Q144*S144</f>
        <v>0</v>
      </c>
      <c r="S144">
        <f>C144*1</f>
        <v>200</v>
      </c>
    </row>
    <row r="145" spans="2:19" ht="14.4" x14ac:dyDescent="0.3">
      <c r="B145" s="128"/>
      <c r="C145" s="128" t="s">
        <v>417</v>
      </c>
      <c r="D145" s="128">
        <f>SUM(D141:D144)</f>
        <v>34.5</v>
      </c>
      <c r="E145" s="128"/>
      <c r="F145" s="128"/>
      <c r="G145" s="141" t="s">
        <v>418</v>
      </c>
      <c r="H145" s="142">
        <f>SUM(H141:H144)</f>
        <v>0</v>
      </c>
      <c r="I145" s="128"/>
      <c r="J145" s="128">
        <f>SUM(J141:J144)</f>
        <v>0</v>
      </c>
      <c r="K145" s="129"/>
    </row>
    <row r="146" spans="2:19" ht="14.4" x14ac:dyDescent="0.3">
      <c r="B146" s="129"/>
      <c r="C146" s="129"/>
      <c r="D146" s="129"/>
      <c r="E146" s="129"/>
      <c r="F146" s="129"/>
      <c r="G146" s="129"/>
      <c r="H146" s="129"/>
      <c r="I146" s="129"/>
      <c r="J146" s="129"/>
      <c r="K146" s="129"/>
    </row>
    <row r="147" spans="2:19" ht="14.4" x14ac:dyDescent="0.3">
      <c r="B147" s="128">
        <v>5000</v>
      </c>
      <c r="C147" s="128" t="s">
        <v>419</v>
      </c>
      <c r="D147" s="129"/>
      <c r="E147" s="129"/>
      <c r="F147" s="129"/>
      <c r="G147" s="129"/>
      <c r="H147" s="129"/>
      <c r="I147" s="129"/>
      <c r="J147" s="129"/>
      <c r="K147" s="129"/>
    </row>
    <row r="148" spans="2:19" ht="14.4" x14ac:dyDescent="0.3">
      <c r="B148" s="139">
        <v>0.7</v>
      </c>
      <c r="C148" s="128"/>
      <c r="D148" s="129"/>
      <c r="E148" s="129"/>
      <c r="F148" s="129"/>
      <c r="G148" s="129"/>
      <c r="H148" s="129"/>
      <c r="I148" s="129"/>
      <c r="J148" s="129"/>
    </row>
    <row r="149" spans="2:19" ht="14.4" x14ac:dyDescent="0.3">
      <c r="B149" s="128">
        <f>B147*B148</f>
        <v>3500</v>
      </c>
      <c r="C149" s="128" t="s">
        <v>420</v>
      </c>
      <c r="D149" s="129"/>
      <c r="E149" s="129"/>
      <c r="F149" s="129"/>
      <c r="G149" s="129"/>
      <c r="H149" s="129"/>
      <c r="I149" s="129"/>
      <c r="J149" s="129"/>
    </row>
    <row r="150" spans="2:19" ht="14.4" x14ac:dyDescent="0.3">
      <c r="L150" s="126" t="s">
        <v>404</v>
      </c>
      <c r="M150" s="127">
        <v>0.1</v>
      </c>
    </row>
    <row r="151" spans="2:19" ht="14.4" x14ac:dyDescent="0.3">
      <c r="L151" s="126" t="s">
        <v>405</v>
      </c>
      <c r="M151" s="127">
        <v>0.5</v>
      </c>
    </row>
    <row r="152" spans="2:19" ht="14.4" x14ac:dyDescent="0.3">
      <c r="L152" s="126" t="s">
        <v>406</v>
      </c>
      <c r="M152" s="127">
        <v>0.4</v>
      </c>
    </row>
    <row r="153" spans="2:19" ht="43.2" x14ac:dyDescent="0.3">
      <c r="B153" s="128" t="s">
        <v>423</v>
      </c>
      <c r="C153" s="128" t="s">
        <v>390</v>
      </c>
      <c r="D153" s="128" t="s">
        <v>407</v>
      </c>
      <c r="E153" s="128" t="s">
        <v>408</v>
      </c>
      <c r="F153" s="128" t="s">
        <v>409</v>
      </c>
      <c r="G153" s="128" t="s">
        <v>410</v>
      </c>
      <c r="H153" s="128" t="s">
        <v>392</v>
      </c>
      <c r="I153" s="128" t="s">
        <v>393</v>
      </c>
      <c r="J153" s="128" t="s">
        <v>394</v>
      </c>
      <c r="L153" s="126" t="s">
        <v>422</v>
      </c>
      <c r="M153" s="126">
        <v>250</v>
      </c>
      <c r="N153" t="s">
        <v>411</v>
      </c>
      <c r="O153" t="s">
        <v>412</v>
      </c>
      <c r="P153" t="s">
        <v>413</v>
      </c>
      <c r="Q153" t="s">
        <v>414</v>
      </c>
      <c r="R153" t="s">
        <v>415</v>
      </c>
      <c r="S153" t="s">
        <v>416</v>
      </c>
    </row>
    <row r="154" spans="2:19" ht="14.4" x14ac:dyDescent="0.3">
      <c r="B154" s="130" t="s">
        <v>395</v>
      </c>
      <c r="C154" s="131">
        <v>250</v>
      </c>
      <c r="D154" s="132">
        <v>7</v>
      </c>
      <c r="E154" s="132">
        <f>MAX(0,MIN(10,N154))*10</f>
        <v>0</v>
      </c>
      <c r="F154" s="136">
        <f>MAX(0,MIN(100,100-ABS(C154-250)/250*100))</f>
        <v>100</v>
      </c>
      <c r="G154" s="136">
        <f>MAX(0,MIN(10,D154))*10</f>
        <v>70</v>
      </c>
      <c r="H154" s="136">
        <f>IF(P154&gt;0,$M$150*F154+$M$151*G154+$M$152*E154,0)</f>
        <v>0</v>
      </c>
      <c r="I154" s="137">
        <f>IFERROR(H154/SUM($H$154:$H$157),0)</f>
        <v>0</v>
      </c>
      <c r="J154" s="136">
        <f>ROUND(I154*$B$162,0)</f>
        <v>0</v>
      </c>
      <c r="N154">
        <f>Lotes_Produccion!I2</f>
        <v>0</v>
      </c>
      <c r="O154">
        <f>Lotes_Produccion!C2</f>
        <v>0</v>
      </c>
      <c r="P154">
        <f>Lotes_Produccion!C2</f>
        <v>0</v>
      </c>
      <c r="Q154">
        <f>MIN(MAX(0,O154),J154)</f>
        <v>0</v>
      </c>
      <c r="R154">
        <f>Q154*S154</f>
        <v>0</v>
      </c>
      <c r="S154">
        <f>C154*IF(N154&lt;7,0.65,1.4)</f>
        <v>162.5</v>
      </c>
    </row>
    <row r="155" spans="2:19" ht="14.4" x14ac:dyDescent="0.3">
      <c r="B155" s="130" t="s">
        <v>396</v>
      </c>
      <c r="C155" s="131">
        <v>300</v>
      </c>
      <c r="D155" s="132">
        <v>8.3000000000000007</v>
      </c>
      <c r="E155" s="132">
        <f>MAX(0,MIN(10,N155))*10</f>
        <v>0</v>
      </c>
      <c r="F155" s="136">
        <f>MAX(0,MIN(100,100-ABS(C155-250)/250*100))</f>
        <v>80</v>
      </c>
      <c r="G155" s="136">
        <f>MAX(0,MIN(10,D155))*10</f>
        <v>83</v>
      </c>
      <c r="H155" s="136">
        <f>IF(P155&gt;0,$M$150*F155+$M$151*G155+$M$152*E155,0)</f>
        <v>0</v>
      </c>
      <c r="I155" s="137">
        <f>IFERROR(H155/SUM($H$154:$H$157),0)</f>
        <v>0</v>
      </c>
      <c r="J155" s="136">
        <f>ROUND(I155*$B$162,0)</f>
        <v>0</v>
      </c>
      <c r="N155">
        <f>Lotes_Produccion!I3</f>
        <v>0</v>
      </c>
      <c r="O155">
        <f>Lotes_Produccion!C3</f>
        <v>0</v>
      </c>
      <c r="P155">
        <f>Lotes_Produccion!C3</f>
        <v>0</v>
      </c>
      <c r="Q155">
        <f>MIN(MAX(0,O155),J155)</f>
        <v>0</v>
      </c>
      <c r="R155">
        <f>Q155*S155</f>
        <v>0</v>
      </c>
      <c r="S155">
        <f>C155*IF(N155&lt;7,0.65,1.4)</f>
        <v>195</v>
      </c>
    </row>
    <row r="156" spans="2:19" ht="14.4" x14ac:dyDescent="0.3">
      <c r="B156" s="130" t="s">
        <v>397</v>
      </c>
      <c r="C156" s="131">
        <v>220</v>
      </c>
      <c r="D156" s="132">
        <v>10.199999999999999</v>
      </c>
      <c r="E156" s="132">
        <f>MAX(0,MIN(10,N156))*10</f>
        <v>0</v>
      </c>
      <c r="F156" s="136">
        <f>MAX(0,MIN(100,100-ABS(C156-250)/250*100))</f>
        <v>88</v>
      </c>
      <c r="G156" s="136">
        <f>MAX(0,MIN(10,D156))*10</f>
        <v>100</v>
      </c>
      <c r="H156" s="136">
        <f>IF(P156&gt;0,$M$150*F156+$M$151*G156+$M$152*E156,0)</f>
        <v>0</v>
      </c>
      <c r="I156" s="137">
        <f>IFERROR(H156/SUM($H$154:$H$157),0)</f>
        <v>0</v>
      </c>
      <c r="J156" s="136">
        <f>ROUND(I156*$B$162,0)</f>
        <v>0</v>
      </c>
      <c r="N156">
        <f>Lotes_Produccion!I4</f>
        <v>0</v>
      </c>
      <c r="O156">
        <f>Lotes_Produccion!C4</f>
        <v>0</v>
      </c>
      <c r="P156">
        <f>Lotes_Produccion!C4</f>
        <v>0</v>
      </c>
      <c r="Q156">
        <f>MIN(MAX(0,O156),J156)</f>
        <v>0</v>
      </c>
      <c r="R156">
        <f>Q156*S156</f>
        <v>0</v>
      </c>
      <c r="S156">
        <f>C156*IF(N156&lt;7,0.65,1.4)</f>
        <v>143</v>
      </c>
    </row>
    <row r="157" spans="2:19" ht="14.4" x14ac:dyDescent="0.3">
      <c r="B157" s="130" t="s">
        <v>398</v>
      </c>
      <c r="C157" s="131">
        <v>400</v>
      </c>
      <c r="D157" s="132">
        <v>9</v>
      </c>
      <c r="E157" s="132">
        <f>MAX(0,MIN(10,N157))*10</f>
        <v>0</v>
      </c>
      <c r="F157" s="136">
        <f>MAX(0,MIN(100,100-ABS(C157-250)/250*100))</f>
        <v>40</v>
      </c>
      <c r="G157" s="136">
        <f>MAX(0,MIN(10,D157))*10</f>
        <v>90</v>
      </c>
      <c r="H157" s="136">
        <f>IF(P157&gt;0,$M$150*F157+$M$151*G157+$M$152*E157,0)</f>
        <v>0</v>
      </c>
      <c r="I157" s="137">
        <f>IFERROR(H157/SUM($H$154:$H$157),0)</f>
        <v>0</v>
      </c>
      <c r="J157" s="136">
        <f>ROUND(I157*$B$162,0)</f>
        <v>0</v>
      </c>
      <c r="N157">
        <f>Lotes_Produccion!I4</f>
        <v>0</v>
      </c>
      <c r="O157">
        <f>Lotes_Produccion!C4</f>
        <v>0</v>
      </c>
      <c r="P157">
        <f>Lotes_Produccion!C4</f>
        <v>0</v>
      </c>
      <c r="Q157">
        <f>MIN(MAX(0,O157),J157)</f>
        <v>0</v>
      </c>
      <c r="R157">
        <f>Q157*S157</f>
        <v>0</v>
      </c>
      <c r="S157">
        <f>C157*IF(N157&lt;7,0.65,1.4)</f>
        <v>260</v>
      </c>
    </row>
    <row r="158" spans="2:19" ht="14.4" x14ac:dyDescent="0.3">
      <c r="B158" s="128"/>
      <c r="C158" s="128" t="s">
        <v>417</v>
      </c>
      <c r="D158" s="128">
        <f>SUM(D154:D157)</f>
        <v>34.5</v>
      </c>
      <c r="E158" s="128"/>
      <c r="F158" s="128"/>
      <c r="G158" s="141" t="s">
        <v>418</v>
      </c>
      <c r="H158" s="142">
        <f>SUM(H154:H157)</f>
        <v>0</v>
      </c>
      <c r="I158" s="128"/>
      <c r="J158" s="128">
        <f>SUM(J154:J157)</f>
        <v>0</v>
      </c>
    </row>
    <row r="159" spans="2:19" ht="14.4" x14ac:dyDescent="0.3">
      <c r="B159" s="129"/>
      <c r="C159" s="129"/>
      <c r="D159" s="129"/>
      <c r="E159" s="129"/>
      <c r="F159" s="129"/>
      <c r="G159" s="129"/>
      <c r="H159" s="129"/>
      <c r="I159" s="129"/>
      <c r="J159" s="129"/>
    </row>
    <row r="160" spans="2:19" ht="14.4" x14ac:dyDescent="0.3">
      <c r="B160" s="128">
        <v>2000</v>
      </c>
      <c r="C160" s="128" t="s">
        <v>419</v>
      </c>
      <c r="D160" s="129"/>
      <c r="E160" s="129"/>
      <c r="F160" s="129"/>
      <c r="G160" s="129"/>
      <c r="H160" s="129"/>
      <c r="I160" s="129"/>
      <c r="J160" s="129"/>
    </row>
    <row r="161" spans="1:10" ht="14.4" x14ac:dyDescent="0.3">
      <c r="B161" s="139">
        <v>0.4</v>
      </c>
      <c r="C161" s="128"/>
      <c r="D161" s="129"/>
      <c r="E161" s="129"/>
      <c r="F161" s="129"/>
      <c r="G161" s="129"/>
      <c r="H161" s="129"/>
      <c r="I161" s="129"/>
      <c r="J161" s="129"/>
    </row>
    <row r="162" spans="1:10" ht="14.4" x14ac:dyDescent="0.3">
      <c r="B162" s="128">
        <f>B160*B161</f>
        <v>800</v>
      </c>
      <c r="C162" s="128" t="s">
        <v>420</v>
      </c>
      <c r="D162" s="129"/>
      <c r="E162" s="129"/>
      <c r="F162" s="129"/>
      <c r="G162" s="129"/>
      <c r="H162" s="129"/>
      <c r="I162" s="129"/>
      <c r="J162" s="129"/>
    </row>
    <row r="170" spans="1:10" ht="14.4" x14ac:dyDescent="0.3">
      <c r="A170" t="s">
        <v>424</v>
      </c>
    </row>
  </sheetData>
  <mergeCells count="1">
    <mergeCell ref="A3:B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D200"/>
  <sheetViews>
    <sheetView showGridLines="0" workbookViewId="0"/>
  </sheetViews>
  <sheetFormatPr baseColWidth="10" defaultColWidth="14.44140625" defaultRowHeight="15" customHeight="1" x14ac:dyDescent="0.3"/>
  <cols>
    <col min="1" max="1" width="17.5546875" customWidth="1"/>
    <col min="2" max="2" width="20.6640625" customWidth="1"/>
    <col min="3" max="3" width="26" customWidth="1"/>
    <col min="4" max="4" width="18.44140625" customWidth="1"/>
    <col min="5" max="5" width="16.5546875" customWidth="1"/>
    <col min="6" max="6" width="18.88671875" customWidth="1"/>
    <col min="7" max="7" width="17.6640625" customWidth="1"/>
    <col min="8" max="8" width="16.88671875" customWidth="1"/>
    <col min="10" max="10" width="10.6640625" customWidth="1"/>
    <col min="11" max="11" width="20.109375" customWidth="1"/>
    <col min="15" max="15" width="17.44140625" customWidth="1"/>
    <col min="20" max="20" width="18.88671875" customWidth="1"/>
    <col min="24" max="24" width="16.88671875" customWidth="1"/>
    <col min="28" max="28" width="17.5546875" customWidth="1"/>
  </cols>
  <sheetData>
    <row r="1" spans="1:30" ht="23.4" x14ac:dyDescent="0.45">
      <c r="A1" s="15" t="s">
        <v>332</v>
      </c>
      <c r="S1" s="6"/>
    </row>
    <row r="2" spans="1:30" ht="14.4" x14ac:dyDescent="0.3">
      <c r="A2" s="24"/>
      <c r="B2" s="24"/>
      <c r="S2" s="6"/>
      <c r="T2" s="36" t="s">
        <v>425</v>
      </c>
    </row>
    <row r="3" spans="1:30" ht="14.4" x14ac:dyDescent="0.3">
      <c r="A3" s="157" t="s">
        <v>333</v>
      </c>
      <c r="B3" s="156"/>
      <c r="S3" s="6"/>
    </row>
    <row r="4" spans="1:30" ht="28.8" x14ac:dyDescent="0.3">
      <c r="E4" s="25" t="s">
        <v>334</v>
      </c>
      <c r="F4" s="26" t="s">
        <v>86</v>
      </c>
      <c r="G4" s="26"/>
      <c r="H4" s="26"/>
      <c r="K4" s="27" t="s">
        <v>335</v>
      </c>
      <c r="L4" s="23" t="s">
        <v>336</v>
      </c>
      <c r="M4" s="23" t="s">
        <v>337</v>
      </c>
      <c r="N4" s="23" t="s">
        <v>338</v>
      </c>
      <c r="O4" s="29"/>
      <c r="S4" s="6"/>
      <c r="T4" s="43" t="s">
        <v>426</v>
      </c>
      <c r="U4" s="43" t="s">
        <v>427</v>
      </c>
      <c r="V4" s="43" t="s">
        <v>428</v>
      </c>
      <c r="X4" s="44" t="s">
        <v>429</v>
      </c>
      <c r="Y4" s="44" t="s">
        <v>427</v>
      </c>
      <c r="Z4" s="44" t="s">
        <v>428</v>
      </c>
      <c r="AB4" s="45" t="s">
        <v>430</v>
      </c>
      <c r="AC4" s="47" t="s">
        <v>427</v>
      </c>
      <c r="AD4" s="47" t="s">
        <v>428</v>
      </c>
    </row>
    <row r="5" spans="1:30" ht="14.4" x14ac:dyDescent="0.3">
      <c r="C5" s="29" t="s">
        <v>339</v>
      </c>
      <c r="E5" s="30">
        <f>'CANTIDAD DE PRODUCCIÓN'!E5</f>
        <v>5</v>
      </c>
      <c r="F5" s="31">
        <v>1</v>
      </c>
      <c r="G5" s="26"/>
      <c r="H5" s="26"/>
      <c r="I5" s="32">
        <f>E5*F5</f>
        <v>5</v>
      </c>
      <c r="K5" s="23">
        <f>MIN(I8,I14,I20)</f>
        <v>12</v>
      </c>
      <c r="L5" s="23">
        <f>K5*24</f>
        <v>288</v>
      </c>
      <c r="M5" s="33">
        <f>MIN(1,K7+SUM(F7,F13:H13,F19:H19)/100+4%*F21)</f>
        <v>0.92</v>
      </c>
      <c r="N5" s="34">
        <f>ROUND(L5*M5,0)</f>
        <v>265</v>
      </c>
      <c r="O5" s="23" t="s">
        <v>340</v>
      </c>
      <c r="S5" s="6"/>
      <c r="T5" s="43" t="s">
        <v>431</v>
      </c>
      <c r="U5" s="51">
        <v>1500</v>
      </c>
      <c r="V5" s="51">
        <v>1500</v>
      </c>
      <c r="X5" s="44" t="s">
        <v>431</v>
      </c>
      <c r="Y5" s="53">
        <v>1500</v>
      </c>
      <c r="Z5" s="53">
        <v>1500</v>
      </c>
      <c r="AB5" s="47" t="s">
        <v>431</v>
      </c>
      <c r="AC5" s="54">
        <v>1500</v>
      </c>
      <c r="AD5" s="54">
        <v>1500</v>
      </c>
    </row>
    <row r="6" spans="1:30" ht="20.25" customHeight="1" x14ac:dyDescent="0.3">
      <c r="C6" s="29" t="s">
        <v>341</v>
      </c>
      <c r="E6" s="30">
        <f>'CANTIDAD DE PRODUCCIÓN'!E6</f>
        <v>7</v>
      </c>
      <c r="F6" s="31">
        <v>1</v>
      </c>
      <c r="G6" s="26"/>
      <c r="H6" s="26"/>
      <c r="I6" s="32">
        <f>E6*F6</f>
        <v>7</v>
      </c>
      <c r="K6" s="23" t="s">
        <v>342</v>
      </c>
      <c r="S6" s="6"/>
      <c r="T6" s="43" t="s">
        <v>432</v>
      </c>
      <c r="U6" s="51">
        <f>U5*0.09</f>
        <v>135</v>
      </c>
      <c r="V6" s="51">
        <f>V5*0.09</f>
        <v>135</v>
      </c>
      <c r="X6" s="44" t="s">
        <v>432</v>
      </c>
      <c r="Y6" s="53">
        <f>Y5*0.09</f>
        <v>135</v>
      </c>
      <c r="Z6" s="53">
        <f>Z5*0.09</f>
        <v>135</v>
      </c>
      <c r="AB6" s="47" t="s">
        <v>432</v>
      </c>
      <c r="AC6" s="54">
        <f>AC5*0.09</f>
        <v>135</v>
      </c>
      <c r="AD6" s="54">
        <f>AD5*0.09</f>
        <v>135</v>
      </c>
    </row>
    <row r="7" spans="1:30" ht="14.4" x14ac:dyDescent="0.3">
      <c r="C7" s="29" t="s">
        <v>343</v>
      </c>
      <c r="E7" s="30">
        <f>'CANTIDAD DE PRODUCCIÓN'!E7</f>
        <v>9</v>
      </c>
      <c r="F7" s="31">
        <v>0</v>
      </c>
      <c r="G7" s="26"/>
      <c r="H7" s="26"/>
      <c r="I7" s="32">
        <f>E7*F7</f>
        <v>0</v>
      </c>
      <c r="K7" s="35">
        <v>0.9</v>
      </c>
      <c r="S7" s="6"/>
      <c r="T7" s="43" t="s">
        <v>433</v>
      </c>
      <c r="U7" s="51">
        <f>U5</f>
        <v>1500</v>
      </c>
      <c r="V7" s="51">
        <f>V5*2</f>
        <v>3000</v>
      </c>
      <c r="X7" s="44" t="s">
        <v>433</v>
      </c>
      <c r="Y7" s="53">
        <f>Y5</f>
        <v>1500</v>
      </c>
      <c r="Z7" s="53">
        <f>Z5*2</f>
        <v>3000</v>
      </c>
      <c r="AB7" s="47" t="s">
        <v>433</v>
      </c>
      <c r="AC7" s="54">
        <f>AC5</f>
        <v>1500</v>
      </c>
      <c r="AD7" s="54">
        <f>AD5*2</f>
        <v>3000</v>
      </c>
    </row>
    <row r="8" spans="1:30" ht="14.4" x14ac:dyDescent="0.3">
      <c r="A8" s="36" t="s">
        <v>344</v>
      </c>
      <c r="E8" s="32"/>
      <c r="F8" s="26"/>
      <c r="G8" s="37"/>
      <c r="H8" s="37"/>
      <c r="I8" s="38">
        <f>SUM(I5:I7)</f>
        <v>12</v>
      </c>
      <c r="S8" s="6"/>
      <c r="T8" s="43" t="s">
        <v>434</v>
      </c>
      <c r="U8" s="51">
        <v>750</v>
      </c>
      <c r="V8" s="51">
        <v>1500</v>
      </c>
      <c r="X8" s="44" t="s">
        <v>434</v>
      </c>
      <c r="Y8" s="53">
        <v>750</v>
      </c>
      <c r="Z8" s="53">
        <v>1500</v>
      </c>
      <c r="AB8" s="47" t="s">
        <v>434</v>
      </c>
      <c r="AC8" s="54">
        <v>750</v>
      </c>
      <c r="AD8" s="54">
        <v>1500</v>
      </c>
    </row>
    <row r="9" spans="1:30" ht="28.8" x14ac:dyDescent="0.3">
      <c r="C9" s="23" t="s">
        <v>345</v>
      </c>
      <c r="E9" s="32"/>
      <c r="F9" s="28" t="s">
        <v>346</v>
      </c>
      <c r="G9" s="28" t="s">
        <v>347</v>
      </c>
      <c r="H9" s="28" t="s">
        <v>348</v>
      </c>
      <c r="I9" s="32"/>
      <c r="K9" s="23" t="s">
        <v>349</v>
      </c>
      <c r="L9" s="23">
        <f>SUM(F5:F7,F11:H13,F17:H19)</f>
        <v>7</v>
      </c>
      <c r="S9" s="6"/>
      <c r="T9" s="43" t="s">
        <v>435</v>
      </c>
      <c r="U9" s="51">
        <f>U5/2</f>
        <v>750</v>
      </c>
      <c r="V9" s="51">
        <f>V5</f>
        <v>1500</v>
      </c>
      <c r="X9" s="44" t="s">
        <v>435</v>
      </c>
      <c r="Y9" s="53">
        <f>Y5/2</f>
        <v>750</v>
      </c>
      <c r="Z9" s="53">
        <f>Z5</f>
        <v>1500</v>
      </c>
      <c r="AB9" s="47" t="s">
        <v>435</v>
      </c>
      <c r="AC9" s="54">
        <f>AC5/2</f>
        <v>750</v>
      </c>
      <c r="AD9" s="54">
        <f>AD5</f>
        <v>1500</v>
      </c>
    </row>
    <row r="10" spans="1:30" ht="14.4" x14ac:dyDescent="0.3">
      <c r="A10" s="29"/>
      <c r="B10" s="23"/>
      <c r="C10" s="23"/>
      <c r="E10" s="32"/>
      <c r="F10" s="40">
        <v>1</v>
      </c>
      <c r="G10" s="40">
        <v>1.2</v>
      </c>
      <c r="H10" s="40">
        <v>1.5</v>
      </c>
      <c r="I10" s="32"/>
      <c r="K10" s="23" t="s">
        <v>350</v>
      </c>
      <c r="L10" s="23">
        <f>SUM(F7,F13:H13,F19:H19)</f>
        <v>2</v>
      </c>
      <c r="M10" s="42">
        <f>IFERROR(L10/L9,0)</f>
        <v>0.2857142857142857</v>
      </c>
      <c r="S10" s="6"/>
      <c r="T10" s="43" t="s">
        <v>436</v>
      </c>
      <c r="U10" s="51">
        <f>SUM(U6:U9)+U5*12</f>
        <v>21135</v>
      </c>
      <c r="V10" s="51">
        <f>SUM(V6:V9)+V5*12</f>
        <v>24135</v>
      </c>
      <c r="X10" s="44" t="s">
        <v>436</v>
      </c>
      <c r="Y10" s="53">
        <f>SUM(Y6:Y9)+Y5*12</f>
        <v>21135</v>
      </c>
      <c r="Z10" s="53">
        <f>SUM(Z6:Z9)+Z5*12</f>
        <v>24135</v>
      </c>
      <c r="AB10" s="47" t="s">
        <v>436</v>
      </c>
      <c r="AC10" s="54">
        <f>SUM(AC6:AC9)+AC5*12</f>
        <v>21135</v>
      </c>
      <c r="AD10" s="54">
        <f>SUM(AD6:AD9)+AD5*12</f>
        <v>24135</v>
      </c>
    </row>
    <row r="11" spans="1:30" ht="14.4" x14ac:dyDescent="0.3">
      <c r="A11" s="29"/>
      <c r="C11" s="23" t="s">
        <v>351</v>
      </c>
      <c r="E11" s="30">
        <f>'CANTIDAD DE PRODUCCIÓN'!E11</f>
        <v>6</v>
      </c>
      <c r="F11" s="31"/>
      <c r="G11" s="31"/>
      <c r="H11" s="31">
        <v>1</v>
      </c>
      <c r="I11" s="32">
        <f>SUM(F11*E11*$F$10,G11*E11*$G$10,H11*E11*$H$10)</f>
        <v>9</v>
      </c>
      <c r="S11" s="6"/>
      <c r="T11" s="43" t="s">
        <v>437</v>
      </c>
      <c r="U11" s="51">
        <f>U10/12.5</f>
        <v>1690.8</v>
      </c>
      <c r="V11" s="51">
        <f>V10/13</f>
        <v>1856.5384615384614</v>
      </c>
      <c r="X11" s="44" t="s">
        <v>437</v>
      </c>
      <c r="Y11" s="53">
        <f>Y10/12.5</f>
        <v>1690.8</v>
      </c>
      <c r="Z11" s="53">
        <f>Z10/13</f>
        <v>1856.5384615384614</v>
      </c>
      <c r="AB11" s="47" t="s">
        <v>437</v>
      </c>
      <c r="AC11" s="54">
        <f>AC10/12.5</f>
        <v>1690.8</v>
      </c>
      <c r="AD11" s="54">
        <f>AD10/13</f>
        <v>1856.5384615384614</v>
      </c>
    </row>
    <row r="12" spans="1:30" ht="14.4" x14ac:dyDescent="0.3">
      <c r="A12" s="29"/>
      <c r="C12" s="23" t="s">
        <v>352</v>
      </c>
      <c r="E12" s="30">
        <f>'CANTIDAD DE PRODUCCIÓN'!E12</f>
        <v>8</v>
      </c>
      <c r="F12" s="31">
        <v>1</v>
      </c>
      <c r="G12" s="31"/>
      <c r="H12" s="31"/>
      <c r="I12" s="32">
        <f>SUM(F12*E12*$F$10,G12*E12*$G$10,H12*E12*$H$10)</f>
        <v>8</v>
      </c>
      <c r="S12" s="6"/>
    </row>
    <row r="13" spans="1:30" ht="28.8" x14ac:dyDescent="0.3">
      <c r="A13" s="29"/>
      <c r="C13" s="23" t="s">
        <v>353</v>
      </c>
      <c r="E13" s="30">
        <f>'CANTIDAD DE PRODUCCIÓN'!E13</f>
        <v>12</v>
      </c>
      <c r="F13" s="31"/>
      <c r="G13" s="31">
        <v>1</v>
      </c>
      <c r="H13" s="31"/>
      <c r="I13" s="32">
        <f>SUM(F13*E13*$F$10,G13*E13*$G$10,H13*E13*$H$10)</f>
        <v>14.399999999999999</v>
      </c>
      <c r="S13" s="6"/>
      <c r="T13" s="83" t="s">
        <v>438</v>
      </c>
      <c r="U13" s="43" t="s">
        <v>427</v>
      </c>
      <c r="V13" s="43" t="s">
        <v>428</v>
      </c>
      <c r="X13" s="84" t="s">
        <v>439</v>
      </c>
      <c r="Y13" s="44" t="s">
        <v>427</v>
      </c>
      <c r="Z13" s="44" t="s">
        <v>428</v>
      </c>
      <c r="AB13" s="45" t="s">
        <v>440</v>
      </c>
      <c r="AC13" s="47" t="s">
        <v>427</v>
      </c>
      <c r="AD13" s="47" t="s">
        <v>428</v>
      </c>
    </row>
    <row r="14" spans="1:30" ht="14.4" x14ac:dyDescent="0.3">
      <c r="A14" s="36" t="s">
        <v>354</v>
      </c>
      <c r="E14" s="32"/>
      <c r="F14" s="26"/>
      <c r="G14" s="37"/>
      <c r="H14" s="37"/>
      <c r="I14" s="38">
        <f>SUM(I11:I13)</f>
        <v>31.4</v>
      </c>
      <c r="S14" s="6"/>
      <c r="T14" s="43" t="s">
        <v>431</v>
      </c>
      <c r="U14" s="51">
        <v>2000</v>
      </c>
      <c r="V14" s="51">
        <v>2000</v>
      </c>
      <c r="X14" s="44" t="s">
        <v>431</v>
      </c>
      <c r="Y14" s="53">
        <v>2800</v>
      </c>
      <c r="Z14" s="53">
        <v>2800</v>
      </c>
      <c r="AB14" s="47" t="s">
        <v>431</v>
      </c>
      <c r="AC14" s="54">
        <v>2800</v>
      </c>
      <c r="AD14" s="54">
        <v>2800</v>
      </c>
    </row>
    <row r="15" spans="1:30" ht="18" customHeight="1" x14ac:dyDescent="0.3">
      <c r="C15" s="23" t="s">
        <v>345</v>
      </c>
      <c r="E15" s="46"/>
      <c r="F15" s="28" t="s">
        <v>346</v>
      </c>
      <c r="G15" s="28" t="s">
        <v>347</v>
      </c>
      <c r="H15" s="28" t="s">
        <v>348</v>
      </c>
      <c r="I15" s="32"/>
      <c r="S15" s="6"/>
      <c r="T15" s="43" t="s">
        <v>432</v>
      </c>
      <c r="U15" s="51">
        <f>U14*0.09</f>
        <v>180</v>
      </c>
      <c r="V15" s="51">
        <f>V14*0.09</f>
        <v>180</v>
      </c>
      <c r="X15" s="44" t="s">
        <v>432</v>
      </c>
      <c r="Y15" s="53">
        <f>Y14*0.09</f>
        <v>252</v>
      </c>
      <c r="Z15" s="53">
        <f>Z14*0.09</f>
        <v>252</v>
      </c>
      <c r="AB15" s="47" t="s">
        <v>432</v>
      </c>
      <c r="AC15" s="54">
        <f>AC14*0.09</f>
        <v>252</v>
      </c>
      <c r="AD15" s="54">
        <f>AD14*0.09</f>
        <v>252</v>
      </c>
    </row>
    <row r="16" spans="1:30" ht="14.4" x14ac:dyDescent="0.3">
      <c r="A16" s="29"/>
      <c r="C16" s="23"/>
      <c r="E16" s="32"/>
      <c r="F16" s="40">
        <v>1</v>
      </c>
      <c r="G16" s="40">
        <v>1.2</v>
      </c>
      <c r="H16" s="40">
        <v>1.5</v>
      </c>
      <c r="I16" s="32"/>
      <c r="S16" s="6"/>
      <c r="T16" s="43" t="s">
        <v>433</v>
      </c>
      <c r="U16" s="51">
        <f>U14</f>
        <v>2000</v>
      </c>
      <c r="V16" s="51">
        <f>V14*2</f>
        <v>4000</v>
      </c>
      <c r="X16" s="44" t="s">
        <v>433</v>
      </c>
      <c r="Y16" s="53">
        <f>Y14</f>
        <v>2800</v>
      </c>
      <c r="Z16" s="53">
        <f>Z14*2</f>
        <v>5600</v>
      </c>
      <c r="AB16" s="47" t="s">
        <v>433</v>
      </c>
      <c r="AC16" s="54">
        <f>AC14</f>
        <v>2800</v>
      </c>
      <c r="AD16" s="54">
        <f>AD14*2</f>
        <v>5600</v>
      </c>
    </row>
    <row r="17" spans="1:30" ht="14.4" x14ac:dyDescent="0.3">
      <c r="A17" s="29"/>
      <c r="C17" s="23" t="s">
        <v>351</v>
      </c>
      <c r="E17" s="30">
        <f>'CANTIDAD DE PRODUCCIÓN'!E17</f>
        <v>6</v>
      </c>
      <c r="F17" s="31"/>
      <c r="G17" s="31"/>
      <c r="H17" s="31"/>
      <c r="I17" s="32">
        <f>SUM(F17*E17*$F$16,G17*E17*$G$16,H17*E17*$H$16)</f>
        <v>0</v>
      </c>
      <c r="S17" s="6"/>
      <c r="T17" s="43" t="s">
        <v>434</v>
      </c>
      <c r="U17" s="51">
        <f>U14/2</f>
        <v>1000</v>
      </c>
      <c r="V17" s="51">
        <f>V14</f>
        <v>2000</v>
      </c>
      <c r="X17" s="44" t="s">
        <v>434</v>
      </c>
      <c r="Y17" s="53">
        <v>750</v>
      </c>
      <c r="Z17" s="53">
        <v>1500</v>
      </c>
      <c r="AB17" s="47" t="s">
        <v>434</v>
      </c>
      <c r="AC17" s="54">
        <v>750</v>
      </c>
      <c r="AD17" s="54">
        <v>1500</v>
      </c>
    </row>
    <row r="18" spans="1:30" ht="14.4" x14ac:dyDescent="0.3">
      <c r="A18" s="29"/>
      <c r="C18" s="23" t="s">
        <v>352</v>
      </c>
      <c r="E18" s="30">
        <f>'CANTIDAD DE PRODUCCIÓN'!E18</f>
        <v>7</v>
      </c>
      <c r="F18" s="31"/>
      <c r="G18" s="31"/>
      <c r="H18" s="31">
        <v>1</v>
      </c>
      <c r="I18" s="32">
        <f>SUM(F18*E18*$F$16,G18*E18*$G$16,H18*E18*$H$16)</f>
        <v>10.5</v>
      </c>
      <c r="S18" s="6"/>
      <c r="T18" s="43" t="s">
        <v>435</v>
      </c>
      <c r="U18" s="51">
        <f>U14/2</f>
        <v>1000</v>
      </c>
      <c r="V18" s="51">
        <f>V14</f>
        <v>2000</v>
      </c>
      <c r="X18" s="44" t="s">
        <v>435</v>
      </c>
      <c r="Y18" s="53">
        <f>Y14/2</f>
        <v>1400</v>
      </c>
      <c r="Z18" s="53">
        <f>Z14</f>
        <v>2800</v>
      </c>
      <c r="AB18" s="47" t="s">
        <v>435</v>
      </c>
      <c r="AC18" s="54">
        <f>AC14/2</f>
        <v>1400</v>
      </c>
      <c r="AD18" s="54">
        <f>AD14</f>
        <v>2800</v>
      </c>
    </row>
    <row r="19" spans="1:30" ht="14.4" x14ac:dyDescent="0.3">
      <c r="A19" s="29"/>
      <c r="C19" s="23" t="s">
        <v>353</v>
      </c>
      <c r="E19" s="30">
        <f>'CANTIDAD DE PRODUCCIÓN'!E19</f>
        <v>10</v>
      </c>
      <c r="F19" s="31">
        <v>1</v>
      </c>
      <c r="G19" s="31"/>
      <c r="H19" s="31"/>
      <c r="I19" s="32">
        <f>SUM(F19*E19*$F$16,G19*E19*$G$16,H19*E19*$H$16)</f>
        <v>10</v>
      </c>
      <c r="S19" s="6"/>
      <c r="T19" s="43" t="s">
        <v>436</v>
      </c>
      <c r="U19" s="51">
        <f>SUM(U15:U18)+U14*12</f>
        <v>28180</v>
      </c>
      <c r="V19" s="51">
        <f>SUM(V15:V18)+V14*12</f>
        <v>32180</v>
      </c>
      <c r="X19" s="44" t="s">
        <v>436</v>
      </c>
      <c r="Y19" s="53">
        <f>SUM(Y15:Y18)+Y14*12</f>
        <v>38802</v>
      </c>
      <c r="Z19" s="53">
        <f>SUM(Z15:Z18)+Z14*12</f>
        <v>43752</v>
      </c>
      <c r="AB19" s="47" t="s">
        <v>436</v>
      </c>
      <c r="AC19" s="54">
        <f>SUM(AC15:AC18)+AC14*12</f>
        <v>38802</v>
      </c>
      <c r="AD19" s="54">
        <f>SUM(AD15:AD18)+AD14*12</f>
        <v>43752</v>
      </c>
    </row>
    <row r="20" spans="1:30" ht="14.4" x14ac:dyDescent="0.3">
      <c r="G20" s="43"/>
      <c r="H20" s="43"/>
      <c r="I20" s="38">
        <f>SUM(I17:I19)</f>
        <v>20.5</v>
      </c>
      <c r="S20" s="6"/>
      <c r="T20" s="43" t="s">
        <v>437</v>
      </c>
      <c r="U20" s="51">
        <f>U19/12.5</f>
        <v>2254.4</v>
      </c>
      <c r="V20" s="51">
        <f>V19/13</f>
        <v>2475.3846153846152</v>
      </c>
      <c r="X20" s="44" t="s">
        <v>437</v>
      </c>
      <c r="Y20" s="53">
        <f>Y19/12.5</f>
        <v>3104.16</v>
      </c>
      <c r="Z20" s="53">
        <f>Z19/13</f>
        <v>3365.5384615384614</v>
      </c>
      <c r="AB20" s="47" t="s">
        <v>437</v>
      </c>
      <c r="AC20" s="54">
        <f>AC19/12.5</f>
        <v>3104.16</v>
      </c>
      <c r="AD20" s="54">
        <f>AD19/13</f>
        <v>3365.5384615384614</v>
      </c>
    </row>
    <row r="21" spans="1:30" ht="14.4" x14ac:dyDescent="0.3">
      <c r="A21" s="23" t="s">
        <v>355</v>
      </c>
      <c r="F21" s="48">
        <v>0</v>
      </c>
      <c r="S21" s="6"/>
    </row>
    <row r="22" spans="1:30" ht="28.8" x14ac:dyDescent="0.3">
      <c r="S22" s="6"/>
      <c r="T22" s="43" t="s">
        <v>441</v>
      </c>
      <c r="U22" s="43" t="s">
        <v>427</v>
      </c>
      <c r="V22" s="43" t="s">
        <v>428</v>
      </c>
      <c r="X22" s="84" t="s">
        <v>442</v>
      </c>
      <c r="Y22" s="44" t="s">
        <v>427</v>
      </c>
      <c r="Z22" s="44" t="s">
        <v>428</v>
      </c>
      <c r="AB22" s="45" t="s">
        <v>443</v>
      </c>
      <c r="AC22" s="47" t="s">
        <v>427</v>
      </c>
      <c r="AD22" s="47" t="s">
        <v>428</v>
      </c>
    </row>
    <row r="23" spans="1:30" ht="14.4" x14ac:dyDescent="0.3">
      <c r="B23" s="23" t="s">
        <v>356</v>
      </c>
      <c r="S23" s="6"/>
      <c r="T23" s="43" t="s">
        <v>431</v>
      </c>
      <c r="U23" s="51">
        <v>3800</v>
      </c>
      <c r="V23" s="51">
        <v>3800</v>
      </c>
      <c r="X23" s="44" t="s">
        <v>431</v>
      </c>
      <c r="Y23" s="53">
        <v>4500</v>
      </c>
      <c r="Z23" s="53">
        <v>4500</v>
      </c>
      <c r="AB23" s="47" t="s">
        <v>431</v>
      </c>
      <c r="AC23" s="54">
        <v>4500</v>
      </c>
      <c r="AD23" s="54">
        <v>4500</v>
      </c>
    </row>
    <row r="24" spans="1:30" ht="14.4" x14ac:dyDescent="0.3">
      <c r="S24" s="6"/>
      <c r="T24" s="43" t="s">
        <v>432</v>
      </c>
      <c r="U24" s="51">
        <f>U23*0.09</f>
        <v>342</v>
      </c>
      <c r="V24" s="51">
        <f>V23*0.09</f>
        <v>342</v>
      </c>
      <c r="X24" s="44" t="s">
        <v>432</v>
      </c>
      <c r="Y24" s="53">
        <f>Y23*0.09</f>
        <v>405</v>
      </c>
      <c r="Z24" s="53">
        <f>Z23*0.09</f>
        <v>405</v>
      </c>
      <c r="AB24" s="47" t="s">
        <v>432</v>
      </c>
      <c r="AC24" s="54">
        <f>AC23*0.09</f>
        <v>405</v>
      </c>
      <c r="AD24" s="54">
        <f>AD23*0.09</f>
        <v>405</v>
      </c>
    </row>
    <row r="25" spans="1:30" ht="22.2" x14ac:dyDescent="0.45">
      <c r="A25" s="49" t="s">
        <v>357</v>
      </c>
      <c r="S25" s="6"/>
      <c r="T25" s="43" t="s">
        <v>433</v>
      </c>
      <c r="U25" s="51">
        <f>U23</f>
        <v>3800</v>
      </c>
      <c r="V25" s="51">
        <f>V23*2</f>
        <v>7600</v>
      </c>
      <c r="X25" s="44" t="s">
        <v>433</v>
      </c>
      <c r="Y25" s="53">
        <f>Y23</f>
        <v>4500</v>
      </c>
      <c r="Z25" s="53">
        <f>Z23*2</f>
        <v>9000</v>
      </c>
      <c r="AB25" s="47" t="s">
        <v>433</v>
      </c>
      <c r="AC25" s="54">
        <f>AC23</f>
        <v>4500</v>
      </c>
      <c r="AD25" s="54">
        <f>AD23*2</f>
        <v>9000</v>
      </c>
    </row>
    <row r="26" spans="1:30" ht="14.4" x14ac:dyDescent="0.3">
      <c r="S26" s="6"/>
      <c r="T26" s="43" t="s">
        <v>434</v>
      </c>
      <c r="U26" s="51">
        <v>750</v>
      </c>
      <c r="V26" s="51">
        <v>1500</v>
      </c>
      <c r="X26" s="44" t="s">
        <v>434</v>
      </c>
      <c r="Y26" s="53">
        <v>750</v>
      </c>
      <c r="Z26" s="53">
        <v>1500</v>
      </c>
      <c r="AB26" s="47" t="s">
        <v>434</v>
      </c>
      <c r="AC26" s="54">
        <v>750</v>
      </c>
      <c r="AD26" s="54">
        <v>1500</v>
      </c>
    </row>
    <row r="27" spans="1:30" ht="24" customHeight="1" x14ac:dyDescent="0.3">
      <c r="A27" s="50"/>
      <c r="B27" s="50"/>
      <c r="C27" s="50"/>
      <c r="D27" s="52" t="s">
        <v>181</v>
      </c>
      <c r="E27" s="52" t="s">
        <v>181</v>
      </c>
      <c r="F27" s="52" t="s">
        <v>181</v>
      </c>
      <c r="G27" s="55" t="s">
        <v>192</v>
      </c>
      <c r="H27" s="55" t="s">
        <v>192</v>
      </c>
      <c r="I27" s="56" t="s">
        <v>199</v>
      </c>
      <c r="J27" s="56" t="s">
        <v>199</v>
      </c>
      <c r="K27" s="56" t="s">
        <v>199</v>
      </c>
      <c r="L27" s="50"/>
      <c r="M27" s="50"/>
      <c r="N27" s="50"/>
      <c r="O27" s="50"/>
      <c r="P27" s="50"/>
      <c r="Q27" s="50"/>
      <c r="R27" s="50"/>
      <c r="S27" s="100"/>
      <c r="T27" s="43" t="s">
        <v>435</v>
      </c>
      <c r="U27" s="51">
        <f>U23/2</f>
        <v>1900</v>
      </c>
      <c r="V27" s="51">
        <f>V23</f>
        <v>3800</v>
      </c>
      <c r="W27" s="50"/>
      <c r="X27" s="44" t="s">
        <v>435</v>
      </c>
      <c r="Y27" s="53">
        <f>Y23/2</f>
        <v>2250</v>
      </c>
      <c r="Z27" s="53">
        <f>Z23</f>
        <v>4500</v>
      </c>
      <c r="AA27" s="50"/>
      <c r="AB27" s="47" t="s">
        <v>435</v>
      </c>
      <c r="AC27" s="54">
        <f>AC23/2</f>
        <v>2250</v>
      </c>
      <c r="AD27" s="54">
        <f>AD23</f>
        <v>4500</v>
      </c>
    </row>
    <row r="28" spans="1:30" ht="12.75" customHeight="1" x14ac:dyDescent="0.3">
      <c r="A28" s="50"/>
      <c r="B28" s="50"/>
      <c r="C28" s="50"/>
      <c r="D28" s="57" t="s">
        <v>182</v>
      </c>
      <c r="E28" s="57" t="s">
        <v>186</v>
      </c>
      <c r="F28" s="57" t="s">
        <v>189</v>
      </c>
      <c r="G28" s="57" t="s">
        <v>193</v>
      </c>
      <c r="H28" s="57" t="s">
        <v>196</v>
      </c>
      <c r="I28" s="57" t="s">
        <v>200</v>
      </c>
      <c r="J28" s="57" t="s">
        <v>203</v>
      </c>
      <c r="K28" s="57" t="s">
        <v>206</v>
      </c>
      <c r="L28" s="50"/>
      <c r="M28" s="50"/>
      <c r="N28" s="50"/>
      <c r="O28" s="50"/>
      <c r="P28" s="50"/>
      <c r="Q28" s="50"/>
      <c r="R28" s="50"/>
      <c r="S28" s="100"/>
      <c r="T28" s="43" t="s">
        <v>436</v>
      </c>
      <c r="U28" s="51">
        <f>SUM(U24:U27)+U23*12</f>
        <v>52392</v>
      </c>
      <c r="V28" s="51">
        <f>SUM(V24:V27)+V23*12</f>
        <v>58842</v>
      </c>
      <c r="W28" s="50"/>
      <c r="X28" s="44" t="s">
        <v>436</v>
      </c>
      <c r="Y28" s="53">
        <f>SUM(Y24:Y27)+Y23*12</f>
        <v>61905</v>
      </c>
      <c r="Z28" s="53">
        <f>SUM(Z24:Z27)+Z23*12</f>
        <v>69405</v>
      </c>
      <c r="AA28" s="50"/>
      <c r="AB28" s="47" t="s">
        <v>436</v>
      </c>
      <c r="AC28" s="54">
        <f>SUM(AC24:AC27)+AC23*12</f>
        <v>61905</v>
      </c>
      <c r="AD28" s="54">
        <f>SUM(AD24:AD27)+AD23*12</f>
        <v>69405</v>
      </c>
    </row>
    <row r="29" spans="1:30" ht="19.5" customHeight="1" x14ac:dyDescent="0.3">
      <c r="A29" s="50"/>
      <c r="B29" s="50"/>
      <c r="C29" s="28" t="s">
        <v>359</v>
      </c>
      <c r="D29" s="28" t="s">
        <v>360</v>
      </c>
      <c r="E29" s="28" t="s">
        <v>361</v>
      </c>
      <c r="F29" s="28" t="s">
        <v>361</v>
      </c>
      <c r="G29" s="28" t="s">
        <v>362</v>
      </c>
      <c r="H29" s="28" t="s">
        <v>362</v>
      </c>
      <c r="I29" s="28" t="s">
        <v>363</v>
      </c>
      <c r="J29" s="28" t="s">
        <v>363</v>
      </c>
      <c r="K29" s="28" t="s">
        <v>363</v>
      </c>
      <c r="L29" s="50"/>
      <c r="M29" s="59"/>
      <c r="N29" s="60"/>
      <c r="O29" s="50"/>
      <c r="P29" s="50"/>
      <c r="Q29" s="50"/>
      <c r="R29" s="50"/>
      <c r="S29" s="100"/>
      <c r="T29" s="43" t="s">
        <v>437</v>
      </c>
      <c r="U29" s="51">
        <f>U28/12.5</f>
        <v>4191.3599999999997</v>
      </c>
      <c r="V29" s="51">
        <f>V28/13</f>
        <v>4526.3076923076924</v>
      </c>
      <c r="W29" s="50"/>
      <c r="X29" s="44" t="s">
        <v>437</v>
      </c>
      <c r="Y29" s="53">
        <f>Y28/12.5</f>
        <v>4952.3999999999996</v>
      </c>
      <c r="Z29" s="53">
        <f>Z28/13</f>
        <v>5338.8461538461543</v>
      </c>
      <c r="AA29" s="50"/>
      <c r="AB29" s="47" t="s">
        <v>437</v>
      </c>
      <c r="AC29" s="54">
        <f>AC28/12.5</f>
        <v>4952.3999999999996</v>
      </c>
      <c r="AD29" s="54">
        <f>AD28/13</f>
        <v>5338.8461538461543</v>
      </c>
    </row>
    <row r="30" spans="1:30" ht="40.5" customHeight="1" x14ac:dyDescent="0.3">
      <c r="C30" s="28" t="s">
        <v>364</v>
      </c>
      <c r="D30" s="20" t="s">
        <v>365</v>
      </c>
      <c r="E30" s="20" t="s">
        <v>365</v>
      </c>
      <c r="F30" s="20" t="s">
        <v>365</v>
      </c>
      <c r="G30" s="20" t="s">
        <v>366</v>
      </c>
      <c r="H30" s="20" t="s">
        <v>366</v>
      </c>
      <c r="I30" s="20" t="s">
        <v>367</v>
      </c>
      <c r="J30" s="20" t="s">
        <v>367</v>
      </c>
      <c r="K30" s="20" t="s">
        <v>367</v>
      </c>
      <c r="S30" s="6"/>
    </row>
    <row r="31" spans="1:30" ht="14.4" x14ac:dyDescent="0.3">
      <c r="B31" s="23" t="s">
        <v>444</v>
      </c>
      <c r="C31" s="112" t="s">
        <v>445</v>
      </c>
      <c r="D31" s="113">
        <v>60</v>
      </c>
      <c r="E31" s="113">
        <v>55</v>
      </c>
      <c r="F31" s="113">
        <v>15</v>
      </c>
      <c r="G31" s="113">
        <v>200</v>
      </c>
      <c r="H31" s="113">
        <v>190</v>
      </c>
      <c r="I31" s="113">
        <v>0</v>
      </c>
      <c r="J31" s="113">
        <v>6</v>
      </c>
      <c r="K31" s="113">
        <v>7</v>
      </c>
      <c r="S31" s="6"/>
    </row>
    <row r="32" spans="1:30" ht="14.4" x14ac:dyDescent="0.3">
      <c r="C32" s="114" t="s">
        <v>446</v>
      </c>
      <c r="D32" s="115">
        <v>1</v>
      </c>
      <c r="E32" s="115">
        <v>2</v>
      </c>
      <c r="F32" s="115">
        <v>2</v>
      </c>
      <c r="G32" s="115">
        <v>1</v>
      </c>
      <c r="H32" s="115">
        <v>1</v>
      </c>
      <c r="I32" s="115">
        <v>270</v>
      </c>
      <c r="J32" s="115">
        <v>250</v>
      </c>
      <c r="K32" s="115">
        <v>200</v>
      </c>
      <c r="S32" s="6"/>
      <c r="T32" s="116" t="s">
        <v>30</v>
      </c>
      <c r="U32" s="116" t="s">
        <v>427</v>
      </c>
      <c r="V32" s="116" t="s">
        <v>428</v>
      </c>
      <c r="X32" s="117" t="s">
        <v>447</v>
      </c>
      <c r="Y32" s="117" t="s">
        <v>427</v>
      </c>
      <c r="Z32" s="117" t="s">
        <v>428</v>
      </c>
      <c r="AB32" s="118" t="s">
        <v>448</v>
      </c>
      <c r="AC32" s="118" t="s">
        <v>427</v>
      </c>
      <c r="AD32" s="118" t="s">
        <v>428</v>
      </c>
    </row>
    <row r="33" spans="3:30" ht="14.4" x14ac:dyDescent="0.3">
      <c r="C33" s="114"/>
      <c r="D33" s="63">
        <f t="shared" ref="D33:K33" si="0">D31*D32</f>
        <v>60</v>
      </c>
      <c r="E33" s="63">
        <f t="shared" si="0"/>
        <v>110</v>
      </c>
      <c r="F33" s="63">
        <f t="shared" si="0"/>
        <v>30</v>
      </c>
      <c r="G33" s="63">
        <f t="shared" si="0"/>
        <v>200</v>
      </c>
      <c r="H33" s="63">
        <f t="shared" si="0"/>
        <v>190</v>
      </c>
      <c r="I33" s="63">
        <f t="shared" si="0"/>
        <v>0</v>
      </c>
      <c r="J33" s="63">
        <f t="shared" si="0"/>
        <v>1500</v>
      </c>
      <c r="K33" s="63">
        <f t="shared" si="0"/>
        <v>1400</v>
      </c>
      <c r="S33" s="6"/>
      <c r="T33" s="116" t="s">
        <v>431</v>
      </c>
      <c r="U33" s="119">
        <v>3000</v>
      </c>
      <c r="V33" s="119">
        <v>3000</v>
      </c>
      <c r="X33" s="117" t="s">
        <v>431</v>
      </c>
      <c r="Y33" s="120">
        <v>600</v>
      </c>
      <c r="Z33" s="120">
        <v>600</v>
      </c>
      <c r="AB33" s="118" t="s">
        <v>449</v>
      </c>
      <c r="AC33" s="121">
        <v>2000</v>
      </c>
      <c r="AD33" s="121">
        <v>2000</v>
      </c>
    </row>
    <row r="34" spans="3:30" ht="14.4" x14ac:dyDescent="0.3">
      <c r="S34" s="6"/>
      <c r="T34" s="116" t="s">
        <v>432</v>
      </c>
      <c r="U34" s="119">
        <f>U33*0.09</f>
        <v>270</v>
      </c>
      <c r="V34" s="119">
        <f>V33*0.09</f>
        <v>270</v>
      </c>
      <c r="X34" s="117" t="s">
        <v>432</v>
      </c>
      <c r="Y34" s="120">
        <f>Y33*0.09</f>
        <v>54</v>
      </c>
      <c r="Z34" s="120">
        <f>Z33*0.09</f>
        <v>54</v>
      </c>
      <c r="AC34" s="122"/>
      <c r="AD34" s="122"/>
    </row>
    <row r="35" spans="3:30" ht="14.4" x14ac:dyDescent="0.3">
      <c r="H35" s="23" t="s">
        <v>379</v>
      </c>
      <c r="S35" s="6"/>
      <c r="T35" s="116" t="s">
        <v>433</v>
      </c>
      <c r="U35" s="119">
        <f>U33</f>
        <v>3000</v>
      </c>
      <c r="V35" s="119">
        <f>V33*2</f>
        <v>6000</v>
      </c>
      <c r="X35" s="117" t="s">
        <v>433</v>
      </c>
      <c r="Y35" s="120">
        <f>Y33</f>
        <v>600</v>
      </c>
      <c r="Z35" s="120">
        <f>Z33*2</f>
        <v>1200</v>
      </c>
      <c r="AC35" s="122"/>
      <c r="AD35" s="122"/>
    </row>
    <row r="36" spans="3:30" ht="14.4" x14ac:dyDescent="0.3">
      <c r="D36" s="20" t="s">
        <v>365</v>
      </c>
      <c r="E36" s="20" t="s">
        <v>366</v>
      </c>
      <c r="F36" s="20" t="s">
        <v>367</v>
      </c>
      <c r="H36" s="23" t="s">
        <v>450</v>
      </c>
      <c r="S36" s="6"/>
      <c r="T36" s="116" t="s">
        <v>434</v>
      </c>
      <c r="U36" s="119">
        <v>750</v>
      </c>
      <c r="V36" s="119">
        <v>1500</v>
      </c>
      <c r="X36" s="117" t="s">
        <v>434</v>
      </c>
      <c r="Y36" s="120">
        <v>750</v>
      </c>
      <c r="Z36" s="120">
        <v>1500</v>
      </c>
      <c r="AC36" s="122"/>
      <c r="AD36" s="122"/>
    </row>
    <row r="37" spans="3:30" ht="14.4" x14ac:dyDescent="0.3">
      <c r="C37" s="23" t="s">
        <v>451</v>
      </c>
      <c r="D37" s="19" t="s">
        <v>452</v>
      </c>
      <c r="E37" s="19" t="s">
        <v>453</v>
      </c>
      <c r="F37" s="19" t="s">
        <v>454</v>
      </c>
      <c r="H37" s="19" t="s">
        <v>452</v>
      </c>
      <c r="I37" s="19" t="s">
        <v>453</v>
      </c>
      <c r="J37" s="19" t="s">
        <v>454</v>
      </c>
      <c r="S37" s="6"/>
      <c r="T37" s="116" t="s">
        <v>435</v>
      </c>
      <c r="U37" s="119">
        <f>U33/2</f>
        <v>1500</v>
      </c>
      <c r="V37" s="119">
        <f>V33</f>
        <v>3000</v>
      </c>
      <c r="X37" s="117" t="s">
        <v>435</v>
      </c>
      <c r="Y37" s="120">
        <f>Y33/2</f>
        <v>300</v>
      </c>
      <c r="Z37" s="120">
        <f>Z33</f>
        <v>600</v>
      </c>
      <c r="AC37" s="122"/>
      <c r="AD37" s="122"/>
    </row>
    <row r="38" spans="3:30" ht="14.4" x14ac:dyDescent="0.3">
      <c r="C38" s="61" t="s">
        <v>106</v>
      </c>
      <c r="D38" s="62">
        <v>0.3</v>
      </c>
      <c r="E38" s="62">
        <v>1</v>
      </c>
      <c r="F38" s="62">
        <v>6</v>
      </c>
      <c r="H38" s="125">
        <f>SUM(D33:F33)</f>
        <v>200</v>
      </c>
      <c r="I38" s="125">
        <f>SUM(G33:H33)</f>
        <v>390</v>
      </c>
      <c r="J38" s="125">
        <f>SUM(I33:K33)</f>
        <v>2900</v>
      </c>
      <c r="S38" s="6"/>
      <c r="T38" s="116" t="s">
        <v>436</v>
      </c>
      <c r="U38" s="119">
        <f>SUM(U34:U37)+U33*12</f>
        <v>41520</v>
      </c>
      <c r="V38" s="119">
        <f>SUM(V34:V37)+V33*12</f>
        <v>46770</v>
      </c>
      <c r="X38" s="117" t="s">
        <v>436</v>
      </c>
      <c r="Y38" s="120">
        <f>SUM(Y34:Y37)+Y33*12</f>
        <v>8904</v>
      </c>
      <c r="Z38" s="120">
        <f>SUM(Z34:Z37)+Z33*12</f>
        <v>10554</v>
      </c>
      <c r="AC38" s="122"/>
      <c r="AD38" s="122"/>
    </row>
    <row r="39" spans="3:30" ht="14.4" x14ac:dyDescent="0.3">
      <c r="C39" s="61" t="s">
        <v>110</v>
      </c>
      <c r="D39" s="62">
        <v>0.4</v>
      </c>
      <c r="E39" s="62">
        <v>1</v>
      </c>
      <c r="F39" s="62">
        <v>7</v>
      </c>
      <c r="S39" s="6"/>
      <c r="T39" s="116" t="s">
        <v>437</v>
      </c>
      <c r="U39" s="119">
        <f>U38/12.5</f>
        <v>3321.6</v>
      </c>
      <c r="V39" s="119">
        <f>V38/13</f>
        <v>3597.6923076923076</v>
      </c>
      <c r="X39" s="117" t="s">
        <v>437</v>
      </c>
      <c r="Y39" s="120">
        <f>Y38/12.5</f>
        <v>712.32</v>
      </c>
      <c r="Z39" s="120">
        <f>Z38/13</f>
        <v>811.84615384615381</v>
      </c>
      <c r="AC39" s="122"/>
      <c r="AD39" s="122"/>
    </row>
    <row r="40" spans="3:30" ht="14.4" x14ac:dyDescent="0.3">
      <c r="C40" s="61" t="s">
        <v>114</v>
      </c>
      <c r="D40" s="62">
        <v>0.7</v>
      </c>
      <c r="E40" s="62">
        <v>1</v>
      </c>
      <c r="F40" s="62">
        <v>13</v>
      </c>
      <c r="S40" s="6"/>
    </row>
    <row r="41" spans="3:30" ht="14.4" x14ac:dyDescent="0.3">
      <c r="C41" s="23"/>
      <c r="S41" s="6"/>
    </row>
    <row r="42" spans="3:30" ht="14.4" x14ac:dyDescent="0.3">
      <c r="C42" s="23"/>
      <c r="S42" s="6"/>
      <c r="T42" s="36" t="s">
        <v>455</v>
      </c>
    </row>
    <row r="43" spans="3:30" ht="14.4" x14ac:dyDescent="0.3">
      <c r="C43" s="23"/>
      <c r="S43" s="6"/>
    </row>
    <row r="44" spans="3:30" ht="28.8" x14ac:dyDescent="0.3">
      <c r="S44" s="6"/>
      <c r="T44" s="43" t="s">
        <v>86</v>
      </c>
      <c r="U44" s="43" t="s">
        <v>427</v>
      </c>
      <c r="V44" s="43" t="s">
        <v>428</v>
      </c>
      <c r="X44" s="133" t="s">
        <v>456</v>
      </c>
      <c r="Y44" s="117" t="s">
        <v>427</v>
      </c>
      <c r="Z44" s="117" t="s">
        <v>428</v>
      </c>
      <c r="AB44" s="134" t="s">
        <v>457</v>
      </c>
      <c r="AC44" s="118" t="s">
        <v>427</v>
      </c>
      <c r="AD44" s="118" t="s">
        <v>428</v>
      </c>
    </row>
    <row r="45" spans="3:30" ht="43.5" customHeight="1" x14ac:dyDescent="0.3">
      <c r="C45" s="23" t="s">
        <v>458</v>
      </c>
      <c r="E45" s="29" t="s">
        <v>459</v>
      </c>
      <c r="H45" s="50" t="s">
        <v>460</v>
      </c>
      <c r="I45" s="50" t="s">
        <v>461</v>
      </c>
      <c r="J45" s="50" t="s">
        <v>462</v>
      </c>
      <c r="L45" s="50" t="s">
        <v>463</v>
      </c>
      <c r="M45" s="50" t="s">
        <v>464</v>
      </c>
      <c r="N45" s="50" t="s">
        <v>465</v>
      </c>
      <c r="S45" s="6"/>
      <c r="T45" s="83" t="s">
        <v>466</v>
      </c>
      <c r="U45" s="51">
        <v>2500</v>
      </c>
      <c r="V45" s="51">
        <v>2500</v>
      </c>
      <c r="X45" s="133" t="s">
        <v>466</v>
      </c>
      <c r="Y45" s="120">
        <v>3500</v>
      </c>
      <c r="Z45" s="120">
        <v>3500</v>
      </c>
      <c r="AB45" s="134" t="s">
        <v>466</v>
      </c>
      <c r="AC45" s="121">
        <v>1200</v>
      </c>
      <c r="AD45" s="121">
        <v>1200</v>
      </c>
    </row>
    <row r="46" spans="3:30" ht="14.4" x14ac:dyDescent="0.3">
      <c r="C46" s="61" t="s">
        <v>106</v>
      </c>
      <c r="D46" s="31">
        <v>150</v>
      </c>
      <c r="E46" s="135">
        <v>150</v>
      </c>
      <c r="F46" s="88">
        <f>E46/E49</f>
        <v>0.40760869565217389</v>
      </c>
      <c r="H46" s="86">
        <f>D38*D46</f>
        <v>45</v>
      </c>
      <c r="I46" s="86">
        <f>D46*E38</f>
        <v>150</v>
      </c>
      <c r="J46" s="86">
        <f>F38*D46</f>
        <v>900</v>
      </c>
      <c r="L46" s="86">
        <f>E46*D38</f>
        <v>45</v>
      </c>
      <c r="M46" s="86">
        <f>E46*E38</f>
        <v>150</v>
      </c>
      <c r="N46" s="86">
        <f>F38*E46</f>
        <v>900</v>
      </c>
      <c r="S46" s="6"/>
      <c r="T46" s="43" t="s">
        <v>467</v>
      </c>
      <c r="U46" s="51">
        <f>U45*3%</f>
        <v>75</v>
      </c>
      <c r="V46" s="51">
        <f>V45*5%</f>
        <v>125</v>
      </c>
      <c r="X46" s="117" t="s">
        <v>467</v>
      </c>
      <c r="Y46" s="120">
        <f>Y45*3%</f>
        <v>105</v>
      </c>
      <c r="Z46" s="120">
        <f>Z45*5%</f>
        <v>175</v>
      </c>
      <c r="AB46" s="118" t="s">
        <v>467</v>
      </c>
      <c r="AC46" s="121">
        <f>AC45*3%</f>
        <v>36</v>
      </c>
      <c r="AD46" s="121">
        <f>AD45*5%</f>
        <v>60</v>
      </c>
    </row>
    <row r="47" spans="3:30" ht="14.4" x14ac:dyDescent="0.3">
      <c r="C47" s="61" t="s">
        <v>110</v>
      </c>
      <c r="D47" s="31">
        <v>140</v>
      </c>
      <c r="E47" s="135">
        <v>140</v>
      </c>
      <c r="F47" s="88">
        <f>E47/E49</f>
        <v>0.38043478260869568</v>
      </c>
      <c r="H47" s="86">
        <f>D39*D47</f>
        <v>56</v>
      </c>
      <c r="I47" s="86">
        <f>D47*E39</f>
        <v>140</v>
      </c>
      <c r="J47" s="86">
        <f>F39*D47</f>
        <v>980</v>
      </c>
      <c r="L47" s="86">
        <f>E47*D39</f>
        <v>56</v>
      </c>
      <c r="M47" s="86">
        <f>E47*E39</f>
        <v>140</v>
      </c>
      <c r="N47" s="86">
        <f>F39*E47</f>
        <v>980</v>
      </c>
      <c r="S47" s="6"/>
      <c r="T47" s="43" t="s">
        <v>468</v>
      </c>
      <c r="U47" s="51">
        <f>U45*2%</f>
        <v>50</v>
      </c>
      <c r="V47" s="51">
        <f>V45*3%</f>
        <v>75</v>
      </c>
      <c r="X47" s="117" t="s">
        <v>468</v>
      </c>
      <c r="Y47" s="120">
        <f>Y45*2%</f>
        <v>70</v>
      </c>
      <c r="Z47" s="120">
        <f>Z45*3%</f>
        <v>105</v>
      </c>
      <c r="AB47" s="118" t="s">
        <v>468</v>
      </c>
      <c r="AC47" s="121">
        <f>AC45*2%</f>
        <v>24</v>
      </c>
      <c r="AD47" s="121">
        <f>AD45*3%</f>
        <v>36</v>
      </c>
    </row>
    <row r="48" spans="3:30" ht="33" customHeight="1" x14ac:dyDescent="0.3">
      <c r="C48" s="61" t="s">
        <v>114</v>
      </c>
      <c r="D48" s="31">
        <v>95</v>
      </c>
      <c r="E48" s="135">
        <v>78</v>
      </c>
      <c r="F48" s="88">
        <f>E48/E49</f>
        <v>0.21195652173913043</v>
      </c>
      <c r="H48" s="86">
        <f>D40*D48</f>
        <v>66.5</v>
      </c>
      <c r="I48" s="86">
        <f>D48*E40</f>
        <v>95</v>
      </c>
      <c r="J48" s="86">
        <f>F40*D48</f>
        <v>1235</v>
      </c>
      <c r="L48" s="86">
        <f>D40*E48</f>
        <v>54.599999999999994</v>
      </c>
      <c r="M48" s="86">
        <f>E48*E40</f>
        <v>78</v>
      </c>
      <c r="N48" s="86">
        <f>F40*E48</f>
        <v>1014</v>
      </c>
      <c r="S48" s="6"/>
      <c r="T48" s="83" t="s">
        <v>469</v>
      </c>
      <c r="U48" s="51">
        <f>U45*5%</f>
        <v>125</v>
      </c>
      <c r="V48" s="51">
        <f>V45*8%</f>
        <v>200</v>
      </c>
      <c r="X48" s="133" t="s">
        <v>469</v>
      </c>
      <c r="Y48" s="120">
        <f>Y45*5%</f>
        <v>175</v>
      </c>
      <c r="Z48" s="120">
        <f>Z45*8%</f>
        <v>280</v>
      </c>
      <c r="AB48" s="134" t="s">
        <v>469</v>
      </c>
      <c r="AC48" s="121">
        <f>AC45*5%</f>
        <v>60</v>
      </c>
      <c r="AD48" s="121">
        <f>AD45*8%</f>
        <v>96</v>
      </c>
    </row>
    <row r="49" spans="1:30" ht="14.4" x14ac:dyDescent="0.3">
      <c r="D49" s="87">
        <f>SUM(D46:D48)</f>
        <v>385</v>
      </c>
      <c r="E49" s="87">
        <f>SUM(E46:E48)</f>
        <v>368</v>
      </c>
      <c r="F49" s="88">
        <f>SUM(F46:F48)</f>
        <v>1</v>
      </c>
      <c r="H49" s="87">
        <f>SUM(H46:H48)</f>
        <v>167.5</v>
      </c>
      <c r="I49" s="87">
        <f>SUM(I46:I48)</f>
        <v>385</v>
      </c>
      <c r="J49" s="87">
        <f>SUM(J46:J48)</f>
        <v>3115</v>
      </c>
      <c r="L49" s="87">
        <f>SUM(L46:L48)</f>
        <v>155.6</v>
      </c>
      <c r="M49" s="87">
        <f>SUM(M46:M48)</f>
        <v>368</v>
      </c>
      <c r="N49" s="87">
        <f>SUM(N46:N48)</f>
        <v>2894</v>
      </c>
      <c r="S49" s="6"/>
      <c r="T49" s="43" t="s">
        <v>470</v>
      </c>
      <c r="U49" s="51">
        <f>-((U45-U45*5%)/10)</f>
        <v>-237.5</v>
      </c>
      <c r="V49" s="51">
        <f>-((V45-V45*10%)/10)</f>
        <v>-225</v>
      </c>
      <c r="X49" s="117" t="s">
        <v>470</v>
      </c>
      <c r="Y49" s="120">
        <f>-(Y45-Y45*5%)/10</f>
        <v>-332.5</v>
      </c>
      <c r="Z49" s="120">
        <f>-(Z45-Z45*10%)/10</f>
        <v>-315</v>
      </c>
      <c r="AB49" s="118" t="s">
        <v>470</v>
      </c>
      <c r="AC49" s="121">
        <f>-(AC45-AC45*5%)/8</f>
        <v>-142.5</v>
      </c>
      <c r="AD49" s="121">
        <f>-(AD45-AD45*10%)/8</f>
        <v>-135</v>
      </c>
    </row>
    <row r="50" spans="1:30" ht="14.4" x14ac:dyDescent="0.3">
      <c r="S50" s="6"/>
      <c r="T50" s="43" t="s">
        <v>436</v>
      </c>
      <c r="U50" s="51">
        <f>SUM(U46:U49)+U45</f>
        <v>2512.5</v>
      </c>
      <c r="V50" s="51">
        <f>SUM(V46:V49)+V45</f>
        <v>2675</v>
      </c>
      <c r="X50" s="117" t="s">
        <v>436</v>
      </c>
      <c r="Y50" s="120">
        <f>SUM(Y46:Y49)+Y45</f>
        <v>3517.5</v>
      </c>
      <c r="Z50" s="120">
        <f>SUM(Z46:Z49)+Z45</f>
        <v>3745</v>
      </c>
      <c r="AB50" s="118" t="s">
        <v>436</v>
      </c>
      <c r="AC50" s="121">
        <f>SUM(AC46:AC49)+AC45</f>
        <v>1177.5</v>
      </c>
      <c r="AD50" s="121">
        <f>SUM(AD46:AD49)+AD45</f>
        <v>1257</v>
      </c>
    </row>
    <row r="51" spans="1:30" ht="14.4" x14ac:dyDescent="0.3">
      <c r="S51" s="6"/>
    </row>
    <row r="52" spans="1:30" ht="28.8" x14ac:dyDescent="0.3">
      <c r="C52" s="23" t="s">
        <v>471</v>
      </c>
      <c r="S52" s="6"/>
      <c r="T52" s="48" t="s">
        <v>472</v>
      </c>
      <c r="U52" s="48" t="s">
        <v>427</v>
      </c>
      <c r="V52" s="48" t="s">
        <v>428</v>
      </c>
      <c r="X52" s="133" t="s">
        <v>473</v>
      </c>
      <c r="Y52" s="117" t="s">
        <v>427</v>
      </c>
      <c r="Z52" s="117" t="s">
        <v>428</v>
      </c>
      <c r="AB52" s="134" t="s">
        <v>474</v>
      </c>
      <c r="AC52" s="118" t="s">
        <v>427</v>
      </c>
      <c r="AD52" s="118" t="s">
        <v>428</v>
      </c>
    </row>
    <row r="53" spans="1:30" ht="28.8" x14ac:dyDescent="0.3">
      <c r="C53" s="3"/>
      <c r="D53" s="3" t="s">
        <v>375</v>
      </c>
      <c r="E53" s="3" t="s">
        <v>376</v>
      </c>
      <c r="F53" s="3" t="s">
        <v>377</v>
      </c>
      <c r="G53" s="3" t="s">
        <v>378</v>
      </c>
      <c r="S53" s="6"/>
      <c r="T53" s="143" t="s">
        <v>466</v>
      </c>
      <c r="U53" s="144">
        <v>300</v>
      </c>
      <c r="V53" s="144">
        <v>300</v>
      </c>
      <c r="X53" s="133" t="s">
        <v>466</v>
      </c>
      <c r="Y53" s="120">
        <v>7500</v>
      </c>
      <c r="Z53" s="120">
        <v>7500</v>
      </c>
      <c r="AB53" s="134" t="s">
        <v>466</v>
      </c>
      <c r="AC53" s="121">
        <v>4500</v>
      </c>
      <c r="AD53" s="121">
        <v>4500</v>
      </c>
    </row>
    <row r="54" spans="1:30" ht="42" customHeight="1" x14ac:dyDescent="0.3">
      <c r="C54" s="52" t="s">
        <v>182</v>
      </c>
      <c r="D54" s="20">
        <v>0</v>
      </c>
      <c r="E54" s="20">
        <f>D33</f>
        <v>60</v>
      </c>
      <c r="F54" s="20">
        <f>MIN(E54,H49)</f>
        <v>60</v>
      </c>
      <c r="G54" s="92">
        <f t="shared" ref="G54:G61" si="1">D54+E54-F54</f>
        <v>0</v>
      </c>
      <c r="S54" s="6"/>
      <c r="T54" s="48" t="s">
        <v>468</v>
      </c>
      <c r="U54" s="144">
        <f>U53*1%</f>
        <v>3</v>
      </c>
      <c r="V54" s="144">
        <f>V53*2%</f>
        <v>6</v>
      </c>
      <c r="X54" s="117" t="s">
        <v>467</v>
      </c>
      <c r="Y54" s="120">
        <f>Y53*3%</f>
        <v>225</v>
      </c>
      <c r="Z54" s="120">
        <f>Z53*5%</f>
        <v>375</v>
      </c>
      <c r="AB54" s="118" t="s">
        <v>467</v>
      </c>
      <c r="AC54" s="121">
        <f>AC53*3%</f>
        <v>135</v>
      </c>
      <c r="AD54" s="121">
        <f>AD53*5%</f>
        <v>225</v>
      </c>
    </row>
    <row r="55" spans="1:30" ht="42" customHeight="1" x14ac:dyDescent="0.3">
      <c r="C55" s="52" t="s">
        <v>186</v>
      </c>
      <c r="D55" s="20">
        <v>0</v>
      </c>
      <c r="E55" s="20">
        <f>E33</f>
        <v>110</v>
      </c>
      <c r="F55" s="20">
        <f>MIN(E55,H49-F54)</f>
        <v>107.5</v>
      </c>
      <c r="G55" s="92">
        <f t="shared" si="1"/>
        <v>2.5</v>
      </c>
      <c r="H55" s="93"/>
      <c r="S55" s="6"/>
      <c r="T55" s="143" t="s">
        <v>469</v>
      </c>
      <c r="U55" s="144">
        <f>U53*5%</f>
        <v>15</v>
      </c>
      <c r="V55" s="144">
        <f>V53*8%</f>
        <v>24</v>
      </c>
      <c r="X55" s="117" t="s">
        <v>468</v>
      </c>
      <c r="Y55" s="120">
        <f>Y53*2%</f>
        <v>150</v>
      </c>
      <c r="Z55" s="120">
        <f>Z53*3%</f>
        <v>225</v>
      </c>
      <c r="AB55" s="118" t="s">
        <v>468</v>
      </c>
      <c r="AC55" s="121">
        <f>AC53*2%</f>
        <v>90</v>
      </c>
      <c r="AD55" s="121">
        <f>AD53*3%</f>
        <v>135</v>
      </c>
    </row>
    <row r="56" spans="1:30" ht="42" customHeight="1" x14ac:dyDescent="0.3">
      <c r="C56" s="52" t="s">
        <v>189</v>
      </c>
      <c r="D56" s="20">
        <v>0</v>
      </c>
      <c r="E56" s="20">
        <f>F33</f>
        <v>30</v>
      </c>
      <c r="F56" s="20">
        <f>MIN(E56,H49-F54-F55)</f>
        <v>0</v>
      </c>
      <c r="G56" s="92">
        <f t="shared" si="1"/>
        <v>30</v>
      </c>
      <c r="H56" s="93">
        <f>F56/SUM(F54:F56)</f>
        <v>0</v>
      </c>
      <c r="S56" s="6"/>
      <c r="T56" s="48" t="s">
        <v>470</v>
      </c>
      <c r="U56" s="144">
        <f>-((U53-U53*5%)/5)</f>
        <v>-57</v>
      </c>
      <c r="V56" s="144">
        <f>-((V53-V53*10%)/5)</f>
        <v>-54</v>
      </c>
      <c r="X56" s="133" t="s">
        <v>469</v>
      </c>
      <c r="Y56" s="120">
        <f>Y53*5%</f>
        <v>375</v>
      </c>
      <c r="Z56" s="120">
        <f>Z53*8%</f>
        <v>600</v>
      </c>
      <c r="AB56" s="134" t="s">
        <v>469</v>
      </c>
      <c r="AC56" s="121">
        <f>AC53*5%</f>
        <v>225</v>
      </c>
      <c r="AD56" s="121">
        <f>AD53*8%</f>
        <v>360</v>
      </c>
    </row>
    <row r="57" spans="1:30" ht="42" customHeight="1" x14ac:dyDescent="0.3">
      <c r="C57" s="55" t="s">
        <v>193</v>
      </c>
      <c r="D57" s="20">
        <v>0</v>
      </c>
      <c r="E57" s="20">
        <f>G33</f>
        <v>200</v>
      </c>
      <c r="F57" s="20">
        <f>MIN(E57,I49)</f>
        <v>200</v>
      </c>
      <c r="G57" s="92">
        <f t="shared" si="1"/>
        <v>0</v>
      </c>
      <c r="H57" s="93"/>
      <c r="S57" s="6"/>
      <c r="T57" s="48" t="s">
        <v>436</v>
      </c>
      <c r="U57" s="144">
        <f>SUM(U54:U56)+U53</f>
        <v>261</v>
      </c>
      <c r="V57" s="144">
        <f>SUM(V54:V56)+V53</f>
        <v>276</v>
      </c>
      <c r="X57" s="117" t="s">
        <v>470</v>
      </c>
      <c r="Y57" s="120">
        <f>-(Y53-Y53*5%)/10</f>
        <v>-712.5</v>
      </c>
      <c r="Z57" s="120">
        <f>-(Z53-Z53*10%)/10</f>
        <v>-675</v>
      </c>
      <c r="AB57" s="118" t="s">
        <v>470</v>
      </c>
      <c r="AC57" s="121">
        <f>-(AC53-AC53*5%)/8</f>
        <v>-534.375</v>
      </c>
      <c r="AD57" s="121">
        <f>-(AD53-AD53*10%)/8</f>
        <v>-506.25</v>
      </c>
    </row>
    <row r="58" spans="1:30" ht="42" customHeight="1" x14ac:dyDescent="0.3">
      <c r="C58" s="55" t="s">
        <v>196</v>
      </c>
      <c r="D58" s="20">
        <v>0</v>
      </c>
      <c r="E58" s="20">
        <f>H33</f>
        <v>190</v>
      </c>
      <c r="F58" s="20">
        <f>MIN(E58,I49-F57)</f>
        <v>185</v>
      </c>
      <c r="G58" s="92">
        <f t="shared" si="1"/>
        <v>5</v>
      </c>
      <c r="H58" s="93">
        <f>F58/SUM(F57:F58)</f>
        <v>0.48051948051948051</v>
      </c>
      <c r="S58" s="6"/>
      <c r="X58" s="117" t="s">
        <v>436</v>
      </c>
      <c r="Y58" s="120">
        <f>SUM(Y54:Y57)+Y53</f>
        <v>7537.5</v>
      </c>
      <c r="Z58" s="120">
        <f>SUM(Z54:Z57)+Z53</f>
        <v>8025</v>
      </c>
      <c r="AB58" s="118" t="s">
        <v>436</v>
      </c>
      <c r="AC58" s="121">
        <f>SUM(AC54:AC57)+AC53</f>
        <v>4415.625</v>
      </c>
      <c r="AD58" s="121">
        <f>SUM(AD54:AD57)+AD53</f>
        <v>4713.75</v>
      </c>
    </row>
    <row r="59" spans="1:30" ht="39.75" customHeight="1" x14ac:dyDescent="0.3">
      <c r="C59" s="56" t="s">
        <v>200</v>
      </c>
      <c r="D59" s="20">
        <v>0</v>
      </c>
      <c r="E59" s="20">
        <f>I33</f>
        <v>0</v>
      </c>
      <c r="F59" s="20">
        <f>MIN(E59,J49)</f>
        <v>0</v>
      </c>
      <c r="G59" s="92">
        <f t="shared" si="1"/>
        <v>0</v>
      </c>
      <c r="H59" s="93"/>
      <c r="S59" s="6"/>
      <c r="T59" s="48" t="s">
        <v>475</v>
      </c>
      <c r="U59" s="48" t="s">
        <v>427</v>
      </c>
      <c r="V59" s="48" t="s">
        <v>428</v>
      </c>
    </row>
    <row r="60" spans="1:30" ht="27.75" customHeight="1" x14ac:dyDescent="0.3">
      <c r="C60" s="56" t="s">
        <v>203</v>
      </c>
      <c r="D60" s="20">
        <v>0</v>
      </c>
      <c r="E60" s="20">
        <f>J33</f>
        <v>1500</v>
      </c>
      <c r="F60" s="20">
        <f>MIN(E60,J49-F59)</f>
        <v>1500</v>
      </c>
      <c r="G60" s="92">
        <f t="shared" si="1"/>
        <v>0</v>
      </c>
      <c r="H60" s="93"/>
      <c r="S60" s="6"/>
      <c r="T60" s="143" t="s">
        <v>466</v>
      </c>
      <c r="U60" s="144">
        <v>1200</v>
      </c>
      <c r="V60" s="144">
        <v>1200</v>
      </c>
      <c r="X60" s="133" t="s">
        <v>476</v>
      </c>
      <c r="Y60" s="117" t="s">
        <v>427</v>
      </c>
      <c r="Z60" s="117" t="s">
        <v>428</v>
      </c>
      <c r="AB60" s="134" t="s">
        <v>477</v>
      </c>
      <c r="AC60" s="118" t="s">
        <v>427</v>
      </c>
      <c r="AD60" s="118" t="s">
        <v>428</v>
      </c>
    </row>
    <row r="61" spans="1:30" ht="42" customHeight="1" x14ac:dyDescent="0.3">
      <c r="C61" s="56" t="s">
        <v>206</v>
      </c>
      <c r="D61" s="20">
        <v>0</v>
      </c>
      <c r="E61" s="20">
        <f>K33</f>
        <v>1400</v>
      </c>
      <c r="F61" s="20">
        <f>MIN(E61,J49-F59-F60)</f>
        <v>1400</v>
      </c>
      <c r="G61" s="92">
        <f t="shared" si="1"/>
        <v>0</v>
      </c>
      <c r="H61" s="93">
        <f>F61/(SUM(F60:F61))</f>
        <v>0.48275862068965519</v>
      </c>
      <c r="S61" s="6"/>
      <c r="T61" s="48" t="s">
        <v>468</v>
      </c>
      <c r="U61" s="144">
        <f>U60*1%</f>
        <v>12</v>
      </c>
      <c r="V61" s="144">
        <f>V60*2%</f>
        <v>24</v>
      </c>
      <c r="X61" s="133" t="s">
        <v>466</v>
      </c>
      <c r="Y61" s="120">
        <v>15000</v>
      </c>
      <c r="Z61" s="120">
        <v>15000</v>
      </c>
      <c r="AB61" s="134" t="s">
        <v>466</v>
      </c>
      <c r="AC61" s="121">
        <v>9500</v>
      </c>
      <c r="AD61" s="121">
        <v>9500</v>
      </c>
    </row>
    <row r="62" spans="1:30" ht="14.4" x14ac:dyDescent="0.3">
      <c r="B62" s="23" t="s">
        <v>380</v>
      </c>
      <c r="S62" s="6"/>
      <c r="T62" s="143" t="s">
        <v>469</v>
      </c>
      <c r="U62" s="144">
        <f>U60*5%</f>
        <v>60</v>
      </c>
      <c r="V62" s="144">
        <f>V60*8%</f>
        <v>96</v>
      </c>
      <c r="X62" s="117" t="s">
        <v>467</v>
      </c>
      <c r="Y62" s="120">
        <f>Y61*3%</f>
        <v>450</v>
      </c>
      <c r="Z62" s="120">
        <f>Z61*5%</f>
        <v>750</v>
      </c>
      <c r="AB62" s="118" t="s">
        <v>467</v>
      </c>
      <c r="AC62" s="121">
        <f>AC61*3%</f>
        <v>285</v>
      </c>
      <c r="AD62" s="121">
        <f>AD61*5%</f>
        <v>475</v>
      </c>
    </row>
    <row r="63" spans="1:30" ht="30" customHeight="1" x14ac:dyDescent="0.3">
      <c r="A63" s="50" t="s">
        <v>381</v>
      </c>
      <c r="B63" s="32">
        <v>3000</v>
      </c>
      <c r="S63" s="6"/>
      <c r="T63" s="48" t="s">
        <v>470</v>
      </c>
      <c r="U63" s="144">
        <f>-((U60-U60*5%)/5)</f>
        <v>-228</v>
      </c>
      <c r="V63" s="144">
        <f>-((V60-V60*10%)/5)</f>
        <v>-216</v>
      </c>
      <c r="X63" s="133" t="s">
        <v>468</v>
      </c>
      <c r="Y63" s="146">
        <f>Y61*2%</f>
        <v>300</v>
      </c>
      <c r="Z63" s="146">
        <f>Z61*3%</f>
        <v>450</v>
      </c>
      <c r="AB63" s="118" t="s">
        <v>468</v>
      </c>
      <c r="AC63" s="121">
        <f>AC61*2%</f>
        <v>190</v>
      </c>
      <c r="AD63" s="121">
        <f>AD61*3%</f>
        <v>285</v>
      </c>
    </row>
    <row r="64" spans="1:30" ht="30" x14ac:dyDescent="0.4">
      <c r="A64" s="95"/>
      <c r="S64" s="6"/>
      <c r="T64" s="48" t="s">
        <v>436</v>
      </c>
      <c r="U64" s="144">
        <f>SUM(U61:U63)+U60</f>
        <v>1044</v>
      </c>
      <c r="V64" s="144">
        <f>SUM(V61:V63)+V60</f>
        <v>1104</v>
      </c>
      <c r="X64" s="133" t="s">
        <v>469</v>
      </c>
      <c r="Y64" s="120">
        <f>Y61*5%</f>
        <v>750</v>
      </c>
      <c r="Z64" s="120">
        <f>Z61*8%</f>
        <v>1200</v>
      </c>
      <c r="AB64" s="134" t="s">
        <v>469</v>
      </c>
      <c r="AC64" s="121">
        <f>AC61*5%</f>
        <v>475</v>
      </c>
      <c r="AD64" s="121">
        <f>AD61*8%</f>
        <v>760</v>
      </c>
    </row>
    <row r="65" spans="1:30" ht="21" x14ac:dyDescent="0.4">
      <c r="A65" s="95" t="s">
        <v>382</v>
      </c>
      <c r="C65" s="96">
        <v>0</v>
      </c>
      <c r="D65" s="96">
        <v>0</v>
      </c>
      <c r="E65" s="96">
        <v>0</v>
      </c>
      <c r="F65" s="32">
        <v>0</v>
      </c>
      <c r="G65" s="147">
        <f>Motor_Puntajes!B10</f>
        <v>0</v>
      </c>
      <c r="H65" s="26" t="s">
        <v>383</v>
      </c>
      <c r="S65" s="6"/>
      <c r="X65" s="117" t="s">
        <v>470</v>
      </c>
      <c r="Y65" s="120">
        <f>-(Y61-Y61*5%)/10</f>
        <v>-1425</v>
      </c>
      <c r="Z65" s="120">
        <f>-(Z61-Z61*10%)/10</f>
        <v>-1350</v>
      </c>
      <c r="AB65" s="118" t="s">
        <v>470</v>
      </c>
      <c r="AC65" s="121">
        <f>-(AC61-AC61*5%)/8</f>
        <v>-1128.125</v>
      </c>
      <c r="AD65" s="121">
        <f>-(AD61-AD61*10%)/8</f>
        <v>-1068.75</v>
      </c>
    </row>
    <row r="66" spans="1:30" ht="35.25" customHeight="1" x14ac:dyDescent="0.3">
      <c r="C66" s="50" t="s">
        <v>384</v>
      </c>
      <c r="D66" s="50" t="s">
        <v>385</v>
      </c>
      <c r="E66" s="50" t="s">
        <v>386</v>
      </c>
      <c r="F66" s="50" t="s">
        <v>387</v>
      </c>
      <c r="S66" s="6"/>
      <c r="T66" s="48" t="s">
        <v>478</v>
      </c>
      <c r="U66" s="48" t="s">
        <v>427</v>
      </c>
      <c r="V66" s="48" t="s">
        <v>428</v>
      </c>
      <c r="X66" s="117" t="s">
        <v>436</v>
      </c>
      <c r="Y66" s="120">
        <f>SUM(Y62:Y65)+Y61</f>
        <v>15075</v>
      </c>
      <c r="Z66" s="120">
        <f>SUM(Z62:Z65)+Z61</f>
        <v>16050</v>
      </c>
      <c r="AB66" s="118" t="s">
        <v>436</v>
      </c>
      <c r="AC66" s="121">
        <f>SUM(AC62:AC65)+AC61</f>
        <v>9321.875</v>
      </c>
      <c r="AD66" s="121">
        <f>SUM(AD62:AD65)+AD61</f>
        <v>9951.25</v>
      </c>
    </row>
    <row r="67" spans="1:30" ht="14.4" x14ac:dyDescent="0.3">
      <c r="S67" s="6"/>
      <c r="T67" s="143" t="s">
        <v>466</v>
      </c>
      <c r="U67" s="144">
        <v>3500</v>
      </c>
      <c r="V67" s="144">
        <v>3500</v>
      </c>
    </row>
    <row r="68" spans="1:30" ht="14.4" x14ac:dyDescent="0.3">
      <c r="S68" s="6"/>
      <c r="T68" s="48" t="s">
        <v>468</v>
      </c>
      <c r="U68" s="144">
        <f>U67*1%</f>
        <v>35</v>
      </c>
      <c r="V68" s="144">
        <f>V67*2%</f>
        <v>70</v>
      </c>
    </row>
    <row r="69" spans="1:30" ht="14.4" x14ac:dyDescent="0.3">
      <c r="S69" s="6"/>
      <c r="T69" s="143" t="s">
        <v>469</v>
      </c>
      <c r="U69" s="144">
        <f>U67*5%</f>
        <v>175</v>
      </c>
      <c r="V69" s="144">
        <f>V67*8%</f>
        <v>280</v>
      </c>
    </row>
    <row r="70" spans="1:30" ht="14.4" x14ac:dyDescent="0.3">
      <c r="S70" s="6"/>
      <c r="T70" s="48" t="s">
        <v>470</v>
      </c>
      <c r="U70" s="144">
        <f>-((U67-U67*5%)/5)</f>
        <v>-665</v>
      </c>
      <c r="V70" s="144">
        <f>-((V67-V67*10%)/5)</f>
        <v>-630</v>
      </c>
    </row>
    <row r="71" spans="1:30" ht="14.4" x14ac:dyDescent="0.3">
      <c r="S71" s="6"/>
      <c r="T71" s="48" t="s">
        <v>436</v>
      </c>
      <c r="U71" s="144">
        <f>SUM(U68:U70)+U67</f>
        <v>3045</v>
      </c>
      <c r="V71" s="144">
        <f>SUM(V68:V70)+V67</f>
        <v>3220</v>
      </c>
    </row>
    <row r="72" spans="1:30" ht="46.5" customHeight="1" x14ac:dyDescent="0.3">
      <c r="B72" s="28" t="s">
        <v>388</v>
      </c>
      <c r="C72" s="20" t="s">
        <v>389</v>
      </c>
      <c r="D72" s="20" t="s">
        <v>390</v>
      </c>
      <c r="E72" s="20" t="s">
        <v>391</v>
      </c>
      <c r="F72" s="20" t="s">
        <v>392</v>
      </c>
      <c r="G72" s="20" t="s">
        <v>393</v>
      </c>
      <c r="H72" s="20" t="s">
        <v>394</v>
      </c>
      <c r="K72" s="50"/>
      <c r="L72" s="32"/>
      <c r="M72" s="32"/>
      <c r="N72" s="32"/>
      <c r="S72" s="6"/>
    </row>
    <row r="73" spans="1:30" ht="14.4" x14ac:dyDescent="0.3">
      <c r="B73" s="20" t="s">
        <v>395</v>
      </c>
      <c r="C73" s="20">
        <v>7</v>
      </c>
      <c r="D73" s="20">
        <v>40</v>
      </c>
      <c r="E73" s="20">
        <f>(MAX($D$73:$D$76)*2-D73)/10</f>
        <v>5</v>
      </c>
      <c r="F73" s="98">
        <f>SUM(C73,E73)</f>
        <v>12</v>
      </c>
      <c r="G73" s="99">
        <f>F73/$F$77</f>
        <v>0.22388059701492538</v>
      </c>
      <c r="H73" s="3">
        <f>ROUND(G73*$B$81,0)</f>
        <v>784</v>
      </c>
      <c r="K73" s="32"/>
      <c r="L73" s="32"/>
      <c r="M73" s="32"/>
      <c r="N73" s="32"/>
      <c r="O73" s="89"/>
      <c r="S73" s="6"/>
      <c r="T73" s="36" t="s">
        <v>479</v>
      </c>
    </row>
    <row r="74" spans="1:30" ht="14.4" x14ac:dyDescent="0.3">
      <c r="B74" s="20" t="s">
        <v>396</v>
      </c>
      <c r="C74" s="20">
        <v>8.3000000000000007</v>
      </c>
      <c r="D74" s="20">
        <v>45</v>
      </c>
      <c r="E74" s="20">
        <f>(MAX($D$73:$D$76)*2-D74)/10</f>
        <v>4.5</v>
      </c>
      <c r="F74" s="98">
        <f>SUM(C74,E74)</f>
        <v>12.8</v>
      </c>
      <c r="G74" s="99">
        <f>F74/$F$77</f>
        <v>0.23880597014925373</v>
      </c>
      <c r="H74" s="3">
        <f>ROUND(G74*$B$81,0)</f>
        <v>836</v>
      </c>
      <c r="K74" s="32"/>
      <c r="L74" s="101"/>
      <c r="M74" s="32"/>
      <c r="N74" s="32"/>
      <c r="O74" s="89"/>
      <c r="S74" s="6"/>
      <c r="T74" s="23" t="s">
        <v>480</v>
      </c>
      <c r="Z74" s="23" t="s">
        <v>481</v>
      </c>
    </row>
    <row r="75" spans="1:30" ht="28.8" x14ac:dyDescent="0.3">
      <c r="B75" s="20" t="s">
        <v>397</v>
      </c>
      <c r="C75" s="102">
        <v>10.199999999999999</v>
      </c>
      <c r="D75" s="20">
        <v>43</v>
      </c>
      <c r="E75" s="20">
        <f>(MAX($D$73:$D$76)*2-D75)/10</f>
        <v>4.7</v>
      </c>
      <c r="F75" s="98">
        <f>SUM(C75,E75)</f>
        <v>14.899999999999999</v>
      </c>
      <c r="G75" s="99">
        <f>F75/$F$77</f>
        <v>0.27798507462686561</v>
      </c>
      <c r="H75" s="3">
        <f>ROUND(G75*$B$81,0)</f>
        <v>973</v>
      </c>
      <c r="K75" s="32"/>
      <c r="L75" s="101"/>
      <c r="M75" s="32"/>
      <c r="N75" s="32"/>
      <c r="O75" s="89"/>
      <c r="S75" s="6"/>
      <c r="T75" s="118" t="s">
        <v>482</v>
      </c>
      <c r="U75" s="118" t="s">
        <v>483</v>
      </c>
      <c r="V75" s="118" t="s">
        <v>484</v>
      </c>
      <c r="W75" s="134" t="s">
        <v>485</v>
      </c>
      <c r="X75" s="118" t="s">
        <v>486</v>
      </c>
      <c r="Z75" s="118" t="s">
        <v>482</v>
      </c>
      <c r="AA75" s="118" t="s">
        <v>483</v>
      </c>
      <c r="AB75" s="118" t="s">
        <v>484</v>
      </c>
      <c r="AC75" s="134" t="s">
        <v>485</v>
      </c>
      <c r="AD75" s="118" t="s">
        <v>486</v>
      </c>
    </row>
    <row r="76" spans="1:30" ht="28.8" x14ac:dyDescent="0.3">
      <c r="B76" s="20" t="s">
        <v>398</v>
      </c>
      <c r="C76" s="20">
        <v>9</v>
      </c>
      <c r="D76" s="20">
        <v>41</v>
      </c>
      <c r="E76" s="20">
        <f>(MAX($D$73:$D$76)*2-D76)/10</f>
        <v>4.9000000000000004</v>
      </c>
      <c r="F76" s="98">
        <f>SUM(C76,E76)</f>
        <v>13.9</v>
      </c>
      <c r="G76" s="99">
        <f>F76/$F$77</f>
        <v>0.25932835820895522</v>
      </c>
      <c r="H76" s="3">
        <f>ROUND(G76*$B$81,0)</f>
        <v>908</v>
      </c>
      <c r="K76" s="32"/>
      <c r="L76" s="32"/>
      <c r="M76" s="32"/>
      <c r="N76" s="32"/>
      <c r="O76" s="89"/>
      <c r="S76" s="6"/>
      <c r="T76" s="118" t="s">
        <v>181</v>
      </c>
      <c r="U76" s="148" t="s">
        <v>487</v>
      </c>
      <c r="V76" s="149">
        <v>25</v>
      </c>
      <c r="W76" s="149">
        <f t="shared" ref="W76:W83" si="2">V76-V76*8%</f>
        <v>23</v>
      </c>
      <c r="X76" s="150" t="s">
        <v>488</v>
      </c>
      <c r="Z76" s="118" t="s">
        <v>181</v>
      </c>
      <c r="AA76" s="148" t="s">
        <v>487</v>
      </c>
      <c r="AB76" s="149">
        <f>25*60</f>
        <v>1500</v>
      </c>
      <c r="AC76" s="149">
        <f t="shared" ref="AC76:AC83" si="3">AB76-AB76*8%</f>
        <v>1380</v>
      </c>
      <c r="AD76" s="150" t="s">
        <v>489</v>
      </c>
    </row>
    <row r="77" spans="1:30" ht="43.2" x14ac:dyDescent="0.3">
      <c r="B77" s="6"/>
      <c r="E77" s="23" t="s">
        <v>399</v>
      </c>
      <c r="F77" s="103">
        <f>SUM(F73:F76)</f>
        <v>53.6</v>
      </c>
      <c r="H77" s="23">
        <f>SUM(H73:H76)</f>
        <v>3501</v>
      </c>
      <c r="S77" s="6"/>
      <c r="T77" s="118" t="s">
        <v>181</v>
      </c>
      <c r="U77" s="148" t="s">
        <v>490</v>
      </c>
      <c r="V77" s="149">
        <v>45</v>
      </c>
      <c r="W77" s="149">
        <f t="shared" si="2"/>
        <v>41.4</v>
      </c>
      <c r="X77" s="150" t="s">
        <v>488</v>
      </c>
      <c r="Z77" s="118" t="s">
        <v>181</v>
      </c>
      <c r="AA77" s="148" t="s">
        <v>490</v>
      </c>
      <c r="AB77" s="149">
        <f>45*55</f>
        <v>2475</v>
      </c>
      <c r="AC77" s="149">
        <f t="shared" si="3"/>
        <v>2277</v>
      </c>
      <c r="AD77" s="150" t="s">
        <v>491</v>
      </c>
    </row>
    <row r="78" spans="1:30" ht="28.8" x14ac:dyDescent="0.3">
      <c r="B78" s="6"/>
      <c r="F78" s="104"/>
      <c r="S78" s="6"/>
      <c r="T78" s="118" t="s">
        <v>181</v>
      </c>
      <c r="U78" s="148" t="s">
        <v>492</v>
      </c>
      <c r="V78" s="149">
        <v>80</v>
      </c>
      <c r="W78" s="149">
        <f t="shared" si="2"/>
        <v>73.599999999999994</v>
      </c>
      <c r="X78" s="150" t="s">
        <v>488</v>
      </c>
      <c r="Z78" s="118" t="s">
        <v>181</v>
      </c>
      <c r="AA78" s="148" t="s">
        <v>492</v>
      </c>
      <c r="AB78" s="149">
        <f>80*15</f>
        <v>1200</v>
      </c>
      <c r="AC78" s="149">
        <f t="shared" si="3"/>
        <v>1104</v>
      </c>
      <c r="AD78" s="150" t="s">
        <v>493</v>
      </c>
    </row>
    <row r="79" spans="1:30" ht="28.8" x14ac:dyDescent="0.3">
      <c r="B79" s="6">
        <v>7000</v>
      </c>
      <c r="C79" s="23" t="s">
        <v>400</v>
      </c>
      <c r="F79" s="104"/>
      <c r="K79" s="23"/>
      <c r="S79" s="6"/>
      <c r="T79" s="118" t="s">
        <v>192</v>
      </c>
      <c r="U79" s="148" t="s">
        <v>494</v>
      </c>
      <c r="V79" s="149">
        <v>4</v>
      </c>
      <c r="W79" s="149">
        <f t="shared" si="2"/>
        <v>3.68</v>
      </c>
      <c r="X79" s="150" t="s">
        <v>366</v>
      </c>
      <c r="Z79" s="118" t="s">
        <v>192</v>
      </c>
      <c r="AA79" s="148" t="s">
        <v>494</v>
      </c>
      <c r="AB79" s="149">
        <f>4*200</f>
        <v>800</v>
      </c>
      <c r="AC79" s="149">
        <f t="shared" si="3"/>
        <v>736</v>
      </c>
      <c r="AD79" s="150" t="s">
        <v>495</v>
      </c>
    </row>
    <row r="80" spans="1:30" ht="14.4" x14ac:dyDescent="0.3">
      <c r="B80" s="105">
        <v>0.5</v>
      </c>
      <c r="F80" s="104"/>
      <c r="K80" s="33"/>
      <c r="S80" s="6"/>
      <c r="T80" s="118" t="s">
        <v>192</v>
      </c>
      <c r="U80" s="150" t="s">
        <v>496</v>
      </c>
      <c r="V80" s="149">
        <v>9</v>
      </c>
      <c r="W80" s="149">
        <f t="shared" si="2"/>
        <v>8.2799999999999994</v>
      </c>
      <c r="X80" s="150" t="s">
        <v>366</v>
      </c>
      <c r="Z80" s="118" t="s">
        <v>192</v>
      </c>
      <c r="AA80" s="150" t="s">
        <v>496</v>
      </c>
      <c r="AB80" s="149">
        <f>9*190</f>
        <v>1710</v>
      </c>
      <c r="AC80" s="149">
        <f t="shared" si="3"/>
        <v>1573.2</v>
      </c>
      <c r="AD80" s="150" t="s">
        <v>497</v>
      </c>
    </row>
    <row r="81" spans="2:30" ht="28.8" x14ac:dyDescent="0.3">
      <c r="B81" s="6">
        <f>B79*B80</f>
        <v>3500</v>
      </c>
      <c r="C81" s="23" t="s">
        <v>401</v>
      </c>
      <c r="F81" s="104"/>
      <c r="S81" s="6"/>
      <c r="T81" s="118" t="s">
        <v>199</v>
      </c>
      <c r="U81" s="148" t="s">
        <v>498</v>
      </c>
      <c r="V81" s="149">
        <v>2</v>
      </c>
      <c r="W81" s="149">
        <f t="shared" si="2"/>
        <v>1.84</v>
      </c>
      <c r="X81" s="150" t="s">
        <v>499</v>
      </c>
      <c r="Z81" s="118" t="s">
        <v>199</v>
      </c>
      <c r="AA81" s="148" t="s">
        <v>498</v>
      </c>
      <c r="AB81" s="149">
        <f>2*0</f>
        <v>0</v>
      </c>
      <c r="AC81" s="149">
        <f t="shared" si="3"/>
        <v>0</v>
      </c>
      <c r="AD81" s="150" t="s">
        <v>500</v>
      </c>
    </row>
    <row r="82" spans="2:30" ht="28.8" x14ac:dyDescent="0.3">
      <c r="B82" s="106"/>
      <c r="C82" s="108"/>
      <c r="D82" s="108"/>
      <c r="E82" s="108"/>
      <c r="F82" s="109"/>
      <c r="S82" s="6"/>
      <c r="T82" s="118" t="s">
        <v>199</v>
      </c>
      <c r="U82" s="148" t="s">
        <v>501</v>
      </c>
      <c r="V82" s="149">
        <v>4</v>
      </c>
      <c r="W82" s="149">
        <f t="shared" si="2"/>
        <v>3.68</v>
      </c>
      <c r="X82" s="150" t="s">
        <v>499</v>
      </c>
      <c r="Z82" s="118" t="s">
        <v>199</v>
      </c>
      <c r="AA82" s="148" t="s">
        <v>501</v>
      </c>
      <c r="AB82" s="149">
        <f>4*6</f>
        <v>24</v>
      </c>
      <c r="AC82" s="149">
        <f t="shared" si="3"/>
        <v>22.08</v>
      </c>
      <c r="AD82" s="150" t="s">
        <v>502</v>
      </c>
    </row>
    <row r="83" spans="2:30" ht="28.8" x14ac:dyDescent="0.3">
      <c r="S83" s="6"/>
      <c r="T83" s="118" t="s">
        <v>199</v>
      </c>
      <c r="U83" s="148" t="s">
        <v>503</v>
      </c>
      <c r="V83" s="149">
        <v>7</v>
      </c>
      <c r="W83" s="149">
        <f t="shared" si="2"/>
        <v>6.4399999999999995</v>
      </c>
      <c r="X83" s="150" t="s">
        <v>499</v>
      </c>
      <c r="Z83" s="118" t="s">
        <v>199</v>
      </c>
      <c r="AA83" s="148" t="s">
        <v>503</v>
      </c>
      <c r="AB83" s="149">
        <f>7*7</f>
        <v>49</v>
      </c>
      <c r="AC83" s="149">
        <f t="shared" si="3"/>
        <v>45.08</v>
      </c>
      <c r="AD83" s="150" t="s">
        <v>504</v>
      </c>
    </row>
    <row r="84" spans="2:30" ht="14.4" x14ac:dyDescent="0.3">
      <c r="S84" s="6"/>
      <c r="V84" s="122"/>
      <c r="W84" s="122"/>
      <c r="Z84" s="118" t="s">
        <v>399</v>
      </c>
      <c r="AA84" s="118"/>
      <c r="AB84" s="121">
        <f>SUM(AB76:AB83)</f>
        <v>7758</v>
      </c>
      <c r="AC84" s="121">
        <f>SUM(AC76:AC83)</f>
        <v>7137.36</v>
      </c>
      <c r="AD84" s="118"/>
    </row>
    <row r="85" spans="2:30" ht="14.4" x14ac:dyDescent="0.3">
      <c r="S85" s="6"/>
      <c r="T85" s="23" t="s">
        <v>505</v>
      </c>
    </row>
    <row r="86" spans="2:30" ht="43.2" x14ac:dyDescent="0.3">
      <c r="B86" s="28" t="s">
        <v>402</v>
      </c>
      <c r="C86" s="20" t="s">
        <v>389</v>
      </c>
      <c r="D86" s="20" t="s">
        <v>390</v>
      </c>
      <c r="E86" s="20" t="s">
        <v>391</v>
      </c>
      <c r="F86" s="20" t="s">
        <v>392</v>
      </c>
      <c r="G86" s="20" t="s">
        <v>393</v>
      </c>
      <c r="H86" s="20" t="s">
        <v>394</v>
      </c>
      <c r="S86" s="6"/>
      <c r="T86" s="118" t="s">
        <v>482</v>
      </c>
      <c r="U86" s="118" t="s">
        <v>483</v>
      </c>
      <c r="V86" s="118" t="s">
        <v>484</v>
      </c>
      <c r="W86" s="134" t="s">
        <v>485</v>
      </c>
      <c r="X86" s="134" t="s">
        <v>506</v>
      </c>
      <c r="Z86" s="23" t="s">
        <v>507</v>
      </c>
    </row>
    <row r="87" spans="2:30" ht="28.8" x14ac:dyDescent="0.3">
      <c r="B87" s="20" t="s">
        <v>395</v>
      </c>
      <c r="C87" s="20">
        <v>7</v>
      </c>
      <c r="D87" s="20">
        <v>120</v>
      </c>
      <c r="E87" s="20">
        <f>(MAX($D$87:$D$90)*2-D87)/10</f>
        <v>28</v>
      </c>
      <c r="F87" s="98">
        <f>SUM(C87,E87)</f>
        <v>35</v>
      </c>
      <c r="G87" s="99">
        <f>F87/$F$91</f>
        <v>0.2723735408560311</v>
      </c>
      <c r="H87" s="3">
        <f>ROUND(G87*$B$81,0)</f>
        <v>953</v>
      </c>
      <c r="S87" s="6"/>
      <c r="T87" s="118" t="s">
        <v>181</v>
      </c>
      <c r="U87" s="148" t="s">
        <v>487</v>
      </c>
      <c r="V87" s="149">
        <f>25*60</f>
        <v>1500</v>
      </c>
      <c r="W87" s="149">
        <f t="shared" ref="W87:W94" si="4">V87-V87*8%</f>
        <v>1380</v>
      </c>
      <c r="X87" s="150" t="s">
        <v>489</v>
      </c>
      <c r="Z87" s="118" t="s">
        <v>482</v>
      </c>
      <c r="AA87" s="118" t="s">
        <v>483</v>
      </c>
      <c r="AB87" s="118" t="s">
        <v>484</v>
      </c>
      <c r="AC87" s="134" t="s">
        <v>485</v>
      </c>
      <c r="AD87" s="134" t="s">
        <v>506</v>
      </c>
    </row>
    <row r="88" spans="2:30" ht="43.2" x14ac:dyDescent="0.3">
      <c r="B88" s="20" t="s">
        <v>396</v>
      </c>
      <c r="C88" s="20">
        <v>8.3000000000000007</v>
      </c>
      <c r="D88" s="20">
        <v>150</v>
      </c>
      <c r="E88" s="20">
        <f>(MAX($D$87:$D$90)*2-D88)/10</f>
        <v>25</v>
      </c>
      <c r="F88" s="98">
        <f>SUM(C88,E88)</f>
        <v>33.299999999999997</v>
      </c>
      <c r="G88" s="99">
        <f>F88/$F$91</f>
        <v>0.2591439688715953</v>
      </c>
      <c r="H88" s="3">
        <f>ROUND(G88*$B$81,0)</f>
        <v>907</v>
      </c>
      <c r="S88" s="6"/>
      <c r="T88" s="118" t="s">
        <v>181</v>
      </c>
      <c r="U88" s="148" t="s">
        <v>490</v>
      </c>
      <c r="V88" s="149">
        <f>45*110</f>
        <v>4950</v>
      </c>
      <c r="W88" s="149">
        <f t="shared" si="4"/>
        <v>4554</v>
      </c>
      <c r="X88" s="150" t="s">
        <v>508</v>
      </c>
      <c r="Z88" s="118" t="s">
        <v>181</v>
      </c>
      <c r="AA88" s="148" t="s">
        <v>487</v>
      </c>
      <c r="AB88" s="149">
        <f>25*60</f>
        <v>1500</v>
      </c>
      <c r="AC88" s="149">
        <f t="shared" ref="AC88:AC95" si="5">AB88-AB88*8%</f>
        <v>1380</v>
      </c>
      <c r="AD88" s="150" t="s">
        <v>489</v>
      </c>
    </row>
    <row r="89" spans="2:30" ht="43.2" x14ac:dyDescent="0.3">
      <c r="B89" s="20" t="s">
        <v>397</v>
      </c>
      <c r="C89" s="20">
        <v>10.199999999999999</v>
      </c>
      <c r="D89" s="20">
        <v>190</v>
      </c>
      <c r="E89" s="20">
        <f>(MAX($D$87:$D$90)*2-D89)/10</f>
        <v>21</v>
      </c>
      <c r="F89" s="98">
        <f>SUM(C89,E89)</f>
        <v>31.2</v>
      </c>
      <c r="G89" s="99">
        <f>F89/$F$91</f>
        <v>0.24280155642023346</v>
      </c>
      <c r="H89" s="3">
        <f>ROUND(G89*$B$81,0)</f>
        <v>850</v>
      </c>
      <c r="S89" s="6"/>
      <c r="T89" s="118" t="s">
        <v>181</v>
      </c>
      <c r="U89" s="148" t="s">
        <v>492</v>
      </c>
      <c r="V89" s="149">
        <f>80*30</f>
        <v>2400</v>
      </c>
      <c r="W89" s="149">
        <f t="shared" si="4"/>
        <v>2208</v>
      </c>
      <c r="X89" s="150" t="s">
        <v>509</v>
      </c>
      <c r="Z89" s="118" t="s">
        <v>181</v>
      </c>
      <c r="AA89" s="148" t="s">
        <v>490</v>
      </c>
      <c r="AB89" s="149">
        <f>45*107</f>
        <v>4815</v>
      </c>
      <c r="AC89" s="149">
        <f t="shared" si="5"/>
        <v>4429.8</v>
      </c>
      <c r="AD89" s="150" t="s">
        <v>510</v>
      </c>
    </row>
    <row r="90" spans="2:30" ht="28.8" x14ac:dyDescent="0.3">
      <c r="B90" s="20" t="s">
        <v>398</v>
      </c>
      <c r="C90" s="20">
        <v>9</v>
      </c>
      <c r="D90" s="20">
        <v>200</v>
      </c>
      <c r="E90" s="20">
        <f>(MAX($D$87:$D$90)*2-D90)/10</f>
        <v>20</v>
      </c>
      <c r="F90" s="98">
        <f>SUM(C90,E90)</f>
        <v>29</v>
      </c>
      <c r="G90" s="99">
        <f>F90/$F$91</f>
        <v>0.22568093385214008</v>
      </c>
      <c r="H90" s="3">
        <f>ROUND(G90*$B$81,0)</f>
        <v>790</v>
      </c>
      <c r="S90" s="6"/>
      <c r="T90" s="118" t="s">
        <v>192</v>
      </c>
      <c r="U90" s="148" t="s">
        <v>494</v>
      </c>
      <c r="V90" s="149">
        <f>4*200</f>
        <v>800</v>
      </c>
      <c r="W90" s="149">
        <f t="shared" si="4"/>
        <v>736</v>
      </c>
      <c r="X90" s="150" t="s">
        <v>495</v>
      </c>
      <c r="Z90" s="118" t="s">
        <v>181</v>
      </c>
      <c r="AA90" s="148" t="s">
        <v>492</v>
      </c>
      <c r="AB90" s="149">
        <f>80*0</f>
        <v>0</v>
      </c>
      <c r="AC90" s="149">
        <f t="shared" si="5"/>
        <v>0</v>
      </c>
      <c r="AD90" s="150" t="s">
        <v>511</v>
      </c>
    </row>
    <row r="91" spans="2:30" ht="28.8" x14ac:dyDescent="0.3">
      <c r="B91" s="6"/>
      <c r="E91" s="23" t="s">
        <v>399</v>
      </c>
      <c r="F91" s="103">
        <f>SUM(F87:F90)</f>
        <v>128.5</v>
      </c>
      <c r="S91" s="6"/>
      <c r="T91" s="118" t="s">
        <v>192</v>
      </c>
      <c r="U91" s="150" t="s">
        <v>496</v>
      </c>
      <c r="V91" s="149">
        <f>9*190</f>
        <v>1710</v>
      </c>
      <c r="W91" s="149">
        <f t="shared" si="4"/>
        <v>1573.2</v>
      </c>
      <c r="X91" s="150" t="s">
        <v>497</v>
      </c>
      <c r="Z91" s="118" t="s">
        <v>192</v>
      </c>
      <c r="AA91" s="148" t="s">
        <v>494</v>
      </c>
      <c r="AB91" s="149">
        <f>4*200</f>
        <v>800</v>
      </c>
      <c r="AC91" s="149">
        <f t="shared" si="5"/>
        <v>736</v>
      </c>
      <c r="AD91" s="150" t="s">
        <v>495</v>
      </c>
    </row>
    <row r="92" spans="2:30" ht="28.8" x14ac:dyDescent="0.3">
      <c r="B92" s="6"/>
      <c r="F92" s="104"/>
      <c r="S92" s="6"/>
      <c r="T92" s="118" t="s">
        <v>199</v>
      </c>
      <c r="U92" s="148" t="s">
        <v>498</v>
      </c>
      <c r="V92" s="149">
        <f>2*0</f>
        <v>0</v>
      </c>
      <c r="W92" s="149">
        <f t="shared" si="4"/>
        <v>0</v>
      </c>
      <c r="X92" s="150" t="s">
        <v>500</v>
      </c>
      <c r="Z92" s="118" t="s">
        <v>192</v>
      </c>
      <c r="AA92" s="150" t="s">
        <v>496</v>
      </c>
      <c r="AB92" s="149">
        <f>9*185</f>
        <v>1665</v>
      </c>
      <c r="AC92" s="149">
        <f t="shared" si="5"/>
        <v>1531.8</v>
      </c>
      <c r="AD92" s="150" t="s">
        <v>512</v>
      </c>
    </row>
    <row r="93" spans="2:30" ht="28.8" x14ac:dyDescent="0.3">
      <c r="B93" s="6">
        <v>5000</v>
      </c>
      <c r="C93" s="23" t="s">
        <v>400</v>
      </c>
      <c r="F93" s="104"/>
      <c r="S93" s="6"/>
      <c r="T93" s="118" t="s">
        <v>199</v>
      </c>
      <c r="U93" s="148" t="s">
        <v>501</v>
      </c>
      <c r="V93" s="149">
        <f>4*1500</f>
        <v>6000</v>
      </c>
      <c r="W93" s="149">
        <f t="shared" si="4"/>
        <v>5520</v>
      </c>
      <c r="X93" s="150" t="s">
        <v>513</v>
      </c>
      <c r="Z93" s="118" t="s">
        <v>199</v>
      </c>
      <c r="AA93" s="148" t="s">
        <v>498</v>
      </c>
      <c r="AB93" s="149">
        <f>2*0</f>
        <v>0</v>
      </c>
      <c r="AC93" s="149">
        <f t="shared" si="5"/>
        <v>0</v>
      </c>
      <c r="AD93" s="150" t="s">
        <v>500</v>
      </c>
    </row>
    <row r="94" spans="2:30" ht="28.8" x14ac:dyDescent="0.3">
      <c r="B94" s="105">
        <v>0.7</v>
      </c>
      <c r="F94" s="104"/>
      <c r="S94" s="6"/>
      <c r="T94" s="118" t="s">
        <v>199</v>
      </c>
      <c r="U94" s="148" t="s">
        <v>503</v>
      </c>
      <c r="V94" s="149">
        <f>7*1400</f>
        <v>9800</v>
      </c>
      <c r="W94" s="149">
        <f t="shared" si="4"/>
        <v>9016</v>
      </c>
      <c r="X94" s="150" t="s">
        <v>514</v>
      </c>
      <c r="Z94" s="118" t="s">
        <v>199</v>
      </c>
      <c r="AA94" s="148" t="s">
        <v>501</v>
      </c>
      <c r="AB94" s="149">
        <f>4*1500</f>
        <v>6000</v>
      </c>
      <c r="AC94" s="149">
        <f t="shared" si="5"/>
        <v>5520</v>
      </c>
      <c r="AD94" s="150" t="s">
        <v>513</v>
      </c>
    </row>
    <row r="95" spans="2:30" ht="28.8" x14ac:dyDescent="0.3">
      <c r="B95" s="6">
        <f>B93*B94</f>
        <v>3500</v>
      </c>
      <c r="C95" s="23" t="s">
        <v>401</v>
      </c>
      <c r="F95" s="104"/>
      <c r="S95" s="6"/>
      <c r="T95" s="118" t="s">
        <v>399</v>
      </c>
      <c r="U95" s="118"/>
      <c r="V95" s="121">
        <f>SUM(V87:V94)</f>
        <v>27160</v>
      </c>
      <c r="W95" s="121">
        <f>SUM(W87:W94)</f>
        <v>24987.200000000001</v>
      </c>
      <c r="X95" s="118"/>
      <c r="Z95" s="118" t="s">
        <v>199</v>
      </c>
      <c r="AA95" s="148" t="s">
        <v>503</v>
      </c>
      <c r="AB95" s="149">
        <f>7*1400</f>
        <v>9800</v>
      </c>
      <c r="AC95" s="149">
        <f t="shared" si="5"/>
        <v>9016</v>
      </c>
      <c r="AD95" s="150" t="s">
        <v>514</v>
      </c>
    </row>
    <row r="96" spans="2:30" ht="14.4" x14ac:dyDescent="0.3">
      <c r="B96" s="106"/>
      <c r="C96" s="108"/>
      <c r="D96" s="108"/>
      <c r="E96" s="108"/>
      <c r="F96" s="109"/>
      <c r="S96" s="6"/>
      <c r="Z96" s="118" t="s">
        <v>399</v>
      </c>
      <c r="AA96" s="118"/>
      <c r="AB96" s="121">
        <f>SUM(AB88:AB95)</f>
        <v>24580</v>
      </c>
      <c r="AC96" s="121">
        <f>SUM(AC88:AC95)</f>
        <v>22613.599999999999</v>
      </c>
      <c r="AD96" s="118"/>
    </row>
    <row r="97" spans="2:24" ht="14.4" x14ac:dyDescent="0.3">
      <c r="S97" s="6"/>
    </row>
    <row r="98" spans="2:24" ht="14.4" x14ac:dyDescent="0.3">
      <c r="S98" s="6"/>
      <c r="T98" s="23" t="s">
        <v>515</v>
      </c>
    </row>
    <row r="99" spans="2:24" ht="14.4" x14ac:dyDescent="0.3">
      <c r="S99" s="6"/>
    </row>
    <row r="100" spans="2:24" ht="43.2" x14ac:dyDescent="0.3">
      <c r="B100" s="28" t="s">
        <v>403</v>
      </c>
      <c r="C100" s="20" t="s">
        <v>389</v>
      </c>
      <c r="D100" s="20" t="s">
        <v>390</v>
      </c>
      <c r="E100" s="20" t="s">
        <v>391</v>
      </c>
      <c r="F100" s="20" t="s">
        <v>392</v>
      </c>
      <c r="G100" s="20" t="s">
        <v>393</v>
      </c>
      <c r="H100" s="20" t="s">
        <v>394</v>
      </c>
      <c r="S100" s="6"/>
      <c r="T100" s="118" t="s">
        <v>399</v>
      </c>
      <c r="U100" s="118"/>
      <c r="V100" s="121">
        <f>V95-AB96</f>
        <v>2580</v>
      </c>
      <c r="W100" s="121">
        <f>W95-AC96</f>
        <v>2373.6000000000022</v>
      </c>
      <c r="X100" s="118"/>
    </row>
    <row r="101" spans="2:24" ht="14.4" x14ac:dyDescent="0.3">
      <c r="B101" s="20" t="s">
        <v>395</v>
      </c>
      <c r="C101" s="20">
        <v>7</v>
      </c>
      <c r="D101" s="20">
        <v>250</v>
      </c>
      <c r="E101" s="20">
        <f>(MAX($D$101:$D$104)*2-D101)/10</f>
        <v>55</v>
      </c>
      <c r="F101" s="98">
        <f>SUM(C101,E101)</f>
        <v>62</v>
      </c>
      <c r="G101" s="99">
        <f>F101/$F$105</f>
        <v>0.26105263157894737</v>
      </c>
      <c r="H101" s="3">
        <f>ROUND(G101*$B$109,0)</f>
        <v>209</v>
      </c>
      <c r="S101" s="6"/>
    </row>
    <row r="102" spans="2:24" ht="14.4" x14ac:dyDescent="0.3">
      <c r="B102" s="20" t="s">
        <v>396</v>
      </c>
      <c r="C102" s="20">
        <v>8.3000000000000007</v>
      </c>
      <c r="D102" s="20">
        <v>300</v>
      </c>
      <c r="E102" s="20">
        <f>(MAX($D$101:$D$104)*2-D102)/10</f>
        <v>50</v>
      </c>
      <c r="F102" s="98">
        <f>SUM(C102,E102)</f>
        <v>58.3</v>
      </c>
      <c r="G102" s="99">
        <f>F102/$F$105</f>
        <v>0.24547368421052632</v>
      </c>
      <c r="H102" s="3">
        <f>ROUND(G102*$B$109,0)</f>
        <v>196</v>
      </c>
      <c r="S102" s="6"/>
    </row>
    <row r="103" spans="2:24" ht="14.4" x14ac:dyDescent="0.3">
      <c r="B103" s="20" t="s">
        <v>397</v>
      </c>
      <c r="C103" s="20">
        <v>10.199999999999999</v>
      </c>
      <c r="D103" s="20">
        <v>220</v>
      </c>
      <c r="E103" s="20">
        <f>(MAX($D$101:$D$104)*2-D103)/10</f>
        <v>58</v>
      </c>
      <c r="F103" s="98">
        <f>SUM(C103,E103)</f>
        <v>68.2</v>
      </c>
      <c r="G103" s="99">
        <f>F103/$F$105</f>
        <v>0.28715789473684211</v>
      </c>
      <c r="H103" s="3">
        <f>ROUND(G103*$B$109,0)</f>
        <v>230</v>
      </c>
      <c r="S103" s="6"/>
    </row>
    <row r="104" spans="2:24" ht="14.4" x14ac:dyDescent="0.3">
      <c r="B104" s="20" t="s">
        <v>398</v>
      </c>
      <c r="C104" s="20">
        <v>9</v>
      </c>
      <c r="D104" s="20">
        <v>400</v>
      </c>
      <c r="E104" s="20">
        <f>(MAX($D$101:$D$104)*2-D104)/10</f>
        <v>40</v>
      </c>
      <c r="F104" s="98">
        <f>SUM(C104,E104)</f>
        <v>49</v>
      </c>
      <c r="G104" s="99">
        <f>F104/$F$105</f>
        <v>0.2063157894736842</v>
      </c>
      <c r="H104" s="3">
        <f>ROUND(G104*$B$109,0)</f>
        <v>165</v>
      </c>
      <c r="S104" s="6"/>
    </row>
    <row r="105" spans="2:24" ht="14.4" x14ac:dyDescent="0.3">
      <c r="B105" s="6"/>
      <c r="E105" s="23" t="s">
        <v>399</v>
      </c>
      <c r="F105" s="103">
        <f>SUM(F101:F104)</f>
        <v>237.5</v>
      </c>
      <c r="S105" s="6"/>
    </row>
    <row r="106" spans="2:24" ht="14.4" x14ac:dyDescent="0.3">
      <c r="B106" s="6"/>
      <c r="F106" s="104"/>
      <c r="S106" s="6"/>
    </row>
    <row r="107" spans="2:24" ht="14.4" x14ac:dyDescent="0.3">
      <c r="B107" s="6">
        <v>2000</v>
      </c>
      <c r="C107" s="23" t="s">
        <v>400</v>
      </c>
      <c r="F107" s="104"/>
      <c r="S107" s="6"/>
    </row>
    <row r="108" spans="2:24" ht="14.4" x14ac:dyDescent="0.3">
      <c r="B108" s="105">
        <v>0.4</v>
      </c>
      <c r="F108" s="104"/>
      <c r="S108" s="6"/>
    </row>
    <row r="109" spans="2:24" ht="14.4" x14ac:dyDescent="0.3">
      <c r="B109" s="6">
        <f>B107*B108</f>
        <v>800</v>
      </c>
      <c r="C109" s="23" t="s">
        <v>401</v>
      </c>
      <c r="F109" s="104"/>
      <c r="S109" s="6"/>
    </row>
    <row r="110" spans="2:24" ht="14.4" x14ac:dyDescent="0.3">
      <c r="B110" s="106"/>
      <c r="C110" s="108"/>
      <c r="D110" s="108"/>
      <c r="E110" s="108"/>
      <c r="F110" s="109"/>
      <c r="S110" s="6"/>
    </row>
    <row r="111" spans="2:24" ht="14.4" x14ac:dyDescent="0.3">
      <c r="S111" s="6"/>
    </row>
    <row r="112" spans="2:24" ht="14.4" x14ac:dyDescent="0.3">
      <c r="S112" s="6"/>
    </row>
    <row r="113" spans="1:19" ht="21" x14ac:dyDescent="0.4">
      <c r="A113" s="95" t="s">
        <v>382</v>
      </c>
      <c r="C113" s="96">
        <v>0</v>
      </c>
      <c r="D113" s="96">
        <v>0</v>
      </c>
      <c r="E113" s="96">
        <v>0</v>
      </c>
      <c r="F113" s="32">
        <v>0</v>
      </c>
      <c r="G113" s="147">
        <f>Motor_Puntajes!B10</f>
        <v>0</v>
      </c>
      <c r="H113" s="26" t="s">
        <v>383</v>
      </c>
      <c r="S113" s="6"/>
    </row>
    <row r="114" spans="1:19" ht="28.8" x14ac:dyDescent="0.3">
      <c r="C114" s="50" t="s">
        <v>384</v>
      </c>
      <c r="D114" s="50" t="s">
        <v>385</v>
      </c>
      <c r="E114" s="50" t="s">
        <v>386</v>
      </c>
      <c r="F114" s="50" t="s">
        <v>387</v>
      </c>
      <c r="L114" s="126" t="s">
        <v>404</v>
      </c>
      <c r="M114" s="127">
        <v>0.7</v>
      </c>
      <c r="S114" s="6"/>
    </row>
    <row r="115" spans="1:19" ht="14.4" x14ac:dyDescent="0.3">
      <c r="L115" s="126" t="s">
        <v>405</v>
      </c>
      <c r="M115" s="127">
        <v>0.2</v>
      </c>
      <c r="S115" s="6"/>
    </row>
    <row r="116" spans="1:19" ht="14.4" x14ac:dyDescent="0.3">
      <c r="L116" s="126" t="s">
        <v>406</v>
      </c>
      <c r="M116" s="127">
        <v>0.1</v>
      </c>
      <c r="S116" s="6"/>
    </row>
    <row r="117" spans="1:19" ht="43.2" x14ac:dyDescent="0.3">
      <c r="B117" s="128" t="s">
        <v>388</v>
      </c>
      <c r="C117" s="128" t="s">
        <v>390</v>
      </c>
      <c r="D117" s="128" t="s">
        <v>407</v>
      </c>
      <c r="E117" s="128" t="s">
        <v>408</v>
      </c>
      <c r="F117" s="128" t="s">
        <v>409</v>
      </c>
      <c r="G117" s="128" t="s">
        <v>410</v>
      </c>
      <c r="H117" s="128" t="s">
        <v>392</v>
      </c>
      <c r="I117" s="128" t="s">
        <v>393</v>
      </c>
      <c r="J117" s="128" t="s">
        <v>394</v>
      </c>
      <c r="K117" s="129"/>
      <c r="N117" t="s">
        <v>411</v>
      </c>
      <c r="O117" t="s">
        <v>412</v>
      </c>
      <c r="P117" t="s">
        <v>413</v>
      </c>
      <c r="Q117" t="s">
        <v>414</v>
      </c>
      <c r="R117" t="s">
        <v>415</v>
      </c>
      <c r="S117" s="6" t="s">
        <v>416</v>
      </c>
    </row>
    <row r="118" spans="1:19" ht="14.4" x14ac:dyDescent="0.3">
      <c r="B118" s="130" t="s">
        <v>395</v>
      </c>
      <c r="C118" s="131">
        <v>40</v>
      </c>
      <c r="D118" s="132">
        <v>7</v>
      </c>
      <c r="E118" s="132">
        <f>MAX(0,MIN(10,N118))*10</f>
        <v>0</v>
      </c>
      <c r="F118" s="136">
        <f>MAX(0,MIN(100,IF(MAX($C$118:$C$121)=MIN($C$118:$C$121),100,100*(MAX($C$118:$C$121)-C118)/(MAX($C$118:$C$121)-MIN($C$118:$C$121)))))</f>
        <v>100</v>
      </c>
      <c r="G118" s="136">
        <f>MAX(0,MIN(10,D118))*10</f>
        <v>70</v>
      </c>
      <c r="H118" s="136">
        <f>IF(P118&gt;0,$M$114*F118+$M$115*G118+$M$116*E118,0)</f>
        <v>0</v>
      </c>
      <c r="I118" s="137">
        <f>IFERROR(H118/SUM($H$118:$H$121),0)</f>
        <v>0</v>
      </c>
      <c r="J118" s="136">
        <f>ROUND(I118*$B$126,0)</f>
        <v>0</v>
      </c>
      <c r="K118" s="129"/>
      <c r="N118">
        <f>Lotes_Produccion!I2</f>
        <v>0</v>
      </c>
      <c r="O118">
        <f>Lotes_Produccion!C2</f>
        <v>0</v>
      </c>
      <c r="P118">
        <f>Lotes_Produccion!C2</f>
        <v>0</v>
      </c>
      <c r="Q118">
        <f>MIN(MAX(0,O118),J118)</f>
        <v>0</v>
      </c>
      <c r="R118">
        <f>Q118*S118</f>
        <v>0</v>
      </c>
      <c r="S118" s="6">
        <f>C118*1</f>
        <v>40</v>
      </c>
    </row>
    <row r="119" spans="1:19" ht="14.4" x14ac:dyDescent="0.3">
      <c r="B119" s="130" t="s">
        <v>396</v>
      </c>
      <c r="C119" s="131">
        <v>45</v>
      </c>
      <c r="D119" s="132">
        <v>8.3000000000000007</v>
      </c>
      <c r="E119" s="132">
        <f>MAX(0,MIN(10,N119))*10</f>
        <v>0</v>
      </c>
      <c r="F119" s="136">
        <f>MAX(0,MIN(100,IF(MAX($C$118:$C$121)=MIN($C$118:$C$121),100,100*(MAX($C$118:$C$121)-C119)/(MAX($C$118:$C$121)-MIN($C$118:$C$121)))))</f>
        <v>0</v>
      </c>
      <c r="G119" s="136">
        <f>MAX(0,MIN(10,D119))*10</f>
        <v>83</v>
      </c>
      <c r="H119" s="136">
        <f>IF(P119&gt;0,$M$114*F119+$M$115*G119+$M$116*E119,0)</f>
        <v>0</v>
      </c>
      <c r="I119" s="137">
        <f>IFERROR(H119/SUM($H$118:$H$121),0)</f>
        <v>0</v>
      </c>
      <c r="J119" s="136">
        <f>ROUND(I119*$B$126,0)</f>
        <v>0</v>
      </c>
      <c r="K119" s="129"/>
      <c r="N119">
        <f>Lotes_Produccion!I3</f>
        <v>0</v>
      </c>
      <c r="O119">
        <f>Lotes_Produccion!C3</f>
        <v>0</v>
      </c>
      <c r="P119">
        <f>Lotes_Produccion!C3</f>
        <v>0</v>
      </c>
      <c r="Q119">
        <f>MIN(MAX(0,O119),J119)</f>
        <v>0</v>
      </c>
      <c r="R119">
        <f>Q119*S119</f>
        <v>0</v>
      </c>
      <c r="S119" s="6">
        <f>C119*1</f>
        <v>45</v>
      </c>
    </row>
    <row r="120" spans="1:19" ht="14.4" x14ac:dyDescent="0.3">
      <c r="B120" s="130" t="s">
        <v>397</v>
      </c>
      <c r="C120" s="131">
        <v>43</v>
      </c>
      <c r="D120" s="132">
        <v>10.199999999999999</v>
      </c>
      <c r="E120" s="132">
        <f>MAX(0,MIN(10,N120))*10</f>
        <v>0</v>
      </c>
      <c r="F120" s="136">
        <f>MAX(0,MIN(100,IF(MAX($C$118:$C$121)=MIN($C$118:$C$121),100,100*(MAX($C$118:$C$121)-C120)/(MAX($C$118:$C$121)-MIN($C$118:$C$121)))))</f>
        <v>40</v>
      </c>
      <c r="G120" s="136">
        <f>MAX(0,MIN(10,D120))*10</f>
        <v>100</v>
      </c>
      <c r="H120" s="136">
        <f>IF(P120&gt;0,$M$114*F120+$M$115*G120+$M$116*E120,0)</f>
        <v>0</v>
      </c>
      <c r="I120" s="137">
        <f>IFERROR(H120/SUM($H$118:$H$121),0)</f>
        <v>0</v>
      </c>
      <c r="J120" s="136">
        <f>ROUND(I120*$B$126,0)</f>
        <v>0</v>
      </c>
      <c r="K120" s="129"/>
      <c r="N120">
        <f>Lotes_Produccion!I4</f>
        <v>0</v>
      </c>
      <c r="O120">
        <f>Lotes_Produccion!C4</f>
        <v>0</v>
      </c>
      <c r="P120">
        <f>Lotes_Produccion!C4</f>
        <v>0</v>
      </c>
      <c r="Q120">
        <f>MIN(MAX(0,O120),J120)</f>
        <v>0</v>
      </c>
      <c r="R120">
        <f>Q120*S120</f>
        <v>0</v>
      </c>
      <c r="S120" s="6">
        <f>C120*1</f>
        <v>43</v>
      </c>
    </row>
    <row r="121" spans="1:19" ht="14.4" x14ac:dyDescent="0.3">
      <c r="B121" s="130" t="s">
        <v>398</v>
      </c>
      <c r="C121" s="131">
        <v>41</v>
      </c>
      <c r="D121" s="132">
        <v>9</v>
      </c>
      <c r="E121" s="132">
        <f>MAX(0,MIN(10,N121))*10</f>
        <v>0</v>
      </c>
      <c r="F121" s="136">
        <f>MAX(0,MIN(100,IF(MAX($C$118:$C$121)=MIN($C$118:$C$121),100,100*(MAX($C$118:$C$121)-C121)/(MAX($C$118:$C$121)-MIN($C$118:$C$121)))))</f>
        <v>80</v>
      </c>
      <c r="G121" s="136">
        <f>MAX(0,MIN(10,D121))*10</f>
        <v>90</v>
      </c>
      <c r="H121" s="136">
        <f>IF(P121&gt;0,$M$114*F121+$M$115*G121+$M$116*E121,0)</f>
        <v>0</v>
      </c>
      <c r="I121" s="137">
        <f>IFERROR(H121/SUM($H$118:$H$121),0)</f>
        <v>0</v>
      </c>
      <c r="J121" s="136">
        <f>ROUND(I121*$B$126,0)</f>
        <v>0</v>
      </c>
      <c r="K121" s="129"/>
      <c r="N121">
        <f>Lotes_Produccion!I4</f>
        <v>0</v>
      </c>
      <c r="O121">
        <f>Lotes_Produccion!C4</f>
        <v>0</v>
      </c>
      <c r="P121">
        <f>Lotes_Produccion!C4</f>
        <v>0</v>
      </c>
      <c r="Q121">
        <f>MIN(MAX(0,O121),J121)</f>
        <v>0</v>
      </c>
      <c r="R121">
        <f>Q121*S121</f>
        <v>0</v>
      </c>
      <c r="S121" s="6">
        <f>C121*1</f>
        <v>41</v>
      </c>
    </row>
    <row r="122" spans="1:19" ht="14.4" x14ac:dyDescent="0.3">
      <c r="B122" s="128"/>
      <c r="C122" s="128" t="s">
        <v>417</v>
      </c>
      <c r="D122" s="128">
        <f>SUM(D118:D121)</f>
        <v>34.5</v>
      </c>
      <c r="E122" s="128"/>
      <c r="F122" s="128"/>
      <c r="G122" s="138" t="s">
        <v>418</v>
      </c>
      <c r="H122" s="136">
        <f>SUM(H118:H121)</f>
        <v>0</v>
      </c>
      <c r="I122" s="128"/>
      <c r="J122" s="128">
        <f>SUM(J118:J121)</f>
        <v>0</v>
      </c>
      <c r="K122" s="129"/>
      <c r="S122" s="6"/>
    </row>
    <row r="123" spans="1:19" ht="14.4" x14ac:dyDescent="0.3">
      <c r="B123" s="129"/>
      <c r="C123" s="129"/>
      <c r="D123" s="129"/>
      <c r="E123" s="129"/>
      <c r="F123" s="129"/>
      <c r="G123" s="129"/>
      <c r="H123" s="129"/>
      <c r="I123" s="129"/>
      <c r="J123" s="129"/>
      <c r="K123" s="129"/>
      <c r="S123" s="6"/>
    </row>
    <row r="124" spans="1:19" ht="14.4" x14ac:dyDescent="0.3">
      <c r="B124" s="128">
        <v>7000</v>
      </c>
      <c r="C124" s="128" t="s">
        <v>419</v>
      </c>
      <c r="D124" s="129"/>
      <c r="E124" s="129"/>
      <c r="F124" s="129"/>
      <c r="G124" s="129"/>
      <c r="H124" s="129"/>
      <c r="I124" s="129"/>
      <c r="J124" s="129"/>
      <c r="K124" s="129"/>
      <c r="S124" s="6"/>
    </row>
    <row r="125" spans="1:19" ht="14.4" x14ac:dyDescent="0.3">
      <c r="B125" s="139">
        <v>0.5</v>
      </c>
      <c r="C125" s="128"/>
      <c r="D125" s="129"/>
      <c r="E125" s="129"/>
      <c r="F125" s="129"/>
      <c r="G125" s="129"/>
      <c r="H125" s="129"/>
      <c r="I125" s="129"/>
      <c r="J125" s="129"/>
      <c r="K125" s="129"/>
      <c r="S125" s="6"/>
    </row>
    <row r="126" spans="1:19" ht="14.4" x14ac:dyDescent="0.3">
      <c r="B126" s="128">
        <f>B124*B125</f>
        <v>3500</v>
      </c>
      <c r="C126" s="128" t="s">
        <v>420</v>
      </c>
      <c r="D126" s="129"/>
      <c r="E126" s="129"/>
      <c r="F126" s="129"/>
      <c r="G126" s="129"/>
      <c r="H126" s="129"/>
      <c r="I126" s="129"/>
      <c r="J126" s="129"/>
      <c r="K126" s="129"/>
      <c r="S126" s="6"/>
    </row>
    <row r="127" spans="1:19" ht="14.4" x14ac:dyDescent="0.3">
      <c r="B127" s="129"/>
      <c r="C127" s="129"/>
      <c r="D127" s="129"/>
      <c r="E127" s="129"/>
      <c r="F127" s="129"/>
      <c r="G127" s="129"/>
      <c r="H127" s="129"/>
      <c r="I127" s="129"/>
      <c r="J127" s="129"/>
      <c r="K127" s="129"/>
      <c r="L127" s="126" t="s">
        <v>404</v>
      </c>
      <c r="M127" s="127">
        <v>0.4</v>
      </c>
      <c r="S127" s="6"/>
    </row>
    <row r="128" spans="1:19" ht="14.4" x14ac:dyDescent="0.3">
      <c r="B128" s="129"/>
      <c r="C128" s="129"/>
      <c r="D128" s="129"/>
      <c r="E128" s="129"/>
      <c r="F128" s="129"/>
      <c r="G128" s="129"/>
      <c r="H128" s="129"/>
      <c r="I128" s="129"/>
      <c r="J128" s="129"/>
      <c r="K128" s="129"/>
      <c r="L128" s="126" t="s">
        <v>405</v>
      </c>
      <c r="M128" s="127">
        <v>0.35</v>
      </c>
      <c r="S128" s="6"/>
    </row>
    <row r="129" spans="2:19" ht="14.4" x14ac:dyDescent="0.3">
      <c r="B129" s="129"/>
      <c r="C129" s="129"/>
      <c r="D129" s="129"/>
      <c r="E129" s="129"/>
      <c r="F129" s="129"/>
      <c r="G129" s="129"/>
      <c r="H129" s="129"/>
      <c r="I129" s="129"/>
      <c r="J129" s="129"/>
      <c r="K129" s="129"/>
      <c r="L129" s="126" t="s">
        <v>406</v>
      </c>
      <c r="M129" s="127">
        <v>0.25</v>
      </c>
      <c r="S129" s="6"/>
    </row>
    <row r="130" spans="2:19" ht="43.2" x14ac:dyDescent="0.3">
      <c r="B130" s="128" t="s">
        <v>421</v>
      </c>
      <c r="C130" s="128" t="s">
        <v>390</v>
      </c>
      <c r="D130" s="128" t="s">
        <v>407</v>
      </c>
      <c r="E130" s="128" t="s">
        <v>408</v>
      </c>
      <c r="F130" s="128" t="s">
        <v>409</v>
      </c>
      <c r="G130" s="128" t="s">
        <v>410</v>
      </c>
      <c r="H130" s="128" t="s">
        <v>392</v>
      </c>
      <c r="I130" s="128" t="s">
        <v>393</v>
      </c>
      <c r="J130" s="128" t="s">
        <v>394</v>
      </c>
      <c r="K130" s="129"/>
      <c r="L130" s="126" t="s">
        <v>422</v>
      </c>
      <c r="M130" s="126">
        <v>100</v>
      </c>
      <c r="N130" t="s">
        <v>411</v>
      </c>
      <c r="O130" t="s">
        <v>412</v>
      </c>
      <c r="P130" t="s">
        <v>413</v>
      </c>
      <c r="Q130" t="s">
        <v>414</v>
      </c>
      <c r="R130" t="s">
        <v>415</v>
      </c>
      <c r="S130" s="6" t="s">
        <v>416</v>
      </c>
    </row>
    <row r="131" spans="2:19" ht="14.4" x14ac:dyDescent="0.3">
      <c r="B131" s="130" t="s">
        <v>395</v>
      </c>
      <c r="C131" s="131">
        <v>120</v>
      </c>
      <c r="D131" s="132">
        <v>7</v>
      </c>
      <c r="E131" s="132">
        <f>MAX(0,MIN(10,N131))*10</f>
        <v>0</v>
      </c>
      <c r="F131" s="136">
        <f>MAX(0,MIN(100,100-ABS(C131-100)/100*100))</f>
        <v>80</v>
      </c>
      <c r="G131" s="136">
        <f>MAX(0,MIN(10,D131))*10</f>
        <v>70</v>
      </c>
      <c r="H131" s="136">
        <f>IF(P131&gt;0,$M$127*F131+$M$128*G131+$M$129*E131,0)</f>
        <v>0</v>
      </c>
      <c r="I131" s="137">
        <f>IFERROR(H131/SUM($H$131:$H$134),0)</f>
        <v>0</v>
      </c>
      <c r="J131" s="136">
        <f>ROUND(I131*$B$139,0)</f>
        <v>0</v>
      </c>
      <c r="K131" s="129"/>
      <c r="N131">
        <f>Lotes_Produccion!I2</f>
        <v>0</v>
      </c>
      <c r="O131">
        <f>Lotes_Produccion!C2</f>
        <v>0</v>
      </c>
      <c r="P131">
        <f>Lotes_Produccion!C2</f>
        <v>0</v>
      </c>
      <c r="Q131">
        <f>MIN(MAX(0,O131),J131)</f>
        <v>0</v>
      </c>
      <c r="R131">
        <f>Q131*S131</f>
        <v>0</v>
      </c>
      <c r="S131" s="6">
        <f>C131*1</f>
        <v>120</v>
      </c>
    </row>
    <row r="132" spans="2:19" ht="14.4" x14ac:dyDescent="0.3">
      <c r="B132" s="130" t="s">
        <v>396</v>
      </c>
      <c r="C132" s="131">
        <v>150</v>
      </c>
      <c r="D132" s="132">
        <v>8.3000000000000007</v>
      </c>
      <c r="E132" s="132">
        <f>MAX(0,MIN(10,N132))*10</f>
        <v>0</v>
      </c>
      <c r="F132" s="136">
        <f>MAX(0,MIN(100,100-ABS(C132-100)/100*100))</f>
        <v>50</v>
      </c>
      <c r="G132" s="136">
        <f>MAX(0,MIN(10,D132))*10</f>
        <v>83</v>
      </c>
      <c r="H132" s="136">
        <f>IF(P132&gt;0,$M$127*F132+$M$128*G132+$M$129*E132,0)</f>
        <v>0</v>
      </c>
      <c r="I132" s="137">
        <f>IFERROR(H132/SUM($H$131:$H$134),0)</f>
        <v>0</v>
      </c>
      <c r="J132" s="136">
        <f>ROUND(I132*$B$139,0)</f>
        <v>0</v>
      </c>
      <c r="K132" s="129"/>
      <c r="N132">
        <f>Lotes_Produccion!I3</f>
        <v>0</v>
      </c>
      <c r="O132">
        <f>Lotes_Produccion!C3</f>
        <v>0</v>
      </c>
      <c r="P132">
        <f>Lotes_Produccion!C3</f>
        <v>0</v>
      </c>
      <c r="Q132">
        <f>MIN(MAX(0,O132),J132)</f>
        <v>0</v>
      </c>
      <c r="R132">
        <f>Q132*S132</f>
        <v>0</v>
      </c>
      <c r="S132" s="6">
        <f>C132*1</f>
        <v>150</v>
      </c>
    </row>
    <row r="133" spans="2:19" ht="14.4" x14ac:dyDescent="0.3">
      <c r="B133" s="130" t="s">
        <v>397</v>
      </c>
      <c r="C133" s="131">
        <v>190</v>
      </c>
      <c r="D133" s="132">
        <v>10.199999999999999</v>
      </c>
      <c r="E133" s="132">
        <f>MAX(0,MIN(10,N133))*10</f>
        <v>0</v>
      </c>
      <c r="F133" s="136">
        <f>MAX(0,MIN(100,100-ABS(C133-100)/100*100))</f>
        <v>10</v>
      </c>
      <c r="G133" s="136">
        <f>MAX(0,MIN(10,D133))*10</f>
        <v>100</v>
      </c>
      <c r="H133" s="136">
        <f>IF(P133&gt;0,$M$127*F133+$M$128*G133+$M$129*E133,0)</f>
        <v>0</v>
      </c>
      <c r="I133" s="137">
        <f>IFERROR(H133/SUM($H$131:$H$134),0)</f>
        <v>0</v>
      </c>
      <c r="J133" s="136">
        <f>ROUND(I133*$B$139,0)</f>
        <v>0</v>
      </c>
      <c r="K133" s="129"/>
      <c r="N133">
        <f>Lotes_Produccion!I4</f>
        <v>0</v>
      </c>
      <c r="O133">
        <f>Lotes_Produccion!C4</f>
        <v>0</v>
      </c>
      <c r="P133">
        <f>Lotes_Produccion!C4</f>
        <v>0</v>
      </c>
      <c r="Q133">
        <f>MIN(MAX(0,O133),J133)</f>
        <v>0</v>
      </c>
      <c r="R133">
        <f>Q133*S133</f>
        <v>0</v>
      </c>
      <c r="S133" s="6">
        <f>C133*1</f>
        <v>190</v>
      </c>
    </row>
    <row r="134" spans="2:19" ht="14.4" x14ac:dyDescent="0.3">
      <c r="B134" s="130" t="s">
        <v>398</v>
      </c>
      <c r="C134" s="131">
        <v>200</v>
      </c>
      <c r="D134" s="132">
        <v>9</v>
      </c>
      <c r="E134" s="132">
        <f>MAX(0,MIN(10,N134))*10</f>
        <v>0</v>
      </c>
      <c r="F134" s="136">
        <f>MAX(0,MIN(100,100-ABS(C134-100)/100*100))</f>
        <v>0</v>
      </c>
      <c r="G134" s="136">
        <f>MAX(0,MIN(10,D134))*10</f>
        <v>90</v>
      </c>
      <c r="H134" s="136">
        <f>IF(P134&gt;0,$M$127*F134+$M$128*G134+$M$129*E134,0)</f>
        <v>0</v>
      </c>
      <c r="I134" s="137">
        <f>IFERROR(H134/SUM($H$131:$H$134),0)</f>
        <v>0</v>
      </c>
      <c r="J134" s="136">
        <f>ROUND(I134*$B$139,0)</f>
        <v>0</v>
      </c>
      <c r="K134" s="129"/>
      <c r="N134">
        <f>Lotes_Produccion!I4</f>
        <v>0</v>
      </c>
      <c r="O134">
        <f>Lotes_Produccion!C4</f>
        <v>0</v>
      </c>
      <c r="P134">
        <f>Lotes_Produccion!C4</f>
        <v>0</v>
      </c>
      <c r="Q134">
        <f>MIN(MAX(0,O134),J134)</f>
        <v>0</v>
      </c>
      <c r="R134">
        <f>Q134*S134</f>
        <v>0</v>
      </c>
      <c r="S134" s="6">
        <f>C134*1</f>
        <v>200</v>
      </c>
    </row>
    <row r="135" spans="2:19" ht="14.4" x14ac:dyDescent="0.3">
      <c r="B135" s="128"/>
      <c r="C135" s="128" t="s">
        <v>417</v>
      </c>
      <c r="D135" s="128">
        <f>SUM(D131:D134)</f>
        <v>34.5</v>
      </c>
      <c r="E135" s="128"/>
      <c r="F135" s="128"/>
      <c r="G135" s="141" t="s">
        <v>418</v>
      </c>
      <c r="H135" s="142">
        <f>SUM(H131:H134)</f>
        <v>0</v>
      </c>
      <c r="I135" s="128"/>
      <c r="J135" s="128">
        <f>SUM(J131:J134)</f>
        <v>0</v>
      </c>
      <c r="K135" s="129"/>
      <c r="S135" s="6"/>
    </row>
    <row r="136" spans="2:19" ht="14.4" x14ac:dyDescent="0.3">
      <c r="B136" s="129"/>
      <c r="C136" s="129"/>
      <c r="D136" s="129"/>
      <c r="E136" s="129"/>
      <c r="F136" s="129"/>
      <c r="G136" s="129"/>
      <c r="H136" s="129"/>
      <c r="I136" s="129"/>
      <c r="J136" s="129"/>
      <c r="K136" s="129"/>
      <c r="S136" s="6"/>
    </row>
    <row r="137" spans="2:19" ht="14.4" x14ac:dyDescent="0.3">
      <c r="B137" s="128">
        <v>5000</v>
      </c>
      <c r="C137" s="128" t="s">
        <v>419</v>
      </c>
      <c r="D137" s="129"/>
      <c r="E137" s="129"/>
      <c r="F137" s="129"/>
      <c r="G137" s="129"/>
      <c r="H137" s="129"/>
      <c r="I137" s="129"/>
      <c r="J137" s="129"/>
      <c r="K137" s="129"/>
      <c r="S137" s="6"/>
    </row>
    <row r="138" spans="2:19" ht="14.4" x14ac:dyDescent="0.3">
      <c r="B138" s="139">
        <v>0.7</v>
      </c>
      <c r="C138" s="128"/>
      <c r="D138" s="129"/>
      <c r="E138" s="129"/>
      <c r="F138" s="129"/>
      <c r="G138" s="129"/>
      <c r="H138" s="129"/>
      <c r="I138" s="129"/>
      <c r="J138" s="129"/>
      <c r="S138" s="6"/>
    </row>
    <row r="139" spans="2:19" ht="14.4" x14ac:dyDescent="0.3">
      <c r="B139" s="128">
        <f>B137*B138</f>
        <v>3500</v>
      </c>
      <c r="C139" s="128" t="s">
        <v>420</v>
      </c>
      <c r="D139" s="129"/>
      <c r="E139" s="129"/>
      <c r="F139" s="129"/>
      <c r="G139" s="129"/>
      <c r="H139" s="129"/>
      <c r="I139" s="129"/>
      <c r="J139" s="129"/>
      <c r="S139" s="6"/>
    </row>
    <row r="140" spans="2:19" ht="14.4" x14ac:dyDescent="0.3">
      <c r="L140" s="126" t="s">
        <v>404</v>
      </c>
      <c r="M140" s="127">
        <v>0.1</v>
      </c>
      <c r="S140" s="6"/>
    </row>
    <row r="141" spans="2:19" ht="14.4" x14ac:dyDescent="0.3">
      <c r="L141" s="126" t="s">
        <v>405</v>
      </c>
      <c r="M141" s="127">
        <v>0.5</v>
      </c>
      <c r="S141" s="6"/>
    </row>
    <row r="142" spans="2:19" ht="14.4" x14ac:dyDescent="0.3">
      <c r="L142" s="126" t="s">
        <v>406</v>
      </c>
      <c r="M142" s="127">
        <v>0.4</v>
      </c>
      <c r="S142" s="6"/>
    </row>
    <row r="143" spans="2:19" ht="43.2" x14ac:dyDescent="0.3">
      <c r="B143" s="128" t="s">
        <v>423</v>
      </c>
      <c r="C143" s="128" t="s">
        <v>390</v>
      </c>
      <c r="D143" s="128" t="s">
        <v>407</v>
      </c>
      <c r="E143" s="128" t="s">
        <v>408</v>
      </c>
      <c r="F143" s="128" t="s">
        <v>409</v>
      </c>
      <c r="G143" s="128" t="s">
        <v>410</v>
      </c>
      <c r="H143" s="128" t="s">
        <v>392</v>
      </c>
      <c r="I143" s="128" t="s">
        <v>393</v>
      </c>
      <c r="J143" s="128" t="s">
        <v>394</v>
      </c>
      <c r="L143" s="126" t="s">
        <v>422</v>
      </c>
      <c r="M143" s="126">
        <v>250</v>
      </c>
      <c r="N143" t="s">
        <v>411</v>
      </c>
      <c r="O143" t="s">
        <v>412</v>
      </c>
      <c r="P143" t="s">
        <v>413</v>
      </c>
      <c r="Q143" t="s">
        <v>414</v>
      </c>
      <c r="R143" t="s">
        <v>415</v>
      </c>
      <c r="S143" s="6" t="s">
        <v>416</v>
      </c>
    </row>
    <row r="144" spans="2:19" ht="14.4" x14ac:dyDescent="0.3">
      <c r="B144" s="130" t="s">
        <v>395</v>
      </c>
      <c r="C144" s="131">
        <v>250</v>
      </c>
      <c r="D144" s="132">
        <v>7</v>
      </c>
      <c r="E144" s="132">
        <f>MAX(0,MIN(10,N144))*10</f>
        <v>0</v>
      </c>
      <c r="F144" s="136">
        <f>MAX(0,MIN(100,100-ABS(C144-250)/250*100))</f>
        <v>100</v>
      </c>
      <c r="G144" s="136">
        <f>MAX(0,MIN(10,D144))*10</f>
        <v>70</v>
      </c>
      <c r="H144" s="136">
        <f>IF(P144&gt;0,$M$140*F144+$M$141*G144+$M$142*E144,0)</f>
        <v>0</v>
      </c>
      <c r="I144" s="137">
        <f>IFERROR(H144/SUM($H$144:$H$147),0)</f>
        <v>0</v>
      </c>
      <c r="J144" s="136">
        <f>ROUND(I144*$B$152,0)</f>
        <v>0</v>
      </c>
      <c r="N144">
        <f>Lotes_Produccion!I2</f>
        <v>0</v>
      </c>
      <c r="O144">
        <f>Lotes_Produccion!C2</f>
        <v>0</v>
      </c>
      <c r="P144">
        <f>Lotes_Produccion!C2</f>
        <v>0</v>
      </c>
      <c r="Q144">
        <f>MIN(MAX(0,O144),J144)</f>
        <v>0</v>
      </c>
      <c r="R144">
        <f>Q144*S144</f>
        <v>0</v>
      </c>
      <c r="S144" s="6">
        <f>C144*IF(N144&lt;7,0.65,1.4)</f>
        <v>162.5</v>
      </c>
    </row>
    <row r="145" spans="2:19" ht="14.4" x14ac:dyDescent="0.3">
      <c r="B145" s="130" t="s">
        <v>396</v>
      </c>
      <c r="C145" s="131">
        <v>300</v>
      </c>
      <c r="D145" s="132">
        <v>8.3000000000000007</v>
      </c>
      <c r="E145" s="132">
        <f>MAX(0,MIN(10,N145))*10</f>
        <v>0</v>
      </c>
      <c r="F145" s="136">
        <f>MAX(0,MIN(100,100-ABS(C145-250)/250*100))</f>
        <v>80</v>
      </c>
      <c r="G145" s="136">
        <f>MAX(0,MIN(10,D145))*10</f>
        <v>83</v>
      </c>
      <c r="H145" s="136">
        <f>IF(P145&gt;0,$M$140*F145+$M$141*G145+$M$142*E145,0)</f>
        <v>0</v>
      </c>
      <c r="I145" s="137">
        <f>IFERROR(H145/SUM($H$144:$H$147),0)</f>
        <v>0</v>
      </c>
      <c r="J145" s="136">
        <f>ROUND(I145*$B$152,0)</f>
        <v>0</v>
      </c>
      <c r="N145">
        <f>Lotes_Produccion!I3</f>
        <v>0</v>
      </c>
      <c r="O145">
        <f>Lotes_Produccion!C3</f>
        <v>0</v>
      </c>
      <c r="P145">
        <f>Lotes_Produccion!C3</f>
        <v>0</v>
      </c>
      <c r="Q145">
        <f>MIN(MAX(0,O145),J145)</f>
        <v>0</v>
      </c>
      <c r="R145">
        <f>Q145*S145</f>
        <v>0</v>
      </c>
      <c r="S145" s="6">
        <f>C145*IF(N145&lt;7,0.65,1.4)</f>
        <v>195</v>
      </c>
    </row>
    <row r="146" spans="2:19" ht="14.4" x14ac:dyDescent="0.3">
      <c r="B146" s="130" t="s">
        <v>397</v>
      </c>
      <c r="C146" s="131">
        <v>220</v>
      </c>
      <c r="D146" s="132">
        <v>10.199999999999999</v>
      </c>
      <c r="E146" s="132">
        <f>MAX(0,MIN(10,N146))*10</f>
        <v>0</v>
      </c>
      <c r="F146" s="136">
        <f>MAX(0,MIN(100,100-ABS(C146-250)/250*100))</f>
        <v>88</v>
      </c>
      <c r="G146" s="136">
        <f>MAX(0,MIN(10,D146))*10</f>
        <v>100</v>
      </c>
      <c r="H146" s="136">
        <f>IF(P146&gt;0,$M$140*F146+$M$141*G146+$M$142*E146,0)</f>
        <v>0</v>
      </c>
      <c r="I146" s="137">
        <f>IFERROR(H146/SUM($H$144:$H$147),0)</f>
        <v>0</v>
      </c>
      <c r="J146" s="136">
        <f>ROUND(I146*$B$152,0)</f>
        <v>0</v>
      </c>
      <c r="N146">
        <f>Lotes_Produccion!I4</f>
        <v>0</v>
      </c>
      <c r="O146">
        <f>Lotes_Produccion!C4</f>
        <v>0</v>
      </c>
      <c r="P146">
        <f>Lotes_Produccion!C4</f>
        <v>0</v>
      </c>
      <c r="Q146">
        <f>MIN(MAX(0,O146),J146)</f>
        <v>0</v>
      </c>
      <c r="R146">
        <f>Q146*S146</f>
        <v>0</v>
      </c>
      <c r="S146" s="6">
        <f>C146*IF(N146&lt;7,0.65,1.4)</f>
        <v>143</v>
      </c>
    </row>
    <row r="147" spans="2:19" ht="14.4" x14ac:dyDescent="0.3">
      <c r="B147" s="130" t="s">
        <v>398</v>
      </c>
      <c r="C147" s="131">
        <v>400</v>
      </c>
      <c r="D147" s="132">
        <v>9</v>
      </c>
      <c r="E147" s="132">
        <f>MAX(0,MIN(10,N147))*10</f>
        <v>0</v>
      </c>
      <c r="F147" s="136">
        <f>MAX(0,MIN(100,100-ABS(C147-250)/250*100))</f>
        <v>40</v>
      </c>
      <c r="G147" s="136">
        <f>MAX(0,MIN(10,D147))*10</f>
        <v>90</v>
      </c>
      <c r="H147" s="136">
        <f>IF(P147&gt;0,$M$140*F147+$M$141*G147+$M$142*E147,0)</f>
        <v>0</v>
      </c>
      <c r="I147" s="137">
        <f>IFERROR(H147/SUM($H$144:$H$147),0)</f>
        <v>0</v>
      </c>
      <c r="J147" s="136">
        <f>ROUND(I147*$B$152,0)</f>
        <v>0</v>
      </c>
      <c r="N147">
        <f>Lotes_Produccion!I4</f>
        <v>0</v>
      </c>
      <c r="O147">
        <f>Lotes_Produccion!C4</f>
        <v>0</v>
      </c>
      <c r="P147">
        <f>Lotes_Produccion!C4</f>
        <v>0</v>
      </c>
      <c r="Q147">
        <f>MIN(MAX(0,O147),J147)</f>
        <v>0</v>
      </c>
      <c r="R147">
        <f>Q147*S147</f>
        <v>0</v>
      </c>
      <c r="S147" s="6">
        <f>C147*IF(N147&lt;7,0.65,1.4)</f>
        <v>260</v>
      </c>
    </row>
    <row r="148" spans="2:19" ht="14.4" x14ac:dyDescent="0.3">
      <c r="B148" s="128"/>
      <c r="C148" s="128" t="s">
        <v>417</v>
      </c>
      <c r="D148" s="128">
        <f>SUM(D144:D147)</f>
        <v>34.5</v>
      </c>
      <c r="E148" s="128"/>
      <c r="F148" s="128"/>
      <c r="G148" s="141" t="s">
        <v>418</v>
      </c>
      <c r="H148" s="142">
        <f>SUM(H144:H147)</f>
        <v>0</v>
      </c>
      <c r="I148" s="128"/>
      <c r="J148" s="128">
        <f>SUM(J144:J147)</f>
        <v>0</v>
      </c>
      <c r="S148" s="6"/>
    </row>
    <row r="149" spans="2:19" ht="14.4" x14ac:dyDescent="0.3">
      <c r="B149" s="129"/>
      <c r="C149" s="129"/>
      <c r="D149" s="129"/>
      <c r="E149" s="129"/>
      <c r="F149" s="129"/>
      <c r="G149" s="129"/>
      <c r="H149" s="129"/>
      <c r="I149" s="129"/>
      <c r="J149" s="129"/>
      <c r="S149" s="6"/>
    </row>
    <row r="150" spans="2:19" ht="14.4" x14ac:dyDescent="0.3">
      <c r="B150" s="128">
        <v>2000</v>
      </c>
      <c r="C150" s="128" t="s">
        <v>419</v>
      </c>
      <c r="D150" s="129"/>
      <c r="E150" s="129"/>
      <c r="F150" s="129"/>
      <c r="G150" s="129"/>
      <c r="H150" s="129"/>
      <c r="I150" s="129"/>
      <c r="J150" s="129"/>
      <c r="S150" s="6"/>
    </row>
    <row r="151" spans="2:19" ht="14.4" x14ac:dyDescent="0.3">
      <c r="B151" s="139">
        <v>0.4</v>
      </c>
      <c r="C151" s="128"/>
      <c r="D151" s="129"/>
      <c r="E151" s="129"/>
      <c r="F151" s="129"/>
      <c r="G151" s="129"/>
      <c r="H151" s="129"/>
      <c r="I151" s="129"/>
      <c r="J151" s="129"/>
      <c r="S151" s="6"/>
    </row>
    <row r="152" spans="2:19" ht="14.4" x14ac:dyDescent="0.3">
      <c r="B152" s="128">
        <f>B150*B151</f>
        <v>800</v>
      </c>
      <c r="C152" s="128" t="s">
        <v>420</v>
      </c>
      <c r="D152" s="129"/>
      <c r="E152" s="129"/>
      <c r="F152" s="129"/>
      <c r="G152" s="129"/>
      <c r="H152" s="129"/>
      <c r="I152" s="129"/>
      <c r="J152" s="129"/>
      <c r="S152" s="6"/>
    </row>
    <row r="153" spans="2:19" ht="14.4" x14ac:dyDescent="0.3">
      <c r="S153" s="6"/>
    </row>
    <row r="154" spans="2:19" ht="14.4" x14ac:dyDescent="0.3">
      <c r="S154" s="6"/>
    </row>
    <row r="155" spans="2:19" ht="14.4" x14ac:dyDescent="0.3">
      <c r="S155" s="6"/>
    </row>
    <row r="156" spans="2:19" ht="14.4" x14ac:dyDescent="0.3">
      <c r="S156" s="6"/>
    </row>
    <row r="157" spans="2:19" ht="14.4" x14ac:dyDescent="0.3">
      <c r="S157" s="6"/>
    </row>
    <row r="158" spans="2:19" ht="14.4" x14ac:dyDescent="0.3">
      <c r="S158" s="6"/>
    </row>
    <row r="159" spans="2:19" ht="14.4" x14ac:dyDescent="0.3">
      <c r="S159" s="6"/>
    </row>
    <row r="160" spans="2:19" ht="14.4" x14ac:dyDescent="0.3">
      <c r="S160" s="6"/>
    </row>
    <row r="161" spans="1:19" ht="14.4" x14ac:dyDescent="0.3">
      <c r="S161" s="6"/>
    </row>
    <row r="162" spans="1:19" ht="14.4" x14ac:dyDescent="0.3">
      <c r="S162" s="6"/>
    </row>
    <row r="163" spans="1:19" ht="14.4" x14ac:dyDescent="0.3">
      <c r="S163" s="6"/>
    </row>
    <row r="164" spans="1:19" ht="14.4" x14ac:dyDescent="0.3">
      <c r="S164" s="6"/>
    </row>
    <row r="165" spans="1:19" ht="14.4" x14ac:dyDescent="0.3">
      <c r="S165" s="6"/>
    </row>
    <row r="166" spans="1:19" ht="14.4" x14ac:dyDescent="0.3">
      <c r="S166" s="6"/>
    </row>
    <row r="167" spans="1:19" ht="14.4" x14ac:dyDescent="0.3">
      <c r="S167" s="6"/>
    </row>
    <row r="168" spans="1:19" ht="14.4" x14ac:dyDescent="0.3">
      <c r="S168" s="6"/>
    </row>
    <row r="169" spans="1:19" ht="14.4" x14ac:dyDescent="0.3">
      <c r="S169" s="6"/>
    </row>
    <row r="170" spans="1:19" ht="14.4" x14ac:dyDescent="0.3">
      <c r="A170" t="s">
        <v>424</v>
      </c>
      <c r="S170" s="6"/>
    </row>
    <row r="171" spans="1:19" ht="14.4" x14ac:dyDescent="0.3">
      <c r="S171" s="6"/>
    </row>
    <row r="172" spans="1:19" ht="14.4" x14ac:dyDescent="0.3">
      <c r="S172" s="6"/>
    </row>
    <row r="173" spans="1:19" ht="14.4" x14ac:dyDescent="0.3">
      <c r="S173" s="6"/>
    </row>
    <row r="174" spans="1:19" ht="14.4" x14ac:dyDescent="0.3">
      <c r="S174" s="6"/>
    </row>
    <row r="175" spans="1:19" ht="14.4" x14ac:dyDescent="0.3">
      <c r="S175" s="6"/>
    </row>
    <row r="176" spans="1:19" ht="14.4" x14ac:dyDescent="0.3">
      <c r="S176" s="6"/>
    </row>
    <row r="177" spans="19:19" ht="14.4" x14ac:dyDescent="0.3">
      <c r="S177" s="6"/>
    </row>
    <row r="178" spans="19:19" ht="14.4" x14ac:dyDescent="0.3">
      <c r="S178" s="6"/>
    </row>
    <row r="179" spans="19:19" ht="14.4" x14ac:dyDescent="0.3">
      <c r="S179" s="6"/>
    </row>
    <row r="180" spans="19:19" ht="14.4" x14ac:dyDescent="0.3">
      <c r="S180" s="6"/>
    </row>
    <row r="181" spans="19:19" ht="14.4" x14ac:dyDescent="0.3">
      <c r="S181" s="6"/>
    </row>
    <row r="182" spans="19:19" ht="14.4" x14ac:dyDescent="0.3">
      <c r="S182" s="6"/>
    </row>
    <row r="183" spans="19:19" ht="14.4" x14ac:dyDescent="0.3">
      <c r="S183" s="6"/>
    </row>
    <row r="184" spans="19:19" ht="14.4" x14ac:dyDescent="0.3">
      <c r="S184" s="6"/>
    </row>
    <row r="185" spans="19:19" ht="14.4" x14ac:dyDescent="0.3">
      <c r="S185" s="6"/>
    </row>
    <row r="186" spans="19:19" ht="14.4" x14ac:dyDescent="0.3">
      <c r="S186" s="6"/>
    </row>
    <row r="187" spans="19:19" ht="14.4" x14ac:dyDescent="0.3">
      <c r="S187" s="6"/>
    </row>
    <row r="188" spans="19:19" ht="14.4" x14ac:dyDescent="0.3">
      <c r="S188" s="6"/>
    </row>
    <row r="189" spans="19:19" ht="14.4" x14ac:dyDescent="0.3">
      <c r="S189" s="6"/>
    </row>
    <row r="190" spans="19:19" ht="14.4" x14ac:dyDescent="0.3">
      <c r="S190" s="6"/>
    </row>
    <row r="191" spans="19:19" ht="14.4" x14ac:dyDescent="0.3">
      <c r="S191" s="6"/>
    </row>
    <row r="192" spans="19:19" ht="14.4" x14ac:dyDescent="0.3">
      <c r="S192" s="6"/>
    </row>
    <row r="193" spans="19:19" ht="14.4" x14ac:dyDescent="0.3">
      <c r="S193" s="6"/>
    </row>
    <row r="194" spans="19:19" ht="14.4" x14ac:dyDescent="0.3">
      <c r="S194" s="6"/>
    </row>
    <row r="195" spans="19:19" ht="14.4" x14ac:dyDescent="0.3">
      <c r="S195" s="6"/>
    </row>
    <row r="196" spans="19:19" ht="14.4" x14ac:dyDescent="0.3">
      <c r="S196" s="6"/>
    </row>
    <row r="197" spans="19:19" ht="14.4" x14ac:dyDescent="0.3">
      <c r="S197" s="6"/>
    </row>
    <row r="198" spans="19:19" ht="14.4" x14ac:dyDescent="0.3">
      <c r="S198" s="6"/>
    </row>
    <row r="199" spans="19:19" ht="14.4" x14ac:dyDescent="0.3">
      <c r="S199" s="6"/>
    </row>
    <row r="200" spans="19:19" ht="14.4" x14ac:dyDescent="0.3">
      <c r="S200" s="6"/>
    </row>
  </sheetData>
  <mergeCells count="1">
    <mergeCell ref="A3:B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showGridLines="0" workbookViewId="0">
      <pane ySplit="1" topLeftCell="A2" activePane="bottomLeft" state="frozen"/>
      <selection pane="bottomLeft" activeCell="B3" sqref="B3"/>
    </sheetView>
  </sheetViews>
  <sheetFormatPr baseColWidth="10" defaultColWidth="14.44140625" defaultRowHeight="15" customHeight="1" x14ac:dyDescent="0.3"/>
  <cols>
    <col min="1" max="1" width="10" customWidth="1"/>
    <col min="2" max="2" width="20" customWidth="1"/>
    <col min="3" max="3" width="18" customWidth="1"/>
    <col min="4" max="4" width="16" customWidth="1"/>
    <col min="5" max="5" width="18" customWidth="1"/>
    <col min="6" max="6" width="14" customWidth="1"/>
    <col min="7" max="7" width="16" customWidth="1"/>
    <col min="8" max="8" width="18" customWidth="1"/>
    <col min="9" max="10" width="16" customWidth="1"/>
    <col min="11" max="11" width="20" customWidth="1"/>
    <col min="12" max="12" width="46" customWidth="1"/>
    <col min="13" max="26" width="8.6640625" customWidth="1"/>
  </cols>
  <sheetData>
    <row r="1" spans="1:15" ht="55.2" x14ac:dyDescent="0.3">
      <c r="A1" s="7" t="s">
        <v>516</v>
      </c>
      <c r="B1" s="7" t="s">
        <v>517</v>
      </c>
      <c r="C1" s="7" t="s">
        <v>518</v>
      </c>
      <c r="D1" s="7" t="s">
        <v>519</v>
      </c>
      <c r="E1" s="7" t="s">
        <v>520</v>
      </c>
      <c r="F1" s="7" t="s">
        <v>521</v>
      </c>
      <c r="G1" s="7" t="s">
        <v>522</v>
      </c>
      <c r="H1" s="7" t="s">
        <v>523</v>
      </c>
      <c r="I1" s="7" t="s">
        <v>524</v>
      </c>
      <c r="J1" s="7" t="s">
        <v>525</v>
      </c>
      <c r="K1" s="7" t="s">
        <v>526</v>
      </c>
      <c r="L1" s="7" t="s">
        <v>527</v>
      </c>
      <c r="M1" t="s">
        <v>528</v>
      </c>
      <c r="N1" t="s">
        <v>529</v>
      </c>
      <c r="O1" t="s">
        <v>530</v>
      </c>
    </row>
    <row r="2" spans="1:15" ht="14.4" x14ac:dyDescent="0.3">
      <c r="A2" s="8" t="s">
        <v>531</v>
      </c>
      <c r="B2" s="90"/>
      <c r="C2" s="90">
        <v>0</v>
      </c>
      <c r="D2" s="90"/>
      <c r="E2" s="90"/>
      <c r="F2" s="90"/>
      <c r="G2" s="90"/>
      <c r="H2" s="91">
        <f>IFERROR(INDEX(Catalogo_Decisiones!$G$2:$G$69,MATCH($D2,Catalogo_Decisiones!$A$2:$A$69,0)),0)+IFERROR(INDEX(Catalogo_Decisiones!$G$2:$G$69,MATCH($E2,Catalogo_Decisiones!$A$2:$A$69,0)),0)+IFERROR(INDEX(Catalogo_Decisiones!$G$2:$G$69,MATCH($F2,Catalogo_Decisiones!$A$2:$A$69,0)),0)</f>
        <v>0</v>
      </c>
      <c r="I2" s="91">
        <f>MAX(0,MIN(10,IFERROR(INDEX(Catalogo_Decisiones!$H$2:$H$69,MATCH($D2,Catalogo_Decisiones!$A$2:$A$69,0)),0)+IFERROR(INDEX(Catalogo_Decisiones!$H$2:$H$69,MATCH($E2,Catalogo_Decisiones!$A$2:$A$69,0)),0)+IFERROR(INDEX(Catalogo_Decisiones!$H$2:$H$69,MATCH($F2,Catalogo_Decisiones!$A$2:$A$69,0)),0)+IFERROR(INDEX(Catalogo_Decisiones!$H$2:$H$69,MATCH($G2,Catalogo_Decisiones!$A$2:$A$69,0)),0)))</f>
        <v>0</v>
      </c>
      <c r="J2" s="91">
        <f>IF(B2="SEG-03",7,IF(B2="SEG-02",4,0))</f>
        <v>0</v>
      </c>
      <c r="K2" s="94" t="str">
        <f>IF(B2="","",IF(I2&gt;=J2,"Coherente","No alcanza el segmento"))</f>
        <v/>
      </c>
      <c r="L2" s="94" t="str">
        <f>IF(B2="","Elige un segmento y los insumos del lote",IF(K2="Coherente","Este lote cumple con la calidad esperada para su segmento. Los clientes perciben el valor y el precio se sostiene.","Este lote no alcanza la calidad que su segmento promete. Los clientes se sienten enganados: baja el precio efectivo y la reputacion."))</f>
        <v>Elige un segmento y los insumos del lote</v>
      </c>
      <c r="M2">
        <v>42.5</v>
      </c>
      <c r="N2" t="str">
        <f>IF(B2="","",IF(AND(M2&gt;=IF(B2="SEG-01",40,IF(B2="SEG-02",120,220)),M2&lt;=IF(B2="SEG-01",45,IF(B2="SEG-02",200,400))),"Válido","Fuera de rango"))</f>
        <v/>
      </c>
      <c r="O2">
        <f>M2*IF(B2="SEG-03",IF(I2&lt;7,0.65,1.4),1)</f>
        <v>42.5</v>
      </c>
    </row>
    <row r="3" spans="1:15" ht="14.4" x14ac:dyDescent="0.3">
      <c r="A3" s="8" t="s">
        <v>532</v>
      </c>
      <c r="B3" s="90"/>
      <c r="C3" s="90">
        <v>0</v>
      </c>
      <c r="D3" s="90"/>
      <c r="E3" s="90"/>
      <c r="F3" s="90"/>
      <c r="G3" s="90"/>
      <c r="H3" s="91">
        <f>IFERROR(INDEX(Catalogo_Decisiones!$G$2:$G$69,MATCH($D3,Catalogo_Decisiones!$A$2:$A$69,0)),0)+IFERROR(INDEX(Catalogo_Decisiones!$G$2:$G$69,MATCH($E3,Catalogo_Decisiones!$A$2:$A$69,0)),0)+IFERROR(INDEX(Catalogo_Decisiones!$G$2:$G$69,MATCH($F3,Catalogo_Decisiones!$A$2:$A$69,0)),0)</f>
        <v>0</v>
      </c>
      <c r="I3" s="91">
        <f>MAX(0,MIN(10,IFERROR(INDEX(Catalogo_Decisiones!$H$2:$H$69,MATCH($D3,Catalogo_Decisiones!$A$2:$A$69,0)),0)+IFERROR(INDEX(Catalogo_Decisiones!$H$2:$H$69,MATCH($E3,Catalogo_Decisiones!$A$2:$A$69,0)),0)+IFERROR(INDEX(Catalogo_Decisiones!$H$2:$H$69,MATCH($F3,Catalogo_Decisiones!$A$2:$A$69,0)),0)+IFERROR(INDEX(Catalogo_Decisiones!$H$2:$H$69,MATCH($G3,Catalogo_Decisiones!$A$2:$A$69,0)),0)))</f>
        <v>0</v>
      </c>
      <c r="J3" s="91">
        <f>IF(B3="SEG-03",7,IF(B3="SEG-02",4,0))</f>
        <v>0</v>
      </c>
      <c r="K3" s="94" t="str">
        <f>IF(B3="","",IF(I3&gt;=J3,"Coherente","No alcanza el segmento"))</f>
        <v/>
      </c>
      <c r="L3" s="94" t="str">
        <f>IF(B3="","Elige un segmento y los insumos del lote",IF(K3="Coherente","Este lote cumple con la calidad esperada para su segmento. Los clientes perciben el valor y el precio se sostiene.","Este lote no alcanza la calidad que su segmento promete. Los clientes se sienten enganados: baja el precio efectivo y la reputacion."))</f>
        <v>Elige un segmento y los insumos del lote</v>
      </c>
      <c r="M3">
        <v>160</v>
      </c>
      <c r="N3" t="str">
        <f>IF(B3="","",IF(AND(M3&gt;=IF(B3="SEG-01",40,IF(B3="SEG-02",120,220)),M3&lt;=IF(B3="SEG-01",45,IF(B3="SEG-02",200,400))),"Válido","Fuera de rango"))</f>
        <v/>
      </c>
      <c r="O3">
        <f>M3*IF(B3="SEG-03",IF(I3&lt;7,0.65,1.4),1)</f>
        <v>160</v>
      </c>
    </row>
    <row r="4" spans="1:15" ht="14.4" x14ac:dyDescent="0.3">
      <c r="A4" s="8" t="s">
        <v>533</v>
      </c>
      <c r="B4" s="90"/>
      <c r="C4" s="90">
        <v>0</v>
      </c>
      <c r="D4" s="90"/>
      <c r="E4" s="90"/>
      <c r="F4" s="90"/>
      <c r="G4" s="90"/>
      <c r="H4" s="91">
        <f>IFERROR(INDEX(Catalogo_Decisiones!$G$2:$G$69,MATCH($D4,Catalogo_Decisiones!$A$2:$A$69,0)),0)+IFERROR(INDEX(Catalogo_Decisiones!$G$2:$G$69,MATCH($E4,Catalogo_Decisiones!$A$2:$A$69,0)),0)+IFERROR(INDEX(Catalogo_Decisiones!$G$2:$G$69,MATCH($F4,Catalogo_Decisiones!$A$2:$A$69,0)),0)</f>
        <v>0</v>
      </c>
      <c r="I4" s="91">
        <f>MAX(0,MIN(10,IFERROR(INDEX(Catalogo_Decisiones!$H$2:$H$69,MATCH($D4,Catalogo_Decisiones!$A$2:$A$69,0)),0)+IFERROR(INDEX(Catalogo_Decisiones!$H$2:$H$69,MATCH($E4,Catalogo_Decisiones!$A$2:$A$69,0)),0)+IFERROR(INDEX(Catalogo_Decisiones!$H$2:$H$69,MATCH($F4,Catalogo_Decisiones!$A$2:$A$69,0)),0)+IFERROR(INDEX(Catalogo_Decisiones!$H$2:$H$69,MATCH($G4,Catalogo_Decisiones!$A$2:$A$69,0)),0)))</f>
        <v>0</v>
      </c>
      <c r="J4" s="91">
        <f>IF(B4="SEG-03",7,IF(B4="SEG-02",4,0))</f>
        <v>0</v>
      </c>
      <c r="K4" s="94" t="str">
        <f>IF(B4="","",IF(I4&gt;=J4,"Coherente","No alcanza el segmento"))</f>
        <v/>
      </c>
      <c r="L4" s="94" t="str">
        <f>IF(B4="","Elige un segmento y los insumos del lote",IF(K4="Coherente","Este lote cumple con la calidad esperada para su segmento. Los clientes perciben el valor y el precio se sostiene.","Este lote no alcanza la calidad que su segmento promete. Los clientes se sienten enganados: baja el precio efectivo y la reputacion."))</f>
        <v>Elige un segmento y los insumos del lote</v>
      </c>
      <c r="M4">
        <v>250</v>
      </c>
      <c r="N4" t="str">
        <f>IF(B4="","",IF(AND(M4&gt;=IF(B4="SEG-01",40,IF(B4="SEG-02",120,220)),M4&lt;=IF(B4="SEG-01",45,IF(B4="SEG-02",200,400))),"Válido","Fuera de rango"))</f>
        <v/>
      </c>
      <c r="O4">
        <f>M4*IF(B4="SEG-03",IF(I4&lt;7,0.65,1.4),1)</f>
        <v>250</v>
      </c>
    </row>
    <row r="5" spans="1:15" ht="14.4" x14ac:dyDescent="0.3">
      <c r="A5" s="8" t="s">
        <v>534</v>
      </c>
      <c r="B5" s="107"/>
      <c r="C5" s="110">
        <f>SUM(C2:C4)</f>
        <v>0</v>
      </c>
      <c r="D5" s="107"/>
      <c r="E5" s="107"/>
      <c r="F5" s="107"/>
      <c r="G5" s="107"/>
      <c r="H5" s="110">
        <f>SUMPRODUCT(C2:C4,H2:H4)</f>
        <v>0</v>
      </c>
      <c r="I5" s="107"/>
      <c r="J5" s="107"/>
      <c r="K5" s="107"/>
      <c r="L5" s="107"/>
    </row>
    <row r="6" spans="1:15" ht="14.4" x14ac:dyDescent="0.3"/>
    <row r="7" spans="1:15" ht="14.4" x14ac:dyDescent="0.3">
      <c r="A7" s="111" t="s">
        <v>535</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6">
    <dataValidation type="list" allowBlank="1" sqref="G2:G4" xr:uid="{00000000-0002-0000-0700-000000000000}">
      <formula1>"INF-08,INF-09,INF-10"</formula1>
    </dataValidation>
    <dataValidation type="list" allowBlank="1" sqref="F2:F4" xr:uid="{00000000-0002-0000-0700-000001000000}">
      <formula1>"INS-06,INS-07,INS-08"</formula1>
    </dataValidation>
    <dataValidation type="list" allowBlank="1" sqref="B2:B4" xr:uid="{00000000-0002-0000-0700-000002000000}">
      <formula1>"SEG-01,SEG-02,SEG-03"</formula1>
    </dataValidation>
    <dataValidation type="list" allowBlank="1" sqref="E2:E4" xr:uid="{00000000-0002-0000-0700-000003000000}">
      <formula1>"INS-04,INS-05"</formula1>
    </dataValidation>
    <dataValidation type="list" allowBlank="1" sqref="D2:D4" xr:uid="{00000000-0002-0000-0700-000004000000}">
      <formula1>"INS-01,INS-02,INS-03"</formula1>
    </dataValidation>
    <dataValidation type="custom" showErrorMessage="1" errorTitle="Precio fuera de rango" error="Económico40–45; Medio120–200; Premium220–400" sqref="M2:M4" xr:uid="{00000000-0002-0000-0700-000005000000}">
      <formula1>AND(M2&gt;=IF(B2="SEG-01",40,IF(B2="SEG-02",120,220)),M2&lt;=IF(B2="SEG-01",45,IF(B2="SEG-02",200,400)))</formula1>
    </dataValidation>
  </dataValidations>
  <pageMargins left="0.75" right="0.75" top="1" bottom="1"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00"/>
  <sheetViews>
    <sheetView showGridLines="0" workbookViewId="0"/>
  </sheetViews>
  <sheetFormatPr baseColWidth="10" defaultColWidth="14.44140625" defaultRowHeight="15" customHeight="1" x14ac:dyDescent="0.3"/>
  <cols>
    <col min="1" max="1" width="30" customWidth="1"/>
    <col min="2" max="2" width="22" customWidth="1"/>
    <col min="3" max="3" width="24" customWidth="1"/>
    <col min="4" max="4" width="18" customWidth="1"/>
    <col min="5" max="26" width="8.6640625" customWidth="1"/>
  </cols>
  <sheetData>
    <row r="1" spans="1:4" ht="27.6" x14ac:dyDescent="0.3">
      <c r="A1" s="7" t="s">
        <v>536</v>
      </c>
      <c r="B1" s="7" t="s">
        <v>537</v>
      </c>
      <c r="C1" s="7" t="s">
        <v>538</v>
      </c>
      <c r="D1" s="7" t="s">
        <v>539</v>
      </c>
    </row>
    <row r="2" spans="1:4" ht="14.4" x14ac:dyDescent="0.3">
      <c r="A2" s="140" t="s">
        <v>540</v>
      </c>
    </row>
    <row r="3" spans="1:4" ht="14.4" x14ac:dyDescent="0.3">
      <c r="A3" s="9" t="s">
        <v>541</v>
      </c>
      <c r="B3" s="18">
        <f>Lotes_Produccion!I2</f>
        <v>0</v>
      </c>
      <c r="C3" s="9" t="str">
        <f>IF(Lotes_Produccion!B2="","","Segmento: "&amp;Lotes_Produccion!B2)</f>
        <v/>
      </c>
      <c r="D3" s="9" t="str">
        <f>Lotes_Produccion!K2</f>
        <v/>
      </c>
    </row>
    <row r="4" spans="1:4" ht="14.4" x14ac:dyDescent="0.3">
      <c r="A4" s="9" t="s">
        <v>542</v>
      </c>
      <c r="B4" s="18">
        <f>Lotes_Produccion!I3</f>
        <v>0</v>
      </c>
      <c r="C4" s="9" t="str">
        <f>IF(Lotes_Produccion!B3="","","Segmento: "&amp;Lotes_Produccion!B3)</f>
        <v/>
      </c>
      <c r="D4" s="9" t="str">
        <f>Lotes_Produccion!K3</f>
        <v/>
      </c>
    </row>
    <row r="5" spans="1:4" ht="14.4" x14ac:dyDescent="0.3">
      <c r="A5" s="9" t="s">
        <v>543</v>
      </c>
      <c r="B5" s="18">
        <f>Lotes_Produccion!I4</f>
        <v>0</v>
      </c>
      <c r="C5" s="9" t="str">
        <f>IF(Lotes_Produccion!B4="","","Segmento: "&amp;Lotes_Produccion!B4)</f>
        <v/>
      </c>
      <c r="D5" s="9" t="str">
        <f>Lotes_Produccion!K4</f>
        <v/>
      </c>
    </row>
    <row r="6" spans="1:4" ht="14.4" x14ac:dyDescent="0.3">
      <c r="A6" s="8" t="s">
        <v>544</v>
      </c>
      <c r="B6" s="110">
        <f>IFERROR(SUMPRODUCT(Lotes_Produccion!C2:C4,Lotes_Produccion!I2:I4)/SUM(Lotes_Produccion!C2:C4),0)</f>
        <v>0</v>
      </c>
      <c r="C6" s="8" t="s">
        <v>545</v>
      </c>
      <c r="D6" s="8" t="str">
        <f>IF(B6&gt;=7,"Alto",IF(B6&gt;=4,"Medio","Bajo"))</f>
        <v>Bajo</v>
      </c>
    </row>
    <row r="7" spans="1:4" ht="14.4" x14ac:dyDescent="0.3"/>
    <row r="8" spans="1:4" ht="14.4" x14ac:dyDescent="0.3">
      <c r="A8" s="140" t="s">
        <v>546</v>
      </c>
    </row>
    <row r="9" spans="1:4" ht="14.4" x14ac:dyDescent="0.3">
      <c r="A9" s="8" t="s">
        <v>547</v>
      </c>
      <c r="B9" s="18">
        <f>MAX(0,MIN(10,SUM(Seleccion_Ciclo0!G2:G15,Seleccion_Ciclo0!G24:G27)))</f>
        <v>0</v>
      </c>
      <c r="C9" s="9" t="s">
        <v>545</v>
      </c>
      <c r="D9" s="9" t="str">
        <f>IF(B9&gt;=7,"Alto",IF(B9&gt;=4,"Medio","Bajo"))</f>
        <v>Bajo</v>
      </c>
    </row>
    <row r="10" spans="1:4" ht="14.4" x14ac:dyDescent="0.3">
      <c r="A10" s="8" t="s">
        <v>548</v>
      </c>
      <c r="B10" s="18">
        <f>MAX(0,MIN(10,SUM(Seleccion_Ciclo0!H2:H15,Seleccion_Ciclo0!H24:H27)))</f>
        <v>0</v>
      </c>
      <c r="C10" s="9" t="s">
        <v>545</v>
      </c>
      <c r="D10" s="9" t="str">
        <f>IF(B10&gt;=7,"Alto",IF(B10&gt;=4,"Medio","Bajo"))</f>
        <v>Bajo</v>
      </c>
    </row>
    <row r="11" spans="1:4" ht="14.4" x14ac:dyDescent="0.3">
      <c r="A11" s="8" t="s">
        <v>549</v>
      </c>
      <c r="B11" s="18">
        <f>MAX(0,MIN(10,SUM(Seleccion_Ciclo0!I2:I15,Seleccion_Ciclo0!I24:I27)))</f>
        <v>0</v>
      </c>
      <c r="C11" s="9" t="s">
        <v>545</v>
      </c>
      <c r="D11" s="9" t="str">
        <f>IF(B11&gt;=7,"Alto",IF(B11&gt;=4,"Medio","Bajo"))</f>
        <v>Bajo</v>
      </c>
    </row>
    <row r="12" spans="1:4" ht="14.4" x14ac:dyDescent="0.3"/>
    <row r="13" spans="1:4" ht="14.4" x14ac:dyDescent="0.3">
      <c r="A13" s="111" t="s">
        <v>550</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00"/>
  <sheetViews>
    <sheetView showGridLines="0" workbookViewId="0">
      <pane ySplit="1" topLeftCell="A2" activePane="bottomLeft" state="frozen"/>
      <selection pane="bottomLeft" activeCell="B3" sqref="B3"/>
    </sheetView>
  </sheetViews>
  <sheetFormatPr baseColWidth="10" defaultColWidth="14.44140625" defaultRowHeight="15" customHeight="1" x14ac:dyDescent="0.3"/>
  <cols>
    <col min="1" max="1" width="10" customWidth="1"/>
    <col min="2" max="2" width="20" customWidth="1"/>
    <col min="3" max="3" width="34" customWidth="1"/>
    <col min="4" max="4" width="38" customWidth="1"/>
    <col min="5" max="5" width="55" customWidth="1"/>
    <col min="6" max="26" width="8.6640625" customWidth="1"/>
  </cols>
  <sheetData>
    <row r="1" spans="1:5" ht="14.4" x14ac:dyDescent="0.3">
      <c r="A1" s="7" t="s">
        <v>551</v>
      </c>
      <c r="B1" s="7" t="s">
        <v>552</v>
      </c>
      <c r="C1" s="7" t="s">
        <v>553</v>
      </c>
      <c r="D1" s="7" t="s">
        <v>554</v>
      </c>
      <c r="E1" s="7" t="s">
        <v>555</v>
      </c>
    </row>
    <row r="2" spans="1:5" ht="39.6" x14ac:dyDescent="0.3">
      <c r="A2" s="145" t="s">
        <v>556</v>
      </c>
      <c r="B2" s="145" t="s">
        <v>557</v>
      </c>
      <c r="C2" s="145" t="s">
        <v>558</v>
      </c>
      <c r="D2" s="145" t="s">
        <v>559</v>
      </c>
      <c r="E2" s="145" t="s">
        <v>560</v>
      </c>
    </row>
    <row r="3" spans="1:5" ht="26.4" x14ac:dyDescent="0.3">
      <c r="A3" s="145" t="s">
        <v>561</v>
      </c>
      <c r="B3" s="145" t="s">
        <v>557</v>
      </c>
      <c r="C3" s="145" t="s">
        <v>562</v>
      </c>
      <c r="D3" s="145" t="s">
        <v>563</v>
      </c>
      <c r="E3" s="145" t="s">
        <v>564</v>
      </c>
    </row>
    <row r="4" spans="1:5" ht="26.4" x14ac:dyDescent="0.3">
      <c r="A4" s="145" t="s">
        <v>565</v>
      </c>
      <c r="B4" s="145" t="s">
        <v>337</v>
      </c>
      <c r="C4" s="145" t="s">
        <v>566</v>
      </c>
      <c r="D4" s="145" t="s">
        <v>567</v>
      </c>
      <c r="E4" s="145" t="s">
        <v>568</v>
      </c>
    </row>
    <row r="5" spans="1:5" ht="26.4" x14ac:dyDescent="0.3">
      <c r="A5" s="145" t="s">
        <v>569</v>
      </c>
      <c r="B5" s="145" t="s">
        <v>389</v>
      </c>
      <c r="C5" s="145" t="s">
        <v>570</v>
      </c>
      <c r="D5" s="145" t="s">
        <v>571</v>
      </c>
      <c r="E5" s="145" t="s">
        <v>572</v>
      </c>
    </row>
    <row r="6" spans="1:5" ht="26.4" x14ac:dyDescent="0.3">
      <c r="A6" s="145" t="s">
        <v>573</v>
      </c>
      <c r="B6" s="145" t="s">
        <v>574</v>
      </c>
      <c r="C6" s="145" t="s">
        <v>575</v>
      </c>
      <c r="D6" s="145" t="s">
        <v>576</v>
      </c>
      <c r="E6" s="145" t="s">
        <v>577</v>
      </c>
    </row>
    <row r="7" spans="1:5" ht="26.4" x14ac:dyDescent="0.3">
      <c r="A7" s="145" t="s">
        <v>578</v>
      </c>
      <c r="B7" s="145" t="s">
        <v>579</v>
      </c>
      <c r="C7" s="145" t="s">
        <v>580</v>
      </c>
      <c r="D7" s="145" t="s">
        <v>581</v>
      </c>
      <c r="E7" s="145" t="s">
        <v>582</v>
      </c>
    </row>
    <row r="8" spans="1:5" ht="26.4" x14ac:dyDescent="0.3">
      <c r="A8" s="145" t="s">
        <v>583</v>
      </c>
      <c r="B8" s="145" t="s">
        <v>584</v>
      </c>
      <c r="C8" s="145" t="s">
        <v>585</v>
      </c>
      <c r="D8" s="145" t="s">
        <v>586</v>
      </c>
      <c r="E8" s="145" t="s">
        <v>587</v>
      </c>
    </row>
    <row r="9" spans="1:5" ht="26.4" x14ac:dyDescent="0.3">
      <c r="A9" s="145" t="s">
        <v>588</v>
      </c>
      <c r="B9" s="145" t="s">
        <v>337</v>
      </c>
      <c r="C9" s="145" t="s">
        <v>589</v>
      </c>
      <c r="D9" s="145" t="s">
        <v>590</v>
      </c>
      <c r="E9" s="145" t="s">
        <v>591</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7"/>
  <sheetViews>
    <sheetView workbookViewId="0">
      <pane ySplit="1" topLeftCell="A2" activePane="bottomLeft" state="frozen"/>
      <selection pane="bottomLeft"/>
    </sheetView>
  </sheetViews>
  <sheetFormatPr baseColWidth="10" defaultColWidth="8.88671875" defaultRowHeight="14.4" x14ac:dyDescent="0.3"/>
  <cols>
    <col min="1" max="2" width="24" customWidth="1"/>
    <col min="3" max="4" width="80" customWidth="1"/>
  </cols>
  <sheetData>
    <row r="1" spans="1:4" x14ac:dyDescent="0.3">
      <c r="A1" s="152" t="s">
        <v>551</v>
      </c>
      <c r="B1" s="152" t="s">
        <v>592</v>
      </c>
      <c r="C1" s="152" t="s">
        <v>593</v>
      </c>
      <c r="D1" s="152" t="s">
        <v>594</v>
      </c>
    </row>
    <row r="2" spans="1:4" x14ac:dyDescent="0.3">
      <c r="A2" s="153" t="s">
        <v>595</v>
      </c>
      <c r="B2" s="153" t="s">
        <v>596</v>
      </c>
      <c r="C2" s="153" t="s">
        <v>597</v>
      </c>
      <c r="D2" s="153" t="s">
        <v>598</v>
      </c>
    </row>
    <row r="3" spans="1:4" x14ac:dyDescent="0.3">
      <c r="A3" s="153" t="s">
        <v>599</v>
      </c>
      <c r="B3" s="153" t="s">
        <v>600</v>
      </c>
      <c r="C3" s="153" t="s">
        <v>601</v>
      </c>
      <c r="D3" s="153" t="s">
        <v>602</v>
      </c>
    </row>
    <row r="4" spans="1:4" x14ac:dyDescent="0.3">
      <c r="A4" s="153" t="s">
        <v>603</v>
      </c>
      <c r="B4" s="153" t="s">
        <v>604</v>
      </c>
      <c r="C4" s="153" t="s">
        <v>605</v>
      </c>
      <c r="D4" s="153" t="s">
        <v>606</v>
      </c>
    </row>
    <row r="5" spans="1:4" x14ac:dyDescent="0.3">
      <c r="A5" s="153" t="s">
        <v>607</v>
      </c>
      <c r="B5" s="153" t="s">
        <v>608</v>
      </c>
      <c r="C5" s="153" t="s">
        <v>609</v>
      </c>
      <c r="D5" s="153" t="s">
        <v>610</v>
      </c>
    </row>
    <row r="6" spans="1:4" x14ac:dyDescent="0.3">
      <c r="A6" s="153" t="s">
        <v>611</v>
      </c>
      <c r="B6" s="153" t="s">
        <v>612</v>
      </c>
      <c r="C6" s="153" t="s">
        <v>613</v>
      </c>
      <c r="D6" s="153" t="s">
        <v>610</v>
      </c>
    </row>
    <row r="7" spans="1:4" x14ac:dyDescent="0.3">
      <c r="A7" s="153" t="s">
        <v>614</v>
      </c>
      <c r="B7" s="153" t="s">
        <v>615</v>
      </c>
      <c r="C7" s="153" t="s">
        <v>616</v>
      </c>
      <c r="D7" s="153" t="s">
        <v>617</v>
      </c>
    </row>
    <row r="8" spans="1:4" x14ac:dyDescent="0.3">
      <c r="A8" s="153" t="s">
        <v>618</v>
      </c>
      <c r="B8" s="153" t="s">
        <v>619</v>
      </c>
      <c r="C8" s="153" t="s">
        <v>620</v>
      </c>
      <c r="D8" s="153" t="s">
        <v>621</v>
      </c>
    </row>
    <row r="9" spans="1:4" x14ac:dyDescent="0.3">
      <c r="A9" s="153" t="s">
        <v>622</v>
      </c>
      <c r="B9" s="153" t="s">
        <v>623</v>
      </c>
      <c r="C9" s="153" t="s">
        <v>624</v>
      </c>
      <c r="D9" s="153" t="s">
        <v>625</v>
      </c>
    </row>
    <row r="10" spans="1:4" x14ac:dyDescent="0.3">
      <c r="A10" s="153" t="s">
        <v>626</v>
      </c>
      <c r="B10" s="153" t="s">
        <v>627</v>
      </c>
      <c r="C10" s="153" t="s">
        <v>628</v>
      </c>
      <c r="D10" s="153" t="s">
        <v>629</v>
      </c>
    </row>
    <row r="11" spans="1:4" x14ac:dyDescent="0.3">
      <c r="A11" s="153" t="s">
        <v>626</v>
      </c>
      <c r="B11" s="153" t="s">
        <v>630</v>
      </c>
      <c r="C11" s="153" t="s">
        <v>631</v>
      </c>
      <c r="D11" s="153" t="s">
        <v>632</v>
      </c>
    </row>
    <row r="12" spans="1:4" x14ac:dyDescent="0.3">
      <c r="A12" s="153" t="s">
        <v>633</v>
      </c>
      <c r="B12" s="153" t="s">
        <v>634</v>
      </c>
      <c r="C12" s="153" t="s">
        <v>635</v>
      </c>
      <c r="D12" s="153" t="s">
        <v>636</v>
      </c>
    </row>
    <row r="13" spans="1:4" x14ac:dyDescent="0.3">
      <c r="A13" s="153" t="s">
        <v>633</v>
      </c>
      <c r="B13" s="153" t="s">
        <v>637</v>
      </c>
      <c r="C13" s="153" t="s">
        <v>638</v>
      </c>
      <c r="D13" s="153" t="s">
        <v>639</v>
      </c>
    </row>
    <row r="14" spans="1:4" x14ac:dyDescent="0.3">
      <c r="A14" s="153" t="s">
        <v>633</v>
      </c>
      <c r="B14" s="153" t="s">
        <v>640</v>
      </c>
      <c r="C14" s="153" t="s">
        <v>641</v>
      </c>
      <c r="D14" s="153" t="s">
        <v>642</v>
      </c>
    </row>
    <row r="15" spans="1:4" x14ac:dyDescent="0.3">
      <c r="A15" s="153" t="s">
        <v>633</v>
      </c>
      <c r="B15" s="153" t="s">
        <v>643</v>
      </c>
      <c r="C15" s="153" t="s">
        <v>644</v>
      </c>
      <c r="D15" s="153" t="s">
        <v>645</v>
      </c>
    </row>
    <row r="16" spans="1:4" x14ac:dyDescent="0.3">
      <c r="A16" s="153" t="s">
        <v>633</v>
      </c>
      <c r="B16" s="153" t="s">
        <v>46</v>
      </c>
      <c r="C16" s="153" t="s">
        <v>646</v>
      </c>
      <c r="D16" s="153" t="s">
        <v>647</v>
      </c>
    </row>
    <row r="17" spans="1:4" x14ac:dyDescent="0.3">
      <c r="A17" s="153" t="s">
        <v>633</v>
      </c>
      <c r="B17" s="153" t="s">
        <v>468</v>
      </c>
      <c r="C17" s="153" t="s">
        <v>648</v>
      </c>
      <c r="D17" s="153" t="s">
        <v>649</v>
      </c>
    </row>
    <row r="18" spans="1:4" x14ac:dyDescent="0.3">
      <c r="A18" s="153" t="s">
        <v>633</v>
      </c>
      <c r="B18" s="153" t="s">
        <v>47</v>
      </c>
      <c r="C18" s="153" t="s">
        <v>650</v>
      </c>
      <c r="D18" s="153" t="s">
        <v>651</v>
      </c>
    </row>
    <row r="19" spans="1:4" x14ac:dyDescent="0.3">
      <c r="A19" s="153" t="s">
        <v>633</v>
      </c>
      <c r="B19" s="153" t="s">
        <v>652</v>
      </c>
      <c r="C19" s="153" t="s">
        <v>653</v>
      </c>
      <c r="D19" s="153" t="s">
        <v>654</v>
      </c>
    </row>
    <row r="20" spans="1:4" x14ac:dyDescent="0.3">
      <c r="A20" s="153" t="s">
        <v>633</v>
      </c>
      <c r="B20" s="153" t="s">
        <v>11</v>
      </c>
      <c r="C20" s="153" t="s">
        <v>655</v>
      </c>
      <c r="D20" s="153" t="s">
        <v>656</v>
      </c>
    </row>
    <row r="21" spans="1:4" x14ac:dyDescent="0.3">
      <c r="A21" s="153" t="s">
        <v>633</v>
      </c>
      <c r="B21" s="153" t="s">
        <v>657</v>
      </c>
      <c r="C21" s="153" t="s">
        <v>658</v>
      </c>
      <c r="D21" s="153" t="s">
        <v>659</v>
      </c>
    </row>
    <row r="22" spans="1:4" x14ac:dyDescent="0.3">
      <c r="A22" s="153" t="s">
        <v>622</v>
      </c>
      <c r="B22" s="153" t="s">
        <v>660</v>
      </c>
      <c r="C22" s="153" t="s">
        <v>661</v>
      </c>
      <c r="D22" s="153" t="s">
        <v>662</v>
      </c>
    </row>
    <row r="23" spans="1:4" x14ac:dyDescent="0.3">
      <c r="A23" s="153" t="s">
        <v>633</v>
      </c>
      <c r="B23" s="153" t="s">
        <v>663</v>
      </c>
      <c r="C23" s="153" t="s">
        <v>664</v>
      </c>
      <c r="D23" s="153" t="s">
        <v>665</v>
      </c>
    </row>
    <row r="24" spans="1:4" x14ac:dyDescent="0.3">
      <c r="A24" s="153" t="s">
        <v>666</v>
      </c>
      <c r="B24" s="153" t="s">
        <v>667</v>
      </c>
      <c r="C24" s="153" t="s">
        <v>668</v>
      </c>
      <c r="D24" s="153" t="s">
        <v>669</v>
      </c>
    </row>
    <row r="25" spans="1:4" x14ac:dyDescent="0.3">
      <c r="A25" s="153" t="s">
        <v>670</v>
      </c>
      <c r="B25" s="153" t="s">
        <v>671</v>
      </c>
      <c r="C25" s="153" t="s">
        <v>672</v>
      </c>
      <c r="D25" s="153" t="s">
        <v>669</v>
      </c>
    </row>
    <row r="26" spans="1:4" x14ac:dyDescent="0.3">
      <c r="A26" s="153" t="s">
        <v>673</v>
      </c>
      <c r="B26" s="153" t="s">
        <v>674</v>
      </c>
      <c r="C26" s="153" t="s">
        <v>675</v>
      </c>
      <c r="D26" s="153" t="s">
        <v>669</v>
      </c>
    </row>
    <row r="27" spans="1:4" x14ac:dyDescent="0.3">
      <c r="A27" s="153" t="s">
        <v>676</v>
      </c>
      <c r="B27" s="153" t="s">
        <v>677</v>
      </c>
      <c r="C27" s="153" t="s">
        <v>678</v>
      </c>
      <c r="D27" s="153" t="s">
        <v>679</v>
      </c>
    </row>
  </sheetData>
  <autoFilter ref="A1:D27"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37"/>
  <sheetViews>
    <sheetView workbookViewId="0">
      <pane ySplit="1" topLeftCell="A2" activePane="bottomLeft" state="frozen"/>
      <selection pane="bottomLeft"/>
    </sheetView>
  </sheetViews>
  <sheetFormatPr baseColWidth="10" defaultColWidth="8.88671875" defaultRowHeight="14.4" x14ac:dyDescent="0.3"/>
  <cols>
    <col min="1" max="24" width="24" customWidth="1"/>
  </cols>
  <sheetData>
    <row r="1" spans="1:24" x14ac:dyDescent="0.3">
      <c r="A1" s="152" t="s">
        <v>680</v>
      </c>
      <c r="B1" s="152" t="s">
        <v>681</v>
      </c>
      <c r="C1" s="152" t="s">
        <v>682</v>
      </c>
      <c r="D1" s="152" t="s">
        <v>683</v>
      </c>
      <c r="E1" s="152" t="s">
        <v>684</v>
      </c>
      <c r="F1" s="152" t="s">
        <v>685</v>
      </c>
      <c r="G1" s="152" t="s">
        <v>686</v>
      </c>
      <c r="H1" s="152" t="s">
        <v>687</v>
      </c>
      <c r="I1" s="152" t="s">
        <v>688</v>
      </c>
      <c r="J1" s="152" t="s">
        <v>689</v>
      </c>
      <c r="K1" s="152" t="s">
        <v>690</v>
      </c>
      <c r="L1" s="152" t="s">
        <v>691</v>
      </c>
      <c r="M1" s="152" t="s">
        <v>692</v>
      </c>
      <c r="N1" s="152" t="s">
        <v>693</v>
      </c>
      <c r="O1" s="152" t="s">
        <v>694</v>
      </c>
      <c r="P1" s="152" t="s">
        <v>695</v>
      </c>
      <c r="Q1" s="152" t="s">
        <v>696</v>
      </c>
      <c r="R1" s="152" t="s">
        <v>697</v>
      </c>
      <c r="S1" s="152" t="s">
        <v>698</v>
      </c>
      <c r="T1" s="152" t="s">
        <v>699</v>
      </c>
      <c r="U1" s="152" t="s">
        <v>700</v>
      </c>
      <c r="V1" s="152" t="s">
        <v>701</v>
      </c>
      <c r="W1" s="152" t="s">
        <v>702</v>
      </c>
      <c r="X1" s="152" t="s">
        <v>703</v>
      </c>
    </row>
    <row r="2" spans="1:24" x14ac:dyDescent="0.3">
      <c r="A2" s="153" t="s">
        <v>704</v>
      </c>
      <c r="B2" s="153" t="s">
        <v>705</v>
      </c>
      <c r="C2" s="153" t="s">
        <v>72</v>
      </c>
      <c r="D2" s="153">
        <v>40</v>
      </c>
      <c r="E2" s="153">
        <v>7</v>
      </c>
      <c r="F2" s="153">
        <v>8</v>
      </c>
      <c r="G2" s="153">
        <v>1000</v>
      </c>
      <c r="H2" s="153">
        <v>100</v>
      </c>
      <c r="I2" s="153">
        <v>0</v>
      </c>
      <c r="J2" s="153">
        <v>0.7</v>
      </c>
      <c r="K2" s="153">
        <v>0.2</v>
      </c>
      <c r="L2" s="153">
        <v>0.1</v>
      </c>
      <c r="M2" s="153">
        <v>3500</v>
      </c>
      <c r="N2" s="153">
        <v>0</v>
      </c>
      <c r="O2" s="153">
        <f>IF(H2&lt;=0,0,MAX(0,MIN(100,IF(C2="SEG-01",IF(MAX(IF($H$2&gt;0,$D$2,-1E+99),IF($H$3&gt;0,$D$3,-1E+99),IF($H$4&gt;0,$D$4,-1E+99),IF($H$5&gt;0,$D$5,-1E+99))=MIN(IF($H$2&gt;0,$D$2,1E+99),IF($H$3&gt;0,$D$3,1E+99),IF($H$4&gt;0,$D$4,1E+99),IF($H$5&gt;0,$D$5,1E+99)),100,100*(MAX(IF($H$2&gt;0,$D$2,-1E+99),IF($H$3&gt;0,$D$3,-1E+99),IF($H$4&gt;0,$D$4,-1E+99),IF($H$5&gt;0,$D$5,-1E+99))-D2)/(MAX(IF($H$2&gt;0,$D$2,-1E+99),IF($H$3&gt;0,$D$3,-1E+99),IF($H$4&gt;0,$D$4,-1E+99),IF($H$5&gt;0,$D$5,-1E+99))-MIN(IF($H$2&gt;0,$D$2,1E+99),IF($H$3&gt;0,$D$3,1E+99),IF($H$4&gt;0,$D$4,1E+99),IF($H$5&gt;0,$D$5,1E+99)))),100-ABS(D2-N2)/IF(N2=0,1,N2)*100))))</f>
        <v>100</v>
      </c>
      <c r="P2" s="153">
        <f t="shared" ref="P2:P37" si="0">IF(H2&gt;0,J2*O2+K2*X2*10+L2*MAX(0,MIN(10,F2))*10,0)</f>
        <v>92</v>
      </c>
      <c r="Q2" s="153">
        <f>IFERROR(P2/SUM($P$2:$P$5),0)</f>
        <v>0.4</v>
      </c>
      <c r="R2" s="153">
        <f t="shared" ref="R2:R37" si="1">ROUNDDOWN(ROUND(Q2*M2,0)*IF(AND(X2&lt;3,I2&gt;=1),0.8,1),0)</f>
        <v>1400</v>
      </c>
      <c r="S2" s="153">
        <f t="shared" ref="S2:S37" si="2">MIN(G2,R2)</f>
        <v>1000</v>
      </c>
      <c r="T2" s="153">
        <f t="shared" ref="T2:T37" si="3">IF(C2="SEG-03",IF(F2&lt;7,0.65,1.4),1)</f>
        <v>1</v>
      </c>
      <c r="U2" s="153">
        <f t="shared" ref="U2:U37" si="4">D2*T2</f>
        <v>40</v>
      </c>
      <c r="V2" s="153">
        <f t="shared" ref="V2:V37" si="5">ROUND(S2*U2,2)</f>
        <v>40000</v>
      </c>
      <c r="W2" s="153">
        <f t="shared" ref="W2:W37" si="6">MAX(0,R2-S2)</f>
        <v>400</v>
      </c>
      <c r="X2" s="153">
        <f t="shared" ref="X2:X37" si="7">MAX(0,MIN(10,E2+IF(C2="SEG-03",IF(F2&lt;7,-2,2),0)))</f>
        <v>7</v>
      </c>
    </row>
    <row r="3" spans="1:24" x14ac:dyDescent="0.3">
      <c r="A3" s="153" t="s">
        <v>704</v>
      </c>
      <c r="B3" s="153" t="s">
        <v>706</v>
      </c>
      <c r="C3" s="153" t="s">
        <v>72</v>
      </c>
      <c r="D3" s="153">
        <v>42</v>
      </c>
      <c r="E3" s="153">
        <v>8</v>
      </c>
      <c r="F3" s="153">
        <v>7</v>
      </c>
      <c r="G3" s="153">
        <v>1000</v>
      </c>
      <c r="H3" s="153">
        <v>100</v>
      </c>
      <c r="I3" s="153">
        <v>0</v>
      </c>
      <c r="J3" s="153">
        <v>0.7</v>
      </c>
      <c r="K3" s="153">
        <v>0.2</v>
      </c>
      <c r="L3" s="153">
        <v>0.1</v>
      </c>
      <c r="M3" s="153">
        <v>3500</v>
      </c>
      <c r="N3" s="153">
        <v>0</v>
      </c>
      <c r="O3" s="153">
        <f>IF(H3&lt;=0,0,MAX(0,MIN(100,IF(C3="SEG-01",IF(MAX(IF($H$2&gt;0,$D$2,-1E+99),IF($H$3&gt;0,$D$3,-1E+99),IF($H$4&gt;0,$D$4,-1E+99),IF($H$5&gt;0,$D$5,-1E+99))=MIN(IF($H$2&gt;0,$D$2,1E+99),IF($H$3&gt;0,$D$3,1E+99),IF($H$4&gt;0,$D$4,1E+99),IF($H$5&gt;0,$D$5,1E+99)),100,100*(MAX(IF($H$2&gt;0,$D$2,-1E+99),IF($H$3&gt;0,$D$3,-1E+99),IF($H$4&gt;0,$D$4,-1E+99),IF($H$5&gt;0,$D$5,-1E+99))-D3)/(MAX(IF($H$2&gt;0,$D$2,-1E+99),IF($H$3&gt;0,$D$3,-1E+99),IF($H$4&gt;0,$D$4,-1E+99),IF($H$5&gt;0,$D$5,-1E+99))-MIN(IF($H$2&gt;0,$D$2,1E+99),IF($H$3&gt;0,$D$3,1E+99),IF($H$4&gt;0,$D$4,1E+99),IF($H$5&gt;0,$D$5,1E+99)))),100-ABS(D3-N3)/IF(N3=0,1,N3)*100))))</f>
        <v>60</v>
      </c>
      <c r="P3" s="153">
        <f t="shared" si="0"/>
        <v>65</v>
      </c>
      <c r="Q3" s="153">
        <f>IFERROR(P3/SUM($P$2:$P$5),0)</f>
        <v>0.28260869565217389</v>
      </c>
      <c r="R3" s="153">
        <f t="shared" si="1"/>
        <v>989</v>
      </c>
      <c r="S3" s="153">
        <f t="shared" si="2"/>
        <v>989</v>
      </c>
      <c r="T3" s="153">
        <f t="shared" si="3"/>
        <v>1</v>
      </c>
      <c r="U3" s="153">
        <f t="shared" si="4"/>
        <v>42</v>
      </c>
      <c r="V3" s="153">
        <f t="shared" si="5"/>
        <v>41538</v>
      </c>
      <c r="W3" s="153">
        <f t="shared" si="6"/>
        <v>0</v>
      </c>
      <c r="X3" s="153">
        <f t="shared" si="7"/>
        <v>8</v>
      </c>
    </row>
    <row r="4" spans="1:24" x14ac:dyDescent="0.3">
      <c r="A4" s="153" t="s">
        <v>704</v>
      </c>
      <c r="B4" s="153" t="s">
        <v>707</v>
      </c>
      <c r="C4" s="153" t="s">
        <v>72</v>
      </c>
      <c r="D4" s="153">
        <v>43</v>
      </c>
      <c r="E4" s="153">
        <v>9</v>
      </c>
      <c r="F4" s="153">
        <v>9</v>
      </c>
      <c r="G4" s="153">
        <v>1000</v>
      </c>
      <c r="H4" s="153">
        <v>100</v>
      </c>
      <c r="I4" s="153">
        <v>0</v>
      </c>
      <c r="J4" s="153">
        <v>0.7</v>
      </c>
      <c r="K4" s="153">
        <v>0.2</v>
      </c>
      <c r="L4" s="153">
        <v>0.1</v>
      </c>
      <c r="M4" s="153">
        <v>3500</v>
      </c>
      <c r="N4" s="153">
        <v>0</v>
      </c>
      <c r="O4" s="153">
        <f>IF(H4&lt;=0,0,MAX(0,MIN(100,IF(C4="SEG-01",IF(MAX(IF($H$2&gt;0,$D$2,-1E+99),IF($H$3&gt;0,$D$3,-1E+99),IF($H$4&gt;0,$D$4,-1E+99),IF($H$5&gt;0,$D$5,-1E+99))=MIN(IF($H$2&gt;0,$D$2,1E+99),IF($H$3&gt;0,$D$3,1E+99),IF($H$4&gt;0,$D$4,1E+99),IF($H$5&gt;0,$D$5,1E+99)),100,100*(MAX(IF($H$2&gt;0,$D$2,-1E+99),IF($H$3&gt;0,$D$3,-1E+99),IF($H$4&gt;0,$D$4,-1E+99),IF($H$5&gt;0,$D$5,-1E+99))-D4)/(MAX(IF($H$2&gt;0,$D$2,-1E+99),IF($H$3&gt;0,$D$3,-1E+99),IF($H$4&gt;0,$D$4,-1E+99),IF($H$5&gt;0,$D$5,-1E+99))-MIN(IF($H$2&gt;0,$D$2,1E+99),IF($H$3&gt;0,$D$3,1E+99),IF($H$4&gt;0,$D$4,1E+99),IF($H$5&gt;0,$D$5,1E+99)))),100-ABS(D4-N4)/IF(N4=0,1,N4)*100))))</f>
        <v>40</v>
      </c>
      <c r="P4" s="153">
        <f t="shared" si="0"/>
        <v>55</v>
      </c>
      <c r="Q4" s="153">
        <f>IFERROR(P4/SUM($P$2:$P$5),0)</f>
        <v>0.2391304347826087</v>
      </c>
      <c r="R4" s="153">
        <f t="shared" si="1"/>
        <v>837</v>
      </c>
      <c r="S4" s="153">
        <f t="shared" si="2"/>
        <v>837</v>
      </c>
      <c r="T4" s="153">
        <f t="shared" si="3"/>
        <v>1</v>
      </c>
      <c r="U4" s="153">
        <f t="shared" si="4"/>
        <v>43</v>
      </c>
      <c r="V4" s="153">
        <f t="shared" si="5"/>
        <v>35991</v>
      </c>
      <c r="W4" s="153">
        <f t="shared" si="6"/>
        <v>0</v>
      </c>
      <c r="X4" s="153">
        <f t="shared" si="7"/>
        <v>9</v>
      </c>
    </row>
    <row r="5" spans="1:24" x14ac:dyDescent="0.3">
      <c r="A5" s="153" t="s">
        <v>704</v>
      </c>
      <c r="B5" s="153" t="s">
        <v>708</v>
      </c>
      <c r="C5" s="153" t="s">
        <v>72</v>
      </c>
      <c r="D5" s="153">
        <v>45</v>
      </c>
      <c r="E5" s="153">
        <v>6</v>
      </c>
      <c r="F5" s="153">
        <v>6</v>
      </c>
      <c r="G5" s="153">
        <v>1000</v>
      </c>
      <c r="H5" s="153">
        <v>100</v>
      </c>
      <c r="I5" s="153">
        <v>0</v>
      </c>
      <c r="J5" s="153">
        <v>0.7</v>
      </c>
      <c r="K5" s="153">
        <v>0.2</v>
      </c>
      <c r="L5" s="153">
        <v>0.1</v>
      </c>
      <c r="M5" s="153">
        <v>3500</v>
      </c>
      <c r="N5" s="153">
        <v>0</v>
      </c>
      <c r="O5" s="153">
        <f>IF(H5&lt;=0,0,MAX(0,MIN(100,IF(C5="SEG-01",IF(MAX(IF($H$2&gt;0,$D$2,-1E+99),IF($H$3&gt;0,$D$3,-1E+99),IF($H$4&gt;0,$D$4,-1E+99),IF($H$5&gt;0,$D$5,-1E+99))=MIN(IF($H$2&gt;0,$D$2,1E+99),IF($H$3&gt;0,$D$3,1E+99),IF($H$4&gt;0,$D$4,1E+99),IF($H$5&gt;0,$D$5,1E+99)),100,100*(MAX(IF($H$2&gt;0,$D$2,-1E+99),IF($H$3&gt;0,$D$3,-1E+99),IF($H$4&gt;0,$D$4,-1E+99),IF($H$5&gt;0,$D$5,-1E+99))-D5)/(MAX(IF($H$2&gt;0,$D$2,-1E+99),IF($H$3&gt;0,$D$3,-1E+99),IF($H$4&gt;0,$D$4,-1E+99),IF($H$5&gt;0,$D$5,-1E+99))-MIN(IF($H$2&gt;0,$D$2,1E+99),IF($H$3&gt;0,$D$3,1E+99),IF($H$4&gt;0,$D$4,1E+99),IF($H$5&gt;0,$D$5,1E+99)))),100-ABS(D5-N5)/IF(N5=0,1,N5)*100))))</f>
        <v>0</v>
      </c>
      <c r="P5" s="153">
        <f t="shared" si="0"/>
        <v>18.000000000000004</v>
      </c>
      <c r="Q5" s="153">
        <f>IFERROR(P5/SUM($P$2:$P$5),0)</f>
        <v>7.8260869565217411E-2</v>
      </c>
      <c r="R5" s="153">
        <f t="shared" si="1"/>
        <v>274</v>
      </c>
      <c r="S5" s="153">
        <f t="shared" si="2"/>
        <v>274</v>
      </c>
      <c r="T5" s="153">
        <f t="shared" si="3"/>
        <v>1</v>
      </c>
      <c r="U5" s="153">
        <f t="shared" si="4"/>
        <v>45</v>
      </c>
      <c r="V5" s="153">
        <f t="shared" si="5"/>
        <v>12330</v>
      </c>
      <c r="W5" s="153">
        <f t="shared" si="6"/>
        <v>0</v>
      </c>
      <c r="X5" s="153">
        <f t="shared" si="7"/>
        <v>6</v>
      </c>
    </row>
    <row r="6" spans="1:24" x14ac:dyDescent="0.3">
      <c r="A6" s="153" t="s">
        <v>709</v>
      </c>
      <c r="B6" s="153" t="s">
        <v>705</v>
      </c>
      <c r="C6" s="153" t="s">
        <v>77</v>
      </c>
      <c r="D6" s="153">
        <v>120</v>
      </c>
      <c r="E6" s="153">
        <v>7</v>
      </c>
      <c r="F6" s="153">
        <v>8</v>
      </c>
      <c r="G6" s="153">
        <v>1000</v>
      </c>
      <c r="H6" s="153">
        <v>100</v>
      </c>
      <c r="I6" s="153">
        <v>0</v>
      </c>
      <c r="J6" s="153">
        <v>0.4</v>
      </c>
      <c r="K6" s="153">
        <v>0.35</v>
      </c>
      <c r="L6" s="153">
        <v>0.25</v>
      </c>
      <c r="M6" s="153">
        <v>3500</v>
      </c>
      <c r="N6" s="153">
        <v>100</v>
      </c>
      <c r="O6" s="153">
        <f>IF(H6&lt;=0,0,MAX(0,MIN(100,IF(C6="SEG-01",IF(MAX(IF($H$6&gt;0,$D$6,-1E+99),IF($H$7&gt;0,$D$7,-1E+99),IF($H$8&gt;0,$D$8,-1E+99),IF($H$9&gt;0,$D$9,-1E+99))=MIN(IF($H$6&gt;0,$D$6,1E+99),IF($H$7&gt;0,$D$7,1E+99),IF($H$8&gt;0,$D$8,1E+99),IF($H$9&gt;0,$D$9,1E+99)),100,100*(MAX(IF($H$6&gt;0,$D$6,-1E+99),IF($H$7&gt;0,$D$7,-1E+99),IF($H$8&gt;0,$D$8,-1E+99),IF($H$9&gt;0,$D$9,-1E+99))-D6)/(MAX(IF($H$6&gt;0,$D$6,-1E+99),IF($H$7&gt;0,$D$7,-1E+99),IF($H$8&gt;0,$D$8,-1E+99),IF($H$9&gt;0,$D$9,-1E+99))-MIN(IF($H$6&gt;0,$D$6,1E+99),IF($H$7&gt;0,$D$7,1E+99),IF($H$8&gt;0,$D$8,1E+99),IF($H$9&gt;0,$D$9,1E+99)))),100-ABS(D6-N6)/IF(N6=0,1,N6)*100))))</f>
        <v>80</v>
      </c>
      <c r="P6" s="153">
        <f t="shared" si="0"/>
        <v>76.5</v>
      </c>
      <c r="Q6" s="153">
        <f>IFERROR(P6/SUM($P$6:$P$9),0)</f>
        <v>0.30357142857142855</v>
      </c>
      <c r="R6" s="153">
        <f t="shared" si="1"/>
        <v>1063</v>
      </c>
      <c r="S6" s="153">
        <f t="shared" si="2"/>
        <v>1000</v>
      </c>
      <c r="T6" s="153">
        <f t="shared" si="3"/>
        <v>1</v>
      </c>
      <c r="U6" s="153">
        <f t="shared" si="4"/>
        <v>120</v>
      </c>
      <c r="V6" s="153">
        <f t="shared" si="5"/>
        <v>120000</v>
      </c>
      <c r="W6" s="153">
        <f t="shared" si="6"/>
        <v>63</v>
      </c>
      <c r="X6" s="153">
        <f t="shared" si="7"/>
        <v>7</v>
      </c>
    </row>
    <row r="7" spans="1:24" x14ac:dyDescent="0.3">
      <c r="A7" s="153" t="s">
        <v>709</v>
      </c>
      <c r="B7" s="153" t="s">
        <v>706</v>
      </c>
      <c r="C7" s="153" t="s">
        <v>77</v>
      </c>
      <c r="D7" s="153">
        <v>140</v>
      </c>
      <c r="E7" s="153">
        <v>8</v>
      </c>
      <c r="F7" s="153">
        <v>7</v>
      </c>
      <c r="G7" s="153">
        <v>1000</v>
      </c>
      <c r="H7" s="153">
        <v>100</v>
      </c>
      <c r="I7" s="153">
        <v>0</v>
      </c>
      <c r="J7" s="153">
        <v>0.4</v>
      </c>
      <c r="K7" s="153">
        <v>0.35</v>
      </c>
      <c r="L7" s="153">
        <v>0.25</v>
      </c>
      <c r="M7" s="153">
        <v>3500</v>
      </c>
      <c r="N7" s="153">
        <v>100</v>
      </c>
      <c r="O7" s="153">
        <f>IF(H7&lt;=0,0,MAX(0,MIN(100,IF(C7="SEG-01",IF(MAX(IF($H$6&gt;0,$D$6,-1E+99),IF($H$7&gt;0,$D$7,-1E+99),IF($H$8&gt;0,$D$8,-1E+99),IF($H$9&gt;0,$D$9,-1E+99))=MIN(IF($H$6&gt;0,$D$6,1E+99),IF($H$7&gt;0,$D$7,1E+99),IF($H$8&gt;0,$D$8,1E+99),IF($H$9&gt;0,$D$9,1E+99)),100,100*(MAX(IF($H$6&gt;0,$D$6,-1E+99),IF($H$7&gt;0,$D$7,-1E+99),IF($H$8&gt;0,$D$8,-1E+99),IF($H$9&gt;0,$D$9,-1E+99))-D7)/(MAX(IF($H$6&gt;0,$D$6,-1E+99),IF($H$7&gt;0,$D$7,-1E+99),IF($H$8&gt;0,$D$8,-1E+99),IF($H$9&gt;0,$D$9,-1E+99))-MIN(IF($H$6&gt;0,$D$6,1E+99),IF($H$7&gt;0,$D$7,1E+99),IF($H$8&gt;0,$D$8,1E+99),IF($H$9&gt;0,$D$9,1E+99)))),100-ABS(D7-N7)/IF(N7=0,1,N7)*100))))</f>
        <v>60</v>
      </c>
      <c r="P7" s="153">
        <f t="shared" si="0"/>
        <v>69.5</v>
      </c>
      <c r="Q7" s="153">
        <f>IFERROR(P7/SUM($P$6:$P$9),0)</f>
        <v>0.27579365079365081</v>
      </c>
      <c r="R7" s="153">
        <f t="shared" si="1"/>
        <v>965</v>
      </c>
      <c r="S7" s="153">
        <f t="shared" si="2"/>
        <v>965</v>
      </c>
      <c r="T7" s="153">
        <f t="shared" si="3"/>
        <v>1</v>
      </c>
      <c r="U7" s="153">
        <f t="shared" si="4"/>
        <v>140</v>
      </c>
      <c r="V7" s="153">
        <f t="shared" si="5"/>
        <v>135100</v>
      </c>
      <c r="W7" s="153">
        <f t="shared" si="6"/>
        <v>0</v>
      </c>
      <c r="X7" s="153">
        <f t="shared" si="7"/>
        <v>8</v>
      </c>
    </row>
    <row r="8" spans="1:24" x14ac:dyDescent="0.3">
      <c r="A8" s="153" t="s">
        <v>709</v>
      </c>
      <c r="B8" s="153" t="s">
        <v>707</v>
      </c>
      <c r="C8" s="153" t="s">
        <v>77</v>
      </c>
      <c r="D8" s="153">
        <v>160</v>
      </c>
      <c r="E8" s="153">
        <v>9</v>
      </c>
      <c r="F8" s="153">
        <v>9</v>
      </c>
      <c r="G8" s="153">
        <v>1000</v>
      </c>
      <c r="H8" s="153">
        <v>100</v>
      </c>
      <c r="I8" s="153">
        <v>0</v>
      </c>
      <c r="J8" s="153">
        <v>0.4</v>
      </c>
      <c r="K8" s="153">
        <v>0.35</v>
      </c>
      <c r="L8" s="153">
        <v>0.25</v>
      </c>
      <c r="M8" s="153">
        <v>3500</v>
      </c>
      <c r="N8" s="153">
        <v>100</v>
      </c>
      <c r="O8" s="153">
        <f>IF(H8&lt;=0,0,MAX(0,MIN(100,IF(C8="SEG-01",IF(MAX(IF($H$6&gt;0,$D$6,-1E+99),IF($H$7&gt;0,$D$7,-1E+99),IF($H$8&gt;0,$D$8,-1E+99),IF($H$9&gt;0,$D$9,-1E+99))=MIN(IF($H$6&gt;0,$D$6,1E+99),IF($H$7&gt;0,$D$7,1E+99),IF($H$8&gt;0,$D$8,1E+99),IF($H$9&gt;0,$D$9,1E+99)),100,100*(MAX(IF($H$6&gt;0,$D$6,-1E+99),IF($H$7&gt;0,$D$7,-1E+99),IF($H$8&gt;0,$D$8,-1E+99),IF($H$9&gt;0,$D$9,-1E+99))-D8)/(MAX(IF($H$6&gt;0,$D$6,-1E+99),IF($H$7&gt;0,$D$7,-1E+99),IF($H$8&gt;0,$D$8,-1E+99),IF($H$9&gt;0,$D$9,-1E+99))-MIN(IF($H$6&gt;0,$D$6,1E+99),IF($H$7&gt;0,$D$7,1E+99),IF($H$8&gt;0,$D$8,1E+99),IF($H$9&gt;0,$D$9,1E+99)))),100-ABS(D8-N8)/IF(N8=0,1,N8)*100))))</f>
        <v>40</v>
      </c>
      <c r="P8" s="153">
        <f t="shared" si="0"/>
        <v>70</v>
      </c>
      <c r="Q8" s="153">
        <f>IFERROR(P8/SUM($P$6:$P$9),0)</f>
        <v>0.27777777777777779</v>
      </c>
      <c r="R8" s="153">
        <f t="shared" si="1"/>
        <v>972</v>
      </c>
      <c r="S8" s="153">
        <f t="shared" si="2"/>
        <v>972</v>
      </c>
      <c r="T8" s="153">
        <f t="shared" si="3"/>
        <v>1</v>
      </c>
      <c r="U8" s="153">
        <f t="shared" si="4"/>
        <v>160</v>
      </c>
      <c r="V8" s="153">
        <f t="shared" si="5"/>
        <v>155520</v>
      </c>
      <c r="W8" s="153">
        <f t="shared" si="6"/>
        <v>0</v>
      </c>
      <c r="X8" s="153">
        <f t="shared" si="7"/>
        <v>9</v>
      </c>
    </row>
    <row r="9" spans="1:24" x14ac:dyDescent="0.3">
      <c r="A9" s="153" t="s">
        <v>709</v>
      </c>
      <c r="B9" s="153" t="s">
        <v>708</v>
      </c>
      <c r="C9" s="153" t="s">
        <v>77</v>
      </c>
      <c r="D9" s="153">
        <v>200</v>
      </c>
      <c r="E9" s="153">
        <v>6</v>
      </c>
      <c r="F9" s="153">
        <v>6</v>
      </c>
      <c r="G9" s="153">
        <v>1000</v>
      </c>
      <c r="H9" s="153">
        <v>100</v>
      </c>
      <c r="I9" s="153">
        <v>0</v>
      </c>
      <c r="J9" s="153">
        <v>0.4</v>
      </c>
      <c r="K9" s="153">
        <v>0.35</v>
      </c>
      <c r="L9" s="153">
        <v>0.25</v>
      </c>
      <c r="M9" s="153">
        <v>3500</v>
      </c>
      <c r="N9" s="153">
        <v>100</v>
      </c>
      <c r="O9" s="153">
        <f>IF(H9&lt;=0,0,MAX(0,MIN(100,IF(C9="SEG-01",IF(MAX(IF($H$6&gt;0,$D$6,-1E+99),IF($H$7&gt;0,$D$7,-1E+99),IF($H$8&gt;0,$D$8,-1E+99),IF($H$9&gt;0,$D$9,-1E+99))=MIN(IF($H$6&gt;0,$D$6,1E+99),IF($H$7&gt;0,$D$7,1E+99),IF($H$8&gt;0,$D$8,1E+99),IF($H$9&gt;0,$D$9,1E+99)),100,100*(MAX(IF($H$6&gt;0,$D$6,-1E+99),IF($H$7&gt;0,$D$7,-1E+99),IF($H$8&gt;0,$D$8,-1E+99),IF($H$9&gt;0,$D$9,-1E+99))-D9)/(MAX(IF($H$6&gt;0,$D$6,-1E+99),IF($H$7&gt;0,$D$7,-1E+99),IF($H$8&gt;0,$D$8,-1E+99),IF($H$9&gt;0,$D$9,-1E+99))-MIN(IF($H$6&gt;0,$D$6,1E+99),IF($H$7&gt;0,$D$7,1E+99),IF($H$8&gt;0,$D$8,1E+99),IF($H$9&gt;0,$D$9,1E+99)))),100-ABS(D9-N9)/IF(N9=0,1,N9)*100))))</f>
        <v>0</v>
      </c>
      <c r="P9" s="153">
        <f t="shared" si="0"/>
        <v>36</v>
      </c>
      <c r="Q9" s="153">
        <f>IFERROR(P9/SUM($P$6:$P$9),0)</f>
        <v>0.14285714285714285</v>
      </c>
      <c r="R9" s="153">
        <f t="shared" si="1"/>
        <v>500</v>
      </c>
      <c r="S9" s="153">
        <f t="shared" si="2"/>
        <v>500</v>
      </c>
      <c r="T9" s="153">
        <f t="shared" si="3"/>
        <v>1</v>
      </c>
      <c r="U9" s="153">
        <f t="shared" si="4"/>
        <v>200</v>
      </c>
      <c r="V9" s="153">
        <f t="shared" si="5"/>
        <v>100000</v>
      </c>
      <c r="W9" s="153">
        <f t="shared" si="6"/>
        <v>0</v>
      </c>
      <c r="X9" s="153">
        <f t="shared" si="7"/>
        <v>6</v>
      </c>
    </row>
    <row r="10" spans="1:24" x14ac:dyDescent="0.3">
      <c r="A10" s="153" t="s">
        <v>710</v>
      </c>
      <c r="B10" s="153" t="s">
        <v>705</v>
      </c>
      <c r="C10" s="153" t="s">
        <v>80</v>
      </c>
      <c r="D10" s="153">
        <v>220</v>
      </c>
      <c r="E10" s="153">
        <v>7</v>
      </c>
      <c r="F10" s="153">
        <v>8</v>
      </c>
      <c r="G10" s="153">
        <v>1000</v>
      </c>
      <c r="H10" s="153">
        <v>100</v>
      </c>
      <c r="I10" s="153">
        <v>0</v>
      </c>
      <c r="J10" s="153">
        <v>0.1</v>
      </c>
      <c r="K10" s="153">
        <v>0.5</v>
      </c>
      <c r="L10" s="153">
        <v>0.4</v>
      </c>
      <c r="M10" s="153">
        <v>800</v>
      </c>
      <c r="N10" s="153">
        <v>250</v>
      </c>
      <c r="O10" s="153">
        <f>IF(H10&lt;=0,0,MAX(0,MIN(100,IF(C10="SEG-01",IF(MAX(IF($H$10&gt;0,$D$10,-1E+99),IF($H$11&gt;0,$D$11,-1E+99),IF($H$12&gt;0,$D$12,-1E+99),IF($H$13&gt;0,$D$13,-1E+99))=MIN(IF($H$10&gt;0,$D$10,1E+99),IF($H$11&gt;0,$D$11,1E+99),IF($H$12&gt;0,$D$12,1E+99),IF($H$13&gt;0,$D$13,1E+99)),100,100*(MAX(IF($H$10&gt;0,$D$10,-1E+99),IF($H$11&gt;0,$D$11,-1E+99),IF($H$12&gt;0,$D$12,-1E+99),IF($H$13&gt;0,$D$13,-1E+99))-D10)/(MAX(IF($H$10&gt;0,$D$10,-1E+99),IF($H$11&gt;0,$D$11,-1E+99),IF($H$12&gt;0,$D$12,-1E+99),IF($H$13&gt;0,$D$13,-1E+99))-MIN(IF($H$10&gt;0,$D$10,1E+99),IF($H$11&gt;0,$D$11,1E+99),IF($H$12&gt;0,$D$12,1E+99),IF($H$13&gt;0,$D$13,1E+99)))),100-ABS(D10-N10)/IF(N10=0,1,N10)*100))))</f>
        <v>88</v>
      </c>
      <c r="P10" s="153">
        <f t="shared" si="0"/>
        <v>85.8</v>
      </c>
      <c r="Q10" s="153">
        <f>IFERROR(P10/SUM($P$10:$P$13),0)</f>
        <v>0.27169094363521212</v>
      </c>
      <c r="R10" s="153">
        <f t="shared" si="1"/>
        <v>217</v>
      </c>
      <c r="S10" s="153">
        <f t="shared" si="2"/>
        <v>217</v>
      </c>
      <c r="T10" s="153">
        <f t="shared" si="3"/>
        <v>1.4</v>
      </c>
      <c r="U10" s="153">
        <f t="shared" si="4"/>
        <v>308</v>
      </c>
      <c r="V10" s="153">
        <f t="shared" si="5"/>
        <v>66836</v>
      </c>
      <c r="W10" s="153">
        <f t="shared" si="6"/>
        <v>0</v>
      </c>
      <c r="X10" s="153">
        <f t="shared" si="7"/>
        <v>9</v>
      </c>
    </row>
    <row r="11" spans="1:24" x14ac:dyDescent="0.3">
      <c r="A11" s="153" t="s">
        <v>710</v>
      </c>
      <c r="B11" s="153" t="s">
        <v>706</v>
      </c>
      <c r="C11" s="153" t="s">
        <v>80</v>
      </c>
      <c r="D11" s="153">
        <v>250</v>
      </c>
      <c r="E11" s="153">
        <v>8</v>
      </c>
      <c r="F11" s="153">
        <v>7</v>
      </c>
      <c r="G11" s="153">
        <v>1000</v>
      </c>
      <c r="H11" s="153">
        <v>100</v>
      </c>
      <c r="I11" s="153">
        <v>0</v>
      </c>
      <c r="J11" s="153">
        <v>0.1</v>
      </c>
      <c r="K11" s="153">
        <v>0.5</v>
      </c>
      <c r="L11" s="153">
        <v>0.4</v>
      </c>
      <c r="M11" s="153">
        <v>800</v>
      </c>
      <c r="N11" s="153">
        <v>250</v>
      </c>
      <c r="O11" s="153">
        <f>IF(H11&lt;=0,0,MAX(0,MIN(100,IF(C11="SEG-01",IF(MAX(IF($H$10&gt;0,$D$10,-1E+99),IF($H$11&gt;0,$D$11,-1E+99),IF($H$12&gt;0,$D$12,-1E+99),IF($H$13&gt;0,$D$13,-1E+99))=MIN(IF($H$10&gt;0,$D$10,1E+99),IF($H$11&gt;0,$D$11,1E+99),IF($H$12&gt;0,$D$12,1E+99),IF($H$13&gt;0,$D$13,1E+99)),100,100*(MAX(IF($H$10&gt;0,$D$10,-1E+99),IF($H$11&gt;0,$D$11,-1E+99),IF($H$12&gt;0,$D$12,-1E+99),IF($H$13&gt;0,$D$13,-1E+99))-D11)/(MAX(IF($H$10&gt;0,$D$10,-1E+99),IF($H$11&gt;0,$D$11,-1E+99),IF($H$12&gt;0,$D$12,-1E+99),IF($H$13&gt;0,$D$13,-1E+99))-MIN(IF($H$10&gt;0,$D$10,1E+99),IF($H$11&gt;0,$D$11,1E+99),IF($H$12&gt;0,$D$12,1E+99),IF($H$13&gt;0,$D$13,1E+99)))),100-ABS(D11-N11)/IF(N11=0,1,N11)*100))))</f>
        <v>100</v>
      </c>
      <c r="P11" s="153">
        <f t="shared" si="0"/>
        <v>88</v>
      </c>
      <c r="Q11" s="153">
        <f>IFERROR(P11/SUM($P$10:$P$13),0)</f>
        <v>0.2786573780873971</v>
      </c>
      <c r="R11" s="153">
        <f t="shared" si="1"/>
        <v>223</v>
      </c>
      <c r="S11" s="153">
        <f t="shared" si="2"/>
        <v>223</v>
      </c>
      <c r="T11" s="153">
        <f t="shared" si="3"/>
        <v>1.4</v>
      </c>
      <c r="U11" s="153">
        <f t="shared" si="4"/>
        <v>350</v>
      </c>
      <c r="V11" s="153">
        <f t="shared" si="5"/>
        <v>78050</v>
      </c>
      <c r="W11" s="153">
        <f t="shared" si="6"/>
        <v>0</v>
      </c>
      <c r="X11" s="153">
        <f t="shared" si="7"/>
        <v>10</v>
      </c>
    </row>
    <row r="12" spans="1:24" x14ac:dyDescent="0.3">
      <c r="A12" s="153" t="s">
        <v>710</v>
      </c>
      <c r="B12" s="153" t="s">
        <v>707</v>
      </c>
      <c r="C12" s="153" t="s">
        <v>80</v>
      </c>
      <c r="D12" s="153">
        <v>300</v>
      </c>
      <c r="E12" s="153">
        <v>9</v>
      </c>
      <c r="F12" s="153">
        <v>9</v>
      </c>
      <c r="G12" s="153">
        <v>1000</v>
      </c>
      <c r="H12" s="153">
        <v>100</v>
      </c>
      <c r="I12" s="153">
        <v>0</v>
      </c>
      <c r="J12" s="153">
        <v>0.1</v>
      </c>
      <c r="K12" s="153">
        <v>0.5</v>
      </c>
      <c r="L12" s="153">
        <v>0.4</v>
      </c>
      <c r="M12" s="153">
        <v>800</v>
      </c>
      <c r="N12" s="153">
        <v>250</v>
      </c>
      <c r="O12" s="153">
        <f>IF(H12&lt;=0,0,MAX(0,MIN(100,IF(C12="SEG-01",IF(MAX(IF($H$10&gt;0,$D$10,-1E+99),IF($H$11&gt;0,$D$11,-1E+99),IF($H$12&gt;0,$D$12,-1E+99),IF($H$13&gt;0,$D$13,-1E+99))=MIN(IF($H$10&gt;0,$D$10,1E+99),IF($H$11&gt;0,$D$11,1E+99),IF($H$12&gt;0,$D$12,1E+99),IF($H$13&gt;0,$D$13,1E+99)),100,100*(MAX(IF($H$10&gt;0,$D$10,-1E+99),IF($H$11&gt;0,$D$11,-1E+99),IF($H$12&gt;0,$D$12,-1E+99),IF($H$13&gt;0,$D$13,-1E+99))-D12)/(MAX(IF($H$10&gt;0,$D$10,-1E+99),IF($H$11&gt;0,$D$11,-1E+99),IF($H$12&gt;0,$D$12,-1E+99),IF($H$13&gt;0,$D$13,-1E+99))-MIN(IF($H$10&gt;0,$D$10,1E+99),IF($H$11&gt;0,$D$11,1E+99),IF($H$12&gt;0,$D$12,1E+99),IF($H$13&gt;0,$D$13,1E+99)))),100-ABS(D12-N12)/IF(N12=0,1,N12)*100))))</f>
        <v>80</v>
      </c>
      <c r="P12" s="153">
        <f t="shared" si="0"/>
        <v>94</v>
      </c>
      <c r="Q12" s="153">
        <f>IFERROR(P12/SUM($P$10:$P$13),0)</f>
        <v>0.29765674477517418</v>
      </c>
      <c r="R12" s="153">
        <f t="shared" si="1"/>
        <v>238</v>
      </c>
      <c r="S12" s="153">
        <f t="shared" si="2"/>
        <v>238</v>
      </c>
      <c r="T12" s="153">
        <f t="shared" si="3"/>
        <v>1.4</v>
      </c>
      <c r="U12" s="153">
        <f t="shared" si="4"/>
        <v>420</v>
      </c>
      <c r="V12" s="153">
        <f t="shared" si="5"/>
        <v>99960</v>
      </c>
      <c r="W12" s="153">
        <f t="shared" si="6"/>
        <v>0</v>
      </c>
      <c r="X12" s="153">
        <f t="shared" si="7"/>
        <v>10</v>
      </c>
    </row>
    <row r="13" spans="1:24" x14ac:dyDescent="0.3">
      <c r="A13" s="153" t="s">
        <v>710</v>
      </c>
      <c r="B13" s="153" t="s">
        <v>708</v>
      </c>
      <c r="C13" s="153" t="s">
        <v>80</v>
      </c>
      <c r="D13" s="153">
        <v>400</v>
      </c>
      <c r="E13" s="153">
        <v>6</v>
      </c>
      <c r="F13" s="153">
        <v>6</v>
      </c>
      <c r="G13" s="153">
        <v>1000</v>
      </c>
      <c r="H13" s="153">
        <v>100</v>
      </c>
      <c r="I13" s="153">
        <v>0</v>
      </c>
      <c r="J13" s="153">
        <v>0.1</v>
      </c>
      <c r="K13" s="153">
        <v>0.5</v>
      </c>
      <c r="L13" s="153">
        <v>0.4</v>
      </c>
      <c r="M13" s="153">
        <v>800</v>
      </c>
      <c r="N13" s="153">
        <v>250</v>
      </c>
      <c r="O13" s="153">
        <f>IF(H13&lt;=0,0,MAX(0,MIN(100,IF(C13="SEG-01",IF(MAX(IF($H$10&gt;0,$D$10,-1E+99),IF($H$11&gt;0,$D$11,-1E+99),IF($H$12&gt;0,$D$12,-1E+99),IF($H$13&gt;0,$D$13,-1E+99))=MIN(IF($H$10&gt;0,$D$10,1E+99),IF($H$11&gt;0,$D$11,1E+99),IF($H$12&gt;0,$D$12,1E+99),IF($H$13&gt;0,$D$13,1E+99)),100,100*(MAX(IF($H$10&gt;0,$D$10,-1E+99),IF($H$11&gt;0,$D$11,-1E+99),IF($H$12&gt;0,$D$12,-1E+99),IF($H$13&gt;0,$D$13,-1E+99))-D13)/(MAX(IF($H$10&gt;0,$D$10,-1E+99),IF($H$11&gt;0,$D$11,-1E+99),IF($H$12&gt;0,$D$12,-1E+99),IF($H$13&gt;0,$D$13,-1E+99))-MIN(IF($H$10&gt;0,$D$10,1E+99),IF($H$11&gt;0,$D$11,1E+99),IF($H$12&gt;0,$D$12,1E+99),IF($H$13&gt;0,$D$13,1E+99)))),100-ABS(D13-N13)/IF(N13=0,1,N13)*100))))</f>
        <v>40</v>
      </c>
      <c r="P13" s="153">
        <f t="shared" si="0"/>
        <v>48</v>
      </c>
      <c r="Q13" s="153">
        <f>IFERROR(P13/SUM($P$10:$P$13),0)</f>
        <v>0.1519949335022166</v>
      </c>
      <c r="R13" s="153">
        <f t="shared" si="1"/>
        <v>122</v>
      </c>
      <c r="S13" s="153">
        <f t="shared" si="2"/>
        <v>122</v>
      </c>
      <c r="T13" s="153">
        <f t="shared" si="3"/>
        <v>0.65</v>
      </c>
      <c r="U13" s="153">
        <f t="shared" si="4"/>
        <v>260</v>
      </c>
      <c r="V13" s="153">
        <f t="shared" si="5"/>
        <v>31720</v>
      </c>
      <c r="W13" s="153">
        <f t="shared" si="6"/>
        <v>0</v>
      </c>
      <c r="X13" s="153">
        <f t="shared" si="7"/>
        <v>4</v>
      </c>
    </row>
    <row r="14" spans="1:24" x14ac:dyDescent="0.3">
      <c r="A14" s="153" t="s">
        <v>711</v>
      </c>
      <c r="B14" s="153" t="s">
        <v>705</v>
      </c>
      <c r="C14" s="153" t="s">
        <v>72</v>
      </c>
      <c r="D14" s="153">
        <v>42</v>
      </c>
      <c r="E14" s="153">
        <v>7</v>
      </c>
      <c r="F14" s="153">
        <v>8</v>
      </c>
      <c r="G14" s="153">
        <v>1000</v>
      </c>
      <c r="H14" s="153">
        <v>100</v>
      </c>
      <c r="I14" s="153">
        <v>0</v>
      </c>
      <c r="J14" s="153">
        <v>0.7</v>
      </c>
      <c r="K14" s="153">
        <v>0.2</v>
      </c>
      <c r="L14" s="153">
        <v>0.1</v>
      </c>
      <c r="M14" s="153">
        <v>3500</v>
      </c>
      <c r="N14" s="153">
        <v>0</v>
      </c>
      <c r="O14" s="153">
        <f>IF(H14&lt;=0,0,MAX(0,MIN(100,IF(C14="SEG-01",IF(MAX(IF($H$14&gt;0,$D$14,-1E+99),IF($H$15&gt;0,$D$15,-1E+99),IF($H$16&gt;0,$D$16,-1E+99),IF($H$17&gt;0,$D$17,-1E+99))=MIN(IF($H$14&gt;0,$D$14,1E+99),IF($H$15&gt;0,$D$15,1E+99),IF($H$16&gt;0,$D$16,1E+99),IF($H$17&gt;0,$D$17,1E+99)),100,100*(MAX(IF($H$14&gt;0,$D$14,-1E+99),IF($H$15&gt;0,$D$15,-1E+99),IF($H$16&gt;0,$D$16,-1E+99),IF($H$17&gt;0,$D$17,-1E+99))-D14)/(MAX(IF($H$14&gt;0,$D$14,-1E+99),IF($H$15&gt;0,$D$15,-1E+99),IF($H$16&gt;0,$D$16,-1E+99),IF($H$17&gt;0,$D$17,-1E+99))-MIN(IF($H$14&gt;0,$D$14,1E+99),IF($H$15&gt;0,$D$15,1E+99),IF($H$16&gt;0,$D$16,1E+99),IF($H$17&gt;0,$D$17,1E+99)))),100-ABS(D14-N14)/IF(N14=0,1,N14)*100))))</f>
        <v>100</v>
      </c>
      <c r="P14" s="153">
        <f t="shared" si="0"/>
        <v>92</v>
      </c>
      <c r="Q14" s="153">
        <f>IFERROR(P14/SUM($P$14:$P$17),0)</f>
        <v>0.24864864864864866</v>
      </c>
      <c r="R14" s="153">
        <f t="shared" si="1"/>
        <v>870</v>
      </c>
      <c r="S14" s="153">
        <f t="shared" si="2"/>
        <v>870</v>
      </c>
      <c r="T14" s="153">
        <f t="shared" si="3"/>
        <v>1</v>
      </c>
      <c r="U14" s="153">
        <f t="shared" si="4"/>
        <v>42</v>
      </c>
      <c r="V14" s="153">
        <f t="shared" si="5"/>
        <v>36540</v>
      </c>
      <c r="W14" s="153">
        <f t="shared" si="6"/>
        <v>0</v>
      </c>
      <c r="X14" s="153">
        <f t="shared" si="7"/>
        <v>7</v>
      </c>
    </row>
    <row r="15" spans="1:24" x14ac:dyDescent="0.3">
      <c r="A15" s="153" t="s">
        <v>711</v>
      </c>
      <c r="B15" s="153" t="s">
        <v>706</v>
      </c>
      <c r="C15" s="153" t="s">
        <v>72</v>
      </c>
      <c r="D15" s="153">
        <v>42</v>
      </c>
      <c r="E15" s="153">
        <v>8</v>
      </c>
      <c r="F15" s="153">
        <v>7</v>
      </c>
      <c r="G15" s="153">
        <v>1000</v>
      </c>
      <c r="H15" s="153">
        <v>100</v>
      </c>
      <c r="I15" s="153">
        <v>0</v>
      </c>
      <c r="J15" s="153">
        <v>0.7</v>
      </c>
      <c r="K15" s="153">
        <v>0.2</v>
      </c>
      <c r="L15" s="153">
        <v>0.1</v>
      </c>
      <c r="M15" s="153">
        <v>3500</v>
      </c>
      <c r="N15" s="153">
        <v>0</v>
      </c>
      <c r="O15" s="153">
        <f>IF(H15&lt;=0,0,MAX(0,MIN(100,IF(C15="SEG-01",IF(MAX(IF($H$14&gt;0,$D$14,-1E+99),IF($H$15&gt;0,$D$15,-1E+99),IF($H$16&gt;0,$D$16,-1E+99),IF($H$17&gt;0,$D$17,-1E+99))=MIN(IF($H$14&gt;0,$D$14,1E+99),IF($H$15&gt;0,$D$15,1E+99),IF($H$16&gt;0,$D$16,1E+99),IF($H$17&gt;0,$D$17,1E+99)),100,100*(MAX(IF($H$14&gt;0,$D$14,-1E+99),IF($H$15&gt;0,$D$15,-1E+99),IF($H$16&gt;0,$D$16,-1E+99),IF($H$17&gt;0,$D$17,-1E+99))-D15)/(MAX(IF($H$14&gt;0,$D$14,-1E+99),IF($H$15&gt;0,$D$15,-1E+99),IF($H$16&gt;0,$D$16,-1E+99),IF($H$17&gt;0,$D$17,-1E+99))-MIN(IF($H$14&gt;0,$D$14,1E+99),IF($H$15&gt;0,$D$15,1E+99),IF($H$16&gt;0,$D$16,1E+99),IF($H$17&gt;0,$D$17,1E+99)))),100-ABS(D15-N15)/IF(N15=0,1,N15)*100))))</f>
        <v>100</v>
      </c>
      <c r="P15" s="153">
        <f t="shared" si="0"/>
        <v>93</v>
      </c>
      <c r="Q15" s="153">
        <f>IFERROR(P15/SUM($P$14:$P$17),0)</f>
        <v>0.25135135135135134</v>
      </c>
      <c r="R15" s="153">
        <f t="shared" si="1"/>
        <v>880</v>
      </c>
      <c r="S15" s="153">
        <f t="shared" si="2"/>
        <v>880</v>
      </c>
      <c r="T15" s="153">
        <f t="shared" si="3"/>
        <v>1</v>
      </c>
      <c r="U15" s="153">
        <f t="shared" si="4"/>
        <v>42</v>
      </c>
      <c r="V15" s="153">
        <f t="shared" si="5"/>
        <v>36960</v>
      </c>
      <c r="W15" s="153">
        <f t="shared" si="6"/>
        <v>0</v>
      </c>
      <c r="X15" s="153">
        <f t="shared" si="7"/>
        <v>8</v>
      </c>
    </row>
    <row r="16" spans="1:24" x14ac:dyDescent="0.3">
      <c r="A16" s="153" t="s">
        <v>711</v>
      </c>
      <c r="B16" s="153" t="s">
        <v>707</v>
      </c>
      <c r="C16" s="153" t="s">
        <v>72</v>
      </c>
      <c r="D16" s="153">
        <v>42</v>
      </c>
      <c r="E16" s="153">
        <v>9</v>
      </c>
      <c r="F16" s="153">
        <v>9</v>
      </c>
      <c r="G16" s="153">
        <v>1000</v>
      </c>
      <c r="H16" s="153">
        <v>100</v>
      </c>
      <c r="I16" s="153">
        <v>0</v>
      </c>
      <c r="J16" s="153">
        <v>0.7</v>
      </c>
      <c r="K16" s="153">
        <v>0.2</v>
      </c>
      <c r="L16" s="153">
        <v>0.1</v>
      </c>
      <c r="M16" s="153">
        <v>3500</v>
      </c>
      <c r="N16" s="153">
        <v>0</v>
      </c>
      <c r="O16" s="153">
        <f>IF(H16&lt;=0,0,MAX(0,MIN(100,IF(C16="SEG-01",IF(MAX(IF($H$14&gt;0,$D$14,-1E+99),IF($H$15&gt;0,$D$15,-1E+99),IF($H$16&gt;0,$D$16,-1E+99),IF($H$17&gt;0,$D$17,-1E+99))=MIN(IF($H$14&gt;0,$D$14,1E+99),IF($H$15&gt;0,$D$15,1E+99),IF($H$16&gt;0,$D$16,1E+99),IF($H$17&gt;0,$D$17,1E+99)),100,100*(MAX(IF($H$14&gt;0,$D$14,-1E+99),IF($H$15&gt;0,$D$15,-1E+99),IF($H$16&gt;0,$D$16,-1E+99),IF($H$17&gt;0,$D$17,-1E+99))-D16)/(MAX(IF($H$14&gt;0,$D$14,-1E+99),IF($H$15&gt;0,$D$15,-1E+99),IF($H$16&gt;0,$D$16,-1E+99),IF($H$17&gt;0,$D$17,-1E+99))-MIN(IF($H$14&gt;0,$D$14,1E+99),IF($H$15&gt;0,$D$15,1E+99),IF($H$16&gt;0,$D$16,1E+99),IF($H$17&gt;0,$D$17,1E+99)))),100-ABS(D16-N16)/IF(N16=0,1,N16)*100))))</f>
        <v>100</v>
      </c>
      <c r="P16" s="153">
        <f t="shared" si="0"/>
        <v>97</v>
      </c>
      <c r="Q16" s="153">
        <f>IFERROR(P16/SUM($P$14:$P$17),0)</f>
        <v>0.26216216216216215</v>
      </c>
      <c r="R16" s="153">
        <f t="shared" si="1"/>
        <v>918</v>
      </c>
      <c r="S16" s="153">
        <f t="shared" si="2"/>
        <v>918</v>
      </c>
      <c r="T16" s="153">
        <f t="shared" si="3"/>
        <v>1</v>
      </c>
      <c r="U16" s="153">
        <f t="shared" si="4"/>
        <v>42</v>
      </c>
      <c r="V16" s="153">
        <f t="shared" si="5"/>
        <v>38556</v>
      </c>
      <c r="W16" s="153">
        <f t="shared" si="6"/>
        <v>0</v>
      </c>
      <c r="X16" s="153">
        <f t="shared" si="7"/>
        <v>9</v>
      </c>
    </row>
    <row r="17" spans="1:24" x14ac:dyDescent="0.3">
      <c r="A17" s="153" t="s">
        <v>711</v>
      </c>
      <c r="B17" s="153" t="s">
        <v>708</v>
      </c>
      <c r="C17" s="153" t="s">
        <v>72</v>
      </c>
      <c r="D17" s="153">
        <v>42</v>
      </c>
      <c r="E17" s="153">
        <v>6</v>
      </c>
      <c r="F17" s="153">
        <v>6</v>
      </c>
      <c r="G17" s="153">
        <v>1000</v>
      </c>
      <c r="H17" s="153">
        <v>100</v>
      </c>
      <c r="I17" s="153">
        <v>0</v>
      </c>
      <c r="J17" s="153">
        <v>0.7</v>
      </c>
      <c r="K17" s="153">
        <v>0.2</v>
      </c>
      <c r="L17" s="153">
        <v>0.1</v>
      </c>
      <c r="M17" s="153">
        <v>3500</v>
      </c>
      <c r="N17" s="153">
        <v>0</v>
      </c>
      <c r="O17" s="153">
        <f>IF(H17&lt;=0,0,MAX(0,MIN(100,IF(C17="SEG-01",IF(MAX(IF($H$14&gt;0,$D$14,-1E+99),IF($H$15&gt;0,$D$15,-1E+99),IF($H$16&gt;0,$D$16,-1E+99),IF($H$17&gt;0,$D$17,-1E+99))=MIN(IF($H$14&gt;0,$D$14,1E+99),IF($H$15&gt;0,$D$15,1E+99),IF($H$16&gt;0,$D$16,1E+99),IF($H$17&gt;0,$D$17,1E+99)),100,100*(MAX(IF($H$14&gt;0,$D$14,-1E+99),IF($H$15&gt;0,$D$15,-1E+99),IF($H$16&gt;0,$D$16,-1E+99),IF($H$17&gt;0,$D$17,-1E+99))-D17)/(MAX(IF($H$14&gt;0,$D$14,-1E+99),IF($H$15&gt;0,$D$15,-1E+99),IF($H$16&gt;0,$D$16,-1E+99),IF($H$17&gt;0,$D$17,-1E+99))-MIN(IF($H$14&gt;0,$D$14,1E+99),IF($H$15&gt;0,$D$15,1E+99),IF($H$16&gt;0,$D$16,1E+99),IF($H$17&gt;0,$D$17,1E+99)))),100-ABS(D17-N17)/IF(N17=0,1,N17)*100))))</f>
        <v>100</v>
      </c>
      <c r="P17" s="153">
        <f t="shared" si="0"/>
        <v>88</v>
      </c>
      <c r="Q17" s="153">
        <f>IFERROR(P17/SUM($P$14:$P$17),0)</f>
        <v>0.23783783783783785</v>
      </c>
      <c r="R17" s="153">
        <f t="shared" si="1"/>
        <v>832</v>
      </c>
      <c r="S17" s="153">
        <f t="shared" si="2"/>
        <v>832</v>
      </c>
      <c r="T17" s="153">
        <f t="shared" si="3"/>
        <v>1</v>
      </c>
      <c r="U17" s="153">
        <f t="shared" si="4"/>
        <v>42</v>
      </c>
      <c r="V17" s="153">
        <f t="shared" si="5"/>
        <v>34944</v>
      </c>
      <c r="W17" s="153">
        <f t="shared" si="6"/>
        <v>0</v>
      </c>
      <c r="X17" s="153">
        <f t="shared" si="7"/>
        <v>6</v>
      </c>
    </row>
    <row r="18" spans="1:24" x14ac:dyDescent="0.3">
      <c r="A18" s="153" t="s">
        <v>712</v>
      </c>
      <c r="B18" s="153" t="s">
        <v>705</v>
      </c>
      <c r="C18" s="153" t="s">
        <v>77</v>
      </c>
      <c r="D18" s="153">
        <v>120</v>
      </c>
      <c r="E18" s="153">
        <v>7</v>
      </c>
      <c r="F18" s="153">
        <v>8</v>
      </c>
      <c r="G18" s="153">
        <v>0</v>
      </c>
      <c r="H18" s="153">
        <v>100</v>
      </c>
      <c r="I18" s="153">
        <v>0</v>
      </c>
      <c r="J18" s="153">
        <v>0.4</v>
      </c>
      <c r="K18" s="153">
        <v>0.35</v>
      </c>
      <c r="L18" s="153">
        <v>0.25</v>
      </c>
      <c r="M18" s="153">
        <v>3500</v>
      </c>
      <c r="N18" s="153">
        <v>100</v>
      </c>
      <c r="O18" s="153">
        <f>IF(H18&lt;=0,0,MAX(0,MIN(100,IF(C18="SEG-01",IF(MAX(IF($H$18&gt;0,$D$18,-1E+99),IF($H$19&gt;0,$D$19,-1E+99),IF($H$20&gt;0,$D$20,-1E+99),IF($H$21&gt;0,$D$21,-1E+99))=MIN(IF($H$18&gt;0,$D$18,1E+99),IF($H$19&gt;0,$D$19,1E+99),IF($H$20&gt;0,$D$20,1E+99),IF($H$21&gt;0,$D$21,1E+99)),100,100*(MAX(IF($H$18&gt;0,$D$18,-1E+99),IF($H$19&gt;0,$D$19,-1E+99),IF($H$20&gt;0,$D$20,-1E+99),IF($H$21&gt;0,$D$21,-1E+99))-D18)/(MAX(IF($H$18&gt;0,$D$18,-1E+99),IF($H$19&gt;0,$D$19,-1E+99),IF($H$20&gt;0,$D$20,-1E+99),IF($H$21&gt;0,$D$21,-1E+99))-MIN(IF($H$18&gt;0,$D$18,1E+99),IF($H$19&gt;0,$D$19,1E+99),IF($H$20&gt;0,$D$20,1E+99),IF($H$21&gt;0,$D$21,1E+99)))),100-ABS(D18-N18)/IF(N18=0,1,N18)*100))))</f>
        <v>80</v>
      </c>
      <c r="P18" s="153">
        <f t="shared" si="0"/>
        <v>76.5</v>
      </c>
      <c r="Q18" s="153">
        <f>IFERROR(P18/SUM($P$18:$P$21),0)</f>
        <v>0.30357142857142855</v>
      </c>
      <c r="R18" s="153">
        <f t="shared" si="1"/>
        <v>1063</v>
      </c>
      <c r="S18" s="153">
        <f t="shared" si="2"/>
        <v>0</v>
      </c>
      <c r="T18" s="153">
        <f t="shared" si="3"/>
        <v>1</v>
      </c>
      <c r="U18" s="153">
        <f t="shared" si="4"/>
        <v>120</v>
      </c>
      <c r="V18" s="153">
        <f t="shared" si="5"/>
        <v>0</v>
      </c>
      <c r="W18" s="153">
        <f t="shared" si="6"/>
        <v>1063</v>
      </c>
      <c r="X18" s="153">
        <f t="shared" si="7"/>
        <v>7</v>
      </c>
    </row>
    <row r="19" spans="1:24" x14ac:dyDescent="0.3">
      <c r="A19" s="153" t="s">
        <v>712</v>
      </c>
      <c r="B19" s="153" t="s">
        <v>706</v>
      </c>
      <c r="C19" s="153" t="s">
        <v>77</v>
      </c>
      <c r="D19" s="153">
        <v>140</v>
      </c>
      <c r="E19" s="153">
        <v>8</v>
      </c>
      <c r="F19" s="153">
        <v>7</v>
      </c>
      <c r="G19" s="153">
        <v>1000</v>
      </c>
      <c r="H19" s="153">
        <v>100</v>
      </c>
      <c r="I19" s="153">
        <v>0</v>
      </c>
      <c r="J19" s="153">
        <v>0.4</v>
      </c>
      <c r="K19" s="153">
        <v>0.35</v>
      </c>
      <c r="L19" s="153">
        <v>0.25</v>
      </c>
      <c r="M19" s="153">
        <v>3500</v>
      </c>
      <c r="N19" s="153">
        <v>100</v>
      </c>
      <c r="O19" s="153">
        <f>IF(H19&lt;=0,0,MAX(0,MIN(100,IF(C19="SEG-01",IF(MAX(IF($H$18&gt;0,$D$18,-1E+99),IF($H$19&gt;0,$D$19,-1E+99),IF($H$20&gt;0,$D$20,-1E+99),IF($H$21&gt;0,$D$21,-1E+99))=MIN(IF($H$18&gt;0,$D$18,1E+99),IF($H$19&gt;0,$D$19,1E+99),IF($H$20&gt;0,$D$20,1E+99),IF($H$21&gt;0,$D$21,1E+99)),100,100*(MAX(IF($H$18&gt;0,$D$18,-1E+99),IF($H$19&gt;0,$D$19,-1E+99),IF($H$20&gt;0,$D$20,-1E+99),IF($H$21&gt;0,$D$21,-1E+99))-D19)/(MAX(IF($H$18&gt;0,$D$18,-1E+99),IF($H$19&gt;0,$D$19,-1E+99),IF($H$20&gt;0,$D$20,-1E+99),IF($H$21&gt;0,$D$21,-1E+99))-MIN(IF($H$18&gt;0,$D$18,1E+99),IF($H$19&gt;0,$D$19,1E+99),IF($H$20&gt;0,$D$20,1E+99),IF($H$21&gt;0,$D$21,1E+99)))),100-ABS(D19-N19)/IF(N19=0,1,N19)*100))))</f>
        <v>60</v>
      </c>
      <c r="P19" s="153">
        <f t="shared" si="0"/>
        <v>69.5</v>
      </c>
      <c r="Q19" s="153">
        <f>IFERROR(P19/SUM($P$18:$P$21),0)</f>
        <v>0.27579365079365081</v>
      </c>
      <c r="R19" s="153">
        <f t="shared" si="1"/>
        <v>965</v>
      </c>
      <c r="S19" s="153">
        <f t="shared" si="2"/>
        <v>965</v>
      </c>
      <c r="T19" s="153">
        <f t="shared" si="3"/>
        <v>1</v>
      </c>
      <c r="U19" s="153">
        <f t="shared" si="4"/>
        <v>140</v>
      </c>
      <c r="V19" s="153">
        <f t="shared" si="5"/>
        <v>135100</v>
      </c>
      <c r="W19" s="153">
        <f t="shared" si="6"/>
        <v>0</v>
      </c>
      <c r="X19" s="153">
        <f t="shared" si="7"/>
        <v>8</v>
      </c>
    </row>
    <row r="20" spans="1:24" x14ac:dyDescent="0.3">
      <c r="A20" s="153" t="s">
        <v>712</v>
      </c>
      <c r="B20" s="153" t="s">
        <v>707</v>
      </c>
      <c r="C20" s="153" t="s">
        <v>77</v>
      </c>
      <c r="D20" s="153">
        <v>160</v>
      </c>
      <c r="E20" s="153">
        <v>9</v>
      </c>
      <c r="F20" s="153">
        <v>9</v>
      </c>
      <c r="G20" s="153">
        <v>1000</v>
      </c>
      <c r="H20" s="153">
        <v>100</v>
      </c>
      <c r="I20" s="153">
        <v>0</v>
      </c>
      <c r="J20" s="153">
        <v>0.4</v>
      </c>
      <c r="K20" s="153">
        <v>0.35</v>
      </c>
      <c r="L20" s="153">
        <v>0.25</v>
      </c>
      <c r="M20" s="153">
        <v>3500</v>
      </c>
      <c r="N20" s="153">
        <v>100</v>
      </c>
      <c r="O20" s="153">
        <f>IF(H20&lt;=0,0,MAX(0,MIN(100,IF(C20="SEG-01",IF(MAX(IF($H$18&gt;0,$D$18,-1E+99),IF($H$19&gt;0,$D$19,-1E+99),IF($H$20&gt;0,$D$20,-1E+99),IF($H$21&gt;0,$D$21,-1E+99))=MIN(IF($H$18&gt;0,$D$18,1E+99),IF($H$19&gt;0,$D$19,1E+99),IF($H$20&gt;0,$D$20,1E+99),IF($H$21&gt;0,$D$21,1E+99)),100,100*(MAX(IF($H$18&gt;0,$D$18,-1E+99),IF($H$19&gt;0,$D$19,-1E+99),IF($H$20&gt;0,$D$20,-1E+99),IF($H$21&gt;0,$D$21,-1E+99))-D20)/(MAX(IF($H$18&gt;0,$D$18,-1E+99),IF($H$19&gt;0,$D$19,-1E+99),IF($H$20&gt;0,$D$20,-1E+99),IF($H$21&gt;0,$D$21,-1E+99))-MIN(IF($H$18&gt;0,$D$18,1E+99),IF($H$19&gt;0,$D$19,1E+99),IF($H$20&gt;0,$D$20,1E+99),IF($H$21&gt;0,$D$21,1E+99)))),100-ABS(D20-N20)/IF(N20=0,1,N20)*100))))</f>
        <v>40</v>
      </c>
      <c r="P20" s="153">
        <f t="shared" si="0"/>
        <v>70</v>
      </c>
      <c r="Q20" s="153">
        <f>IFERROR(P20/SUM($P$18:$P$21),0)</f>
        <v>0.27777777777777779</v>
      </c>
      <c r="R20" s="153">
        <f t="shared" si="1"/>
        <v>972</v>
      </c>
      <c r="S20" s="153">
        <f t="shared" si="2"/>
        <v>972</v>
      </c>
      <c r="T20" s="153">
        <f t="shared" si="3"/>
        <v>1</v>
      </c>
      <c r="U20" s="153">
        <f t="shared" si="4"/>
        <v>160</v>
      </c>
      <c r="V20" s="153">
        <f t="shared" si="5"/>
        <v>155520</v>
      </c>
      <c r="W20" s="153">
        <f t="shared" si="6"/>
        <v>0</v>
      </c>
      <c r="X20" s="153">
        <f t="shared" si="7"/>
        <v>9</v>
      </c>
    </row>
    <row r="21" spans="1:24" x14ac:dyDescent="0.3">
      <c r="A21" s="153" t="s">
        <v>712</v>
      </c>
      <c r="B21" s="153" t="s">
        <v>708</v>
      </c>
      <c r="C21" s="153" t="s">
        <v>77</v>
      </c>
      <c r="D21" s="153">
        <v>200</v>
      </c>
      <c r="E21" s="153">
        <v>6</v>
      </c>
      <c r="F21" s="153">
        <v>6</v>
      </c>
      <c r="G21" s="153">
        <v>1000</v>
      </c>
      <c r="H21" s="153">
        <v>100</v>
      </c>
      <c r="I21" s="153">
        <v>0</v>
      </c>
      <c r="J21" s="153">
        <v>0.4</v>
      </c>
      <c r="K21" s="153">
        <v>0.35</v>
      </c>
      <c r="L21" s="153">
        <v>0.25</v>
      </c>
      <c r="M21" s="153">
        <v>3500</v>
      </c>
      <c r="N21" s="153">
        <v>100</v>
      </c>
      <c r="O21" s="153">
        <f>IF(H21&lt;=0,0,MAX(0,MIN(100,IF(C21="SEG-01",IF(MAX(IF($H$18&gt;0,$D$18,-1E+99),IF($H$19&gt;0,$D$19,-1E+99),IF($H$20&gt;0,$D$20,-1E+99),IF($H$21&gt;0,$D$21,-1E+99))=MIN(IF($H$18&gt;0,$D$18,1E+99),IF($H$19&gt;0,$D$19,1E+99),IF($H$20&gt;0,$D$20,1E+99),IF($H$21&gt;0,$D$21,1E+99)),100,100*(MAX(IF($H$18&gt;0,$D$18,-1E+99),IF($H$19&gt;0,$D$19,-1E+99),IF($H$20&gt;0,$D$20,-1E+99),IF($H$21&gt;0,$D$21,-1E+99))-D21)/(MAX(IF($H$18&gt;0,$D$18,-1E+99),IF($H$19&gt;0,$D$19,-1E+99),IF($H$20&gt;0,$D$20,-1E+99),IF($H$21&gt;0,$D$21,-1E+99))-MIN(IF($H$18&gt;0,$D$18,1E+99),IF($H$19&gt;0,$D$19,1E+99),IF($H$20&gt;0,$D$20,1E+99),IF($H$21&gt;0,$D$21,1E+99)))),100-ABS(D21-N21)/IF(N21=0,1,N21)*100))))</f>
        <v>0</v>
      </c>
      <c r="P21" s="153">
        <f t="shared" si="0"/>
        <v>36</v>
      </c>
      <c r="Q21" s="153">
        <f>IFERROR(P21/SUM($P$18:$P$21),0)</f>
        <v>0.14285714285714285</v>
      </c>
      <c r="R21" s="153">
        <f t="shared" si="1"/>
        <v>500</v>
      </c>
      <c r="S21" s="153">
        <f t="shared" si="2"/>
        <v>500</v>
      </c>
      <c r="T21" s="153">
        <f t="shared" si="3"/>
        <v>1</v>
      </c>
      <c r="U21" s="153">
        <f t="shared" si="4"/>
        <v>200</v>
      </c>
      <c r="V21" s="153">
        <f t="shared" si="5"/>
        <v>100000</v>
      </c>
      <c r="W21" s="153">
        <f t="shared" si="6"/>
        <v>0</v>
      </c>
      <c r="X21" s="153">
        <f t="shared" si="7"/>
        <v>6</v>
      </c>
    </row>
    <row r="22" spans="1:24" x14ac:dyDescent="0.3">
      <c r="A22" s="153" t="s">
        <v>713</v>
      </c>
      <c r="B22" s="153" t="s">
        <v>705</v>
      </c>
      <c r="C22" s="153" t="s">
        <v>77</v>
      </c>
      <c r="D22" s="153">
        <v>120</v>
      </c>
      <c r="E22" s="153">
        <v>7</v>
      </c>
      <c r="F22" s="153">
        <v>8</v>
      </c>
      <c r="G22" s="153">
        <v>1000</v>
      </c>
      <c r="H22" s="153">
        <v>0</v>
      </c>
      <c r="I22" s="153">
        <v>0</v>
      </c>
      <c r="J22" s="153">
        <v>0.4</v>
      </c>
      <c r="K22" s="153">
        <v>0.35</v>
      </c>
      <c r="L22" s="153">
        <v>0.25</v>
      </c>
      <c r="M22" s="153">
        <v>3500</v>
      </c>
      <c r="N22" s="153">
        <v>100</v>
      </c>
      <c r="O22" s="153">
        <f>IF(H22&lt;=0,0,MAX(0,MIN(100,IF(C22="SEG-01",IF(MAX(IF($H$22&gt;0,$D$22,-1E+99),IF($H$23&gt;0,$D$23,-1E+99),IF($H$24&gt;0,$D$24,-1E+99),IF($H$25&gt;0,$D$25,-1E+99))=MIN(IF($H$22&gt;0,$D$22,1E+99),IF($H$23&gt;0,$D$23,1E+99),IF($H$24&gt;0,$D$24,1E+99),IF($H$25&gt;0,$D$25,1E+99)),100,100*(MAX(IF($H$22&gt;0,$D$22,-1E+99),IF($H$23&gt;0,$D$23,-1E+99),IF($H$24&gt;0,$D$24,-1E+99),IF($H$25&gt;0,$D$25,-1E+99))-D22)/(MAX(IF($H$22&gt;0,$D$22,-1E+99),IF($H$23&gt;0,$D$23,-1E+99),IF($H$24&gt;0,$D$24,-1E+99),IF($H$25&gt;0,$D$25,-1E+99))-MIN(IF($H$22&gt;0,$D$22,1E+99),IF($H$23&gt;0,$D$23,1E+99),IF($H$24&gt;0,$D$24,1E+99),IF($H$25&gt;0,$D$25,1E+99)))),100-ABS(D22-N22)/IF(N22=0,1,N22)*100))))</f>
        <v>0</v>
      </c>
      <c r="P22" s="153">
        <f t="shared" si="0"/>
        <v>0</v>
      </c>
      <c r="Q22" s="153">
        <f>IFERROR(P22/SUM($P$22:$P$25),0)</f>
        <v>0</v>
      </c>
      <c r="R22" s="153">
        <f t="shared" si="1"/>
        <v>0</v>
      </c>
      <c r="S22" s="153">
        <f t="shared" si="2"/>
        <v>0</v>
      </c>
      <c r="T22" s="153">
        <f t="shared" si="3"/>
        <v>1</v>
      </c>
      <c r="U22" s="153">
        <f t="shared" si="4"/>
        <v>120</v>
      </c>
      <c r="V22" s="153">
        <f t="shared" si="5"/>
        <v>0</v>
      </c>
      <c r="W22" s="153">
        <f t="shared" si="6"/>
        <v>0</v>
      </c>
      <c r="X22" s="153">
        <f t="shared" si="7"/>
        <v>7</v>
      </c>
    </row>
    <row r="23" spans="1:24" x14ac:dyDescent="0.3">
      <c r="A23" s="153" t="s">
        <v>713</v>
      </c>
      <c r="B23" s="153" t="s">
        <v>706</v>
      </c>
      <c r="C23" s="153" t="s">
        <v>77</v>
      </c>
      <c r="D23" s="153">
        <v>140</v>
      </c>
      <c r="E23" s="153">
        <v>8</v>
      </c>
      <c r="F23" s="153">
        <v>7</v>
      </c>
      <c r="G23" s="153">
        <v>1000</v>
      </c>
      <c r="H23" s="153">
        <v>100</v>
      </c>
      <c r="I23" s="153">
        <v>0</v>
      </c>
      <c r="J23" s="153">
        <v>0.4</v>
      </c>
      <c r="K23" s="153">
        <v>0.35</v>
      </c>
      <c r="L23" s="153">
        <v>0.25</v>
      </c>
      <c r="M23" s="153">
        <v>3500</v>
      </c>
      <c r="N23" s="153">
        <v>100</v>
      </c>
      <c r="O23" s="153">
        <f>IF(H23&lt;=0,0,MAX(0,MIN(100,IF(C23="SEG-01",IF(MAX(IF($H$22&gt;0,$D$22,-1E+99),IF($H$23&gt;0,$D$23,-1E+99),IF($H$24&gt;0,$D$24,-1E+99),IF($H$25&gt;0,$D$25,-1E+99))=MIN(IF($H$22&gt;0,$D$22,1E+99),IF($H$23&gt;0,$D$23,1E+99),IF($H$24&gt;0,$D$24,1E+99),IF($H$25&gt;0,$D$25,1E+99)),100,100*(MAX(IF($H$22&gt;0,$D$22,-1E+99),IF($H$23&gt;0,$D$23,-1E+99),IF($H$24&gt;0,$D$24,-1E+99),IF($H$25&gt;0,$D$25,-1E+99))-D23)/(MAX(IF($H$22&gt;0,$D$22,-1E+99),IF($H$23&gt;0,$D$23,-1E+99),IF($H$24&gt;0,$D$24,-1E+99),IF($H$25&gt;0,$D$25,-1E+99))-MIN(IF($H$22&gt;0,$D$22,1E+99),IF($H$23&gt;0,$D$23,1E+99),IF($H$24&gt;0,$D$24,1E+99),IF($H$25&gt;0,$D$25,1E+99)))),100-ABS(D23-N23)/IF(N23=0,1,N23)*100))))</f>
        <v>60</v>
      </c>
      <c r="P23" s="153">
        <f t="shared" si="0"/>
        <v>69.5</v>
      </c>
      <c r="Q23" s="153">
        <f>IFERROR(P23/SUM($P$22:$P$25),0)</f>
        <v>0.39601139601139601</v>
      </c>
      <c r="R23" s="153">
        <f t="shared" si="1"/>
        <v>1386</v>
      </c>
      <c r="S23" s="153">
        <f t="shared" si="2"/>
        <v>1000</v>
      </c>
      <c r="T23" s="153">
        <f t="shared" si="3"/>
        <v>1</v>
      </c>
      <c r="U23" s="153">
        <f t="shared" si="4"/>
        <v>140</v>
      </c>
      <c r="V23" s="153">
        <f t="shared" si="5"/>
        <v>140000</v>
      </c>
      <c r="W23" s="153">
        <f t="shared" si="6"/>
        <v>386</v>
      </c>
      <c r="X23" s="153">
        <f t="shared" si="7"/>
        <v>8</v>
      </c>
    </row>
    <row r="24" spans="1:24" x14ac:dyDescent="0.3">
      <c r="A24" s="153" t="s">
        <v>713</v>
      </c>
      <c r="B24" s="153" t="s">
        <v>707</v>
      </c>
      <c r="C24" s="153" t="s">
        <v>77</v>
      </c>
      <c r="D24" s="153">
        <v>160</v>
      </c>
      <c r="E24" s="153">
        <v>9</v>
      </c>
      <c r="F24" s="153">
        <v>9</v>
      </c>
      <c r="G24" s="153">
        <v>1000</v>
      </c>
      <c r="H24" s="153">
        <v>100</v>
      </c>
      <c r="I24" s="153">
        <v>0</v>
      </c>
      <c r="J24" s="153">
        <v>0.4</v>
      </c>
      <c r="K24" s="153">
        <v>0.35</v>
      </c>
      <c r="L24" s="153">
        <v>0.25</v>
      </c>
      <c r="M24" s="153">
        <v>3500</v>
      </c>
      <c r="N24" s="153">
        <v>100</v>
      </c>
      <c r="O24" s="153">
        <f>IF(H24&lt;=0,0,MAX(0,MIN(100,IF(C24="SEG-01",IF(MAX(IF($H$22&gt;0,$D$22,-1E+99),IF($H$23&gt;0,$D$23,-1E+99),IF($H$24&gt;0,$D$24,-1E+99),IF($H$25&gt;0,$D$25,-1E+99))=MIN(IF($H$22&gt;0,$D$22,1E+99),IF($H$23&gt;0,$D$23,1E+99),IF($H$24&gt;0,$D$24,1E+99),IF($H$25&gt;0,$D$25,1E+99)),100,100*(MAX(IF($H$22&gt;0,$D$22,-1E+99),IF($H$23&gt;0,$D$23,-1E+99),IF($H$24&gt;0,$D$24,-1E+99),IF($H$25&gt;0,$D$25,-1E+99))-D24)/(MAX(IF($H$22&gt;0,$D$22,-1E+99),IF($H$23&gt;0,$D$23,-1E+99),IF($H$24&gt;0,$D$24,-1E+99),IF($H$25&gt;0,$D$25,-1E+99))-MIN(IF($H$22&gt;0,$D$22,1E+99),IF($H$23&gt;0,$D$23,1E+99),IF($H$24&gt;0,$D$24,1E+99),IF($H$25&gt;0,$D$25,1E+99)))),100-ABS(D24-N24)/IF(N24=0,1,N24)*100))))</f>
        <v>40</v>
      </c>
      <c r="P24" s="153">
        <f t="shared" si="0"/>
        <v>70</v>
      </c>
      <c r="Q24" s="153">
        <f>IFERROR(P24/SUM($P$22:$P$25),0)</f>
        <v>0.39886039886039887</v>
      </c>
      <c r="R24" s="153">
        <f t="shared" si="1"/>
        <v>1396</v>
      </c>
      <c r="S24" s="153">
        <f t="shared" si="2"/>
        <v>1000</v>
      </c>
      <c r="T24" s="153">
        <f t="shared" si="3"/>
        <v>1</v>
      </c>
      <c r="U24" s="153">
        <f t="shared" si="4"/>
        <v>160</v>
      </c>
      <c r="V24" s="153">
        <f t="shared" si="5"/>
        <v>160000</v>
      </c>
      <c r="W24" s="153">
        <f t="shared" si="6"/>
        <v>396</v>
      </c>
      <c r="X24" s="153">
        <f t="shared" si="7"/>
        <v>9</v>
      </c>
    </row>
    <row r="25" spans="1:24" x14ac:dyDescent="0.3">
      <c r="A25" s="153" t="s">
        <v>713</v>
      </c>
      <c r="B25" s="153" t="s">
        <v>708</v>
      </c>
      <c r="C25" s="153" t="s">
        <v>77</v>
      </c>
      <c r="D25" s="153">
        <v>200</v>
      </c>
      <c r="E25" s="153">
        <v>6</v>
      </c>
      <c r="F25" s="153">
        <v>6</v>
      </c>
      <c r="G25" s="153">
        <v>1000</v>
      </c>
      <c r="H25" s="153">
        <v>100</v>
      </c>
      <c r="I25" s="153">
        <v>0</v>
      </c>
      <c r="J25" s="153">
        <v>0.4</v>
      </c>
      <c r="K25" s="153">
        <v>0.35</v>
      </c>
      <c r="L25" s="153">
        <v>0.25</v>
      </c>
      <c r="M25" s="153">
        <v>3500</v>
      </c>
      <c r="N25" s="153">
        <v>100</v>
      </c>
      <c r="O25" s="153">
        <f>IF(H25&lt;=0,0,MAX(0,MIN(100,IF(C25="SEG-01",IF(MAX(IF($H$22&gt;0,$D$22,-1E+99),IF($H$23&gt;0,$D$23,-1E+99),IF($H$24&gt;0,$D$24,-1E+99),IF($H$25&gt;0,$D$25,-1E+99))=MIN(IF($H$22&gt;0,$D$22,1E+99),IF($H$23&gt;0,$D$23,1E+99),IF($H$24&gt;0,$D$24,1E+99),IF($H$25&gt;0,$D$25,1E+99)),100,100*(MAX(IF($H$22&gt;0,$D$22,-1E+99),IF($H$23&gt;0,$D$23,-1E+99),IF($H$24&gt;0,$D$24,-1E+99),IF($H$25&gt;0,$D$25,-1E+99))-D25)/(MAX(IF($H$22&gt;0,$D$22,-1E+99),IF($H$23&gt;0,$D$23,-1E+99),IF($H$24&gt;0,$D$24,-1E+99),IF($H$25&gt;0,$D$25,-1E+99))-MIN(IF($H$22&gt;0,$D$22,1E+99),IF($H$23&gt;0,$D$23,1E+99),IF($H$24&gt;0,$D$24,1E+99),IF($H$25&gt;0,$D$25,1E+99)))),100-ABS(D25-N25)/IF(N25=0,1,N25)*100))))</f>
        <v>0</v>
      </c>
      <c r="P25" s="153">
        <f t="shared" si="0"/>
        <v>36</v>
      </c>
      <c r="Q25" s="153">
        <f>IFERROR(P25/SUM($P$22:$P$25),0)</f>
        <v>0.20512820512820512</v>
      </c>
      <c r="R25" s="153">
        <f t="shared" si="1"/>
        <v>718</v>
      </c>
      <c r="S25" s="153">
        <f t="shared" si="2"/>
        <v>718</v>
      </c>
      <c r="T25" s="153">
        <f t="shared" si="3"/>
        <v>1</v>
      </c>
      <c r="U25" s="153">
        <f t="shared" si="4"/>
        <v>200</v>
      </c>
      <c r="V25" s="153">
        <f t="shared" si="5"/>
        <v>143600</v>
      </c>
      <c r="W25" s="153">
        <f t="shared" si="6"/>
        <v>0</v>
      </c>
      <c r="X25" s="153">
        <f t="shared" si="7"/>
        <v>6</v>
      </c>
    </row>
    <row r="26" spans="1:24" x14ac:dyDescent="0.3">
      <c r="A26" s="153" t="s">
        <v>714</v>
      </c>
      <c r="B26" s="153" t="s">
        <v>705</v>
      </c>
      <c r="C26" s="153" t="s">
        <v>80</v>
      </c>
      <c r="D26" s="153">
        <v>220</v>
      </c>
      <c r="E26" s="153">
        <v>7</v>
      </c>
      <c r="F26" s="153">
        <v>5</v>
      </c>
      <c r="G26" s="153">
        <v>1000</v>
      </c>
      <c r="H26" s="153">
        <v>100</v>
      </c>
      <c r="I26" s="153">
        <v>0</v>
      </c>
      <c r="J26" s="153">
        <v>0.1</v>
      </c>
      <c r="K26" s="153">
        <v>0.5</v>
      </c>
      <c r="L26" s="153">
        <v>0.4</v>
      </c>
      <c r="M26" s="153">
        <v>800</v>
      </c>
      <c r="N26" s="153">
        <v>250</v>
      </c>
      <c r="O26" s="153">
        <f>IF(H26&lt;=0,0,MAX(0,MIN(100,IF(C26="SEG-01",IF(MAX(IF($H$26&gt;0,$D$26,-1E+99),IF($H$27&gt;0,$D$27,-1E+99),IF($H$28&gt;0,$D$28,-1E+99),IF($H$29&gt;0,$D$29,-1E+99))=MIN(IF($H$26&gt;0,$D$26,1E+99),IF($H$27&gt;0,$D$27,1E+99),IF($H$28&gt;0,$D$28,1E+99),IF($H$29&gt;0,$D$29,1E+99)),100,100*(MAX(IF($H$26&gt;0,$D$26,-1E+99),IF($H$27&gt;0,$D$27,-1E+99),IF($H$28&gt;0,$D$28,-1E+99),IF($H$29&gt;0,$D$29,-1E+99))-D26)/(MAX(IF($H$26&gt;0,$D$26,-1E+99),IF($H$27&gt;0,$D$27,-1E+99),IF($H$28&gt;0,$D$28,-1E+99),IF($H$29&gt;0,$D$29,-1E+99))-MIN(IF($H$26&gt;0,$D$26,1E+99),IF($H$27&gt;0,$D$27,1E+99),IF($H$28&gt;0,$D$28,1E+99),IF($H$29&gt;0,$D$29,1E+99)))),100-ABS(D26-N26)/IF(N26=0,1,N26)*100))))</f>
        <v>88</v>
      </c>
      <c r="P26" s="153">
        <f t="shared" si="0"/>
        <v>53.8</v>
      </c>
      <c r="Q26" s="153">
        <f>IFERROR(P26/SUM($P$26:$P$29),0)</f>
        <v>0.18957011980267793</v>
      </c>
      <c r="R26" s="153">
        <f t="shared" si="1"/>
        <v>152</v>
      </c>
      <c r="S26" s="153">
        <f t="shared" si="2"/>
        <v>152</v>
      </c>
      <c r="T26" s="153">
        <f t="shared" si="3"/>
        <v>0.65</v>
      </c>
      <c r="U26" s="153">
        <f t="shared" si="4"/>
        <v>143</v>
      </c>
      <c r="V26" s="153">
        <f t="shared" si="5"/>
        <v>21736</v>
      </c>
      <c r="W26" s="153">
        <f t="shared" si="6"/>
        <v>0</v>
      </c>
      <c r="X26" s="153">
        <f t="shared" si="7"/>
        <v>5</v>
      </c>
    </row>
    <row r="27" spans="1:24" x14ac:dyDescent="0.3">
      <c r="A27" s="153" t="s">
        <v>714</v>
      </c>
      <c r="B27" s="153" t="s">
        <v>706</v>
      </c>
      <c r="C27" s="153" t="s">
        <v>80</v>
      </c>
      <c r="D27" s="153">
        <v>250</v>
      </c>
      <c r="E27" s="153">
        <v>8</v>
      </c>
      <c r="F27" s="153">
        <v>7</v>
      </c>
      <c r="G27" s="153">
        <v>1000</v>
      </c>
      <c r="H27" s="153">
        <v>100</v>
      </c>
      <c r="I27" s="153">
        <v>0</v>
      </c>
      <c r="J27" s="153">
        <v>0.1</v>
      </c>
      <c r="K27" s="153">
        <v>0.5</v>
      </c>
      <c r="L27" s="153">
        <v>0.4</v>
      </c>
      <c r="M27" s="153">
        <v>800</v>
      </c>
      <c r="N27" s="153">
        <v>250</v>
      </c>
      <c r="O27" s="153">
        <f>IF(H27&lt;=0,0,MAX(0,MIN(100,IF(C27="SEG-01",IF(MAX(IF($H$26&gt;0,$D$26,-1E+99),IF($H$27&gt;0,$D$27,-1E+99),IF($H$28&gt;0,$D$28,-1E+99),IF($H$29&gt;0,$D$29,-1E+99))=MIN(IF($H$26&gt;0,$D$26,1E+99),IF($H$27&gt;0,$D$27,1E+99),IF($H$28&gt;0,$D$28,1E+99),IF($H$29&gt;0,$D$29,1E+99)),100,100*(MAX(IF($H$26&gt;0,$D$26,-1E+99),IF($H$27&gt;0,$D$27,-1E+99),IF($H$28&gt;0,$D$28,-1E+99),IF($H$29&gt;0,$D$29,-1E+99))-D27)/(MAX(IF($H$26&gt;0,$D$26,-1E+99),IF($H$27&gt;0,$D$27,-1E+99),IF($H$28&gt;0,$D$28,-1E+99),IF($H$29&gt;0,$D$29,-1E+99))-MIN(IF($H$26&gt;0,$D$26,1E+99),IF($H$27&gt;0,$D$27,1E+99),IF($H$28&gt;0,$D$28,1E+99),IF($H$29&gt;0,$D$29,1E+99)))),100-ABS(D27-N27)/IF(N27=0,1,N27)*100))))</f>
        <v>100</v>
      </c>
      <c r="P27" s="153">
        <f t="shared" si="0"/>
        <v>88</v>
      </c>
      <c r="Q27" s="153">
        <f>IFERROR(P27/SUM($P$26:$P$29),0)</f>
        <v>0.31007751937984496</v>
      </c>
      <c r="R27" s="153">
        <f t="shared" si="1"/>
        <v>248</v>
      </c>
      <c r="S27" s="153">
        <f t="shared" si="2"/>
        <v>248</v>
      </c>
      <c r="T27" s="153">
        <f t="shared" si="3"/>
        <v>1.4</v>
      </c>
      <c r="U27" s="153">
        <f t="shared" si="4"/>
        <v>350</v>
      </c>
      <c r="V27" s="153">
        <f t="shared" si="5"/>
        <v>86800</v>
      </c>
      <c r="W27" s="153">
        <f t="shared" si="6"/>
        <v>0</v>
      </c>
      <c r="X27" s="153">
        <f t="shared" si="7"/>
        <v>10</v>
      </c>
    </row>
    <row r="28" spans="1:24" x14ac:dyDescent="0.3">
      <c r="A28" s="153" t="s">
        <v>714</v>
      </c>
      <c r="B28" s="153" t="s">
        <v>707</v>
      </c>
      <c r="C28" s="153" t="s">
        <v>80</v>
      </c>
      <c r="D28" s="153">
        <v>300</v>
      </c>
      <c r="E28" s="153">
        <v>9</v>
      </c>
      <c r="F28" s="153">
        <v>9</v>
      </c>
      <c r="G28" s="153">
        <v>1000</v>
      </c>
      <c r="H28" s="153">
        <v>100</v>
      </c>
      <c r="I28" s="153">
        <v>0</v>
      </c>
      <c r="J28" s="153">
        <v>0.1</v>
      </c>
      <c r="K28" s="153">
        <v>0.5</v>
      </c>
      <c r="L28" s="153">
        <v>0.4</v>
      </c>
      <c r="M28" s="153">
        <v>800</v>
      </c>
      <c r="N28" s="153">
        <v>250</v>
      </c>
      <c r="O28" s="153">
        <f>IF(H28&lt;=0,0,MAX(0,MIN(100,IF(C28="SEG-01",IF(MAX(IF($H$26&gt;0,$D$26,-1E+99),IF($H$27&gt;0,$D$27,-1E+99),IF($H$28&gt;0,$D$28,-1E+99),IF($H$29&gt;0,$D$29,-1E+99))=MIN(IF($H$26&gt;0,$D$26,1E+99),IF($H$27&gt;0,$D$27,1E+99),IF($H$28&gt;0,$D$28,1E+99),IF($H$29&gt;0,$D$29,1E+99)),100,100*(MAX(IF($H$26&gt;0,$D$26,-1E+99),IF($H$27&gt;0,$D$27,-1E+99),IF($H$28&gt;0,$D$28,-1E+99),IF($H$29&gt;0,$D$29,-1E+99))-D28)/(MAX(IF($H$26&gt;0,$D$26,-1E+99),IF($H$27&gt;0,$D$27,-1E+99),IF($H$28&gt;0,$D$28,-1E+99),IF($H$29&gt;0,$D$29,-1E+99))-MIN(IF($H$26&gt;0,$D$26,1E+99),IF($H$27&gt;0,$D$27,1E+99),IF($H$28&gt;0,$D$28,1E+99),IF($H$29&gt;0,$D$29,1E+99)))),100-ABS(D28-N28)/IF(N28=0,1,N28)*100))))</f>
        <v>80</v>
      </c>
      <c r="P28" s="153">
        <f t="shared" si="0"/>
        <v>94</v>
      </c>
      <c r="Q28" s="153">
        <f>IFERROR(P28/SUM($P$26:$P$29),0)</f>
        <v>0.33121916842847077</v>
      </c>
      <c r="R28" s="153">
        <f t="shared" si="1"/>
        <v>265</v>
      </c>
      <c r="S28" s="153">
        <f t="shared" si="2"/>
        <v>265</v>
      </c>
      <c r="T28" s="153">
        <f t="shared" si="3"/>
        <v>1.4</v>
      </c>
      <c r="U28" s="153">
        <f t="shared" si="4"/>
        <v>420</v>
      </c>
      <c r="V28" s="153">
        <f t="shared" si="5"/>
        <v>111300</v>
      </c>
      <c r="W28" s="153">
        <f t="shared" si="6"/>
        <v>0</v>
      </c>
      <c r="X28" s="153">
        <f t="shared" si="7"/>
        <v>10</v>
      </c>
    </row>
    <row r="29" spans="1:24" x14ac:dyDescent="0.3">
      <c r="A29" s="153" t="s">
        <v>714</v>
      </c>
      <c r="B29" s="153" t="s">
        <v>708</v>
      </c>
      <c r="C29" s="153" t="s">
        <v>80</v>
      </c>
      <c r="D29" s="153">
        <v>400</v>
      </c>
      <c r="E29" s="153">
        <v>6</v>
      </c>
      <c r="F29" s="153">
        <v>6</v>
      </c>
      <c r="G29" s="153">
        <v>1000</v>
      </c>
      <c r="H29" s="153">
        <v>100</v>
      </c>
      <c r="I29" s="153">
        <v>0</v>
      </c>
      <c r="J29" s="153">
        <v>0.1</v>
      </c>
      <c r="K29" s="153">
        <v>0.5</v>
      </c>
      <c r="L29" s="153">
        <v>0.4</v>
      </c>
      <c r="M29" s="153">
        <v>800</v>
      </c>
      <c r="N29" s="153">
        <v>250</v>
      </c>
      <c r="O29" s="153">
        <f>IF(H29&lt;=0,0,MAX(0,MIN(100,IF(C29="SEG-01",IF(MAX(IF($H$26&gt;0,$D$26,-1E+99),IF($H$27&gt;0,$D$27,-1E+99),IF($H$28&gt;0,$D$28,-1E+99),IF($H$29&gt;0,$D$29,-1E+99))=MIN(IF($H$26&gt;0,$D$26,1E+99),IF($H$27&gt;0,$D$27,1E+99),IF($H$28&gt;0,$D$28,1E+99),IF($H$29&gt;0,$D$29,1E+99)),100,100*(MAX(IF($H$26&gt;0,$D$26,-1E+99),IF($H$27&gt;0,$D$27,-1E+99),IF($H$28&gt;0,$D$28,-1E+99),IF($H$29&gt;0,$D$29,-1E+99))-D29)/(MAX(IF($H$26&gt;0,$D$26,-1E+99),IF($H$27&gt;0,$D$27,-1E+99),IF($H$28&gt;0,$D$28,-1E+99),IF($H$29&gt;0,$D$29,-1E+99))-MIN(IF($H$26&gt;0,$D$26,1E+99),IF($H$27&gt;0,$D$27,1E+99),IF($H$28&gt;0,$D$28,1E+99),IF($H$29&gt;0,$D$29,1E+99)))),100-ABS(D29-N29)/IF(N29=0,1,N29)*100))))</f>
        <v>40</v>
      </c>
      <c r="P29" s="153">
        <f t="shared" si="0"/>
        <v>48</v>
      </c>
      <c r="Q29" s="153">
        <f>IFERROR(P29/SUM($P$26:$P$29),0)</f>
        <v>0.16913319238900634</v>
      </c>
      <c r="R29" s="153">
        <f t="shared" si="1"/>
        <v>135</v>
      </c>
      <c r="S29" s="153">
        <f t="shared" si="2"/>
        <v>135</v>
      </c>
      <c r="T29" s="153">
        <f t="shared" si="3"/>
        <v>0.65</v>
      </c>
      <c r="U29" s="153">
        <f t="shared" si="4"/>
        <v>260</v>
      </c>
      <c r="V29" s="153">
        <f t="shared" si="5"/>
        <v>35100</v>
      </c>
      <c r="W29" s="153">
        <f t="shared" si="6"/>
        <v>0</v>
      </c>
      <c r="X29" s="153">
        <f t="shared" si="7"/>
        <v>4</v>
      </c>
    </row>
    <row r="30" spans="1:24" x14ac:dyDescent="0.3">
      <c r="A30" s="153" t="s">
        <v>715</v>
      </c>
      <c r="B30" s="153" t="s">
        <v>705</v>
      </c>
      <c r="C30" s="153" t="s">
        <v>72</v>
      </c>
      <c r="D30" s="153">
        <v>40</v>
      </c>
      <c r="E30" s="153">
        <v>7</v>
      </c>
      <c r="F30" s="153">
        <v>8</v>
      </c>
      <c r="G30" s="153">
        <v>10</v>
      </c>
      <c r="H30" s="153">
        <v>100</v>
      </c>
      <c r="I30" s="153">
        <v>0</v>
      </c>
      <c r="J30" s="153">
        <v>0.7</v>
      </c>
      <c r="K30" s="153">
        <v>0.2</v>
      </c>
      <c r="L30" s="153">
        <v>0.1</v>
      </c>
      <c r="M30" s="153">
        <v>3500</v>
      </c>
      <c r="N30" s="153">
        <v>0</v>
      </c>
      <c r="O30" s="153">
        <f>IF(H30&lt;=0,0,MAX(0,MIN(100,IF(C30="SEG-01",IF(MAX(IF($H$30&gt;0,$D$30,-1E+99),IF($H$31&gt;0,$D$31,-1E+99),IF($H$32&gt;0,$D$32,-1E+99),IF($H$33&gt;0,$D$33,-1E+99))=MIN(IF($H$30&gt;0,$D$30,1E+99),IF($H$31&gt;0,$D$31,1E+99),IF($H$32&gt;0,$D$32,1E+99),IF($H$33&gt;0,$D$33,1E+99)),100,100*(MAX(IF($H$30&gt;0,$D$30,-1E+99),IF($H$31&gt;0,$D$31,-1E+99),IF($H$32&gt;0,$D$32,-1E+99),IF($H$33&gt;0,$D$33,-1E+99))-D30)/(MAX(IF($H$30&gt;0,$D$30,-1E+99),IF($H$31&gt;0,$D$31,-1E+99),IF($H$32&gt;0,$D$32,-1E+99),IF($H$33&gt;0,$D$33,-1E+99))-MIN(IF($H$30&gt;0,$D$30,1E+99),IF($H$31&gt;0,$D$31,1E+99),IF($H$32&gt;0,$D$32,1E+99),IF($H$33&gt;0,$D$33,1E+99)))),100-ABS(D30-N30)/IF(N30=0,1,N30)*100))))</f>
        <v>100</v>
      </c>
      <c r="P30" s="153">
        <f t="shared" si="0"/>
        <v>92</v>
      </c>
      <c r="Q30" s="153">
        <f>IFERROR(P30/SUM($P$30:$P$33),0)</f>
        <v>0.4</v>
      </c>
      <c r="R30" s="153">
        <f t="shared" si="1"/>
        <v>1400</v>
      </c>
      <c r="S30" s="153">
        <f t="shared" si="2"/>
        <v>10</v>
      </c>
      <c r="T30" s="153">
        <f t="shared" si="3"/>
        <v>1</v>
      </c>
      <c r="U30" s="153">
        <f t="shared" si="4"/>
        <v>40</v>
      </c>
      <c r="V30" s="153">
        <f t="shared" si="5"/>
        <v>400</v>
      </c>
      <c r="W30" s="153">
        <f t="shared" si="6"/>
        <v>1390</v>
      </c>
      <c r="X30" s="153">
        <f t="shared" si="7"/>
        <v>7</v>
      </c>
    </row>
    <row r="31" spans="1:24" x14ac:dyDescent="0.3">
      <c r="A31" s="153" t="s">
        <v>715</v>
      </c>
      <c r="B31" s="153" t="s">
        <v>706</v>
      </c>
      <c r="C31" s="153" t="s">
        <v>72</v>
      </c>
      <c r="D31" s="153">
        <v>42</v>
      </c>
      <c r="E31" s="153">
        <v>8</v>
      </c>
      <c r="F31" s="153">
        <v>7</v>
      </c>
      <c r="G31" s="153">
        <v>10</v>
      </c>
      <c r="H31" s="153">
        <v>100</v>
      </c>
      <c r="I31" s="153">
        <v>0</v>
      </c>
      <c r="J31" s="153">
        <v>0.7</v>
      </c>
      <c r="K31" s="153">
        <v>0.2</v>
      </c>
      <c r="L31" s="153">
        <v>0.1</v>
      </c>
      <c r="M31" s="153">
        <v>3500</v>
      </c>
      <c r="N31" s="153">
        <v>0</v>
      </c>
      <c r="O31" s="153">
        <f>IF(H31&lt;=0,0,MAX(0,MIN(100,IF(C31="SEG-01",IF(MAX(IF($H$30&gt;0,$D$30,-1E+99),IF($H$31&gt;0,$D$31,-1E+99),IF($H$32&gt;0,$D$32,-1E+99),IF($H$33&gt;0,$D$33,-1E+99))=MIN(IF($H$30&gt;0,$D$30,1E+99),IF($H$31&gt;0,$D$31,1E+99),IF($H$32&gt;0,$D$32,1E+99),IF($H$33&gt;0,$D$33,1E+99)),100,100*(MAX(IF($H$30&gt;0,$D$30,-1E+99),IF($H$31&gt;0,$D$31,-1E+99),IF($H$32&gt;0,$D$32,-1E+99),IF($H$33&gt;0,$D$33,-1E+99))-D31)/(MAX(IF($H$30&gt;0,$D$30,-1E+99),IF($H$31&gt;0,$D$31,-1E+99),IF($H$32&gt;0,$D$32,-1E+99),IF($H$33&gt;0,$D$33,-1E+99))-MIN(IF($H$30&gt;0,$D$30,1E+99),IF($H$31&gt;0,$D$31,1E+99),IF($H$32&gt;0,$D$32,1E+99),IF($H$33&gt;0,$D$33,1E+99)))),100-ABS(D31-N31)/IF(N31=0,1,N31)*100))))</f>
        <v>60</v>
      </c>
      <c r="P31" s="153">
        <f t="shared" si="0"/>
        <v>65</v>
      </c>
      <c r="Q31" s="153">
        <f>IFERROR(P31/SUM($P$30:$P$33),0)</f>
        <v>0.28260869565217389</v>
      </c>
      <c r="R31" s="153">
        <f t="shared" si="1"/>
        <v>989</v>
      </c>
      <c r="S31" s="153">
        <f t="shared" si="2"/>
        <v>10</v>
      </c>
      <c r="T31" s="153">
        <f t="shared" si="3"/>
        <v>1</v>
      </c>
      <c r="U31" s="153">
        <f t="shared" si="4"/>
        <v>42</v>
      </c>
      <c r="V31" s="153">
        <f t="shared" si="5"/>
        <v>420</v>
      </c>
      <c r="W31" s="153">
        <f t="shared" si="6"/>
        <v>979</v>
      </c>
      <c r="X31" s="153">
        <f t="shared" si="7"/>
        <v>8</v>
      </c>
    </row>
    <row r="32" spans="1:24" x14ac:dyDescent="0.3">
      <c r="A32" s="153" t="s">
        <v>715</v>
      </c>
      <c r="B32" s="153" t="s">
        <v>707</v>
      </c>
      <c r="C32" s="153" t="s">
        <v>72</v>
      </c>
      <c r="D32" s="153">
        <v>43</v>
      </c>
      <c r="E32" s="153">
        <v>9</v>
      </c>
      <c r="F32" s="153">
        <v>9</v>
      </c>
      <c r="G32" s="153">
        <v>10</v>
      </c>
      <c r="H32" s="153">
        <v>100</v>
      </c>
      <c r="I32" s="153">
        <v>0</v>
      </c>
      <c r="J32" s="153">
        <v>0.7</v>
      </c>
      <c r="K32" s="153">
        <v>0.2</v>
      </c>
      <c r="L32" s="153">
        <v>0.1</v>
      </c>
      <c r="M32" s="153">
        <v>3500</v>
      </c>
      <c r="N32" s="153">
        <v>0</v>
      </c>
      <c r="O32" s="153">
        <f>IF(H32&lt;=0,0,MAX(0,MIN(100,IF(C32="SEG-01",IF(MAX(IF($H$30&gt;0,$D$30,-1E+99),IF($H$31&gt;0,$D$31,-1E+99),IF($H$32&gt;0,$D$32,-1E+99),IF($H$33&gt;0,$D$33,-1E+99))=MIN(IF($H$30&gt;0,$D$30,1E+99),IF($H$31&gt;0,$D$31,1E+99),IF($H$32&gt;0,$D$32,1E+99),IF($H$33&gt;0,$D$33,1E+99)),100,100*(MAX(IF($H$30&gt;0,$D$30,-1E+99),IF($H$31&gt;0,$D$31,-1E+99),IF($H$32&gt;0,$D$32,-1E+99),IF($H$33&gt;0,$D$33,-1E+99))-D32)/(MAX(IF($H$30&gt;0,$D$30,-1E+99),IF($H$31&gt;0,$D$31,-1E+99),IF($H$32&gt;0,$D$32,-1E+99),IF($H$33&gt;0,$D$33,-1E+99))-MIN(IF($H$30&gt;0,$D$30,1E+99),IF($H$31&gt;0,$D$31,1E+99),IF($H$32&gt;0,$D$32,1E+99),IF($H$33&gt;0,$D$33,1E+99)))),100-ABS(D32-N32)/IF(N32=0,1,N32)*100))))</f>
        <v>40</v>
      </c>
      <c r="P32" s="153">
        <f t="shared" si="0"/>
        <v>55</v>
      </c>
      <c r="Q32" s="153">
        <f>IFERROR(P32/SUM($P$30:$P$33),0)</f>
        <v>0.2391304347826087</v>
      </c>
      <c r="R32" s="153">
        <f t="shared" si="1"/>
        <v>837</v>
      </c>
      <c r="S32" s="153">
        <f t="shared" si="2"/>
        <v>10</v>
      </c>
      <c r="T32" s="153">
        <f t="shared" si="3"/>
        <v>1</v>
      </c>
      <c r="U32" s="153">
        <f t="shared" si="4"/>
        <v>43</v>
      </c>
      <c r="V32" s="153">
        <f t="shared" si="5"/>
        <v>430</v>
      </c>
      <c r="W32" s="153">
        <f t="shared" si="6"/>
        <v>827</v>
      </c>
      <c r="X32" s="153">
        <f t="shared" si="7"/>
        <v>9</v>
      </c>
    </row>
    <row r="33" spans="1:24" x14ac:dyDescent="0.3">
      <c r="A33" s="153" t="s">
        <v>715</v>
      </c>
      <c r="B33" s="153" t="s">
        <v>708</v>
      </c>
      <c r="C33" s="153" t="s">
        <v>72</v>
      </c>
      <c r="D33" s="153">
        <v>45</v>
      </c>
      <c r="E33" s="153">
        <v>6</v>
      </c>
      <c r="F33" s="153">
        <v>6</v>
      </c>
      <c r="G33" s="153">
        <v>10</v>
      </c>
      <c r="H33" s="153">
        <v>100</v>
      </c>
      <c r="I33" s="153">
        <v>0</v>
      </c>
      <c r="J33" s="153">
        <v>0.7</v>
      </c>
      <c r="K33" s="153">
        <v>0.2</v>
      </c>
      <c r="L33" s="153">
        <v>0.1</v>
      </c>
      <c r="M33" s="153">
        <v>3500</v>
      </c>
      <c r="N33" s="153">
        <v>0</v>
      </c>
      <c r="O33" s="153">
        <f>IF(H33&lt;=0,0,MAX(0,MIN(100,IF(C33="SEG-01",IF(MAX(IF($H$30&gt;0,$D$30,-1E+99),IF($H$31&gt;0,$D$31,-1E+99),IF($H$32&gt;0,$D$32,-1E+99),IF($H$33&gt;0,$D$33,-1E+99))=MIN(IF($H$30&gt;0,$D$30,1E+99),IF($H$31&gt;0,$D$31,1E+99),IF($H$32&gt;0,$D$32,1E+99),IF($H$33&gt;0,$D$33,1E+99)),100,100*(MAX(IF($H$30&gt;0,$D$30,-1E+99),IF($H$31&gt;0,$D$31,-1E+99),IF($H$32&gt;0,$D$32,-1E+99),IF($H$33&gt;0,$D$33,-1E+99))-D33)/(MAX(IF($H$30&gt;0,$D$30,-1E+99),IF($H$31&gt;0,$D$31,-1E+99),IF($H$32&gt;0,$D$32,-1E+99),IF($H$33&gt;0,$D$33,-1E+99))-MIN(IF($H$30&gt;0,$D$30,1E+99),IF($H$31&gt;0,$D$31,1E+99),IF($H$32&gt;0,$D$32,1E+99),IF($H$33&gt;0,$D$33,1E+99)))),100-ABS(D33-N33)/IF(N33=0,1,N33)*100))))</f>
        <v>0</v>
      </c>
      <c r="P33" s="153">
        <f t="shared" si="0"/>
        <v>18.000000000000004</v>
      </c>
      <c r="Q33" s="153">
        <f>IFERROR(P33/SUM($P$30:$P$33),0)</f>
        <v>7.8260869565217411E-2</v>
      </c>
      <c r="R33" s="153">
        <f t="shared" si="1"/>
        <v>274</v>
      </c>
      <c r="S33" s="153">
        <f t="shared" si="2"/>
        <v>10</v>
      </c>
      <c r="T33" s="153">
        <f t="shared" si="3"/>
        <v>1</v>
      </c>
      <c r="U33" s="153">
        <f t="shared" si="4"/>
        <v>45</v>
      </c>
      <c r="V33" s="153">
        <f t="shared" si="5"/>
        <v>450</v>
      </c>
      <c r="W33" s="153">
        <f t="shared" si="6"/>
        <v>264</v>
      </c>
      <c r="X33" s="153">
        <f t="shared" si="7"/>
        <v>6</v>
      </c>
    </row>
    <row r="34" spans="1:24" x14ac:dyDescent="0.3">
      <c r="A34" s="153" t="s">
        <v>716</v>
      </c>
      <c r="B34" s="153" t="s">
        <v>705</v>
      </c>
      <c r="C34" s="153" t="s">
        <v>77</v>
      </c>
      <c r="D34" s="153">
        <v>120</v>
      </c>
      <c r="E34" s="153">
        <v>2</v>
      </c>
      <c r="F34" s="153">
        <v>8</v>
      </c>
      <c r="G34" s="153">
        <v>1000</v>
      </c>
      <c r="H34" s="153">
        <v>100</v>
      </c>
      <c r="I34" s="153">
        <v>1</v>
      </c>
      <c r="J34" s="153">
        <v>0.4</v>
      </c>
      <c r="K34" s="153">
        <v>0.35</v>
      </c>
      <c r="L34" s="153">
        <v>0.25</v>
      </c>
      <c r="M34" s="153">
        <v>3500</v>
      </c>
      <c r="N34" s="153">
        <v>100</v>
      </c>
      <c r="O34" s="153">
        <f>IF(H34&lt;=0,0,MAX(0,MIN(100,IF(C34="SEG-01",IF(MAX(IF($H$34&gt;0,$D$34,-1E+99),IF($H$35&gt;0,$D$35,-1E+99),IF($H$36&gt;0,$D$36,-1E+99),IF($H$37&gt;0,$D$37,-1E+99))=MIN(IF($H$34&gt;0,$D$34,1E+99),IF($H$35&gt;0,$D$35,1E+99),IF($H$36&gt;0,$D$36,1E+99),IF($H$37&gt;0,$D$37,1E+99)),100,100*(MAX(IF($H$34&gt;0,$D$34,-1E+99),IF($H$35&gt;0,$D$35,-1E+99),IF($H$36&gt;0,$D$36,-1E+99),IF($H$37&gt;0,$D$37,-1E+99))-D34)/(MAX(IF($H$34&gt;0,$D$34,-1E+99),IF($H$35&gt;0,$D$35,-1E+99),IF($H$36&gt;0,$D$36,-1E+99),IF($H$37&gt;0,$D$37,-1E+99))-MIN(IF($H$34&gt;0,$D$34,1E+99),IF($H$35&gt;0,$D$35,1E+99),IF($H$36&gt;0,$D$36,1E+99),IF($H$37&gt;0,$D$37,1E+99)))),100-ABS(D34-N34)/IF(N34=0,1,N34)*100))))</f>
        <v>80</v>
      </c>
      <c r="P34" s="153">
        <f t="shared" si="0"/>
        <v>59</v>
      </c>
      <c r="Q34" s="153">
        <f>IFERROR(P34/SUM($P$34:$P$37),0)</f>
        <v>0.25159914712153519</v>
      </c>
      <c r="R34" s="153">
        <f t="shared" si="1"/>
        <v>704</v>
      </c>
      <c r="S34" s="153">
        <f t="shared" si="2"/>
        <v>704</v>
      </c>
      <c r="T34" s="153">
        <f t="shared" si="3"/>
        <v>1</v>
      </c>
      <c r="U34" s="153">
        <f t="shared" si="4"/>
        <v>120</v>
      </c>
      <c r="V34" s="153">
        <f t="shared" si="5"/>
        <v>84480</v>
      </c>
      <c r="W34" s="153">
        <f t="shared" si="6"/>
        <v>0</v>
      </c>
      <c r="X34" s="153">
        <f t="shared" si="7"/>
        <v>2</v>
      </c>
    </row>
    <row r="35" spans="1:24" x14ac:dyDescent="0.3">
      <c r="A35" s="153" t="s">
        <v>716</v>
      </c>
      <c r="B35" s="153" t="s">
        <v>706</v>
      </c>
      <c r="C35" s="153" t="s">
        <v>77</v>
      </c>
      <c r="D35" s="153">
        <v>140</v>
      </c>
      <c r="E35" s="153">
        <v>8</v>
      </c>
      <c r="F35" s="153">
        <v>7</v>
      </c>
      <c r="G35" s="153">
        <v>1000</v>
      </c>
      <c r="H35" s="153">
        <v>100</v>
      </c>
      <c r="I35" s="153">
        <v>1</v>
      </c>
      <c r="J35" s="153">
        <v>0.4</v>
      </c>
      <c r="K35" s="153">
        <v>0.35</v>
      </c>
      <c r="L35" s="153">
        <v>0.25</v>
      </c>
      <c r="M35" s="153">
        <v>3500</v>
      </c>
      <c r="N35" s="153">
        <v>100</v>
      </c>
      <c r="O35" s="153">
        <f>IF(H35&lt;=0,0,MAX(0,MIN(100,IF(C35="SEG-01",IF(MAX(IF($H$34&gt;0,$D$34,-1E+99),IF($H$35&gt;0,$D$35,-1E+99),IF($H$36&gt;0,$D$36,-1E+99),IF($H$37&gt;0,$D$37,-1E+99))=MIN(IF($H$34&gt;0,$D$34,1E+99),IF($H$35&gt;0,$D$35,1E+99),IF($H$36&gt;0,$D$36,1E+99),IF($H$37&gt;0,$D$37,1E+99)),100,100*(MAX(IF($H$34&gt;0,$D$34,-1E+99),IF($H$35&gt;0,$D$35,-1E+99),IF($H$36&gt;0,$D$36,-1E+99),IF($H$37&gt;0,$D$37,-1E+99))-D35)/(MAX(IF($H$34&gt;0,$D$34,-1E+99),IF($H$35&gt;0,$D$35,-1E+99),IF($H$36&gt;0,$D$36,-1E+99),IF($H$37&gt;0,$D$37,-1E+99))-MIN(IF($H$34&gt;0,$D$34,1E+99),IF($H$35&gt;0,$D$35,1E+99),IF($H$36&gt;0,$D$36,1E+99),IF($H$37&gt;0,$D$37,1E+99)))),100-ABS(D35-N35)/IF(N35=0,1,N35)*100))))</f>
        <v>60</v>
      </c>
      <c r="P35" s="153">
        <f t="shared" si="0"/>
        <v>69.5</v>
      </c>
      <c r="Q35" s="153">
        <f>IFERROR(P35/SUM($P$34:$P$37),0)</f>
        <v>0.29637526652452023</v>
      </c>
      <c r="R35" s="153">
        <f t="shared" si="1"/>
        <v>1037</v>
      </c>
      <c r="S35" s="153">
        <f t="shared" si="2"/>
        <v>1000</v>
      </c>
      <c r="T35" s="153">
        <f t="shared" si="3"/>
        <v>1</v>
      </c>
      <c r="U35" s="153">
        <f t="shared" si="4"/>
        <v>140</v>
      </c>
      <c r="V35" s="153">
        <f t="shared" si="5"/>
        <v>140000</v>
      </c>
      <c r="W35" s="153">
        <f t="shared" si="6"/>
        <v>37</v>
      </c>
      <c r="X35" s="153">
        <f t="shared" si="7"/>
        <v>8</v>
      </c>
    </row>
    <row r="36" spans="1:24" x14ac:dyDescent="0.3">
      <c r="A36" s="153" t="s">
        <v>716</v>
      </c>
      <c r="B36" s="153" t="s">
        <v>707</v>
      </c>
      <c r="C36" s="153" t="s">
        <v>77</v>
      </c>
      <c r="D36" s="153">
        <v>160</v>
      </c>
      <c r="E36" s="153">
        <v>9</v>
      </c>
      <c r="F36" s="153">
        <v>9</v>
      </c>
      <c r="G36" s="153">
        <v>1000</v>
      </c>
      <c r="H36" s="153">
        <v>100</v>
      </c>
      <c r="I36" s="153">
        <v>1</v>
      </c>
      <c r="J36" s="153">
        <v>0.4</v>
      </c>
      <c r="K36" s="153">
        <v>0.35</v>
      </c>
      <c r="L36" s="153">
        <v>0.25</v>
      </c>
      <c r="M36" s="153">
        <v>3500</v>
      </c>
      <c r="N36" s="153">
        <v>100</v>
      </c>
      <c r="O36" s="153">
        <f>IF(H36&lt;=0,0,MAX(0,MIN(100,IF(C36="SEG-01",IF(MAX(IF($H$34&gt;0,$D$34,-1E+99),IF($H$35&gt;0,$D$35,-1E+99),IF($H$36&gt;0,$D$36,-1E+99),IF($H$37&gt;0,$D$37,-1E+99))=MIN(IF($H$34&gt;0,$D$34,1E+99),IF($H$35&gt;0,$D$35,1E+99),IF($H$36&gt;0,$D$36,1E+99),IF($H$37&gt;0,$D$37,1E+99)),100,100*(MAX(IF($H$34&gt;0,$D$34,-1E+99),IF($H$35&gt;0,$D$35,-1E+99),IF($H$36&gt;0,$D$36,-1E+99),IF($H$37&gt;0,$D$37,-1E+99))-D36)/(MAX(IF($H$34&gt;0,$D$34,-1E+99),IF($H$35&gt;0,$D$35,-1E+99),IF($H$36&gt;0,$D$36,-1E+99),IF($H$37&gt;0,$D$37,-1E+99))-MIN(IF($H$34&gt;0,$D$34,1E+99),IF($H$35&gt;0,$D$35,1E+99),IF($H$36&gt;0,$D$36,1E+99),IF($H$37&gt;0,$D$37,1E+99)))),100-ABS(D36-N36)/IF(N36=0,1,N36)*100))))</f>
        <v>40</v>
      </c>
      <c r="P36" s="153">
        <f t="shared" si="0"/>
        <v>70</v>
      </c>
      <c r="Q36" s="153">
        <f>IFERROR(P36/SUM($P$34:$P$37),0)</f>
        <v>0.29850746268656714</v>
      </c>
      <c r="R36" s="153">
        <f t="shared" si="1"/>
        <v>1045</v>
      </c>
      <c r="S36" s="153">
        <f t="shared" si="2"/>
        <v>1000</v>
      </c>
      <c r="T36" s="153">
        <f t="shared" si="3"/>
        <v>1</v>
      </c>
      <c r="U36" s="153">
        <f t="shared" si="4"/>
        <v>160</v>
      </c>
      <c r="V36" s="153">
        <f t="shared" si="5"/>
        <v>160000</v>
      </c>
      <c r="W36" s="153">
        <f t="shared" si="6"/>
        <v>45</v>
      </c>
      <c r="X36" s="153">
        <f t="shared" si="7"/>
        <v>9</v>
      </c>
    </row>
    <row r="37" spans="1:24" x14ac:dyDescent="0.3">
      <c r="A37" s="153" t="s">
        <v>716</v>
      </c>
      <c r="B37" s="153" t="s">
        <v>708</v>
      </c>
      <c r="C37" s="153" t="s">
        <v>77</v>
      </c>
      <c r="D37" s="153">
        <v>200</v>
      </c>
      <c r="E37" s="153">
        <v>6</v>
      </c>
      <c r="F37" s="153">
        <v>6</v>
      </c>
      <c r="G37" s="153">
        <v>1000</v>
      </c>
      <c r="H37" s="153">
        <v>100</v>
      </c>
      <c r="I37" s="153">
        <v>1</v>
      </c>
      <c r="J37" s="153">
        <v>0.4</v>
      </c>
      <c r="K37" s="153">
        <v>0.35</v>
      </c>
      <c r="L37" s="153">
        <v>0.25</v>
      </c>
      <c r="M37" s="153">
        <v>3500</v>
      </c>
      <c r="N37" s="153">
        <v>100</v>
      </c>
      <c r="O37" s="153">
        <f>IF(H37&lt;=0,0,MAX(0,MIN(100,IF(C37="SEG-01",IF(MAX(IF($H$34&gt;0,$D$34,-1E+99),IF($H$35&gt;0,$D$35,-1E+99),IF($H$36&gt;0,$D$36,-1E+99),IF($H$37&gt;0,$D$37,-1E+99))=MIN(IF($H$34&gt;0,$D$34,1E+99),IF($H$35&gt;0,$D$35,1E+99),IF($H$36&gt;0,$D$36,1E+99),IF($H$37&gt;0,$D$37,1E+99)),100,100*(MAX(IF($H$34&gt;0,$D$34,-1E+99),IF($H$35&gt;0,$D$35,-1E+99),IF($H$36&gt;0,$D$36,-1E+99),IF($H$37&gt;0,$D$37,-1E+99))-D37)/(MAX(IF($H$34&gt;0,$D$34,-1E+99),IF($H$35&gt;0,$D$35,-1E+99),IF($H$36&gt;0,$D$36,-1E+99),IF($H$37&gt;0,$D$37,-1E+99))-MIN(IF($H$34&gt;0,$D$34,1E+99),IF($H$35&gt;0,$D$35,1E+99),IF($H$36&gt;0,$D$36,1E+99),IF($H$37&gt;0,$D$37,1E+99)))),100-ABS(D37-N37)/IF(N37=0,1,N37)*100))))</f>
        <v>0</v>
      </c>
      <c r="P37" s="153">
        <f t="shared" si="0"/>
        <v>36</v>
      </c>
      <c r="Q37" s="153">
        <f>IFERROR(P37/SUM($P$34:$P$37),0)</f>
        <v>0.15351812366737741</v>
      </c>
      <c r="R37" s="153">
        <f t="shared" si="1"/>
        <v>537</v>
      </c>
      <c r="S37" s="153">
        <f t="shared" si="2"/>
        <v>537</v>
      </c>
      <c r="T37" s="153">
        <f t="shared" si="3"/>
        <v>1</v>
      </c>
      <c r="U37" s="153">
        <f t="shared" si="4"/>
        <v>200</v>
      </c>
      <c r="V37" s="153">
        <f t="shared" si="5"/>
        <v>107400</v>
      </c>
      <c r="W37" s="153">
        <f t="shared" si="6"/>
        <v>0</v>
      </c>
      <c r="X37" s="153">
        <f t="shared" si="7"/>
        <v>6</v>
      </c>
    </row>
  </sheetData>
  <autoFilter ref="A1:X37"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5"/>
  <sheetViews>
    <sheetView workbookViewId="0">
      <pane ySplit="1" topLeftCell="A2" activePane="bottomLeft" state="frozen"/>
      <selection pane="bottomLeft"/>
    </sheetView>
  </sheetViews>
  <sheetFormatPr baseColWidth="10" defaultColWidth="8.88671875" defaultRowHeight="14.4" x14ac:dyDescent="0.3"/>
  <cols>
    <col min="1" max="4" width="24" customWidth="1"/>
  </cols>
  <sheetData>
    <row r="1" spans="1:4" x14ac:dyDescent="0.3">
      <c r="A1" s="152" t="s">
        <v>717</v>
      </c>
      <c r="B1" s="152" t="s">
        <v>718</v>
      </c>
      <c r="C1" s="152" t="s">
        <v>719</v>
      </c>
      <c r="D1" s="152" t="s">
        <v>720</v>
      </c>
    </row>
    <row r="2" spans="1:4" x14ac:dyDescent="0.3">
      <c r="A2" s="153" t="s">
        <v>721</v>
      </c>
      <c r="B2" s="153" t="s">
        <v>722</v>
      </c>
      <c r="C2" s="153">
        <f>'CANTIDAD DE PRODUCCIÓN'!E5</f>
        <v>5</v>
      </c>
      <c r="D2" s="153" t="s">
        <v>723</v>
      </c>
    </row>
    <row r="3" spans="1:4" x14ac:dyDescent="0.3">
      <c r="A3" s="153" t="s">
        <v>721</v>
      </c>
      <c r="B3" s="153" t="s">
        <v>724</v>
      </c>
      <c r="C3" s="153">
        <f>'CANTIDAD DE PRODUCCIÓN'!E6</f>
        <v>7</v>
      </c>
      <c r="D3" s="153" t="s">
        <v>725</v>
      </c>
    </row>
    <row r="4" spans="1:4" x14ac:dyDescent="0.3">
      <c r="A4" s="153" t="s">
        <v>721</v>
      </c>
      <c r="B4" s="153" t="s">
        <v>726</v>
      </c>
      <c r="C4" s="153">
        <f>'CANTIDAD DE PRODUCCIÓN'!E7</f>
        <v>9</v>
      </c>
      <c r="D4" s="153" t="s">
        <v>727</v>
      </c>
    </row>
    <row r="5" spans="1:4" x14ac:dyDescent="0.3">
      <c r="A5" s="153" t="s">
        <v>721</v>
      </c>
      <c r="B5" s="153" t="s">
        <v>728</v>
      </c>
      <c r="C5" s="153">
        <f>'CANTIDAD DE PRODUCCIÓN'!E11</f>
        <v>6</v>
      </c>
      <c r="D5" s="153" t="s">
        <v>729</v>
      </c>
    </row>
    <row r="6" spans="1:4" x14ac:dyDescent="0.3">
      <c r="A6" s="153" t="s">
        <v>721</v>
      </c>
      <c r="B6" s="153" t="s">
        <v>730</v>
      </c>
      <c r="C6" s="153">
        <f>'CANTIDAD DE PRODUCCIÓN'!E12</f>
        <v>8</v>
      </c>
      <c r="D6" s="153" t="s">
        <v>731</v>
      </c>
    </row>
    <row r="7" spans="1:4" x14ac:dyDescent="0.3">
      <c r="A7" s="153" t="s">
        <v>721</v>
      </c>
      <c r="B7" s="153" t="s">
        <v>732</v>
      </c>
      <c r="C7" s="153">
        <f>'CANTIDAD DE PRODUCCIÓN'!E13</f>
        <v>12</v>
      </c>
      <c r="D7" s="153" t="s">
        <v>733</v>
      </c>
    </row>
    <row r="8" spans="1:4" x14ac:dyDescent="0.3">
      <c r="A8" s="153" t="s">
        <v>721</v>
      </c>
      <c r="B8" s="153" t="s">
        <v>734</v>
      </c>
      <c r="C8" s="153">
        <f>'CANTIDAD DE PRODUCCIÓN'!E17</f>
        <v>6</v>
      </c>
      <c r="D8" s="153" t="s">
        <v>735</v>
      </c>
    </row>
    <row r="9" spans="1:4" x14ac:dyDescent="0.3">
      <c r="A9" s="153" t="s">
        <v>721</v>
      </c>
      <c r="B9" s="153" t="s">
        <v>736</v>
      </c>
      <c r="C9" s="153">
        <f>'CANTIDAD DE PRODUCCIÓN'!E18</f>
        <v>7</v>
      </c>
      <c r="D9" s="153" t="s">
        <v>737</v>
      </c>
    </row>
    <row r="10" spans="1:4" x14ac:dyDescent="0.3">
      <c r="A10" s="153" t="s">
        <v>721</v>
      </c>
      <c r="B10" s="153" t="s">
        <v>738</v>
      </c>
      <c r="C10" s="153">
        <f>'CANTIDAD DE PRODUCCIÓN'!E19</f>
        <v>10</v>
      </c>
      <c r="D10" s="153" t="s">
        <v>739</v>
      </c>
    </row>
    <row r="11" spans="1:4" x14ac:dyDescent="0.3">
      <c r="A11" s="153" t="s">
        <v>740</v>
      </c>
      <c r="B11" s="153" t="s">
        <v>741</v>
      </c>
      <c r="C11" s="153">
        <f>'CANTIDAD DE PRODUCCIÓN'!M5</f>
        <v>0.97000000000000008</v>
      </c>
      <c r="D11" s="153" t="s">
        <v>742</v>
      </c>
    </row>
    <row r="12" spans="1:4" x14ac:dyDescent="0.3">
      <c r="A12" s="153" t="s">
        <v>740</v>
      </c>
      <c r="B12" s="153" t="s">
        <v>721</v>
      </c>
      <c r="C12" s="153">
        <f>'CANTIDAD DE PRODUCCIÓN'!N5</f>
        <v>400</v>
      </c>
      <c r="D12" s="153" t="s">
        <v>743</v>
      </c>
    </row>
    <row r="13" spans="1:4" x14ac:dyDescent="0.3">
      <c r="A13" s="153" t="s">
        <v>740</v>
      </c>
      <c r="B13" s="153" t="s">
        <v>744</v>
      </c>
      <c r="C13" s="153">
        <f>'CANTIDAD DE PRODUCCIÓN'!E56</f>
        <v>192</v>
      </c>
      <c r="D13" s="153" t="s">
        <v>745</v>
      </c>
    </row>
    <row r="14" spans="1:4" x14ac:dyDescent="0.3">
      <c r="A14" s="153" t="s">
        <v>740</v>
      </c>
      <c r="B14" s="153" t="s">
        <v>746</v>
      </c>
      <c r="C14" s="153">
        <f>'CANTIDAD DE PRODUCCIÓN'!E57</f>
        <v>125</v>
      </c>
      <c r="D14" s="153" t="s">
        <v>747</v>
      </c>
    </row>
    <row r="15" spans="1:4" x14ac:dyDescent="0.3">
      <c r="A15" s="153" t="s">
        <v>740</v>
      </c>
      <c r="B15" s="153" t="s">
        <v>748</v>
      </c>
      <c r="C15" s="153">
        <f>'CANTIDAD DE PRODUCCIÓN'!E58</f>
        <v>50</v>
      </c>
      <c r="D15" s="153" t="s">
        <v>749</v>
      </c>
    </row>
    <row r="16" spans="1:4" x14ac:dyDescent="0.3">
      <c r="A16" s="153" t="s">
        <v>750</v>
      </c>
      <c r="B16" s="153" t="s">
        <v>751</v>
      </c>
      <c r="C16" s="153">
        <f>Motor_Puntajes!B3</f>
        <v>0</v>
      </c>
      <c r="D16" s="153" t="s">
        <v>752</v>
      </c>
    </row>
    <row r="17" spans="1:4" x14ac:dyDescent="0.3">
      <c r="A17" s="153" t="s">
        <v>750</v>
      </c>
      <c r="B17" s="153" t="s">
        <v>753</v>
      </c>
      <c r="C17" s="153">
        <f>Motor_Puntajes!B4</f>
        <v>0</v>
      </c>
      <c r="D17" s="153" t="s">
        <v>754</v>
      </c>
    </row>
    <row r="18" spans="1:4" x14ac:dyDescent="0.3">
      <c r="A18" s="153" t="s">
        <v>750</v>
      </c>
      <c r="B18" s="153" t="s">
        <v>755</v>
      </c>
      <c r="C18" s="153">
        <f>Motor_Puntajes!B5</f>
        <v>0</v>
      </c>
      <c r="D18" s="153" t="s">
        <v>756</v>
      </c>
    </row>
    <row r="19" spans="1:4" x14ac:dyDescent="0.3">
      <c r="A19" s="153" t="s">
        <v>750</v>
      </c>
      <c r="B19" s="153" t="s">
        <v>757</v>
      </c>
      <c r="C19" s="153">
        <f>Motor_Puntajes!B6</f>
        <v>0</v>
      </c>
      <c r="D19" s="153" t="s">
        <v>758</v>
      </c>
    </row>
    <row r="20" spans="1:4" x14ac:dyDescent="0.3">
      <c r="A20" s="153" t="s">
        <v>750</v>
      </c>
      <c r="B20" s="153" t="s">
        <v>759</v>
      </c>
      <c r="C20" s="153">
        <f>Motor_Puntajes!B9</f>
        <v>0</v>
      </c>
      <c r="D20" s="153" t="s">
        <v>760</v>
      </c>
    </row>
    <row r="21" spans="1:4" x14ac:dyDescent="0.3">
      <c r="A21" s="153" t="s">
        <v>750</v>
      </c>
      <c r="B21" s="153" t="s">
        <v>684</v>
      </c>
      <c r="C21" s="153">
        <f>Motor_Puntajes!B10</f>
        <v>0</v>
      </c>
      <c r="D21" s="153" t="s">
        <v>761</v>
      </c>
    </row>
    <row r="22" spans="1:4" x14ac:dyDescent="0.3">
      <c r="A22" s="153" t="s">
        <v>750</v>
      </c>
      <c r="B22" s="153" t="s">
        <v>762</v>
      </c>
      <c r="C22" s="153">
        <f>Motor_Puntajes!B11</f>
        <v>0</v>
      </c>
      <c r="D22" s="153" t="s">
        <v>763</v>
      </c>
    </row>
    <row r="23" spans="1:4" x14ac:dyDescent="0.3">
      <c r="A23" s="153" t="s">
        <v>721</v>
      </c>
      <c r="B23" s="153" t="s">
        <v>764</v>
      </c>
      <c r="C23" s="153">
        <f>ROUND(MIN(4*'CANTIDAD DE PRODUCCIÓN'!E5,4*'CANTIDAD DE PRODUCCIÓN'!E11*1.5,4*'CANTIDAD DE PRODUCCIÓN'!E17*1.5)*24*MIN(1,0.9+0*0.01+0.04),0)</f>
        <v>451</v>
      </c>
      <c r="D23" s="153" t="s">
        <v>765</v>
      </c>
    </row>
    <row r="24" spans="1:4" x14ac:dyDescent="0.3">
      <c r="A24" s="153" t="s">
        <v>721</v>
      </c>
      <c r="B24" s="153" t="s">
        <v>766</v>
      </c>
      <c r="C24" s="153">
        <f>ROUND(MIN(4*'CANTIDAD DE PRODUCCIÓN'!E6,4*'CANTIDAD DE PRODUCCIÓN'!E12*1.5,4*'CANTIDAD DE PRODUCCIÓN'!E18*1.5)*24*MIN(1,0.9+0*0.01+0.04),0)</f>
        <v>632</v>
      </c>
      <c r="D24" s="153" t="s">
        <v>765</v>
      </c>
    </row>
    <row r="25" spans="1:4" x14ac:dyDescent="0.3">
      <c r="A25" s="153" t="s">
        <v>721</v>
      </c>
      <c r="B25" s="153" t="s">
        <v>767</v>
      </c>
      <c r="C25" s="153">
        <f>ROUND(MIN(4*'CANTIDAD DE PRODUCCIÓN'!E7,4*'CANTIDAD DE PRODUCCIÓN'!E13*1.5,4*'CANTIDAD DE PRODUCCIÓN'!E19*1.5)*24*MIN(1,0.9+12*0.01+0.04),0)</f>
        <v>864</v>
      </c>
      <c r="D25" s="153" t="s">
        <v>765</v>
      </c>
    </row>
  </sheetData>
  <autoFilter ref="A1:D25"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13"/>
  <sheetViews>
    <sheetView workbookViewId="0">
      <pane ySplit="1" topLeftCell="A2" activePane="bottomLeft" state="frozen"/>
      <selection pane="bottomLeft"/>
    </sheetView>
  </sheetViews>
  <sheetFormatPr baseColWidth="10" defaultColWidth="8.88671875" defaultRowHeight="14.4" x14ac:dyDescent="0.3"/>
  <cols>
    <col min="1" max="30" width="24" customWidth="1"/>
  </cols>
  <sheetData>
    <row r="1" spans="1:30" x14ac:dyDescent="0.3">
      <c r="A1" s="152" t="s">
        <v>681</v>
      </c>
      <c r="B1" s="152" t="s">
        <v>682</v>
      </c>
      <c r="C1" s="152" t="s">
        <v>768</v>
      </c>
      <c r="D1" s="152" t="s">
        <v>721</v>
      </c>
      <c r="E1" s="152" t="s">
        <v>687</v>
      </c>
      <c r="F1" s="152" t="s">
        <v>769</v>
      </c>
      <c r="G1" s="152" t="s">
        <v>684</v>
      </c>
      <c r="H1" s="152" t="s">
        <v>683</v>
      </c>
      <c r="I1" s="152" t="s">
        <v>694</v>
      </c>
      <c r="J1" s="152" t="s">
        <v>695</v>
      </c>
      <c r="K1" s="152" t="s">
        <v>696</v>
      </c>
      <c r="L1" s="152" t="s">
        <v>770</v>
      </c>
      <c r="M1" s="152" t="s">
        <v>771</v>
      </c>
      <c r="N1" s="152" t="s">
        <v>700</v>
      </c>
      <c r="O1" s="152" t="s">
        <v>701</v>
      </c>
      <c r="P1" s="152" t="s">
        <v>772</v>
      </c>
      <c r="Q1" s="152" t="s">
        <v>773</v>
      </c>
      <c r="R1" s="152" t="s">
        <v>774</v>
      </c>
      <c r="S1" s="152" t="s">
        <v>775</v>
      </c>
      <c r="T1" s="152" t="s">
        <v>776</v>
      </c>
      <c r="U1" s="152" t="s">
        <v>777</v>
      </c>
      <c r="V1" s="152" t="s">
        <v>778</v>
      </c>
      <c r="W1" s="152" t="s">
        <v>741</v>
      </c>
      <c r="X1" s="152" t="s">
        <v>762</v>
      </c>
      <c r="Y1" s="152"/>
      <c r="Z1" s="152"/>
      <c r="AA1" s="152" t="s">
        <v>779</v>
      </c>
      <c r="AB1" s="152"/>
      <c r="AC1" s="152"/>
      <c r="AD1" s="152"/>
    </row>
    <row r="2" spans="1:30" x14ac:dyDescent="0.3">
      <c r="A2" s="153" t="s">
        <v>780</v>
      </c>
      <c r="B2" s="153" t="s">
        <v>72</v>
      </c>
      <c r="C2" s="153">
        <v>90</v>
      </c>
      <c r="D2" s="153">
        <f>ROUND(MIN(4*'CANTIDAD DE PRODUCCIÓN'!E7,4*'CANTIDAD DE PRODUCCIÓN'!E13*1.5,4*'CANTIDAD DE PRODUCCIÓN'!E19*1.5)*24*MIN(1,0.9+12*0.01+0.04),0)</f>
        <v>864</v>
      </c>
      <c r="E2" s="153">
        <f>MIN(C2,D2,ROUNDDOWN(250/0.3,0),1000,ROUNDDOWN(10000/6,0))</f>
        <v>90</v>
      </c>
      <c r="F2" s="153">
        <f>MAX(0,MIN(10,SUMIF(Catalogo_Decisiones!$A$2:$A$69,"INS-03",Catalogo_Decisiones!$H$2:$H$69)+SUMIF(Catalogo_Decisiones!$A$2:$A$69,"INS-05",Catalogo_Decisiones!$H$2:$H$69)+SUMIF(Catalogo_Decisiones!$A$2:$A$69,"INS-08",Catalogo_Decisiones!$H$2:$H$69)+SUMIF(Catalogo_Decisiones!$A$2:$A$69,"INF-08",Catalogo_Decisiones!$H$2:$H$69)))</f>
        <v>9</v>
      </c>
      <c r="G2" s="153">
        <f>MAX(0,MIN(10,$AC$2+IF($C$4&gt;0,2,0)))</f>
        <v>6</v>
      </c>
      <c r="H2" s="153">
        <v>42.5</v>
      </c>
      <c r="I2" s="153">
        <v>100</v>
      </c>
      <c r="J2" s="153">
        <f>IF(E2&gt;0,0.7*I2+0.2*G2*10+0.1*F2*10,0)</f>
        <v>91</v>
      </c>
      <c r="K2" s="153">
        <f t="shared" ref="K2:K13" si="0">IFERROR(J2/SUMIF($B$2:$B$13,B2,$J$2:$J$13),0)</f>
        <v>0.489247311827957</v>
      </c>
      <c r="L2" s="153">
        <f>ROUND(K2*3500,0)</f>
        <v>1712</v>
      </c>
      <c r="M2" s="153">
        <f t="shared" ref="M2:M13" si="1">MIN(E2,L2)</f>
        <v>90</v>
      </c>
      <c r="N2" s="153">
        <f>H2*1</f>
        <v>42.5</v>
      </c>
      <c r="O2" s="153">
        <f t="shared" ref="O2:O13" si="2">ROUND(M2*N2,2)</f>
        <v>3825</v>
      </c>
      <c r="P2" s="153">
        <f>E2*0.3</f>
        <v>27</v>
      </c>
      <c r="Q2" s="153">
        <f t="shared" ref="Q2:Q13" si="3">E2*1</f>
        <v>90</v>
      </c>
      <c r="R2" s="153">
        <f>E2*6</f>
        <v>540</v>
      </c>
      <c r="S2" s="153">
        <f>SUM(O2:O4)</f>
        <v>3825</v>
      </c>
      <c r="T2" s="153">
        <f t="shared" ref="T2:T13" si="4">ROUND(S2*0.2,2)</f>
        <v>765</v>
      </c>
      <c r="U2" s="153">
        <f t="shared" ref="U2:U13" si="5">S2-T2</f>
        <v>3060</v>
      </c>
      <c r="V2" s="153">
        <f>SUM(E2:E4)*2-SUM(M2:M4)*2</f>
        <v>0</v>
      </c>
      <c r="W2" s="153">
        <f t="shared" ref="W2:W13" si="6">$AB$2</f>
        <v>10</v>
      </c>
      <c r="X2" s="153">
        <f t="shared" ref="X2:X13" si="7">$AD$2</f>
        <v>1</v>
      </c>
      <c r="Y2" s="153"/>
      <c r="Z2" s="153"/>
      <c r="AA2" s="153" t="s">
        <v>96</v>
      </c>
      <c r="AB2" s="153">
        <f>MAX(0,MIN(10,SUMIF(Catalogo_Decisiones!$A$2:$A$69,$AA$2,Catalogo_Decisiones!$I$2:$I$69)+SUMIF(Catalogo_Decisiones!$A$2:$A$69,$AA$3,Catalogo_Decisiones!$I$2:$I$69)+SUMIF(Catalogo_Decisiones!$A$2:$A$69,$AA$4,Catalogo_Decisiones!$I$2:$I$69)+SUMIF(Catalogo_Decisiones!$A$2:$A$69,$AA$5,Catalogo_Decisiones!$I$2:$I$69)+SUMIF(Catalogo_Decisiones!$A$2:$A$69,$AA$6,Catalogo_Decisiones!$I$2:$I$69)+SUMIF(Catalogo_Decisiones!$A$2:$A$69,$AA$7,Catalogo_Decisiones!$I$2:$I$69)+SUMIF(Catalogo_Decisiones!$A$2:$A$69,$AA$8,Catalogo_Decisiones!$I$2:$I$69)+SUMIF(Catalogo_Decisiones!$A$2:$A$69,$AA$9,Catalogo_Decisiones!$I$2:$I$69)+SUMIF(Catalogo_Decisiones!$A$2:$A$69,$AA$10,Catalogo_Decisiones!$I$2:$I$69)))</f>
        <v>10</v>
      </c>
      <c r="AC2" s="153">
        <f>MAX(0,MIN(10,SUMIF(Catalogo_Decisiones!$A$2:$A$69,$AA$2,Catalogo_Decisiones!$J$2:$J$69)+SUMIF(Catalogo_Decisiones!$A$2:$A$69,$AA$3,Catalogo_Decisiones!$J$2:$J$69)+SUMIF(Catalogo_Decisiones!$A$2:$A$69,$AA$4,Catalogo_Decisiones!$J$2:$J$69)+SUMIF(Catalogo_Decisiones!$A$2:$A$69,$AA$5,Catalogo_Decisiones!$J$2:$J$69)+SUMIF(Catalogo_Decisiones!$A$2:$A$69,$AA$6,Catalogo_Decisiones!$J$2:$J$69)+SUMIF(Catalogo_Decisiones!$A$2:$A$69,$AA$7,Catalogo_Decisiones!$J$2:$J$69)+SUMIF(Catalogo_Decisiones!$A$2:$A$69,$AA$8,Catalogo_Decisiones!$J$2:$J$69)+SUMIF(Catalogo_Decisiones!$A$2:$A$69,$AA$9,Catalogo_Decisiones!$J$2:$J$69)+SUMIF(Catalogo_Decisiones!$A$2:$A$69,$AA$10,Catalogo_Decisiones!$J$2:$J$69)))</f>
        <v>6</v>
      </c>
      <c r="AD2" s="153">
        <f>MAX(0,MIN(10,SUMIF(Catalogo_Decisiones!$A$2:$A$69,$AA$2,Catalogo_Decisiones!$K$2:$K$69)+SUMIF(Catalogo_Decisiones!$A$2:$A$69,$AA$3,Catalogo_Decisiones!$K$2:$K$69)+SUMIF(Catalogo_Decisiones!$A$2:$A$69,$AA$4,Catalogo_Decisiones!$K$2:$K$69)+SUMIF(Catalogo_Decisiones!$A$2:$A$69,$AA$5,Catalogo_Decisiones!$K$2:$K$69)+SUMIF(Catalogo_Decisiones!$A$2:$A$69,$AA$6,Catalogo_Decisiones!$K$2:$K$69)+SUMIF(Catalogo_Decisiones!$A$2:$A$69,$AA$7,Catalogo_Decisiones!$K$2:$K$69)+SUMIF(Catalogo_Decisiones!$A$2:$A$69,$AA$8,Catalogo_Decisiones!$K$2:$K$69)+SUMIF(Catalogo_Decisiones!$A$2:$A$69,$AA$9,Catalogo_Decisiones!$K$2:$K$69)+SUMIF(Catalogo_Decisiones!$A$2:$A$69,$AA$10,Catalogo_Decisiones!$K$2:$K$69)))</f>
        <v>1</v>
      </c>
    </row>
    <row r="3" spans="1:30" x14ac:dyDescent="0.3">
      <c r="A3" s="153" t="s">
        <v>780</v>
      </c>
      <c r="B3" s="153" t="s">
        <v>77</v>
      </c>
      <c r="C3" s="153">
        <v>0</v>
      </c>
      <c r="D3" s="153">
        <f>ROUND(MIN(4*'CANTIDAD DE PRODUCCIÓN'!E7,4*'CANTIDAD DE PRODUCCIÓN'!E13*1.5,4*'CANTIDAD DE PRODUCCIÓN'!E19*1.5)*24*MIN(1,0.9+12*0.01+0.04),0)</f>
        <v>864</v>
      </c>
      <c r="E3" s="153">
        <f>MIN(C3,D3,ROUNDDOWN(250/0.4,0),1000,ROUNDDOWN(10000/7,0))</f>
        <v>0</v>
      </c>
      <c r="F3" s="153">
        <f>MAX(0,MIN(10,SUMIF(Catalogo_Decisiones!$A$2:$A$69,"INS-03",Catalogo_Decisiones!$H$2:$H$69)+SUMIF(Catalogo_Decisiones!$A$2:$A$69,"INS-05",Catalogo_Decisiones!$H$2:$H$69)+SUMIF(Catalogo_Decisiones!$A$2:$A$69,"INS-08",Catalogo_Decisiones!$H$2:$H$69)+SUMIF(Catalogo_Decisiones!$A$2:$A$69,"INF-09",Catalogo_Decisiones!$H$2:$H$69)))</f>
        <v>10</v>
      </c>
      <c r="G3" s="153">
        <f>MAX(0,MIN(10,$AC$2+IF($C$4&gt;0,2,0)))</f>
        <v>6</v>
      </c>
      <c r="H3" s="153">
        <v>160</v>
      </c>
      <c r="I3" s="153">
        <f>MAX(0,MIN(100,100-ABS(H3-100)/100*100))</f>
        <v>40</v>
      </c>
      <c r="J3" s="153">
        <f>IF(E3&gt;0,0.4*I3+0.35*G3*10+0.25*F3*10,0)</f>
        <v>0</v>
      </c>
      <c r="K3" s="153">
        <f t="shared" si="0"/>
        <v>0</v>
      </c>
      <c r="L3" s="153">
        <f>ROUND(K3*3500,0)</f>
        <v>0</v>
      </c>
      <c r="M3" s="153">
        <f t="shared" si="1"/>
        <v>0</v>
      </c>
      <c r="N3" s="153">
        <f>H3*1</f>
        <v>160</v>
      </c>
      <c r="O3" s="153">
        <f t="shared" si="2"/>
        <v>0</v>
      </c>
      <c r="P3" s="153">
        <f>E3*0.4</f>
        <v>0</v>
      </c>
      <c r="Q3" s="153">
        <f t="shared" si="3"/>
        <v>0</v>
      </c>
      <c r="R3" s="153">
        <f>E3*7</f>
        <v>0</v>
      </c>
      <c r="S3" s="153">
        <f>SUM(O2:O4)</f>
        <v>3825</v>
      </c>
      <c r="T3" s="153">
        <f t="shared" si="4"/>
        <v>765</v>
      </c>
      <c r="U3" s="153">
        <f t="shared" si="5"/>
        <v>3060</v>
      </c>
      <c r="V3" s="153">
        <f>SUM(E2:E4)*2-SUM(M2:M4)*2</f>
        <v>0</v>
      </c>
      <c r="W3" s="153">
        <f t="shared" si="6"/>
        <v>10</v>
      </c>
      <c r="X3" s="153">
        <f t="shared" si="7"/>
        <v>1</v>
      </c>
      <c r="Y3" s="153"/>
      <c r="Z3" s="153"/>
      <c r="AA3" s="153" t="s">
        <v>103</v>
      </c>
      <c r="AB3" s="153"/>
      <c r="AC3" s="153"/>
      <c r="AD3" s="153"/>
    </row>
    <row r="4" spans="1:30" x14ac:dyDescent="0.3">
      <c r="A4" s="153" t="s">
        <v>780</v>
      </c>
      <c r="B4" s="153" t="s">
        <v>80</v>
      </c>
      <c r="C4" s="153">
        <v>0</v>
      </c>
      <c r="D4" s="153">
        <f>ROUND(MIN(4*'CANTIDAD DE PRODUCCIÓN'!E7,4*'CANTIDAD DE PRODUCCIÓN'!E13*1.5,4*'CANTIDAD DE PRODUCCIÓN'!E19*1.5)*24*MIN(1,0.9+12*0.01+0.04),0)</f>
        <v>864</v>
      </c>
      <c r="E4" s="153">
        <f>MIN(C4,D4,ROUNDDOWN(250/0.7,0),1000,ROUNDDOWN(10000/13,0))</f>
        <v>0</v>
      </c>
      <c r="F4" s="153">
        <f>MAX(0,MIN(10,SUMIF(Catalogo_Decisiones!$A$2:$A$69,"INS-03",Catalogo_Decisiones!$H$2:$H$69)+SUMIF(Catalogo_Decisiones!$A$2:$A$69,"INS-05",Catalogo_Decisiones!$H$2:$H$69)+SUMIF(Catalogo_Decisiones!$A$2:$A$69,"INS-08",Catalogo_Decisiones!$H$2:$H$69)+SUMIF(Catalogo_Decisiones!$A$2:$A$69,"INF-10",Catalogo_Decisiones!$H$2:$H$69)))</f>
        <v>10</v>
      </c>
      <c r="G4" s="153">
        <f>MAX(0,MIN(10,$AC$2+IF($C$4&gt;0,2,0)))</f>
        <v>6</v>
      </c>
      <c r="H4" s="153">
        <v>250</v>
      </c>
      <c r="I4" s="153">
        <f>MAX(0,MIN(100,100-ABS(H4-250)/250*100))</f>
        <v>100</v>
      </c>
      <c r="J4" s="153">
        <f>IF(E4&gt;0,0.1*I4+0.5*G4*10+0.4*F4*10,0)</f>
        <v>0</v>
      </c>
      <c r="K4" s="153">
        <f t="shared" si="0"/>
        <v>0</v>
      </c>
      <c r="L4" s="153">
        <f>ROUND(K4*800,0)</f>
        <v>0</v>
      </c>
      <c r="M4" s="153">
        <f t="shared" si="1"/>
        <v>0</v>
      </c>
      <c r="N4" s="153">
        <f>H4*IF(E4&gt;0,IF(F4&lt;7,0.65,1.4),1)</f>
        <v>250</v>
      </c>
      <c r="O4" s="153">
        <f t="shared" si="2"/>
        <v>0</v>
      </c>
      <c r="P4" s="153">
        <f>E4*0.7</f>
        <v>0</v>
      </c>
      <c r="Q4" s="153">
        <f t="shared" si="3"/>
        <v>0</v>
      </c>
      <c r="R4" s="153">
        <f>E4*13</f>
        <v>0</v>
      </c>
      <c r="S4" s="153">
        <f>SUM(O2:O4)</f>
        <v>3825</v>
      </c>
      <c r="T4" s="153">
        <f t="shared" si="4"/>
        <v>765</v>
      </c>
      <c r="U4" s="153">
        <f t="shared" si="5"/>
        <v>3060</v>
      </c>
      <c r="V4" s="153">
        <f>SUM(E2:E4)*2-SUM(M2:M4)*2</f>
        <v>0</v>
      </c>
      <c r="W4" s="153">
        <f t="shared" si="6"/>
        <v>10</v>
      </c>
      <c r="X4" s="153">
        <f t="shared" si="7"/>
        <v>1</v>
      </c>
      <c r="Y4" s="153"/>
      <c r="Z4" s="153"/>
      <c r="AA4" s="153" t="s">
        <v>109</v>
      </c>
      <c r="AB4" s="153"/>
      <c r="AC4" s="153"/>
      <c r="AD4" s="153"/>
    </row>
    <row r="5" spans="1:30" x14ac:dyDescent="0.3">
      <c r="A5" s="153" t="s">
        <v>781</v>
      </c>
      <c r="B5" s="153" t="s">
        <v>72</v>
      </c>
      <c r="C5" s="153">
        <v>0</v>
      </c>
      <c r="D5" s="153">
        <f>ROUND(MIN(4*'CANTIDAD DE PRODUCCIÓN'!E7,4*'CANTIDAD DE PRODUCCIÓN'!E13*1.5,4*'CANTIDAD DE PRODUCCIÓN'!E19*1.5)*24*MIN(1,0.9+12*0.01+0.04),0)</f>
        <v>864</v>
      </c>
      <c r="E5" s="153">
        <f>MIN(C5,D5,ROUNDDOWN(250/0.3,0),1000,ROUNDDOWN(10000/6,0))</f>
        <v>0</v>
      </c>
      <c r="F5" s="153">
        <f>MAX(0,MIN(10,SUMIF(Catalogo_Decisiones!$A$2:$A$69,"INS-03",Catalogo_Decisiones!$H$2:$H$69)+SUMIF(Catalogo_Decisiones!$A$2:$A$69,"INS-05",Catalogo_Decisiones!$H$2:$H$69)+SUMIF(Catalogo_Decisiones!$A$2:$A$69,"INS-08",Catalogo_Decisiones!$H$2:$H$69)+SUMIF(Catalogo_Decisiones!$A$2:$A$69,"INF-08",Catalogo_Decisiones!$H$2:$H$69)))</f>
        <v>9</v>
      </c>
      <c r="G5" s="153">
        <f>MAX(0,MIN(10,$AC$2+IF($C$7&gt;0,2,0)))</f>
        <v>6</v>
      </c>
      <c r="H5" s="153">
        <v>42.5</v>
      </c>
      <c r="I5" s="153">
        <v>100</v>
      </c>
      <c r="J5" s="153">
        <f>IF(E5&gt;0,0.7*I5+0.2*G5*10+0.1*F5*10,0)</f>
        <v>0</v>
      </c>
      <c r="K5" s="153">
        <f t="shared" si="0"/>
        <v>0</v>
      </c>
      <c r="L5" s="153">
        <f>ROUND(K5*3500,0)</f>
        <v>0</v>
      </c>
      <c r="M5" s="153">
        <f t="shared" si="1"/>
        <v>0</v>
      </c>
      <c r="N5" s="153">
        <f>H5*1</f>
        <v>42.5</v>
      </c>
      <c r="O5" s="153">
        <f t="shared" si="2"/>
        <v>0</v>
      </c>
      <c r="P5" s="153">
        <f>E5*0.3</f>
        <v>0</v>
      </c>
      <c r="Q5" s="153">
        <f t="shared" si="3"/>
        <v>0</v>
      </c>
      <c r="R5" s="153">
        <f>E5*6</f>
        <v>0</v>
      </c>
      <c r="S5" s="153">
        <f>SUM(O5:O7)</f>
        <v>14400</v>
      </c>
      <c r="T5" s="153">
        <f t="shared" si="4"/>
        <v>2880</v>
      </c>
      <c r="U5" s="153">
        <f t="shared" si="5"/>
        <v>11520</v>
      </c>
      <c r="V5" s="153">
        <f>SUM(E5:E7)*2-SUM(M5:M7)*2</f>
        <v>0</v>
      </c>
      <c r="W5" s="153">
        <f t="shared" si="6"/>
        <v>10</v>
      </c>
      <c r="X5" s="153">
        <f t="shared" si="7"/>
        <v>1</v>
      </c>
      <c r="Y5" s="153"/>
      <c r="Z5" s="153"/>
      <c r="AA5" s="153" t="s">
        <v>125</v>
      </c>
      <c r="AB5" s="153"/>
      <c r="AC5" s="153"/>
      <c r="AD5" s="153"/>
    </row>
    <row r="6" spans="1:30" x14ac:dyDescent="0.3">
      <c r="A6" s="153" t="s">
        <v>781</v>
      </c>
      <c r="B6" s="153" t="s">
        <v>77</v>
      </c>
      <c r="C6" s="153">
        <v>90</v>
      </c>
      <c r="D6" s="153">
        <f>ROUND(MIN(4*'CANTIDAD DE PRODUCCIÓN'!E7,4*'CANTIDAD DE PRODUCCIÓN'!E13*1.5,4*'CANTIDAD DE PRODUCCIÓN'!E19*1.5)*24*MIN(1,0.9+12*0.01+0.04),0)</f>
        <v>864</v>
      </c>
      <c r="E6" s="153">
        <f>MIN(C6,D6,ROUNDDOWN(250/0.4,0),1000,ROUNDDOWN(10000/7,0))</f>
        <v>90</v>
      </c>
      <c r="F6" s="153">
        <f>MAX(0,MIN(10,SUMIF(Catalogo_Decisiones!$A$2:$A$69,"INS-03",Catalogo_Decisiones!$H$2:$H$69)+SUMIF(Catalogo_Decisiones!$A$2:$A$69,"INS-05",Catalogo_Decisiones!$H$2:$H$69)+SUMIF(Catalogo_Decisiones!$A$2:$A$69,"INS-08",Catalogo_Decisiones!$H$2:$H$69)+SUMIF(Catalogo_Decisiones!$A$2:$A$69,"INF-09",Catalogo_Decisiones!$H$2:$H$69)))</f>
        <v>10</v>
      </c>
      <c r="G6" s="153">
        <f>MAX(0,MIN(10,$AC$2+IF($C$7&gt;0,2,0)))</f>
        <v>6</v>
      </c>
      <c r="H6" s="153">
        <v>160</v>
      </c>
      <c r="I6" s="153">
        <f>MAX(0,MIN(100,100-ABS(H6-100)/100*100))</f>
        <v>40</v>
      </c>
      <c r="J6" s="153">
        <f>IF(E6&gt;0,0.4*I6+0.35*G6*10+0.25*F6*10,0)</f>
        <v>62</v>
      </c>
      <c r="K6" s="153">
        <f t="shared" si="0"/>
        <v>0.47328244274809161</v>
      </c>
      <c r="L6" s="153">
        <f>ROUND(K6*3500,0)</f>
        <v>1656</v>
      </c>
      <c r="M6" s="153">
        <f t="shared" si="1"/>
        <v>90</v>
      </c>
      <c r="N6" s="153">
        <f>H6*1</f>
        <v>160</v>
      </c>
      <c r="O6" s="153">
        <f t="shared" si="2"/>
        <v>14400</v>
      </c>
      <c r="P6" s="153">
        <f>E6*0.4</f>
        <v>36</v>
      </c>
      <c r="Q6" s="153">
        <f t="shared" si="3"/>
        <v>90</v>
      </c>
      <c r="R6" s="153">
        <f>E6*7</f>
        <v>630</v>
      </c>
      <c r="S6" s="153">
        <f>SUM(O5:O7)</f>
        <v>14400</v>
      </c>
      <c r="T6" s="153">
        <f t="shared" si="4"/>
        <v>2880</v>
      </c>
      <c r="U6" s="153">
        <f t="shared" si="5"/>
        <v>11520</v>
      </c>
      <c r="V6" s="153">
        <f>SUM(E5:E7)*2-SUM(M5:M7)*2</f>
        <v>0</v>
      </c>
      <c r="W6" s="153">
        <f t="shared" si="6"/>
        <v>10</v>
      </c>
      <c r="X6" s="153">
        <f t="shared" si="7"/>
        <v>1</v>
      </c>
      <c r="Y6" s="153"/>
      <c r="Z6" s="153"/>
      <c r="AA6" s="153" t="s">
        <v>134</v>
      </c>
      <c r="AB6" s="153"/>
      <c r="AC6" s="153"/>
      <c r="AD6" s="153"/>
    </row>
    <row r="7" spans="1:30" x14ac:dyDescent="0.3">
      <c r="A7" s="153" t="s">
        <v>781</v>
      </c>
      <c r="B7" s="153" t="s">
        <v>80</v>
      </c>
      <c r="C7" s="153">
        <v>0</v>
      </c>
      <c r="D7" s="153">
        <f>ROUND(MIN(4*'CANTIDAD DE PRODUCCIÓN'!E7,4*'CANTIDAD DE PRODUCCIÓN'!E13*1.5,4*'CANTIDAD DE PRODUCCIÓN'!E19*1.5)*24*MIN(1,0.9+12*0.01+0.04),0)</f>
        <v>864</v>
      </c>
      <c r="E7" s="153">
        <f>MIN(C7,D7,ROUNDDOWN(250/0.7,0),1000,ROUNDDOWN(10000/13,0))</f>
        <v>0</v>
      </c>
      <c r="F7" s="153">
        <f>MAX(0,MIN(10,SUMIF(Catalogo_Decisiones!$A$2:$A$69,"INS-03",Catalogo_Decisiones!$H$2:$H$69)+SUMIF(Catalogo_Decisiones!$A$2:$A$69,"INS-05",Catalogo_Decisiones!$H$2:$H$69)+SUMIF(Catalogo_Decisiones!$A$2:$A$69,"INS-08",Catalogo_Decisiones!$H$2:$H$69)+SUMIF(Catalogo_Decisiones!$A$2:$A$69,"INF-10",Catalogo_Decisiones!$H$2:$H$69)))</f>
        <v>10</v>
      </c>
      <c r="G7" s="153">
        <f>MAX(0,MIN(10,$AC$2+IF($C$7&gt;0,2,0)))</f>
        <v>6</v>
      </c>
      <c r="H7" s="153">
        <v>250</v>
      </c>
      <c r="I7" s="153">
        <f>MAX(0,MIN(100,100-ABS(H7-250)/250*100))</f>
        <v>100</v>
      </c>
      <c r="J7" s="153">
        <f>IF(E7&gt;0,0.1*I7+0.5*G7*10+0.4*F7*10,0)</f>
        <v>0</v>
      </c>
      <c r="K7" s="153">
        <f t="shared" si="0"/>
        <v>0</v>
      </c>
      <c r="L7" s="153">
        <f>ROUND(K7*800,0)</f>
        <v>0</v>
      </c>
      <c r="M7" s="153">
        <f t="shared" si="1"/>
        <v>0</v>
      </c>
      <c r="N7" s="153">
        <f>H7*IF(E7&gt;0,IF(F7&lt;7,0.65,1.4),1)</f>
        <v>250</v>
      </c>
      <c r="O7" s="153">
        <f t="shared" si="2"/>
        <v>0</v>
      </c>
      <c r="P7" s="153">
        <f>E7*0.7</f>
        <v>0</v>
      </c>
      <c r="Q7" s="153">
        <f t="shared" si="3"/>
        <v>0</v>
      </c>
      <c r="R7" s="153">
        <f>E7*13</f>
        <v>0</v>
      </c>
      <c r="S7" s="153">
        <f>SUM(O5:O7)</f>
        <v>14400</v>
      </c>
      <c r="T7" s="153">
        <f t="shared" si="4"/>
        <v>2880</v>
      </c>
      <c r="U7" s="153">
        <f t="shared" si="5"/>
        <v>11520</v>
      </c>
      <c r="V7" s="153">
        <f>SUM(E5:E7)*2-SUM(M5:M7)*2</f>
        <v>0</v>
      </c>
      <c r="W7" s="153">
        <f t="shared" si="6"/>
        <v>10</v>
      </c>
      <c r="X7" s="153">
        <f t="shared" si="7"/>
        <v>1</v>
      </c>
      <c r="Y7" s="153"/>
      <c r="Z7" s="153"/>
      <c r="AA7" s="153" t="s">
        <v>143</v>
      </c>
      <c r="AB7" s="153"/>
      <c r="AC7" s="153"/>
      <c r="AD7" s="153"/>
    </row>
    <row r="8" spans="1:30" x14ac:dyDescent="0.3">
      <c r="A8" s="153" t="s">
        <v>782</v>
      </c>
      <c r="B8" s="153" t="s">
        <v>72</v>
      </c>
      <c r="C8" s="153">
        <v>0</v>
      </c>
      <c r="D8" s="153">
        <f>ROUND(MIN(4*'CANTIDAD DE PRODUCCIÓN'!E7,4*'CANTIDAD DE PRODUCCIÓN'!E13*1.5,4*'CANTIDAD DE PRODUCCIÓN'!E19*1.5)*24*MIN(1,0.9+12*0.01+0.04),0)</f>
        <v>864</v>
      </c>
      <c r="E8" s="153">
        <f>MIN(C8,D8,ROUNDDOWN(250/0.3,0),1000,ROUNDDOWN(10000/6,0))</f>
        <v>0</v>
      </c>
      <c r="F8" s="153">
        <f>MAX(0,MIN(10,SUMIF(Catalogo_Decisiones!$A$2:$A$69,"INS-03",Catalogo_Decisiones!$H$2:$H$69)+SUMIF(Catalogo_Decisiones!$A$2:$A$69,"INS-05",Catalogo_Decisiones!$H$2:$H$69)+SUMIF(Catalogo_Decisiones!$A$2:$A$69,"INS-08",Catalogo_Decisiones!$H$2:$H$69)+SUMIF(Catalogo_Decisiones!$A$2:$A$69,"INF-08",Catalogo_Decisiones!$H$2:$H$69)))</f>
        <v>9</v>
      </c>
      <c r="G8" s="153">
        <f>MAX(0,MIN(10,$AC$2+IF($C$10&gt;0,2,0)))</f>
        <v>8</v>
      </c>
      <c r="H8" s="153">
        <v>42.5</v>
      </c>
      <c r="I8" s="153">
        <v>100</v>
      </c>
      <c r="J8" s="153">
        <f>IF(E8&gt;0,0.7*I8+0.2*G8*10+0.1*F8*10,0)</f>
        <v>0</v>
      </c>
      <c r="K8" s="153">
        <f t="shared" si="0"/>
        <v>0</v>
      </c>
      <c r="L8" s="153">
        <f>ROUND(K8*3500,0)</f>
        <v>0</v>
      </c>
      <c r="M8" s="153">
        <f t="shared" si="1"/>
        <v>0</v>
      </c>
      <c r="N8" s="153">
        <f>H8*1</f>
        <v>42.5</v>
      </c>
      <c r="O8" s="153">
        <f t="shared" si="2"/>
        <v>0</v>
      </c>
      <c r="P8" s="153">
        <f>E8*0.3</f>
        <v>0</v>
      </c>
      <c r="Q8" s="153">
        <f t="shared" si="3"/>
        <v>0</v>
      </c>
      <c r="R8" s="153">
        <f>E8*6</f>
        <v>0</v>
      </c>
      <c r="S8" s="153">
        <f>SUM(O8:O10)</f>
        <v>31500</v>
      </c>
      <c r="T8" s="153">
        <f t="shared" si="4"/>
        <v>6300</v>
      </c>
      <c r="U8" s="153">
        <f t="shared" si="5"/>
        <v>25200</v>
      </c>
      <c r="V8" s="153">
        <f>SUM(E8:E10)*2-SUM(M8:M10)*2</f>
        <v>0</v>
      </c>
      <c r="W8" s="153">
        <f t="shared" si="6"/>
        <v>10</v>
      </c>
      <c r="X8" s="153">
        <f t="shared" si="7"/>
        <v>1</v>
      </c>
      <c r="Y8" s="153"/>
      <c r="Z8" s="153"/>
      <c r="AA8" s="153" t="s">
        <v>146</v>
      </c>
      <c r="AB8" s="153"/>
      <c r="AC8" s="153"/>
      <c r="AD8" s="153"/>
    </row>
    <row r="9" spans="1:30" x14ac:dyDescent="0.3">
      <c r="A9" s="153" t="s">
        <v>782</v>
      </c>
      <c r="B9" s="153" t="s">
        <v>77</v>
      </c>
      <c r="C9" s="153">
        <v>0</v>
      </c>
      <c r="D9" s="153">
        <f>ROUND(MIN(4*'CANTIDAD DE PRODUCCIÓN'!E7,4*'CANTIDAD DE PRODUCCIÓN'!E13*1.5,4*'CANTIDAD DE PRODUCCIÓN'!E19*1.5)*24*MIN(1,0.9+12*0.01+0.04),0)</f>
        <v>864</v>
      </c>
      <c r="E9" s="153">
        <f>MIN(C9,D9,ROUNDDOWN(250/0.4,0),1000,ROUNDDOWN(10000/7,0))</f>
        <v>0</v>
      </c>
      <c r="F9" s="153">
        <f>MAX(0,MIN(10,SUMIF(Catalogo_Decisiones!$A$2:$A$69,"INS-03",Catalogo_Decisiones!$H$2:$H$69)+SUMIF(Catalogo_Decisiones!$A$2:$A$69,"INS-05",Catalogo_Decisiones!$H$2:$H$69)+SUMIF(Catalogo_Decisiones!$A$2:$A$69,"INS-08",Catalogo_Decisiones!$H$2:$H$69)+SUMIF(Catalogo_Decisiones!$A$2:$A$69,"INF-09",Catalogo_Decisiones!$H$2:$H$69)))</f>
        <v>10</v>
      </c>
      <c r="G9" s="153">
        <f>MAX(0,MIN(10,$AC$2+IF($C$10&gt;0,2,0)))</f>
        <v>8</v>
      </c>
      <c r="H9" s="153">
        <v>160</v>
      </c>
      <c r="I9" s="153">
        <f>MAX(0,MIN(100,100-ABS(H9-100)/100*100))</f>
        <v>40</v>
      </c>
      <c r="J9" s="153">
        <f>IF(E9&gt;0,0.4*I9+0.35*G9*10+0.25*F9*10,0)</f>
        <v>0</v>
      </c>
      <c r="K9" s="153">
        <f t="shared" si="0"/>
        <v>0</v>
      </c>
      <c r="L9" s="153">
        <f>ROUND(K9*3500,0)</f>
        <v>0</v>
      </c>
      <c r="M9" s="153">
        <f t="shared" si="1"/>
        <v>0</v>
      </c>
      <c r="N9" s="153">
        <f>H9*1</f>
        <v>160</v>
      </c>
      <c r="O9" s="153">
        <f t="shared" si="2"/>
        <v>0</v>
      </c>
      <c r="P9" s="153">
        <f>E9*0.4</f>
        <v>0</v>
      </c>
      <c r="Q9" s="153">
        <f t="shared" si="3"/>
        <v>0</v>
      </c>
      <c r="R9" s="153">
        <f>E9*7</f>
        <v>0</v>
      </c>
      <c r="S9" s="153">
        <f>SUM(O8:O10)</f>
        <v>31500</v>
      </c>
      <c r="T9" s="153">
        <f t="shared" si="4"/>
        <v>6300</v>
      </c>
      <c r="U9" s="153">
        <f t="shared" si="5"/>
        <v>25200</v>
      </c>
      <c r="V9" s="153">
        <f>SUM(E8:E10)*2-SUM(M8:M10)*2</f>
        <v>0</v>
      </c>
      <c r="W9" s="153">
        <f t="shared" si="6"/>
        <v>10</v>
      </c>
      <c r="X9" s="153">
        <f t="shared" si="7"/>
        <v>1</v>
      </c>
      <c r="Y9" s="153"/>
      <c r="Z9" s="153"/>
      <c r="AA9" s="153" t="s">
        <v>165</v>
      </c>
      <c r="AB9" s="153"/>
      <c r="AC9" s="153"/>
      <c r="AD9" s="153"/>
    </row>
    <row r="10" spans="1:30" x14ac:dyDescent="0.3">
      <c r="A10" s="153" t="s">
        <v>782</v>
      </c>
      <c r="B10" s="153" t="s">
        <v>80</v>
      </c>
      <c r="C10" s="153">
        <v>90</v>
      </c>
      <c r="D10" s="153">
        <f>ROUND(MIN(4*'CANTIDAD DE PRODUCCIÓN'!E7,4*'CANTIDAD DE PRODUCCIÓN'!E13*1.5,4*'CANTIDAD DE PRODUCCIÓN'!E19*1.5)*24*MIN(1,0.9+12*0.01+0.04),0)</f>
        <v>864</v>
      </c>
      <c r="E10" s="153">
        <f>MIN(C10,D10,ROUNDDOWN(250/0.7,0),1000,ROUNDDOWN(10000/13,0))</f>
        <v>90</v>
      </c>
      <c r="F10" s="153">
        <f>MAX(0,MIN(10,SUMIF(Catalogo_Decisiones!$A$2:$A$69,"INS-03",Catalogo_Decisiones!$H$2:$H$69)+SUMIF(Catalogo_Decisiones!$A$2:$A$69,"INS-05",Catalogo_Decisiones!$H$2:$H$69)+SUMIF(Catalogo_Decisiones!$A$2:$A$69,"INS-08",Catalogo_Decisiones!$H$2:$H$69)+SUMIF(Catalogo_Decisiones!$A$2:$A$69,"INF-10",Catalogo_Decisiones!$H$2:$H$69)))</f>
        <v>10</v>
      </c>
      <c r="G10" s="153">
        <f>MAX(0,MIN(10,$AC$2+IF($C$10&gt;0,2,0)))</f>
        <v>8</v>
      </c>
      <c r="H10" s="153">
        <v>250</v>
      </c>
      <c r="I10" s="153">
        <f>MAX(0,MIN(100,100-ABS(H10-250)/250*100))</f>
        <v>100</v>
      </c>
      <c r="J10" s="153">
        <f>IF(E10&gt;0,0.1*I10+0.5*G10*10+0.4*F10*10,0)</f>
        <v>90</v>
      </c>
      <c r="K10" s="153">
        <f t="shared" si="0"/>
        <v>0.5</v>
      </c>
      <c r="L10" s="153">
        <f>ROUND(K10*800,0)</f>
        <v>400</v>
      </c>
      <c r="M10" s="153">
        <f t="shared" si="1"/>
        <v>90</v>
      </c>
      <c r="N10" s="153">
        <f>H10*IF(E10&gt;0,IF(F10&lt;7,0.65,1.4),1)</f>
        <v>350</v>
      </c>
      <c r="O10" s="153">
        <f t="shared" si="2"/>
        <v>31500</v>
      </c>
      <c r="P10" s="153">
        <f>E10*0.7</f>
        <v>62.999999999999993</v>
      </c>
      <c r="Q10" s="153">
        <f t="shared" si="3"/>
        <v>90</v>
      </c>
      <c r="R10" s="153">
        <f>E10*13</f>
        <v>1170</v>
      </c>
      <c r="S10" s="153">
        <f>SUM(O8:O10)</f>
        <v>31500</v>
      </c>
      <c r="T10" s="153">
        <f t="shared" si="4"/>
        <v>6300</v>
      </c>
      <c r="U10" s="153">
        <f t="shared" si="5"/>
        <v>25200</v>
      </c>
      <c r="V10" s="153">
        <f>SUM(E8:E10)*2-SUM(M8:M10)*2</f>
        <v>0</v>
      </c>
      <c r="W10" s="153">
        <f t="shared" si="6"/>
        <v>10</v>
      </c>
      <c r="X10" s="153">
        <f t="shared" si="7"/>
        <v>1</v>
      </c>
      <c r="Y10" s="153"/>
      <c r="Z10" s="153"/>
      <c r="AA10" s="153" t="s">
        <v>176</v>
      </c>
      <c r="AB10" s="153"/>
      <c r="AC10" s="153"/>
      <c r="AD10" s="153"/>
    </row>
    <row r="11" spans="1:30" x14ac:dyDescent="0.3">
      <c r="A11" s="153" t="s">
        <v>783</v>
      </c>
      <c r="B11" s="153" t="s">
        <v>72</v>
      </c>
      <c r="C11" s="153">
        <v>30</v>
      </c>
      <c r="D11" s="153">
        <f>ROUND(MIN(4*'CANTIDAD DE PRODUCCIÓN'!E7,4*'CANTIDAD DE PRODUCCIÓN'!E13*1.5,4*'CANTIDAD DE PRODUCCIÓN'!E19*1.5)*24*MIN(1,0.9+12*0.01+0.04),0)</f>
        <v>864</v>
      </c>
      <c r="E11" s="153">
        <f>MIN(C11,D11,ROUNDDOWN(250/0.3,0),1000,ROUNDDOWN(10000/6,0))</f>
        <v>30</v>
      </c>
      <c r="F11" s="153">
        <f>MAX(0,MIN(10,SUMIF(Catalogo_Decisiones!$A$2:$A$69,"INS-03",Catalogo_Decisiones!$H$2:$H$69)+SUMIF(Catalogo_Decisiones!$A$2:$A$69,"INS-05",Catalogo_Decisiones!$H$2:$H$69)+SUMIF(Catalogo_Decisiones!$A$2:$A$69,"INS-08",Catalogo_Decisiones!$H$2:$H$69)+SUMIF(Catalogo_Decisiones!$A$2:$A$69,"INF-08",Catalogo_Decisiones!$H$2:$H$69)))</f>
        <v>9</v>
      </c>
      <c r="G11" s="153">
        <f>MAX(0,MIN(10,$AC$2+IF($C$13&gt;0,2,0)))</f>
        <v>8</v>
      </c>
      <c r="H11" s="153">
        <v>42.5</v>
      </c>
      <c r="I11" s="153">
        <v>100</v>
      </c>
      <c r="J11" s="153">
        <f>IF(E11&gt;0,0.7*I11+0.2*G11*10+0.1*F11*10,0)</f>
        <v>95</v>
      </c>
      <c r="K11" s="153">
        <f t="shared" si="0"/>
        <v>0.510752688172043</v>
      </c>
      <c r="L11" s="153">
        <f>ROUND(K11*3500,0)</f>
        <v>1788</v>
      </c>
      <c r="M11" s="153">
        <f t="shared" si="1"/>
        <v>30</v>
      </c>
      <c r="N11" s="153">
        <f>H11*1</f>
        <v>42.5</v>
      </c>
      <c r="O11" s="153">
        <f t="shared" si="2"/>
        <v>1275</v>
      </c>
      <c r="P11" s="153">
        <f>E11*0.3</f>
        <v>9</v>
      </c>
      <c r="Q11" s="153">
        <f t="shared" si="3"/>
        <v>30</v>
      </c>
      <c r="R11" s="153">
        <f>E11*6</f>
        <v>180</v>
      </c>
      <c r="S11" s="153">
        <f>SUM(O11:O13)</f>
        <v>16575</v>
      </c>
      <c r="T11" s="153">
        <f t="shared" si="4"/>
        <v>3315</v>
      </c>
      <c r="U11" s="153">
        <f t="shared" si="5"/>
        <v>13260</v>
      </c>
      <c r="V11" s="153">
        <f>SUM(E11:E13)*2-SUM(M11:M13)*2</f>
        <v>0</v>
      </c>
      <c r="W11" s="153">
        <f t="shared" si="6"/>
        <v>10</v>
      </c>
      <c r="X11" s="153">
        <f t="shared" si="7"/>
        <v>1</v>
      </c>
      <c r="Y11" s="153"/>
      <c r="Z11" s="153"/>
      <c r="AA11" s="153"/>
      <c r="AB11" s="153"/>
      <c r="AC11" s="153"/>
      <c r="AD11" s="153"/>
    </row>
    <row r="12" spans="1:30" x14ac:dyDescent="0.3">
      <c r="A12" s="153" t="s">
        <v>783</v>
      </c>
      <c r="B12" s="153" t="s">
        <v>77</v>
      </c>
      <c r="C12" s="153">
        <v>30</v>
      </c>
      <c r="D12" s="153">
        <f>ROUND(MIN(4*'CANTIDAD DE PRODUCCIÓN'!E7,4*'CANTIDAD DE PRODUCCIÓN'!E13*1.5,4*'CANTIDAD DE PRODUCCIÓN'!E19*1.5)*24*MIN(1,0.9+12*0.01+0.04),0)</f>
        <v>864</v>
      </c>
      <c r="E12" s="153">
        <f>MIN(C12,D12,ROUNDDOWN(250/0.4,0),1000,ROUNDDOWN(10000/7,0))</f>
        <v>30</v>
      </c>
      <c r="F12" s="153">
        <f>MAX(0,MIN(10,SUMIF(Catalogo_Decisiones!$A$2:$A$69,"INS-03",Catalogo_Decisiones!$H$2:$H$69)+SUMIF(Catalogo_Decisiones!$A$2:$A$69,"INS-05",Catalogo_Decisiones!$H$2:$H$69)+SUMIF(Catalogo_Decisiones!$A$2:$A$69,"INS-08",Catalogo_Decisiones!$H$2:$H$69)+SUMIF(Catalogo_Decisiones!$A$2:$A$69,"INF-09",Catalogo_Decisiones!$H$2:$H$69)))</f>
        <v>10</v>
      </c>
      <c r="G12" s="153">
        <f>MAX(0,MIN(10,$AC$2+IF($C$13&gt;0,2,0)))</f>
        <v>8</v>
      </c>
      <c r="H12" s="153">
        <v>160</v>
      </c>
      <c r="I12" s="153">
        <f>MAX(0,MIN(100,100-ABS(H12-100)/100*100))</f>
        <v>40</v>
      </c>
      <c r="J12" s="153">
        <f>IF(E12&gt;0,0.4*I12+0.35*G12*10+0.25*F12*10,0)</f>
        <v>69</v>
      </c>
      <c r="K12" s="153">
        <f t="shared" si="0"/>
        <v>0.52671755725190839</v>
      </c>
      <c r="L12" s="153">
        <f>ROUND(K12*3500,0)</f>
        <v>1844</v>
      </c>
      <c r="M12" s="153">
        <f t="shared" si="1"/>
        <v>30</v>
      </c>
      <c r="N12" s="153">
        <f>H12*1</f>
        <v>160</v>
      </c>
      <c r="O12" s="153">
        <f t="shared" si="2"/>
        <v>4800</v>
      </c>
      <c r="P12" s="153">
        <f>E12*0.4</f>
        <v>12</v>
      </c>
      <c r="Q12" s="153">
        <f t="shared" si="3"/>
        <v>30</v>
      </c>
      <c r="R12" s="153">
        <f>E12*7</f>
        <v>210</v>
      </c>
      <c r="S12" s="153">
        <f>SUM(O11:O13)</f>
        <v>16575</v>
      </c>
      <c r="T12" s="153">
        <f t="shared" si="4"/>
        <v>3315</v>
      </c>
      <c r="U12" s="153">
        <f t="shared" si="5"/>
        <v>13260</v>
      </c>
      <c r="V12" s="153">
        <f>SUM(E11:E13)*2-SUM(M11:M13)*2</f>
        <v>0</v>
      </c>
      <c r="W12" s="153">
        <f t="shared" si="6"/>
        <v>10</v>
      </c>
      <c r="X12" s="153">
        <f t="shared" si="7"/>
        <v>1</v>
      </c>
      <c r="Y12" s="153"/>
      <c r="Z12" s="153"/>
      <c r="AA12" s="153"/>
      <c r="AB12" s="153"/>
      <c r="AC12" s="153"/>
      <c r="AD12" s="153"/>
    </row>
    <row r="13" spans="1:30" x14ac:dyDescent="0.3">
      <c r="A13" s="153" t="s">
        <v>783</v>
      </c>
      <c r="B13" s="153" t="s">
        <v>80</v>
      </c>
      <c r="C13" s="153">
        <v>30</v>
      </c>
      <c r="D13" s="153">
        <f>ROUND(MIN(4*'CANTIDAD DE PRODUCCIÓN'!E7,4*'CANTIDAD DE PRODUCCIÓN'!E13*1.5,4*'CANTIDAD DE PRODUCCIÓN'!E19*1.5)*24*MIN(1,0.9+12*0.01+0.04),0)</f>
        <v>864</v>
      </c>
      <c r="E13" s="153">
        <f>MIN(C13,D13,ROUNDDOWN(250/0.7,0),1000,ROUNDDOWN(10000/13,0))</f>
        <v>30</v>
      </c>
      <c r="F13" s="153">
        <f>MAX(0,MIN(10,SUMIF(Catalogo_Decisiones!$A$2:$A$69,"INS-03",Catalogo_Decisiones!$H$2:$H$69)+SUMIF(Catalogo_Decisiones!$A$2:$A$69,"INS-05",Catalogo_Decisiones!$H$2:$H$69)+SUMIF(Catalogo_Decisiones!$A$2:$A$69,"INS-08",Catalogo_Decisiones!$H$2:$H$69)+SUMIF(Catalogo_Decisiones!$A$2:$A$69,"INF-10",Catalogo_Decisiones!$H$2:$H$69)))</f>
        <v>10</v>
      </c>
      <c r="G13" s="153">
        <f>MAX(0,MIN(10,$AC$2+IF($C$13&gt;0,2,0)))</f>
        <v>8</v>
      </c>
      <c r="H13" s="153">
        <v>250</v>
      </c>
      <c r="I13" s="153">
        <f>MAX(0,MIN(100,100-ABS(H13-250)/250*100))</f>
        <v>100</v>
      </c>
      <c r="J13" s="153">
        <f>IF(E13&gt;0,0.1*I13+0.5*G13*10+0.4*F13*10,0)</f>
        <v>90</v>
      </c>
      <c r="K13" s="153">
        <f t="shared" si="0"/>
        <v>0.5</v>
      </c>
      <c r="L13" s="153">
        <f>ROUND(K13*800,0)</f>
        <v>400</v>
      </c>
      <c r="M13" s="153">
        <f t="shared" si="1"/>
        <v>30</v>
      </c>
      <c r="N13" s="153">
        <f>H13*IF(E13&gt;0,IF(F13&lt;7,0.65,1.4),1)</f>
        <v>350</v>
      </c>
      <c r="O13" s="153">
        <f t="shared" si="2"/>
        <v>10500</v>
      </c>
      <c r="P13" s="153">
        <f>E13*0.7</f>
        <v>21</v>
      </c>
      <c r="Q13" s="153">
        <f t="shared" si="3"/>
        <v>30</v>
      </c>
      <c r="R13" s="153">
        <f>E13*13</f>
        <v>390</v>
      </c>
      <c r="S13" s="153">
        <f>SUM(O11:O13)</f>
        <v>16575</v>
      </c>
      <c r="T13" s="153">
        <f t="shared" si="4"/>
        <v>3315</v>
      </c>
      <c r="U13" s="153">
        <f t="shared" si="5"/>
        <v>13260</v>
      </c>
      <c r="V13" s="153">
        <f>SUM(E11:E13)*2-SUM(M11:M13)*2</f>
        <v>0</v>
      </c>
      <c r="W13" s="153">
        <f t="shared" si="6"/>
        <v>10</v>
      </c>
      <c r="X13" s="153">
        <f t="shared" si="7"/>
        <v>1</v>
      </c>
      <c r="Y13" s="153"/>
      <c r="Z13" s="153"/>
      <c r="AA13" s="153"/>
      <c r="AB13" s="153"/>
      <c r="AC13" s="153"/>
      <c r="AD13" s="153"/>
    </row>
  </sheetData>
  <autoFilter ref="A1:AD13"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538"/>
  <sheetViews>
    <sheetView workbookViewId="0">
      <pane ySplit="1" topLeftCell="A2" activePane="bottomLeft" state="frozen"/>
      <selection pane="bottomLeft"/>
    </sheetView>
  </sheetViews>
  <sheetFormatPr baseColWidth="10" defaultColWidth="8.88671875" defaultRowHeight="14.4" x14ac:dyDescent="0.3"/>
  <cols>
    <col min="1" max="2" width="24" customWidth="1"/>
    <col min="3" max="5" width="65" customWidth="1"/>
  </cols>
  <sheetData>
    <row r="1" spans="1:5" x14ac:dyDescent="0.3">
      <c r="A1" s="152" t="s">
        <v>784</v>
      </c>
      <c r="B1" s="152" t="s">
        <v>785</v>
      </c>
      <c r="C1" s="152" t="s">
        <v>786</v>
      </c>
      <c r="D1" s="152" t="s">
        <v>787</v>
      </c>
      <c r="E1" s="152" t="s">
        <v>788</v>
      </c>
    </row>
    <row r="2" spans="1:5" x14ac:dyDescent="0.3">
      <c r="A2" s="153" t="s">
        <v>595</v>
      </c>
      <c r="B2" s="153" t="s">
        <v>789</v>
      </c>
      <c r="C2" s="153" t="s">
        <v>790</v>
      </c>
      <c r="D2" s="153" t="s">
        <v>791</v>
      </c>
      <c r="E2" s="153" t="s">
        <v>792</v>
      </c>
    </row>
    <row r="3" spans="1:5" x14ac:dyDescent="0.3">
      <c r="A3" s="153" t="s">
        <v>793</v>
      </c>
      <c r="B3" s="153" t="s">
        <v>794</v>
      </c>
      <c r="C3" s="153" t="s">
        <v>795</v>
      </c>
      <c r="D3" s="153" t="s">
        <v>796</v>
      </c>
      <c r="E3" s="153" t="s">
        <v>797</v>
      </c>
    </row>
    <row r="4" spans="1:5" x14ac:dyDescent="0.3">
      <c r="A4" s="153" t="s">
        <v>793</v>
      </c>
      <c r="B4" s="153" t="s">
        <v>798</v>
      </c>
      <c r="C4" s="153" t="s">
        <v>799</v>
      </c>
      <c r="D4" s="153" t="s">
        <v>800</v>
      </c>
      <c r="E4" s="153" t="s">
        <v>797</v>
      </c>
    </row>
    <row r="5" spans="1:5" x14ac:dyDescent="0.3">
      <c r="A5" s="153" t="s">
        <v>793</v>
      </c>
      <c r="B5" s="153" t="s">
        <v>801</v>
      </c>
      <c r="C5" s="153" t="s">
        <v>802</v>
      </c>
      <c r="D5" s="153" t="s">
        <v>803</v>
      </c>
      <c r="E5" s="153" t="s">
        <v>797</v>
      </c>
    </row>
    <row r="6" spans="1:5" x14ac:dyDescent="0.3">
      <c r="A6" s="153" t="s">
        <v>793</v>
      </c>
      <c r="B6" s="153" t="s">
        <v>804</v>
      </c>
      <c r="C6" s="153" t="s">
        <v>805</v>
      </c>
      <c r="D6" s="153" t="s">
        <v>806</v>
      </c>
      <c r="E6" s="153" t="s">
        <v>797</v>
      </c>
    </row>
    <row r="7" spans="1:5" x14ac:dyDescent="0.3">
      <c r="A7" s="153" t="s">
        <v>793</v>
      </c>
      <c r="B7" s="153" t="s">
        <v>807</v>
      </c>
      <c r="C7" s="153" t="s">
        <v>808</v>
      </c>
      <c r="D7" s="153" t="s">
        <v>809</v>
      </c>
      <c r="E7" s="153" t="s">
        <v>797</v>
      </c>
    </row>
    <row r="8" spans="1:5" x14ac:dyDescent="0.3">
      <c r="A8" s="153" t="s">
        <v>793</v>
      </c>
      <c r="B8" s="153" t="s">
        <v>810</v>
      </c>
      <c r="C8" s="153" t="s">
        <v>811</v>
      </c>
      <c r="D8" s="153" t="s">
        <v>812</v>
      </c>
      <c r="E8" s="153" t="s">
        <v>797</v>
      </c>
    </row>
    <row r="9" spans="1:5" x14ac:dyDescent="0.3">
      <c r="A9" s="153" t="s">
        <v>793</v>
      </c>
      <c r="B9" s="153" t="s">
        <v>813</v>
      </c>
      <c r="C9" s="153" t="s">
        <v>814</v>
      </c>
      <c r="D9" s="153" t="s">
        <v>815</v>
      </c>
      <c r="E9" s="153" t="s">
        <v>797</v>
      </c>
    </row>
    <row r="10" spans="1:5" x14ac:dyDescent="0.3">
      <c r="A10" s="153" t="s">
        <v>793</v>
      </c>
      <c r="B10" s="153" t="s">
        <v>816</v>
      </c>
      <c r="C10" s="153" t="s">
        <v>817</v>
      </c>
      <c r="D10" s="153" t="s">
        <v>818</v>
      </c>
      <c r="E10" s="153" t="s">
        <v>797</v>
      </c>
    </row>
    <row r="11" spans="1:5" x14ac:dyDescent="0.3">
      <c r="A11" s="153" t="s">
        <v>793</v>
      </c>
      <c r="B11" s="153" t="s">
        <v>819</v>
      </c>
      <c r="C11" s="153" t="s">
        <v>820</v>
      </c>
      <c r="D11" s="153" t="s">
        <v>821</v>
      </c>
      <c r="E11" s="153" t="s">
        <v>797</v>
      </c>
    </row>
    <row r="12" spans="1:5" x14ac:dyDescent="0.3">
      <c r="A12" s="153" t="s">
        <v>793</v>
      </c>
      <c r="B12" s="153" t="s">
        <v>599</v>
      </c>
      <c r="C12" s="153" t="s">
        <v>822</v>
      </c>
      <c r="D12" s="153" t="s">
        <v>823</v>
      </c>
      <c r="E12" s="153" t="s">
        <v>797</v>
      </c>
    </row>
    <row r="13" spans="1:5" x14ac:dyDescent="0.3">
      <c r="A13" s="153" t="s">
        <v>793</v>
      </c>
      <c r="B13" s="153" t="s">
        <v>824</v>
      </c>
      <c r="C13" s="153" t="s">
        <v>825</v>
      </c>
      <c r="D13" s="153" t="s">
        <v>826</v>
      </c>
      <c r="E13" s="153" t="s">
        <v>797</v>
      </c>
    </row>
    <row r="14" spans="1:5" x14ac:dyDescent="0.3">
      <c r="A14" s="153" t="s">
        <v>793</v>
      </c>
      <c r="B14" s="153" t="s">
        <v>827</v>
      </c>
      <c r="C14" s="153" t="s">
        <v>828</v>
      </c>
      <c r="D14" s="153" t="s">
        <v>829</v>
      </c>
      <c r="E14" s="153" t="s">
        <v>797</v>
      </c>
    </row>
    <row r="15" spans="1:5" x14ac:dyDescent="0.3">
      <c r="A15" s="153" t="s">
        <v>793</v>
      </c>
      <c r="B15" s="153" t="s">
        <v>830</v>
      </c>
      <c r="C15" s="153" t="s">
        <v>831</v>
      </c>
      <c r="D15" s="153" t="s">
        <v>832</v>
      </c>
      <c r="E15" s="153" t="s">
        <v>797</v>
      </c>
    </row>
    <row r="16" spans="1:5" x14ac:dyDescent="0.3">
      <c r="A16" s="153" t="s">
        <v>793</v>
      </c>
      <c r="B16" s="153" t="s">
        <v>833</v>
      </c>
      <c r="C16" s="153" t="s">
        <v>834</v>
      </c>
      <c r="D16" s="153" t="s">
        <v>835</v>
      </c>
      <c r="E16" s="153" t="s">
        <v>797</v>
      </c>
    </row>
    <row r="17" spans="1:5" x14ac:dyDescent="0.3">
      <c r="A17" s="153" t="s">
        <v>793</v>
      </c>
      <c r="B17" s="153" t="s">
        <v>836</v>
      </c>
      <c r="C17" s="153" t="s">
        <v>837</v>
      </c>
      <c r="D17" s="153" t="s">
        <v>838</v>
      </c>
      <c r="E17" s="153" t="s">
        <v>797</v>
      </c>
    </row>
    <row r="18" spans="1:5" x14ac:dyDescent="0.3">
      <c r="A18" s="153" t="s">
        <v>793</v>
      </c>
      <c r="B18" s="153" t="s">
        <v>839</v>
      </c>
      <c r="C18" s="153" t="s">
        <v>840</v>
      </c>
      <c r="D18" s="153" t="s">
        <v>841</v>
      </c>
      <c r="E18" s="153" t="s">
        <v>797</v>
      </c>
    </row>
    <row r="19" spans="1:5" x14ac:dyDescent="0.3">
      <c r="A19" s="153" t="s">
        <v>793</v>
      </c>
      <c r="B19" s="153" t="s">
        <v>603</v>
      </c>
      <c r="C19" s="153" t="s">
        <v>842</v>
      </c>
      <c r="D19" s="153" t="s">
        <v>843</v>
      </c>
      <c r="E19" s="153" t="s">
        <v>797</v>
      </c>
    </row>
    <row r="20" spans="1:5" x14ac:dyDescent="0.3">
      <c r="A20" s="153" t="s">
        <v>793</v>
      </c>
      <c r="B20" s="153" t="s">
        <v>844</v>
      </c>
      <c r="C20" s="153" t="s">
        <v>845</v>
      </c>
      <c r="D20" s="153" t="s">
        <v>846</v>
      </c>
      <c r="E20" s="153" t="s">
        <v>797</v>
      </c>
    </row>
    <row r="21" spans="1:5" x14ac:dyDescent="0.3">
      <c r="A21" s="153" t="s">
        <v>793</v>
      </c>
      <c r="B21" s="153" t="s">
        <v>847</v>
      </c>
      <c r="C21" s="153" t="s">
        <v>848</v>
      </c>
      <c r="D21" s="153" t="s">
        <v>849</v>
      </c>
      <c r="E21" s="153" t="s">
        <v>797</v>
      </c>
    </row>
    <row r="22" spans="1:5" x14ac:dyDescent="0.3">
      <c r="A22" s="153" t="s">
        <v>793</v>
      </c>
      <c r="B22" s="153" t="s">
        <v>850</v>
      </c>
      <c r="C22" s="153" t="s">
        <v>851</v>
      </c>
      <c r="D22" s="153" t="s">
        <v>852</v>
      </c>
      <c r="E22" s="153" t="s">
        <v>797</v>
      </c>
    </row>
    <row r="23" spans="1:5" x14ac:dyDescent="0.3">
      <c r="A23" s="153" t="s">
        <v>793</v>
      </c>
      <c r="B23" s="153" t="s">
        <v>853</v>
      </c>
      <c r="C23" s="153" t="s">
        <v>854</v>
      </c>
      <c r="D23" s="153" t="s">
        <v>855</v>
      </c>
      <c r="E23" s="153" t="s">
        <v>797</v>
      </c>
    </row>
    <row r="24" spans="1:5" x14ac:dyDescent="0.3">
      <c r="A24" s="153" t="s">
        <v>793</v>
      </c>
      <c r="B24" s="153" t="s">
        <v>856</v>
      </c>
      <c r="C24" s="153" t="s">
        <v>857</v>
      </c>
      <c r="D24" s="153" t="s">
        <v>858</v>
      </c>
      <c r="E24" s="153" t="s">
        <v>797</v>
      </c>
    </row>
    <row r="25" spans="1:5" x14ac:dyDescent="0.3">
      <c r="A25" s="153" t="s">
        <v>793</v>
      </c>
      <c r="B25" s="153" t="s">
        <v>859</v>
      </c>
      <c r="C25" s="153" t="s">
        <v>860</v>
      </c>
      <c r="D25" s="153" t="s">
        <v>861</v>
      </c>
      <c r="E25" s="153" t="s">
        <v>797</v>
      </c>
    </row>
    <row r="26" spans="1:5" x14ac:dyDescent="0.3">
      <c r="A26" s="153" t="s">
        <v>793</v>
      </c>
      <c r="B26" s="153" t="s">
        <v>607</v>
      </c>
      <c r="C26" s="153" t="s">
        <v>862</v>
      </c>
      <c r="D26" s="153" t="s">
        <v>863</v>
      </c>
      <c r="E26" s="153" t="s">
        <v>797</v>
      </c>
    </row>
    <row r="27" spans="1:5" x14ac:dyDescent="0.3">
      <c r="A27" s="153" t="s">
        <v>793</v>
      </c>
      <c r="B27" s="153" t="s">
        <v>864</v>
      </c>
      <c r="C27" s="153" t="s">
        <v>865</v>
      </c>
      <c r="D27" s="153" t="s">
        <v>866</v>
      </c>
      <c r="E27" s="153" t="s">
        <v>797</v>
      </c>
    </row>
    <row r="28" spans="1:5" x14ac:dyDescent="0.3">
      <c r="A28" s="153" t="s">
        <v>793</v>
      </c>
      <c r="B28" s="153" t="s">
        <v>867</v>
      </c>
      <c r="C28" s="153" t="s">
        <v>868</v>
      </c>
      <c r="D28" s="153" t="s">
        <v>869</v>
      </c>
      <c r="E28" s="153" t="s">
        <v>797</v>
      </c>
    </row>
    <row r="29" spans="1:5" x14ac:dyDescent="0.3">
      <c r="A29" s="153" t="s">
        <v>793</v>
      </c>
      <c r="B29" s="153" t="s">
        <v>870</v>
      </c>
      <c r="C29" s="153" t="s">
        <v>871</v>
      </c>
      <c r="D29" s="153" t="s">
        <v>872</v>
      </c>
      <c r="E29" s="153" t="s">
        <v>797</v>
      </c>
    </row>
    <row r="30" spans="1:5" x14ac:dyDescent="0.3">
      <c r="A30" s="153" t="s">
        <v>793</v>
      </c>
      <c r="B30" s="153" t="s">
        <v>873</v>
      </c>
      <c r="C30" s="153" t="s">
        <v>874</v>
      </c>
      <c r="D30" s="153" t="s">
        <v>875</v>
      </c>
      <c r="E30" s="153" t="s">
        <v>797</v>
      </c>
    </row>
    <row r="31" spans="1:5" x14ac:dyDescent="0.3">
      <c r="A31" s="153" t="s">
        <v>793</v>
      </c>
      <c r="B31" s="153" t="s">
        <v>876</v>
      </c>
      <c r="C31" s="153" t="s">
        <v>877</v>
      </c>
      <c r="D31" s="153" t="s">
        <v>878</v>
      </c>
      <c r="E31" s="153" t="s">
        <v>797</v>
      </c>
    </row>
    <row r="32" spans="1:5" x14ac:dyDescent="0.3">
      <c r="A32" s="153" t="s">
        <v>793</v>
      </c>
      <c r="B32" s="153" t="s">
        <v>879</v>
      </c>
      <c r="C32" s="153" t="s">
        <v>880</v>
      </c>
      <c r="D32" s="153" t="s">
        <v>881</v>
      </c>
      <c r="E32" s="153" t="s">
        <v>797</v>
      </c>
    </row>
    <row r="33" spans="1:5" x14ac:dyDescent="0.3">
      <c r="A33" s="153" t="s">
        <v>793</v>
      </c>
      <c r="B33" s="153" t="s">
        <v>618</v>
      </c>
      <c r="C33" s="153" t="s">
        <v>882</v>
      </c>
      <c r="D33" s="153" t="s">
        <v>883</v>
      </c>
      <c r="E33" s="153" t="s">
        <v>797</v>
      </c>
    </row>
    <row r="34" spans="1:5" x14ac:dyDescent="0.3">
      <c r="A34" s="153" t="s">
        <v>793</v>
      </c>
      <c r="B34" s="153" t="s">
        <v>884</v>
      </c>
      <c r="C34" s="153" t="s">
        <v>885</v>
      </c>
      <c r="D34" s="153" t="s">
        <v>886</v>
      </c>
      <c r="E34" s="153" t="s">
        <v>797</v>
      </c>
    </row>
    <row r="35" spans="1:5" x14ac:dyDescent="0.3">
      <c r="A35" s="153" t="s">
        <v>793</v>
      </c>
      <c r="B35" s="153" t="s">
        <v>887</v>
      </c>
      <c r="C35" s="153" t="s">
        <v>888</v>
      </c>
      <c r="D35" s="153" t="s">
        <v>889</v>
      </c>
      <c r="E35" s="153" t="s">
        <v>797</v>
      </c>
    </row>
    <row r="36" spans="1:5" x14ac:dyDescent="0.3">
      <c r="A36" s="153" t="s">
        <v>793</v>
      </c>
      <c r="B36" s="153" t="s">
        <v>890</v>
      </c>
      <c r="C36" s="153" t="s">
        <v>891</v>
      </c>
      <c r="D36" s="153" t="s">
        <v>892</v>
      </c>
      <c r="E36" s="153" t="s">
        <v>797</v>
      </c>
    </row>
    <row r="37" spans="1:5" x14ac:dyDescent="0.3">
      <c r="A37" s="153" t="s">
        <v>793</v>
      </c>
      <c r="B37" s="153" t="s">
        <v>893</v>
      </c>
      <c r="C37" s="153" t="s">
        <v>894</v>
      </c>
      <c r="D37" s="153" t="s">
        <v>895</v>
      </c>
      <c r="E37" s="153" t="s">
        <v>797</v>
      </c>
    </row>
    <row r="38" spans="1:5" x14ac:dyDescent="0.3">
      <c r="A38" s="153" t="s">
        <v>793</v>
      </c>
      <c r="B38" s="153" t="s">
        <v>896</v>
      </c>
      <c r="C38" s="153" t="s">
        <v>897</v>
      </c>
      <c r="D38" s="153" t="s">
        <v>898</v>
      </c>
      <c r="E38" s="153" t="s">
        <v>797</v>
      </c>
    </row>
    <row r="39" spans="1:5" x14ac:dyDescent="0.3">
      <c r="A39" s="153" t="s">
        <v>793</v>
      </c>
      <c r="B39" s="153" t="s">
        <v>899</v>
      </c>
      <c r="C39" s="153" t="s">
        <v>900</v>
      </c>
      <c r="D39" s="153" t="s">
        <v>901</v>
      </c>
      <c r="E39" s="153" t="s">
        <v>797</v>
      </c>
    </row>
    <row r="40" spans="1:5" x14ac:dyDescent="0.3">
      <c r="A40" s="153" t="s">
        <v>793</v>
      </c>
      <c r="B40" s="153" t="s">
        <v>622</v>
      </c>
      <c r="C40" s="153" t="s">
        <v>902</v>
      </c>
      <c r="D40" s="153" t="s">
        <v>903</v>
      </c>
      <c r="E40" s="153" t="s">
        <v>797</v>
      </c>
    </row>
    <row r="41" spans="1:5" x14ac:dyDescent="0.3">
      <c r="A41" s="153" t="s">
        <v>793</v>
      </c>
      <c r="B41" s="153" t="s">
        <v>904</v>
      </c>
      <c r="C41" s="153" t="s">
        <v>905</v>
      </c>
      <c r="D41" s="153" t="s">
        <v>906</v>
      </c>
      <c r="E41" s="153" t="s">
        <v>797</v>
      </c>
    </row>
    <row r="42" spans="1:5" x14ac:dyDescent="0.3">
      <c r="A42" s="153" t="s">
        <v>793</v>
      </c>
      <c r="B42" s="153" t="s">
        <v>907</v>
      </c>
      <c r="C42" s="153" t="s">
        <v>908</v>
      </c>
      <c r="D42" s="153" t="s">
        <v>909</v>
      </c>
      <c r="E42" s="153" t="s">
        <v>797</v>
      </c>
    </row>
    <row r="43" spans="1:5" x14ac:dyDescent="0.3">
      <c r="A43" s="153" t="s">
        <v>793</v>
      </c>
      <c r="B43" s="153" t="s">
        <v>910</v>
      </c>
      <c r="C43" s="153" t="s">
        <v>911</v>
      </c>
      <c r="D43" s="153" t="s">
        <v>912</v>
      </c>
      <c r="E43" s="153" t="s">
        <v>797</v>
      </c>
    </row>
    <row r="44" spans="1:5" x14ac:dyDescent="0.3">
      <c r="A44" s="153" t="s">
        <v>793</v>
      </c>
      <c r="B44" s="153" t="s">
        <v>913</v>
      </c>
      <c r="C44" s="153" t="s">
        <v>914</v>
      </c>
      <c r="D44" s="153" t="s">
        <v>915</v>
      </c>
      <c r="E44" s="153" t="s">
        <v>797</v>
      </c>
    </row>
    <row r="45" spans="1:5" x14ac:dyDescent="0.3">
      <c r="A45" s="153" t="s">
        <v>793</v>
      </c>
      <c r="B45" s="153" t="s">
        <v>916</v>
      </c>
      <c r="C45" s="153" t="s">
        <v>917</v>
      </c>
      <c r="D45" s="153" t="s">
        <v>918</v>
      </c>
      <c r="E45" s="153" t="s">
        <v>797</v>
      </c>
    </row>
    <row r="46" spans="1:5" x14ac:dyDescent="0.3">
      <c r="A46" s="153" t="s">
        <v>793</v>
      </c>
      <c r="B46" s="153" t="s">
        <v>919</v>
      </c>
      <c r="C46" s="153" t="s">
        <v>920</v>
      </c>
      <c r="D46" s="153" t="s">
        <v>921</v>
      </c>
      <c r="E46" s="153" t="s">
        <v>797</v>
      </c>
    </row>
    <row r="47" spans="1:5" x14ac:dyDescent="0.3">
      <c r="A47" s="153" t="s">
        <v>793</v>
      </c>
      <c r="B47" s="153" t="s">
        <v>922</v>
      </c>
      <c r="C47" s="153" t="s">
        <v>923</v>
      </c>
      <c r="D47" s="153" t="s">
        <v>924</v>
      </c>
      <c r="E47" s="153" t="s">
        <v>797</v>
      </c>
    </row>
    <row r="48" spans="1:5" x14ac:dyDescent="0.3">
      <c r="A48" s="153" t="s">
        <v>793</v>
      </c>
      <c r="B48" s="153" t="s">
        <v>925</v>
      </c>
      <c r="C48" s="153" t="s">
        <v>926</v>
      </c>
      <c r="D48" s="153" t="s">
        <v>927</v>
      </c>
      <c r="E48" s="153" t="s">
        <v>797</v>
      </c>
    </row>
    <row r="49" spans="1:5" x14ac:dyDescent="0.3">
      <c r="A49" s="153" t="s">
        <v>793</v>
      </c>
      <c r="B49" s="153" t="s">
        <v>928</v>
      </c>
      <c r="C49" s="153" t="s">
        <v>929</v>
      </c>
      <c r="D49" s="153" t="s">
        <v>930</v>
      </c>
      <c r="E49" s="153" t="s">
        <v>797</v>
      </c>
    </row>
    <row r="50" spans="1:5" x14ac:dyDescent="0.3">
      <c r="A50" s="153" t="s">
        <v>793</v>
      </c>
      <c r="B50" s="153" t="s">
        <v>931</v>
      </c>
      <c r="C50" s="153" t="s">
        <v>932</v>
      </c>
      <c r="D50" s="153" t="s">
        <v>933</v>
      </c>
      <c r="E50" s="153" t="s">
        <v>797</v>
      </c>
    </row>
    <row r="51" spans="1:5" x14ac:dyDescent="0.3">
      <c r="A51" s="153" t="s">
        <v>793</v>
      </c>
      <c r="B51" s="153" t="s">
        <v>934</v>
      </c>
      <c r="C51" s="153" t="s">
        <v>935</v>
      </c>
      <c r="D51" s="153" t="s">
        <v>936</v>
      </c>
      <c r="E51" s="153" t="s">
        <v>797</v>
      </c>
    </row>
    <row r="52" spans="1:5" x14ac:dyDescent="0.3">
      <c r="A52" s="153" t="s">
        <v>793</v>
      </c>
      <c r="B52" s="153" t="s">
        <v>937</v>
      </c>
      <c r="C52" s="153" t="s">
        <v>938</v>
      </c>
      <c r="D52" s="153" t="s">
        <v>939</v>
      </c>
      <c r="E52" s="153" t="s">
        <v>797</v>
      </c>
    </row>
    <row r="53" spans="1:5" x14ac:dyDescent="0.3">
      <c r="A53" s="153" t="s">
        <v>793</v>
      </c>
      <c r="B53" s="153" t="s">
        <v>940</v>
      </c>
      <c r="C53" s="153" t="s">
        <v>941</v>
      </c>
      <c r="D53" s="153" t="s">
        <v>942</v>
      </c>
      <c r="E53" s="153" t="s">
        <v>797</v>
      </c>
    </row>
    <row r="54" spans="1:5" x14ac:dyDescent="0.3">
      <c r="A54" s="153" t="s">
        <v>793</v>
      </c>
      <c r="B54" s="153" t="s">
        <v>626</v>
      </c>
      <c r="C54" s="153" t="s">
        <v>943</v>
      </c>
      <c r="D54" s="153" t="s">
        <v>944</v>
      </c>
      <c r="E54" s="153" t="s">
        <v>797</v>
      </c>
    </row>
    <row r="55" spans="1:5" x14ac:dyDescent="0.3">
      <c r="A55" s="153" t="s">
        <v>793</v>
      </c>
      <c r="B55" s="153" t="s">
        <v>945</v>
      </c>
      <c r="C55" s="153" t="s">
        <v>946</v>
      </c>
      <c r="D55" s="153" t="s">
        <v>947</v>
      </c>
      <c r="E55" s="153" t="s">
        <v>797</v>
      </c>
    </row>
    <row r="56" spans="1:5" x14ac:dyDescent="0.3">
      <c r="A56" s="153" t="s">
        <v>793</v>
      </c>
      <c r="B56" s="153" t="s">
        <v>948</v>
      </c>
      <c r="C56" s="153" t="s">
        <v>949</v>
      </c>
      <c r="D56" s="153" t="s">
        <v>950</v>
      </c>
      <c r="E56" s="153" t="s">
        <v>797</v>
      </c>
    </row>
    <row r="57" spans="1:5" x14ac:dyDescent="0.3">
      <c r="A57" s="153" t="s">
        <v>793</v>
      </c>
      <c r="B57" s="153" t="s">
        <v>951</v>
      </c>
      <c r="C57" s="153" t="s">
        <v>952</v>
      </c>
      <c r="D57" s="153" t="s">
        <v>953</v>
      </c>
      <c r="E57" s="153" t="s">
        <v>797</v>
      </c>
    </row>
    <row r="58" spans="1:5" x14ac:dyDescent="0.3">
      <c r="A58" s="153" t="s">
        <v>793</v>
      </c>
      <c r="B58" s="153" t="s">
        <v>954</v>
      </c>
      <c r="C58" s="153" t="s">
        <v>955</v>
      </c>
      <c r="D58" s="153" t="s">
        <v>956</v>
      </c>
      <c r="E58" s="153" t="s">
        <v>797</v>
      </c>
    </row>
    <row r="59" spans="1:5" x14ac:dyDescent="0.3">
      <c r="A59" s="153" t="s">
        <v>793</v>
      </c>
      <c r="B59" s="153" t="s">
        <v>957</v>
      </c>
      <c r="C59" s="153" t="s">
        <v>958</v>
      </c>
      <c r="D59" s="153" t="s">
        <v>959</v>
      </c>
      <c r="E59" s="153" t="s">
        <v>797</v>
      </c>
    </row>
    <row r="60" spans="1:5" x14ac:dyDescent="0.3">
      <c r="A60" s="153" t="s">
        <v>793</v>
      </c>
      <c r="B60" s="153" t="s">
        <v>960</v>
      </c>
      <c r="C60" s="153" t="s">
        <v>961</v>
      </c>
      <c r="D60" s="153" t="s">
        <v>962</v>
      </c>
      <c r="E60" s="153" t="s">
        <v>797</v>
      </c>
    </row>
    <row r="61" spans="1:5" x14ac:dyDescent="0.3">
      <c r="A61" s="153" t="s">
        <v>793</v>
      </c>
      <c r="B61" s="153" t="s">
        <v>963</v>
      </c>
      <c r="C61" s="153" t="s">
        <v>964</v>
      </c>
      <c r="D61" s="153" t="s">
        <v>965</v>
      </c>
      <c r="E61" s="153" t="s">
        <v>797</v>
      </c>
    </row>
    <row r="62" spans="1:5" x14ac:dyDescent="0.3">
      <c r="A62" s="153" t="s">
        <v>793</v>
      </c>
      <c r="B62" s="153" t="s">
        <v>966</v>
      </c>
      <c r="C62" s="153" t="s">
        <v>967</v>
      </c>
      <c r="D62" s="153" t="s">
        <v>968</v>
      </c>
      <c r="E62" s="153" t="s">
        <v>797</v>
      </c>
    </row>
    <row r="63" spans="1:5" x14ac:dyDescent="0.3">
      <c r="A63" s="153" t="s">
        <v>793</v>
      </c>
      <c r="B63" s="153" t="s">
        <v>969</v>
      </c>
      <c r="C63" s="153" t="s">
        <v>970</v>
      </c>
      <c r="D63" s="153" t="s">
        <v>971</v>
      </c>
      <c r="E63" s="153" t="s">
        <v>797</v>
      </c>
    </row>
    <row r="64" spans="1:5" x14ac:dyDescent="0.3">
      <c r="A64" s="153" t="s">
        <v>793</v>
      </c>
      <c r="B64" s="153" t="s">
        <v>972</v>
      </c>
      <c r="C64" s="153" t="s">
        <v>973</v>
      </c>
      <c r="D64" s="153" t="s">
        <v>974</v>
      </c>
      <c r="E64" s="153" t="s">
        <v>797</v>
      </c>
    </row>
    <row r="65" spans="1:5" x14ac:dyDescent="0.3">
      <c r="A65" s="153" t="s">
        <v>793</v>
      </c>
      <c r="B65" s="153" t="s">
        <v>975</v>
      </c>
      <c r="C65" s="153" t="s">
        <v>976</v>
      </c>
      <c r="D65" s="153" t="s">
        <v>977</v>
      </c>
      <c r="E65" s="153" t="s">
        <v>797</v>
      </c>
    </row>
    <row r="66" spans="1:5" x14ac:dyDescent="0.3">
      <c r="A66" s="153" t="s">
        <v>793</v>
      </c>
      <c r="B66" s="153" t="s">
        <v>978</v>
      </c>
      <c r="C66" s="153" t="s">
        <v>979</v>
      </c>
      <c r="D66" s="153" t="s">
        <v>980</v>
      </c>
      <c r="E66" s="153" t="s">
        <v>797</v>
      </c>
    </row>
    <row r="67" spans="1:5" x14ac:dyDescent="0.3">
      <c r="A67" s="153" t="s">
        <v>793</v>
      </c>
      <c r="B67" s="153" t="s">
        <v>981</v>
      </c>
      <c r="C67" s="153" t="s">
        <v>982</v>
      </c>
      <c r="D67" s="153" t="s">
        <v>983</v>
      </c>
      <c r="E67" s="153" t="s">
        <v>797</v>
      </c>
    </row>
    <row r="68" spans="1:5" x14ac:dyDescent="0.3">
      <c r="A68" s="153" t="s">
        <v>793</v>
      </c>
      <c r="B68" s="153" t="s">
        <v>633</v>
      </c>
      <c r="C68" s="153" t="s">
        <v>984</v>
      </c>
      <c r="D68" s="153" t="s">
        <v>985</v>
      </c>
      <c r="E68" s="153" t="s">
        <v>797</v>
      </c>
    </row>
    <row r="69" spans="1:5" x14ac:dyDescent="0.3">
      <c r="A69" s="153" t="s">
        <v>793</v>
      </c>
      <c r="B69" s="153" t="s">
        <v>986</v>
      </c>
      <c r="C69" s="153" t="s">
        <v>987</v>
      </c>
      <c r="D69" s="153" t="s">
        <v>988</v>
      </c>
      <c r="E69" s="153" t="s">
        <v>797</v>
      </c>
    </row>
    <row r="70" spans="1:5" x14ac:dyDescent="0.3">
      <c r="A70" s="153" t="s">
        <v>793</v>
      </c>
      <c r="B70" s="153" t="s">
        <v>989</v>
      </c>
      <c r="C70" s="153" t="s">
        <v>990</v>
      </c>
      <c r="D70" s="153" t="s">
        <v>991</v>
      </c>
      <c r="E70" s="153" t="s">
        <v>797</v>
      </c>
    </row>
    <row r="71" spans="1:5" x14ac:dyDescent="0.3">
      <c r="A71" s="153" t="s">
        <v>793</v>
      </c>
      <c r="B71" s="153" t="s">
        <v>992</v>
      </c>
      <c r="C71" s="153" t="s">
        <v>993</v>
      </c>
      <c r="D71" s="153" t="s">
        <v>994</v>
      </c>
      <c r="E71" s="153" t="s">
        <v>797</v>
      </c>
    </row>
    <row r="72" spans="1:5" x14ac:dyDescent="0.3">
      <c r="A72" s="153" t="s">
        <v>793</v>
      </c>
      <c r="B72" s="153" t="s">
        <v>995</v>
      </c>
      <c r="C72" s="153" t="s">
        <v>996</v>
      </c>
      <c r="D72" s="153" t="s">
        <v>997</v>
      </c>
      <c r="E72" s="153" t="s">
        <v>797</v>
      </c>
    </row>
    <row r="73" spans="1:5" x14ac:dyDescent="0.3">
      <c r="A73" s="153" t="s">
        <v>793</v>
      </c>
      <c r="B73" s="153" t="s">
        <v>998</v>
      </c>
      <c r="C73" s="153" t="s">
        <v>999</v>
      </c>
      <c r="D73" s="153" t="s">
        <v>1000</v>
      </c>
      <c r="E73" s="153" t="s">
        <v>797</v>
      </c>
    </row>
    <row r="74" spans="1:5" x14ac:dyDescent="0.3">
      <c r="A74" s="153" t="s">
        <v>793</v>
      </c>
      <c r="B74" s="153" t="s">
        <v>1001</v>
      </c>
      <c r="C74" s="153" t="s">
        <v>1002</v>
      </c>
      <c r="D74" s="153" t="s">
        <v>1003</v>
      </c>
      <c r="E74" s="153" t="s">
        <v>797</v>
      </c>
    </row>
    <row r="75" spans="1:5" x14ac:dyDescent="0.3">
      <c r="A75" s="153" t="s">
        <v>793</v>
      </c>
      <c r="B75" s="153" t="s">
        <v>1004</v>
      </c>
      <c r="C75" s="153" t="s">
        <v>1005</v>
      </c>
      <c r="D75" s="153" t="s">
        <v>1006</v>
      </c>
      <c r="E75" s="153" t="s">
        <v>797</v>
      </c>
    </row>
    <row r="76" spans="1:5" x14ac:dyDescent="0.3">
      <c r="A76" s="153" t="s">
        <v>793</v>
      </c>
      <c r="B76" s="153" t="s">
        <v>1007</v>
      </c>
      <c r="C76" s="153" t="s">
        <v>1008</v>
      </c>
      <c r="D76" s="153" t="s">
        <v>1009</v>
      </c>
      <c r="E76" s="153" t="s">
        <v>797</v>
      </c>
    </row>
    <row r="77" spans="1:5" x14ac:dyDescent="0.3">
      <c r="A77" s="153" t="s">
        <v>793</v>
      </c>
      <c r="B77" s="153" t="s">
        <v>1010</v>
      </c>
      <c r="C77" s="153" t="s">
        <v>1011</v>
      </c>
      <c r="D77" s="153" t="s">
        <v>1012</v>
      </c>
      <c r="E77" s="153" t="s">
        <v>797</v>
      </c>
    </row>
    <row r="78" spans="1:5" x14ac:dyDescent="0.3">
      <c r="A78" s="153" t="s">
        <v>793</v>
      </c>
      <c r="B78" s="153" t="s">
        <v>1013</v>
      </c>
      <c r="C78" s="153" t="s">
        <v>1014</v>
      </c>
      <c r="D78" s="153" t="s">
        <v>1015</v>
      </c>
      <c r="E78" s="153" t="s">
        <v>797</v>
      </c>
    </row>
    <row r="79" spans="1:5" x14ac:dyDescent="0.3">
      <c r="A79" s="153" t="s">
        <v>793</v>
      </c>
      <c r="B79" s="153" t="s">
        <v>1016</v>
      </c>
      <c r="C79" s="153" t="s">
        <v>1017</v>
      </c>
      <c r="D79" s="153" t="s">
        <v>1018</v>
      </c>
      <c r="E79" s="153" t="s">
        <v>797</v>
      </c>
    </row>
    <row r="80" spans="1:5" x14ac:dyDescent="0.3">
      <c r="A80" s="153" t="s">
        <v>793</v>
      </c>
      <c r="B80" s="153" t="s">
        <v>1019</v>
      </c>
      <c r="C80" s="153" t="s">
        <v>1020</v>
      </c>
      <c r="D80" s="153" t="s">
        <v>1021</v>
      </c>
      <c r="E80" s="153" t="s">
        <v>797</v>
      </c>
    </row>
    <row r="81" spans="1:5" x14ac:dyDescent="0.3">
      <c r="A81" s="153" t="s">
        <v>793</v>
      </c>
      <c r="B81" s="153" t="s">
        <v>1022</v>
      </c>
      <c r="C81" s="153" t="s">
        <v>1023</v>
      </c>
      <c r="D81" s="153" t="s">
        <v>1024</v>
      </c>
      <c r="E81" s="153" t="s">
        <v>797</v>
      </c>
    </row>
    <row r="82" spans="1:5" x14ac:dyDescent="0.3">
      <c r="A82" s="153" t="s">
        <v>793</v>
      </c>
      <c r="B82" s="153" t="s">
        <v>1025</v>
      </c>
      <c r="C82" s="153" t="s">
        <v>1026</v>
      </c>
      <c r="D82" s="153" t="s">
        <v>1027</v>
      </c>
      <c r="E82" s="153" t="s">
        <v>797</v>
      </c>
    </row>
    <row r="83" spans="1:5" x14ac:dyDescent="0.3">
      <c r="A83" s="153" t="s">
        <v>793</v>
      </c>
      <c r="B83" s="153" t="s">
        <v>1028</v>
      </c>
      <c r="C83" s="153" t="s">
        <v>1029</v>
      </c>
      <c r="D83" s="153" t="s">
        <v>1030</v>
      </c>
      <c r="E83" s="153" t="s">
        <v>797</v>
      </c>
    </row>
    <row r="84" spans="1:5" x14ac:dyDescent="0.3">
      <c r="A84" s="153" t="s">
        <v>793</v>
      </c>
      <c r="B84" s="153" t="s">
        <v>1031</v>
      </c>
      <c r="C84" s="153" t="s">
        <v>1032</v>
      </c>
      <c r="D84" s="153" t="s">
        <v>1033</v>
      </c>
      <c r="E84" s="153" t="s">
        <v>797</v>
      </c>
    </row>
    <row r="85" spans="1:5" x14ac:dyDescent="0.3">
      <c r="A85" s="153" t="s">
        <v>793</v>
      </c>
      <c r="B85" s="153" t="s">
        <v>1034</v>
      </c>
      <c r="C85" s="153" t="s">
        <v>1035</v>
      </c>
      <c r="D85" s="153" t="s">
        <v>1036</v>
      </c>
      <c r="E85" s="153" t="s">
        <v>797</v>
      </c>
    </row>
    <row r="86" spans="1:5" x14ac:dyDescent="0.3">
      <c r="A86" s="153" t="s">
        <v>793</v>
      </c>
      <c r="B86" s="153" t="s">
        <v>1037</v>
      </c>
      <c r="C86" s="153" t="s">
        <v>1038</v>
      </c>
      <c r="D86" s="153" t="s">
        <v>1039</v>
      </c>
      <c r="E86" s="153" t="s">
        <v>797</v>
      </c>
    </row>
    <row r="87" spans="1:5" x14ac:dyDescent="0.3">
      <c r="A87" s="153" t="s">
        <v>793</v>
      </c>
      <c r="B87" s="153" t="s">
        <v>1040</v>
      </c>
      <c r="C87" s="153" t="s">
        <v>1041</v>
      </c>
      <c r="D87" s="153" t="s">
        <v>1042</v>
      </c>
      <c r="E87" s="153" t="s">
        <v>797</v>
      </c>
    </row>
    <row r="88" spans="1:5" x14ac:dyDescent="0.3">
      <c r="A88" s="153" t="s">
        <v>793</v>
      </c>
      <c r="B88" s="153" t="s">
        <v>1043</v>
      </c>
      <c r="C88" s="153" t="s">
        <v>1044</v>
      </c>
      <c r="D88" s="153" t="s">
        <v>1045</v>
      </c>
      <c r="E88" s="153" t="s">
        <v>797</v>
      </c>
    </row>
    <row r="89" spans="1:5" x14ac:dyDescent="0.3">
      <c r="A89" s="153" t="s">
        <v>793</v>
      </c>
      <c r="B89" s="153" t="s">
        <v>1046</v>
      </c>
      <c r="C89" s="153" t="s">
        <v>1047</v>
      </c>
      <c r="D89" s="153" t="s">
        <v>1048</v>
      </c>
      <c r="E89" s="153" t="s">
        <v>797</v>
      </c>
    </row>
    <row r="90" spans="1:5" x14ac:dyDescent="0.3">
      <c r="A90" s="153" t="s">
        <v>793</v>
      </c>
      <c r="B90" s="153" t="s">
        <v>1049</v>
      </c>
      <c r="C90" s="153" t="s">
        <v>1050</v>
      </c>
      <c r="D90" s="153" t="s">
        <v>1051</v>
      </c>
      <c r="E90" s="153" t="s">
        <v>797</v>
      </c>
    </row>
    <row r="91" spans="1:5" x14ac:dyDescent="0.3">
      <c r="A91" s="153" t="s">
        <v>793</v>
      </c>
      <c r="B91" s="153" t="s">
        <v>1052</v>
      </c>
      <c r="C91" s="153" t="s">
        <v>1053</v>
      </c>
      <c r="D91" s="153" t="s">
        <v>1054</v>
      </c>
      <c r="E91" s="153" t="s">
        <v>797</v>
      </c>
    </row>
    <row r="92" spans="1:5" x14ac:dyDescent="0.3">
      <c r="A92" s="153" t="s">
        <v>793</v>
      </c>
      <c r="B92" s="153" t="s">
        <v>1055</v>
      </c>
      <c r="C92" s="153" t="s">
        <v>1056</v>
      </c>
      <c r="D92" s="153" t="s">
        <v>1057</v>
      </c>
      <c r="E92" s="153" t="s">
        <v>797</v>
      </c>
    </row>
    <row r="93" spans="1:5" x14ac:dyDescent="0.3">
      <c r="A93" s="153" t="s">
        <v>793</v>
      </c>
      <c r="B93" s="153" t="s">
        <v>1058</v>
      </c>
      <c r="C93" s="153" t="s">
        <v>1059</v>
      </c>
      <c r="D93" s="153" t="s">
        <v>1060</v>
      </c>
      <c r="E93" s="153" t="s">
        <v>797</v>
      </c>
    </row>
    <row r="94" spans="1:5" x14ac:dyDescent="0.3">
      <c r="A94" s="153" t="s">
        <v>793</v>
      </c>
      <c r="B94" s="153" t="s">
        <v>1061</v>
      </c>
      <c r="C94" s="153" t="s">
        <v>1062</v>
      </c>
      <c r="D94" s="153" t="s">
        <v>1063</v>
      </c>
      <c r="E94" s="153" t="s">
        <v>797</v>
      </c>
    </row>
    <row r="95" spans="1:5" x14ac:dyDescent="0.3">
      <c r="A95" s="153" t="s">
        <v>793</v>
      </c>
      <c r="B95" s="153" t="s">
        <v>1064</v>
      </c>
      <c r="C95" s="153" t="s">
        <v>1065</v>
      </c>
      <c r="D95" s="153" t="s">
        <v>1066</v>
      </c>
      <c r="E95" s="153" t="s">
        <v>797</v>
      </c>
    </row>
    <row r="96" spans="1:5" x14ac:dyDescent="0.3">
      <c r="A96" s="153" t="s">
        <v>793</v>
      </c>
      <c r="B96" s="153" t="s">
        <v>1067</v>
      </c>
      <c r="C96" s="153" t="s">
        <v>1068</v>
      </c>
      <c r="D96" s="153" t="s">
        <v>1069</v>
      </c>
      <c r="E96" s="153" t="s">
        <v>797</v>
      </c>
    </row>
    <row r="97" spans="1:5" x14ac:dyDescent="0.3">
      <c r="A97" s="153" t="s">
        <v>793</v>
      </c>
      <c r="B97" s="153" t="s">
        <v>1070</v>
      </c>
      <c r="C97" s="153" t="s">
        <v>1071</v>
      </c>
      <c r="D97" s="153" t="s">
        <v>1072</v>
      </c>
      <c r="E97" s="153" t="s">
        <v>797</v>
      </c>
    </row>
    <row r="98" spans="1:5" x14ac:dyDescent="0.3">
      <c r="A98" s="153" t="s">
        <v>793</v>
      </c>
      <c r="B98" s="153" t="s">
        <v>1073</v>
      </c>
      <c r="C98" s="153" t="s">
        <v>1074</v>
      </c>
      <c r="D98" s="153" t="s">
        <v>1075</v>
      </c>
      <c r="E98" s="153" t="s">
        <v>797</v>
      </c>
    </row>
    <row r="99" spans="1:5" x14ac:dyDescent="0.3">
      <c r="A99" s="153" t="s">
        <v>793</v>
      </c>
      <c r="B99" s="153" t="s">
        <v>1076</v>
      </c>
      <c r="C99" s="153" t="s">
        <v>1077</v>
      </c>
      <c r="D99" s="153" t="s">
        <v>1078</v>
      </c>
      <c r="E99" s="153" t="s">
        <v>797</v>
      </c>
    </row>
    <row r="100" spans="1:5" x14ac:dyDescent="0.3">
      <c r="A100" s="153" t="s">
        <v>793</v>
      </c>
      <c r="B100" s="153" t="s">
        <v>1079</v>
      </c>
      <c r="C100" s="153" t="s">
        <v>1080</v>
      </c>
      <c r="D100" s="153" t="s">
        <v>1081</v>
      </c>
      <c r="E100" s="153" t="s">
        <v>797</v>
      </c>
    </row>
    <row r="101" spans="1:5" x14ac:dyDescent="0.3">
      <c r="A101" s="153" t="s">
        <v>1082</v>
      </c>
      <c r="B101" s="153" t="s">
        <v>810</v>
      </c>
      <c r="C101" s="153" t="s">
        <v>1083</v>
      </c>
      <c r="D101" s="153" t="s">
        <v>1084</v>
      </c>
      <c r="E101" s="153" t="s">
        <v>797</v>
      </c>
    </row>
    <row r="102" spans="1:5" x14ac:dyDescent="0.3">
      <c r="A102" s="153" t="s">
        <v>1082</v>
      </c>
      <c r="B102" s="153" t="s">
        <v>813</v>
      </c>
      <c r="C102" s="153" t="s">
        <v>1085</v>
      </c>
      <c r="D102" s="153" t="s">
        <v>1086</v>
      </c>
      <c r="E102" s="153" t="s">
        <v>797</v>
      </c>
    </row>
    <row r="103" spans="1:5" x14ac:dyDescent="0.3">
      <c r="A103" s="153" t="s">
        <v>1082</v>
      </c>
      <c r="B103" s="153" t="s">
        <v>830</v>
      </c>
      <c r="C103" s="153" t="s">
        <v>1087</v>
      </c>
      <c r="D103" s="153" t="s">
        <v>1088</v>
      </c>
      <c r="E103" s="153" t="s">
        <v>797</v>
      </c>
    </row>
    <row r="104" spans="1:5" x14ac:dyDescent="0.3">
      <c r="A104" s="153" t="s">
        <v>1082</v>
      </c>
      <c r="B104" s="153" t="s">
        <v>833</v>
      </c>
      <c r="C104" s="153" t="s">
        <v>1089</v>
      </c>
      <c r="D104" s="153" t="s">
        <v>1090</v>
      </c>
      <c r="E104" s="153" t="s">
        <v>797</v>
      </c>
    </row>
    <row r="105" spans="1:5" x14ac:dyDescent="0.3">
      <c r="A105" s="153" t="s">
        <v>1082</v>
      </c>
      <c r="B105" s="153" t="s">
        <v>850</v>
      </c>
      <c r="C105" s="153" t="s">
        <v>1091</v>
      </c>
      <c r="D105" s="153" t="s">
        <v>1092</v>
      </c>
      <c r="E105" s="153" t="s">
        <v>797</v>
      </c>
    </row>
    <row r="106" spans="1:5" x14ac:dyDescent="0.3">
      <c r="A106" s="153" t="s">
        <v>1082</v>
      </c>
      <c r="B106" s="153" t="s">
        <v>853</v>
      </c>
      <c r="C106" s="153" t="s">
        <v>1093</v>
      </c>
      <c r="D106" s="153" t="s">
        <v>1094</v>
      </c>
      <c r="E106" s="153" t="s">
        <v>797</v>
      </c>
    </row>
    <row r="107" spans="1:5" x14ac:dyDescent="0.3">
      <c r="A107" s="153" t="s">
        <v>1095</v>
      </c>
      <c r="B107" s="153" t="s">
        <v>1096</v>
      </c>
      <c r="C107" s="153" t="s">
        <v>1097</v>
      </c>
      <c r="D107" s="153">
        <v>0</v>
      </c>
      <c r="E107" s="153" t="s">
        <v>1098</v>
      </c>
    </row>
    <row r="108" spans="1:5" x14ac:dyDescent="0.3">
      <c r="A108" s="153" t="s">
        <v>1095</v>
      </c>
      <c r="B108" s="153" t="s">
        <v>1099</v>
      </c>
      <c r="C108" s="153" t="s">
        <v>1097</v>
      </c>
      <c r="D108" s="153">
        <v>0</v>
      </c>
      <c r="E108" s="153" t="s">
        <v>1098</v>
      </c>
    </row>
    <row r="109" spans="1:5" x14ac:dyDescent="0.3">
      <c r="A109" s="153" t="s">
        <v>1095</v>
      </c>
      <c r="B109" s="153" t="s">
        <v>1100</v>
      </c>
      <c r="C109" s="153" t="s">
        <v>1101</v>
      </c>
      <c r="D109" s="153">
        <v>1</v>
      </c>
      <c r="E109" s="153" t="s">
        <v>1102</v>
      </c>
    </row>
    <row r="110" spans="1:5" x14ac:dyDescent="0.3">
      <c r="A110" s="153" t="s">
        <v>1095</v>
      </c>
      <c r="B110" s="153" t="s">
        <v>1103</v>
      </c>
      <c r="C110" s="153" t="s">
        <v>1097</v>
      </c>
      <c r="D110" s="153">
        <v>0</v>
      </c>
      <c r="E110" s="153" t="s">
        <v>1098</v>
      </c>
    </row>
    <row r="111" spans="1:5" x14ac:dyDescent="0.3">
      <c r="A111" s="153" t="s">
        <v>1095</v>
      </c>
      <c r="B111" s="153" t="s">
        <v>1104</v>
      </c>
      <c r="C111" s="153" t="s">
        <v>1097</v>
      </c>
      <c r="D111" s="153">
        <v>0</v>
      </c>
      <c r="E111" s="153" t="s">
        <v>1098</v>
      </c>
    </row>
    <row r="112" spans="1:5" x14ac:dyDescent="0.3">
      <c r="A112" s="153" t="s">
        <v>1095</v>
      </c>
      <c r="B112" s="153" t="s">
        <v>1105</v>
      </c>
      <c r="C112" s="153" t="s">
        <v>1101</v>
      </c>
      <c r="D112" s="153">
        <v>1</v>
      </c>
      <c r="E112" s="153" t="s">
        <v>1102</v>
      </c>
    </row>
    <row r="113" spans="1:5" x14ac:dyDescent="0.3">
      <c r="A113" s="153" t="s">
        <v>1095</v>
      </c>
      <c r="B113" s="153" t="s">
        <v>1106</v>
      </c>
      <c r="C113" s="153" t="s">
        <v>1107</v>
      </c>
      <c r="D113" s="153">
        <v>5</v>
      </c>
      <c r="E113" s="153" t="s">
        <v>1098</v>
      </c>
    </row>
    <row r="114" spans="1:5" x14ac:dyDescent="0.3">
      <c r="A114" s="153" t="s">
        <v>1095</v>
      </c>
      <c r="B114" s="153" t="s">
        <v>1108</v>
      </c>
      <c r="C114" s="153" t="s">
        <v>1101</v>
      </c>
      <c r="D114" s="153">
        <v>1</v>
      </c>
      <c r="E114" s="153" t="s">
        <v>1102</v>
      </c>
    </row>
    <row r="115" spans="1:5" x14ac:dyDescent="0.3">
      <c r="A115" s="153" t="s">
        <v>1095</v>
      </c>
      <c r="B115" s="153" t="s">
        <v>1109</v>
      </c>
      <c r="C115" s="153" t="s">
        <v>1110</v>
      </c>
      <c r="D115" s="153">
        <v>10</v>
      </c>
      <c r="E115" s="153" t="s">
        <v>1098</v>
      </c>
    </row>
    <row r="116" spans="1:5" x14ac:dyDescent="0.3">
      <c r="A116" s="153" t="s">
        <v>1095</v>
      </c>
      <c r="B116" s="153" t="s">
        <v>1111</v>
      </c>
      <c r="C116" s="153" t="s">
        <v>1112</v>
      </c>
      <c r="D116" s="153">
        <v>2</v>
      </c>
      <c r="E116" s="153" t="s">
        <v>1102</v>
      </c>
    </row>
    <row r="117" spans="1:5" x14ac:dyDescent="0.3">
      <c r="A117" s="153" t="s">
        <v>1095</v>
      </c>
      <c r="B117" s="153" t="s">
        <v>1113</v>
      </c>
      <c r="C117" s="153" t="s">
        <v>1097</v>
      </c>
      <c r="D117" s="153">
        <v>0</v>
      </c>
      <c r="E117" s="153" t="s">
        <v>1098</v>
      </c>
    </row>
    <row r="118" spans="1:5" x14ac:dyDescent="0.3">
      <c r="A118" s="153" t="s">
        <v>1095</v>
      </c>
      <c r="B118" s="153" t="s">
        <v>1114</v>
      </c>
      <c r="C118" s="153" t="s">
        <v>1101</v>
      </c>
      <c r="D118" s="153">
        <v>1</v>
      </c>
      <c r="E118" s="153" t="s">
        <v>1102</v>
      </c>
    </row>
    <row r="119" spans="1:5" x14ac:dyDescent="0.3">
      <c r="A119" s="153" t="s">
        <v>1095</v>
      </c>
      <c r="B119" s="153" t="s">
        <v>1115</v>
      </c>
      <c r="C119" s="153" t="s">
        <v>1116</v>
      </c>
      <c r="D119" s="153">
        <v>1500</v>
      </c>
      <c r="E119" s="153" t="s">
        <v>1098</v>
      </c>
    </row>
    <row r="120" spans="1:5" x14ac:dyDescent="0.3">
      <c r="A120" s="153" t="s">
        <v>1095</v>
      </c>
      <c r="B120" s="153" t="s">
        <v>1117</v>
      </c>
      <c r="C120" s="153" t="s">
        <v>1101</v>
      </c>
      <c r="D120" s="153">
        <v>1</v>
      </c>
      <c r="E120" s="153" t="s">
        <v>1102</v>
      </c>
    </row>
    <row r="121" spans="1:5" x14ac:dyDescent="0.3">
      <c r="A121" s="153" t="s">
        <v>1095</v>
      </c>
      <c r="B121" s="153" t="s">
        <v>1118</v>
      </c>
      <c r="C121" s="153" t="s">
        <v>1119</v>
      </c>
      <c r="D121" s="153">
        <v>3000</v>
      </c>
      <c r="E121" s="153" t="s">
        <v>1098</v>
      </c>
    </row>
    <row r="122" spans="1:5" x14ac:dyDescent="0.3">
      <c r="A122" s="153" t="s">
        <v>1095</v>
      </c>
      <c r="B122" s="153" t="s">
        <v>1120</v>
      </c>
      <c r="C122" s="153" t="s">
        <v>1101</v>
      </c>
      <c r="D122" s="153">
        <v>1</v>
      </c>
      <c r="E122" s="153" t="s">
        <v>1102</v>
      </c>
    </row>
    <row r="123" spans="1:5" x14ac:dyDescent="0.3">
      <c r="A123" s="153" t="s">
        <v>1095</v>
      </c>
      <c r="B123" s="153" t="s">
        <v>1121</v>
      </c>
      <c r="C123" s="153" t="s">
        <v>1112</v>
      </c>
      <c r="D123" s="153">
        <v>2</v>
      </c>
      <c r="E123" s="153" t="s">
        <v>1102</v>
      </c>
    </row>
    <row r="124" spans="1:5" x14ac:dyDescent="0.3">
      <c r="A124" s="153" t="s">
        <v>1095</v>
      </c>
      <c r="B124" s="153" t="s">
        <v>1122</v>
      </c>
      <c r="C124" s="153" t="s">
        <v>1097</v>
      </c>
      <c r="D124" s="153">
        <v>0</v>
      </c>
      <c r="E124" s="153" t="s">
        <v>1098</v>
      </c>
    </row>
    <row r="125" spans="1:5" x14ac:dyDescent="0.3">
      <c r="A125" s="153" t="s">
        <v>1095</v>
      </c>
      <c r="B125" s="153" t="s">
        <v>1123</v>
      </c>
      <c r="C125" s="153" t="s">
        <v>1101</v>
      </c>
      <c r="D125" s="153">
        <v>1</v>
      </c>
      <c r="E125" s="153" t="s">
        <v>1102</v>
      </c>
    </row>
    <row r="126" spans="1:5" x14ac:dyDescent="0.3">
      <c r="A126" s="153" t="s">
        <v>1095</v>
      </c>
      <c r="B126" s="153" t="s">
        <v>1124</v>
      </c>
      <c r="C126" s="153" t="s">
        <v>1125</v>
      </c>
      <c r="D126" s="153">
        <v>1000</v>
      </c>
      <c r="E126" s="153" t="s">
        <v>1098</v>
      </c>
    </row>
    <row r="127" spans="1:5" x14ac:dyDescent="0.3">
      <c r="A127" s="153" t="s">
        <v>1095</v>
      </c>
      <c r="B127" s="153" t="s">
        <v>1126</v>
      </c>
      <c r="C127" s="153" t="s">
        <v>1101</v>
      </c>
      <c r="D127" s="153">
        <v>1</v>
      </c>
      <c r="E127" s="153" t="s">
        <v>1102</v>
      </c>
    </row>
    <row r="128" spans="1:5" x14ac:dyDescent="0.3">
      <c r="A128" s="153" t="s">
        <v>1095</v>
      </c>
      <c r="B128" s="153" t="s">
        <v>1127</v>
      </c>
      <c r="C128" s="153" t="s">
        <v>1128</v>
      </c>
      <c r="D128" s="153">
        <v>2500</v>
      </c>
      <c r="E128" s="153" t="s">
        <v>1098</v>
      </c>
    </row>
    <row r="129" spans="1:5" x14ac:dyDescent="0.3">
      <c r="A129" s="153" t="s">
        <v>1095</v>
      </c>
      <c r="B129" s="153" t="s">
        <v>1129</v>
      </c>
      <c r="C129" s="153" t="s">
        <v>1112</v>
      </c>
      <c r="D129" s="153">
        <v>2</v>
      </c>
      <c r="E129" s="153" t="s">
        <v>1102</v>
      </c>
    </row>
    <row r="130" spans="1:5" x14ac:dyDescent="0.3">
      <c r="A130" s="153" t="s">
        <v>793</v>
      </c>
      <c r="B130" s="153" t="s">
        <v>1130</v>
      </c>
      <c r="C130" s="153"/>
      <c r="D130" s="153" t="s">
        <v>45</v>
      </c>
      <c r="E130" s="153" t="s">
        <v>1131</v>
      </c>
    </row>
    <row r="131" spans="1:5" x14ac:dyDescent="0.3">
      <c r="A131" s="153" t="s">
        <v>793</v>
      </c>
      <c r="B131" s="153" t="s">
        <v>1132</v>
      </c>
      <c r="C131" s="153"/>
      <c r="D131" s="153" t="s">
        <v>1133</v>
      </c>
      <c r="E131" s="153" t="s">
        <v>1134</v>
      </c>
    </row>
    <row r="132" spans="1:5" x14ac:dyDescent="0.3">
      <c r="A132" s="153" t="s">
        <v>793</v>
      </c>
      <c r="B132" s="153" t="s">
        <v>1135</v>
      </c>
      <c r="C132" s="153"/>
      <c r="D132" s="153" t="s">
        <v>1136</v>
      </c>
      <c r="E132" s="153" t="s">
        <v>1134</v>
      </c>
    </row>
    <row r="133" spans="1:5" x14ac:dyDescent="0.3">
      <c r="A133" s="153" t="s">
        <v>793</v>
      </c>
      <c r="B133" s="153" t="s">
        <v>1137</v>
      </c>
      <c r="C133" s="153"/>
      <c r="D133" s="153" t="s">
        <v>1138</v>
      </c>
      <c r="E133" s="153" t="s">
        <v>1134</v>
      </c>
    </row>
    <row r="134" spans="1:5" x14ac:dyDescent="0.3">
      <c r="A134" s="153" t="s">
        <v>793</v>
      </c>
      <c r="B134" s="153" t="s">
        <v>1139</v>
      </c>
      <c r="C134" s="153"/>
      <c r="D134" s="153" t="s">
        <v>1140</v>
      </c>
      <c r="E134" s="153" t="s">
        <v>1134</v>
      </c>
    </row>
    <row r="135" spans="1:5" x14ac:dyDescent="0.3">
      <c r="A135" s="153" t="s">
        <v>793</v>
      </c>
      <c r="B135" s="153" t="s">
        <v>1141</v>
      </c>
      <c r="C135" s="153"/>
      <c r="D135" s="153" t="s">
        <v>1142</v>
      </c>
      <c r="E135" s="153" t="s">
        <v>1134</v>
      </c>
    </row>
    <row r="136" spans="1:5" x14ac:dyDescent="0.3">
      <c r="A136" s="153" t="s">
        <v>793</v>
      </c>
      <c r="B136" s="153" t="s">
        <v>1143</v>
      </c>
      <c r="C136" s="153"/>
      <c r="D136" s="153" t="s">
        <v>1144</v>
      </c>
      <c r="E136" s="153" t="s">
        <v>1134</v>
      </c>
    </row>
    <row r="137" spans="1:5" x14ac:dyDescent="0.3">
      <c r="A137" s="153" t="s">
        <v>793</v>
      </c>
      <c r="B137" s="153" t="s">
        <v>1145</v>
      </c>
      <c r="C137" s="153"/>
      <c r="D137" s="153" t="s">
        <v>1146</v>
      </c>
      <c r="E137" s="153" t="s">
        <v>1134</v>
      </c>
    </row>
    <row r="138" spans="1:5" x14ac:dyDescent="0.3">
      <c r="A138" s="153" t="s">
        <v>793</v>
      </c>
      <c r="B138" s="153" t="s">
        <v>1147</v>
      </c>
      <c r="C138" s="153"/>
      <c r="D138" s="153" t="s">
        <v>46</v>
      </c>
      <c r="E138" s="153" t="s">
        <v>1131</v>
      </c>
    </row>
    <row r="139" spans="1:5" x14ac:dyDescent="0.3">
      <c r="A139" s="153" t="s">
        <v>793</v>
      </c>
      <c r="B139" s="153" t="s">
        <v>1148</v>
      </c>
      <c r="C139" s="153"/>
      <c r="D139" s="153" t="s">
        <v>1149</v>
      </c>
      <c r="E139" s="153" t="s">
        <v>1134</v>
      </c>
    </row>
    <row r="140" spans="1:5" x14ac:dyDescent="0.3">
      <c r="A140" s="153" t="s">
        <v>793</v>
      </c>
      <c r="B140" s="153" t="s">
        <v>1150</v>
      </c>
      <c r="C140" s="153"/>
      <c r="D140" s="153" t="s">
        <v>1151</v>
      </c>
      <c r="E140" s="153" t="s">
        <v>1134</v>
      </c>
    </row>
    <row r="141" spans="1:5" x14ac:dyDescent="0.3">
      <c r="A141" s="153" t="s">
        <v>793</v>
      </c>
      <c r="B141" s="153" t="s">
        <v>1152</v>
      </c>
      <c r="C141" s="153"/>
      <c r="D141" s="153" t="s">
        <v>1153</v>
      </c>
      <c r="E141" s="153" t="s">
        <v>1134</v>
      </c>
    </row>
    <row r="142" spans="1:5" x14ac:dyDescent="0.3">
      <c r="A142" s="153" t="s">
        <v>793</v>
      </c>
      <c r="B142" s="153" t="s">
        <v>1154</v>
      </c>
      <c r="C142" s="153"/>
      <c r="D142" s="153" t="s">
        <v>1155</v>
      </c>
      <c r="E142" s="153" t="s">
        <v>1134</v>
      </c>
    </row>
    <row r="143" spans="1:5" x14ac:dyDescent="0.3">
      <c r="A143" s="153" t="s">
        <v>793</v>
      </c>
      <c r="B143" s="153" t="s">
        <v>1156</v>
      </c>
      <c r="C143" s="153"/>
      <c r="D143" s="153" t="s">
        <v>1157</v>
      </c>
      <c r="E143" s="153" t="s">
        <v>1134</v>
      </c>
    </row>
    <row r="144" spans="1:5" x14ac:dyDescent="0.3">
      <c r="A144" s="153" t="s">
        <v>793</v>
      </c>
      <c r="B144" s="153" t="s">
        <v>1158</v>
      </c>
      <c r="C144" s="153"/>
      <c r="D144" s="153" t="s">
        <v>1159</v>
      </c>
      <c r="E144" s="153" t="s">
        <v>1134</v>
      </c>
    </row>
    <row r="145" spans="1:5" x14ac:dyDescent="0.3">
      <c r="A145" s="153" t="s">
        <v>793</v>
      </c>
      <c r="B145" s="153" t="s">
        <v>1160</v>
      </c>
      <c r="C145" s="153"/>
      <c r="D145" s="153" t="s">
        <v>1161</v>
      </c>
      <c r="E145" s="153" t="s">
        <v>1134</v>
      </c>
    </row>
    <row r="146" spans="1:5" x14ac:dyDescent="0.3">
      <c r="A146" s="153" t="s">
        <v>793</v>
      </c>
      <c r="B146" s="153" t="s">
        <v>1162</v>
      </c>
      <c r="C146" s="153"/>
      <c r="D146" s="153" t="s">
        <v>47</v>
      </c>
      <c r="E146" s="153" t="s">
        <v>1131</v>
      </c>
    </row>
    <row r="147" spans="1:5" x14ac:dyDescent="0.3">
      <c r="A147" s="153" t="s">
        <v>793</v>
      </c>
      <c r="B147" s="153" t="s">
        <v>1163</v>
      </c>
      <c r="C147" s="153"/>
      <c r="D147" s="153" t="s">
        <v>1164</v>
      </c>
      <c r="E147" s="153" t="s">
        <v>1134</v>
      </c>
    </row>
    <row r="148" spans="1:5" x14ac:dyDescent="0.3">
      <c r="A148" s="153" t="s">
        <v>793</v>
      </c>
      <c r="B148" s="153" t="s">
        <v>1165</v>
      </c>
      <c r="C148" s="153"/>
      <c r="D148" s="153" t="s">
        <v>1166</v>
      </c>
      <c r="E148" s="153" t="s">
        <v>1134</v>
      </c>
    </row>
    <row r="149" spans="1:5" x14ac:dyDescent="0.3">
      <c r="A149" s="153" t="s">
        <v>793</v>
      </c>
      <c r="B149" s="153" t="s">
        <v>1167</v>
      </c>
      <c r="C149" s="153"/>
      <c r="D149" s="153" t="s">
        <v>1168</v>
      </c>
      <c r="E149" s="153" t="s">
        <v>1134</v>
      </c>
    </row>
    <row r="150" spans="1:5" x14ac:dyDescent="0.3">
      <c r="A150" s="153" t="s">
        <v>793</v>
      </c>
      <c r="B150" s="153" t="s">
        <v>1169</v>
      </c>
      <c r="C150" s="153"/>
      <c r="D150" s="153" t="s">
        <v>1170</v>
      </c>
      <c r="E150" s="153" t="s">
        <v>1134</v>
      </c>
    </row>
    <row r="151" spans="1:5" x14ac:dyDescent="0.3">
      <c r="A151" s="153" t="s">
        <v>793</v>
      </c>
      <c r="B151" s="153" t="s">
        <v>1171</v>
      </c>
      <c r="C151" s="153"/>
      <c r="D151" s="153" t="s">
        <v>1172</v>
      </c>
      <c r="E151" s="153" t="s">
        <v>1134</v>
      </c>
    </row>
    <row r="152" spans="1:5" x14ac:dyDescent="0.3">
      <c r="A152" s="153" t="s">
        <v>793</v>
      </c>
      <c r="B152" s="153" t="s">
        <v>1173</v>
      </c>
      <c r="C152" s="153"/>
      <c r="D152" s="153" t="s">
        <v>1174</v>
      </c>
      <c r="E152" s="153" t="s">
        <v>1134</v>
      </c>
    </row>
    <row r="153" spans="1:5" x14ac:dyDescent="0.3">
      <c r="A153" s="153" t="s">
        <v>793</v>
      </c>
      <c r="B153" s="153" t="s">
        <v>1175</v>
      </c>
      <c r="C153" s="153"/>
      <c r="D153" s="153" t="s">
        <v>1176</v>
      </c>
      <c r="E153" s="153" t="s">
        <v>1134</v>
      </c>
    </row>
    <row r="154" spans="1:5" x14ac:dyDescent="0.3">
      <c r="A154" s="153" t="s">
        <v>793</v>
      </c>
      <c r="B154" s="153" t="s">
        <v>1177</v>
      </c>
      <c r="C154" s="153"/>
      <c r="D154" s="153" t="s">
        <v>14</v>
      </c>
      <c r="E154" s="153" t="s">
        <v>1131</v>
      </c>
    </row>
    <row r="155" spans="1:5" x14ac:dyDescent="0.3">
      <c r="A155" s="153" t="s">
        <v>793</v>
      </c>
      <c r="B155" s="153" t="s">
        <v>1178</v>
      </c>
      <c r="C155" s="153"/>
      <c r="D155" s="153" t="s">
        <v>1179</v>
      </c>
      <c r="E155" s="153" t="s">
        <v>1134</v>
      </c>
    </row>
    <row r="156" spans="1:5" x14ac:dyDescent="0.3">
      <c r="A156" s="153" t="s">
        <v>793</v>
      </c>
      <c r="B156" s="153" t="s">
        <v>1180</v>
      </c>
      <c r="C156" s="153"/>
      <c r="D156" s="153" t="s">
        <v>1181</v>
      </c>
      <c r="E156" s="153" t="s">
        <v>1134</v>
      </c>
    </row>
    <row r="157" spans="1:5" x14ac:dyDescent="0.3">
      <c r="A157" s="153" t="s">
        <v>793</v>
      </c>
      <c r="B157" s="153" t="s">
        <v>1182</v>
      </c>
      <c r="C157" s="153"/>
      <c r="D157" s="153" t="s">
        <v>1183</v>
      </c>
      <c r="E157" s="153" t="s">
        <v>1134</v>
      </c>
    </row>
    <row r="158" spans="1:5" x14ac:dyDescent="0.3">
      <c r="A158" s="153" t="s">
        <v>793</v>
      </c>
      <c r="B158" s="153" t="s">
        <v>1184</v>
      </c>
      <c r="C158" s="153"/>
      <c r="D158" s="153" t="s">
        <v>1185</v>
      </c>
      <c r="E158" s="153" t="s">
        <v>1134</v>
      </c>
    </row>
    <row r="159" spans="1:5" x14ac:dyDescent="0.3">
      <c r="A159" s="153" t="s">
        <v>793</v>
      </c>
      <c r="B159" s="153" t="s">
        <v>1186</v>
      </c>
      <c r="C159" s="153"/>
      <c r="D159" s="153" t="s">
        <v>1187</v>
      </c>
      <c r="E159" s="153" t="s">
        <v>1134</v>
      </c>
    </row>
    <row r="160" spans="1:5" x14ac:dyDescent="0.3">
      <c r="A160" s="153" t="s">
        <v>793</v>
      </c>
      <c r="B160" s="153" t="s">
        <v>1188</v>
      </c>
      <c r="C160" s="153"/>
      <c r="D160" s="153" t="s">
        <v>1189</v>
      </c>
      <c r="E160" s="153" t="s">
        <v>1134</v>
      </c>
    </row>
    <row r="161" spans="1:5" x14ac:dyDescent="0.3">
      <c r="A161" s="153" t="s">
        <v>793</v>
      </c>
      <c r="B161" s="153" t="s">
        <v>1190</v>
      </c>
      <c r="C161" s="153"/>
      <c r="D161" s="153" t="s">
        <v>1191</v>
      </c>
      <c r="E161" s="153" t="s">
        <v>1134</v>
      </c>
    </row>
    <row r="162" spans="1:5" x14ac:dyDescent="0.3">
      <c r="A162" s="153" t="s">
        <v>1082</v>
      </c>
      <c r="B162" s="153" t="s">
        <v>813</v>
      </c>
      <c r="C162" s="153" t="s">
        <v>1086</v>
      </c>
      <c r="D162" s="153" t="s">
        <v>1192</v>
      </c>
      <c r="E162" s="153" t="s">
        <v>1193</v>
      </c>
    </row>
    <row r="163" spans="1:5" x14ac:dyDescent="0.3">
      <c r="A163" s="153" t="s">
        <v>1082</v>
      </c>
      <c r="B163" s="153" t="s">
        <v>1194</v>
      </c>
      <c r="C163" s="153" t="s">
        <v>1195</v>
      </c>
      <c r="D163" s="153" t="s">
        <v>1196</v>
      </c>
      <c r="E163" s="153" t="s">
        <v>1197</v>
      </c>
    </row>
    <row r="164" spans="1:5" x14ac:dyDescent="0.3">
      <c r="A164" s="153" t="s">
        <v>1082</v>
      </c>
      <c r="B164" s="153" t="s">
        <v>1198</v>
      </c>
      <c r="C164" s="153"/>
      <c r="D164" s="153">
        <v>42.5</v>
      </c>
      <c r="E164" s="153" t="s">
        <v>1199</v>
      </c>
    </row>
    <row r="165" spans="1:5" x14ac:dyDescent="0.3">
      <c r="A165" s="153" t="s">
        <v>1082</v>
      </c>
      <c r="B165" s="153" t="s">
        <v>1200</v>
      </c>
      <c r="C165" s="153"/>
      <c r="D165" s="153" t="s">
        <v>1201</v>
      </c>
      <c r="E165" s="153" t="s">
        <v>1202</v>
      </c>
    </row>
    <row r="166" spans="1:5" x14ac:dyDescent="0.3">
      <c r="A166" s="153" t="s">
        <v>1082</v>
      </c>
      <c r="B166" s="153" t="s">
        <v>1200</v>
      </c>
      <c r="C166" s="153" t="s">
        <v>1201</v>
      </c>
      <c r="D166" s="153" t="s">
        <v>1203</v>
      </c>
      <c r="E166" s="153" t="s">
        <v>1204</v>
      </c>
    </row>
    <row r="167" spans="1:5" x14ac:dyDescent="0.3">
      <c r="A167" s="153" t="s">
        <v>1082</v>
      </c>
      <c r="B167" s="153" t="s">
        <v>1205</v>
      </c>
      <c r="C167" s="153"/>
      <c r="D167" s="153" t="s">
        <v>1206</v>
      </c>
      <c r="E167" s="153" t="s">
        <v>1207</v>
      </c>
    </row>
    <row r="168" spans="1:5" x14ac:dyDescent="0.3">
      <c r="A168" s="153" t="s">
        <v>1082</v>
      </c>
      <c r="B168" s="153" t="s">
        <v>833</v>
      </c>
      <c r="C168" s="153" t="s">
        <v>1090</v>
      </c>
      <c r="D168" s="153" t="s">
        <v>1208</v>
      </c>
      <c r="E168" s="153" t="s">
        <v>1193</v>
      </c>
    </row>
    <row r="169" spans="1:5" x14ac:dyDescent="0.3">
      <c r="A169" s="153" t="s">
        <v>1082</v>
      </c>
      <c r="B169" s="153" t="s">
        <v>1209</v>
      </c>
      <c r="C169" s="153" t="s">
        <v>1210</v>
      </c>
      <c r="D169" s="153" t="s">
        <v>1211</v>
      </c>
      <c r="E169" s="153" t="s">
        <v>1197</v>
      </c>
    </row>
    <row r="170" spans="1:5" x14ac:dyDescent="0.3">
      <c r="A170" s="153" t="s">
        <v>1082</v>
      </c>
      <c r="B170" s="153" t="s">
        <v>1212</v>
      </c>
      <c r="C170" s="153"/>
      <c r="D170" s="153">
        <v>160</v>
      </c>
      <c r="E170" s="153" t="s">
        <v>1199</v>
      </c>
    </row>
    <row r="171" spans="1:5" x14ac:dyDescent="0.3">
      <c r="A171" s="153" t="s">
        <v>1082</v>
      </c>
      <c r="B171" s="153" t="s">
        <v>1213</v>
      </c>
      <c r="C171" s="153"/>
      <c r="D171" s="153" t="s">
        <v>1214</v>
      </c>
      <c r="E171" s="153" t="s">
        <v>1202</v>
      </c>
    </row>
    <row r="172" spans="1:5" x14ac:dyDescent="0.3">
      <c r="A172" s="153" t="s">
        <v>1082</v>
      </c>
      <c r="B172" s="153" t="s">
        <v>1213</v>
      </c>
      <c r="C172" s="153" t="s">
        <v>1214</v>
      </c>
      <c r="D172" s="153" t="s">
        <v>1215</v>
      </c>
      <c r="E172" s="153" t="s">
        <v>1204</v>
      </c>
    </row>
    <row r="173" spans="1:5" x14ac:dyDescent="0.3">
      <c r="A173" s="153" t="s">
        <v>1082</v>
      </c>
      <c r="B173" s="153" t="s">
        <v>1216</v>
      </c>
      <c r="C173" s="153"/>
      <c r="D173" s="153" t="s">
        <v>1217</v>
      </c>
      <c r="E173" s="153" t="s">
        <v>1207</v>
      </c>
    </row>
    <row r="174" spans="1:5" x14ac:dyDescent="0.3">
      <c r="A174" s="153" t="s">
        <v>1082</v>
      </c>
      <c r="B174" s="153" t="s">
        <v>853</v>
      </c>
      <c r="C174" s="153" t="s">
        <v>1094</v>
      </c>
      <c r="D174" s="153" t="s">
        <v>1218</v>
      </c>
      <c r="E174" s="153" t="s">
        <v>1193</v>
      </c>
    </row>
    <row r="175" spans="1:5" x14ac:dyDescent="0.3">
      <c r="A175" s="153" t="s">
        <v>1082</v>
      </c>
      <c r="B175" s="153" t="s">
        <v>1219</v>
      </c>
      <c r="C175" s="153" t="s">
        <v>1220</v>
      </c>
      <c r="D175" s="153" t="s">
        <v>1221</v>
      </c>
      <c r="E175" s="153" t="s">
        <v>1197</v>
      </c>
    </row>
    <row r="176" spans="1:5" x14ac:dyDescent="0.3">
      <c r="A176" s="153" t="s">
        <v>1082</v>
      </c>
      <c r="B176" s="153" t="s">
        <v>1222</v>
      </c>
      <c r="C176" s="153"/>
      <c r="D176" s="153">
        <v>250</v>
      </c>
      <c r="E176" s="153" t="s">
        <v>1199</v>
      </c>
    </row>
    <row r="177" spans="1:5" x14ac:dyDescent="0.3">
      <c r="A177" s="153" t="s">
        <v>1082</v>
      </c>
      <c r="B177" s="153" t="s">
        <v>1223</v>
      </c>
      <c r="C177" s="153"/>
      <c r="D177" s="153" t="s">
        <v>1224</v>
      </c>
      <c r="E177" s="153" t="s">
        <v>1202</v>
      </c>
    </row>
    <row r="178" spans="1:5" x14ac:dyDescent="0.3">
      <c r="A178" s="153" t="s">
        <v>1082</v>
      </c>
      <c r="B178" s="153" t="s">
        <v>1223</v>
      </c>
      <c r="C178" s="153" t="s">
        <v>1224</v>
      </c>
      <c r="D178" s="153" t="s">
        <v>1225</v>
      </c>
      <c r="E178" s="153" t="s">
        <v>1204</v>
      </c>
    </row>
    <row r="179" spans="1:5" x14ac:dyDescent="0.3">
      <c r="A179" s="153" t="s">
        <v>1082</v>
      </c>
      <c r="B179" s="153" t="s">
        <v>1226</v>
      </c>
      <c r="C179" s="153"/>
      <c r="D179" s="153" t="s">
        <v>1227</v>
      </c>
      <c r="E179" s="153" t="s">
        <v>1207</v>
      </c>
    </row>
    <row r="180" spans="1:5" x14ac:dyDescent="0.3">
      <c r="A180" s="153" t="s">
        <v>1082</v>
      </c>
      <c r="B180" s="153" t="s">
        <v>1228</v>
      </c>
      <c r="C180" s="153"/>
      <c r="D180" s="153" t="s">
        <v>528</v>
      </c>
      <c r="E180" s="153" t="s">
        <v>1229</v>
      </c>
    </row>
    <row r="181" spans="1:5" x14ac:dyDescent="0.3">
      <c r="A181" s="153" t="s">
        <v>1082</v>
      </c>
      <c r="B181" s="153" t="s">
        <v>1230</v>
      </c>
      <c r="C181" s="153"/>
      <c r="D181" s="153" t="s">
        <v>529</v>
      </c>
      <c r="E181" s="153" t="s">
        <v>599</v>
      </c>
    </row>
    <row r="182" spans="1:5" x14ac:dyDescent="0.3">
      <c r="A182" s="153" t="s">
        <v>1082</v>
      </c>
      <c r="B182" s="153" t="s">
        <v>1231</v>
      </c>
      <c r="C182" s="153"/>
      <c r="D182" s="153" t="s">
        <v>530</v>
      </c>
      <c r="E182" s="153" t="s">
        <v>1232</v>
      </c>
    </row>
    <row r="183" spans="1:5" x14ac:dyDescent="0.3">
      <c r="A183" s="153" t="s">
        <v>1233</v>
      </c>
      <c r="B183" s="153" t="s">
        <v>1234</v>
      </c>
      <c r="C183" s="153" t="s">
        <v>1235</v>
      </c>
      <c r="D183" s="153" t="s">
        <v>1236</v>
      </c>
      <c r="E183" s="153" t="s">
        <v>1237</v>
      </c>
    </row>
    <row r="184" spans="1:5" x14ac:dyDescent="0.3">
      <c r="A184" s="153" t="s">
        <v>1233</v>
      </c>
      <c r="B184" s="153" t="s">
        <v>1238</v>
      </c>
      <c r="C184" s="153" t="s">
        <v>1239</v>
      </c>
      <c r="D184" s="153" t="s">
        <v>1240</v>
      </c>
      <c r="E184" s="153" t="s">
        <v>1237</v>
      </c>
    </row>
    <row r="185" spans="1:5" x14ac:dyDescent="0.3">
      <c r="A185" s="153" t="s">
        <v>1233</v>
      </c>
      <c r="B185" s="153" t="s">
        <v>1241</v>
      </c>
      <c r="C185" s="153" t="s">
        <v>1242</v>
      </c>
      <c r="D185" s="153" t="s">
        <v>1243</v>
      </c>
      <c r="E185" s="153" t="s">
        <v>1237</v>
      </c>
    </row>
    <row r="186" spans="1:5" x14ac:dyDescent="0.3">
      <c r="A186" s="153" t="s">
        <v>1244</v>
      </c>
      <c r="B186" s="153" t="s">
        <v>794</v>
      </c>
      <c r="C186" s="153" t="s">
        <v>1245</v>
      </c>
      <c r="D186" s="153" t="s">
        <v>558</v>
      </c>
      <c r="E186" s="153" t="s">
        <v>1246</v>
      </c>
    </row>
    <row r="187" spans="1:5" x14ac:dyDescent="0.3">
      <c r="A187" s="153" t="s">
        <v>1247</v>
      </c>
      <c r="B187" s="153" t="s">
        <v>1248</v>
      </c>
      <c r="C187" s="153" t="s">
        <v>1249</v>
      </c>
      <c r="D187" s="153" t="s">
        <v>382</v>
      </c>
      <c r="E187" s="153" t="s">
        <v>1250</v>
      </c>
    </row>
    <row r="188" spans="1:5" x14ac:dyDescent="0.3">
      <c r="A188" s="153" t="s">
        <v>1247</v>
      </c>
      <c r="B188" s="153" t="s">
        <v>1251</v>
      </c>
      <c r="C188" s="153" t="s">
        <v>1252</v>
      </c>
      <c r="D188" s="153">
        <v>0</v>
      </c>
      <c r="E188" s="153" t="s">
        <v>1253</v>
      </c>
    </row>
    <row r="189" spans="1:5" x14ac:dyDescent="0.3">
      <c r="A189" s="153" t="s">
        <v>1247</v>
      </c>
      <c r="B189" s="153" t="s">
        <v>1254</v>
      </c>
      <c r="C189" s="153" t="s">
        <v>1255</v>
      </c>
      <c r="D189" s="153">
        <v>0</v>
      </c>
      <c r="E189" s="153" t="s">
        <v>1253</v>
      </c>
    </row>
    <row r="190" spans="1:5" x14ac:dyDescent="0.3">
      <c r="A190" s="153" t="s">
        <v>1247</v>
      </c>
      <c r="B190" s="153" t="s">
        <v>1256</v>
      </c>
      <c r="C190" s="153" t="s">
        <v>1257</v>
      </c>
      <c r="D190" s="153">
        <v>0</v>
      </c>
      <c r="E190" s="153" t="s">
        <v>1253</v>
      </c>
    </row>
    <row r="191" spans="1:5" x14ac:dyDescent="0.3">
      <c r="A191" s="153" t="s">
        <v>1247</v>
      </c>
      <c r="B191" s="153" t="s">
        <v>1258</v>
      </c>
      <c r="C191" s="153" t="s">
        <v>1259</v>
      </c>
      <c r="D191" s="153">
        <v>0</v>
      </c>
      <c r="E191" s="153" t="s">
        <v>1253</v>
      </c>
    </row>
    <row r="192" spans="1:5" x14ac:dyDescent="0.3">
      <c r="A192" s="153" t="s">
        <v>1247</v>
      </c>
      <c r="B192" s="153" t="s">
        <v>1260</v>
      </c>
      <c r="C192" s="153" t="s">
        <v>1261</v>
      </c>
      <c r="D192" s="153" t="s">
        <v>1262</v>
      </c>
      <c r="E192" s="153" t="s">
        <v>1263</v>
      </c>
    </row>
    <row r="193" spans="1:5" x14ac:dyDescent="0.3">
      <c r="A193" s="153" t="s">
        <v>1247</v>
      </c>
      <c r="B193" s="153" t="s">
        <v>1264</v>
      </c>
      <c r="C193" s="153" t="s">
        <v>1249</v>
      </c>
      <c r="D193" s="153" t="s">
        <v>382</v>
      </c>
      <c r="E193" s="153" t="s">
        <v>1250</v>
      </c>
    </row>
    <row r="194" spans="1:5" x14ac:dyDescent="0.3">
      <c r="A194" s="153" t="s">
        <v>1247</v>
      </c>
      <c r="B194" s="153" t="s">
        <v>1265</v>
      </c>
      <c r="C194" s="153" t="s">
        <v>1252</v>
      </c>
      <c r="D194" s="153">
        <v>0</v>
      </c>
      <c r="E194" s="153" t="s">
        <v>1253</v>
      </c>
    </row>
    <row r="195" spans="1:5" x14ac:dyDescent="0.3">
      <c r="A195" s="153" t="s">
        <v>1247</v>
      </c>
      <c r="B195" s="153" t="s">
        <v>1266</v>
      </c>
      <c r="C195" s="153" t="s">
        <v>1255</v>
      </c>
      <c r="D195" s="153">
        <v>0</v>
      </c>
      <c r="E195" s="153" t="s">
        <v>1253</v>
      </c>
    </row>
    <row r="196" spans="1:5" x14ac:dyDescent="0.3">
      <c r="A196" s="153" t="s">
        <v>1247</v>
      </c>
      <c r="B196" s="153" t="s">
        <v>1267</v>
      </c>
      <c r="C196" s="153" t="s">
        <v>1257</v>
      </c>
      <c r="D196" s="153">
        <v>0</v>
      </c>
      <c r="E196" s="153" t="s">
        <v>1253</v>
      </c>
    </row>
    <row r="197" spans="1:5" x14ac:dyDescent="0.3">
      <c r="A197" s="153" t="s">
        <v>1247</v>
      </c>
      <c r="B197" s="153" t="s">
        <v>1268</v>
      </c>
      <c r="C197" s="153" t="s">
        <v>1259</v>
      </c>
      <c r="D197" s="153">
        <v>0</v>
      </c>
      <c r="E197" s="153" t="s">
        <v>1253</v>
      </c>
    </row>
    <row r="198" spans="1:5" x14ac:dyDescent="0.3">
      <c r="A198" s="153" t="s">
        <v>1247</v>
      </c>
      <c r="B198" s="153" t="s">
        <v>1269</v>
      </c>
      <c r="C198" s="153" t="s">
        <v>1270</v>
      </c>
      <c r="D198" s="153" t="s">
        <v>1262</v>
      </c>
      <c r="E198" s="153" t="s">
        <v>1263</v>
      </c>
    </row>
    <row r="199" spans="1:5" x14ac:dyDescent="0.3">
      <c r="A199" s="153" t="s">
        <v>1247</v>
      </c>
      <c r="B199" s="153" t="s">
        <v>1271</v>
      </c>
      <c r="C199" s="153" t="s">
        <v>1272</v>
      </c>
      <c r="D199" s="153" t="s">
        <v>1273</v>
      </c>
      <c r="E199" s="153" t="s">
        <v>1274</v>
      </c>
    </row>
    <row r="200" spans="1:5" x14ac:dyDescent="0.3">
      <c r="A200" s="153" t="s">
        <v>1247</v>
      </c>
      <c r="B200" s="153" t="s">
        <v>1275</v>
      </c>
      <c r="C200" s="153" t="s">
        <v>1276</v>
      </c>
      <c r="D200" s="153" t="s">
        <v>1277</v>
      </c>
      <c r="E200" s="153" t="s">
        <v>1278</v>
      </c>
    </row>
    <row r="201" spans="1:5" x14ac:dyDescent="0.3">
      <c r="A201" s="153" t="s">
        <v>1279</v>
      </c>
      <c r="B201" s="153" t="s">
        <v>1280</v>
      </c>
      <c r="C201" s="153" t="s">
        <v>1249</v>
      </c>
      <c r="D201" s="153" t="s">
        <v>382</v>
      </c>
      <c r="E201" s="153" t="s">
        <v>1250</v>
      </c>
    </row>
    <row r="202" spans="1:5" x14ac:dyDescent="0.3">
      <c r="A202" s="153" t="s">
        <v>1279</v>
      </c>
      <c r="B202" s="153" t="s">
        <v>1281</v>
      </c>
      <c r="C202" s="153" t="s">
        <v>1282</v>
      </c>
      <c r="D202" s="153">
        <v>0</v>
      </c>
      <c r="E202" s="153" t="s">
        <v>1253</v>
      </c>
    </row>
    <row r="203" spans="1:5" x14ac:dyDescent="0.3">
      <c r="A203" s="153" t="s">
        <v>1279</v>
      </c>
      <c r="B203" s="153" t="s">
        <v>1283</v>
      </c>
      <c r="C203" s="153" t="s">
        <v>1255</v>
      </c>
      <c r="D203" s="153">
        <v>0</v>
      </c>
      <c r="E203" s="153" t="s">
        <v>1253</v>
      </c>
    </row>
    <row r="204" spans="1:5" x14ac:dyDescent="0.3">
      <c r="A204" s="153" t="s">
        <v>1279</v>
      </c>
      <c r="B204" s="153" t="s">
        <v>1284</v>
      </c>
      <c r="C204" s="153" t="s">
        <v>1285</v>
      </c>
      <c r="D204" s="153">
        <v>0</v>
      </c>
      <c r="E204" s="153" t="s">
        <v>1253</v>
      </c>
    </row>
    <row r="205" spans="1:5" x14ac:dyDescent="0.3">
      <c r="A205" s="153" t="s">
        <v>1279</v>
      </c>
      <c r="B205" s="153" t="s">
        <v>1286</v>
      </c>
      <c r="C205" s="153" t="s">
        <v>1287</v>
      </c>
      <c r="D205" s="153">
        <v>0</v>
      </c>
      <c r="E205" s="153" t="s">
        <v>1253</v>
      </c>
    </row>
    <row r="206" spans="1:5" x14ac:dyDescent="0.3">
      <c r="A206" s="153" t="s">
        <v>1279</v>
      </c>
      <c r="B206" s="153" t="s">
        <v>1115</v>
      </c>
      <c r="C206" s="153" t="s">
        <v>1288</v>
      </c>
      <c r="D206" s="153" t="s">
        <v>1262</v>
      </c>
      <c r="E206" s="153" t="s">
        <v>1263</v>
      </c>
    </row>
    <row r="207" spans="1:5" x14ac:dyDescent="0.3">
      <c r="A207" s="153" t="s">
        <v>1279</v>
      </c>
      <c r="B207" s="153" t="s">
        <v>1289</v>
      </c>
      <c r="C207" s="153" t="s">
        <v>1249</v>
      </c>
      <c r="D207" s="153" t="s">
        <v>382</v>
      </c>
      <c r="E207" s="153" t="s">
        <v>1250</v>
      </c>
    </row>
    <row r="208" spans="1:5" x14ac:dyDescent="0.3">
      <c r="A208" s="153" t="s">
        <v>1279</v>
      </c>
      <c r="B208" s="153" t="s">
        <v>1290</v>
      </c>
      <c r="C208" s="153" t="s">
        <v>1282</v>
      </c>
      <c r="D208" s="153">
        <v>0</v>
      </c>
      <c r="E208" s="153" t="s">
        <v>1253</v>
      </c>
    </row>
    <row r="209" spans="1:5" x14ac:dyDescent="0.3">
      <c r="A209" s="153" t="s">
        <v>1279</v>
      </c>
      <c r="B209" s="153" t="s">
        <v>1291</v>
      </c>
      <c r="C209" s="153" t="s">
        <v>1255</v>
      </c>
      <c r="D209" s="153">
        <v>0</v>
      </c>
      <c r="E209" s="153" t="s">
        <v>1253</v>
      </c>
    </row>
    <row r="210" spans="1:5" x14ac:dyDescent="0.3">
      <c r="A210" s="153" t="s">
        <v>1279</v>
      </c>
      <c r="B210" s="153" t="s">
        <v>1292</v>
      </c>
      <c r="C210" s="153" t="s">
        <v>1285</v>
      </c>
      <c r="D210" s="153">
        <v>0</v>
      </c>
      <c r="E210" s="153" t="s">
        <v>1253</v>
      </c>
    </row>
    <row r="211" spans="1:5" x14ac:dyDescent="0.3">
      <c r="A211" s="153" t="s">
        <v>1279</v>
      </c>
      <c r="B211" s="153" t="s">
        <v>1293</v>
      </c>
      <c r="C211" s="153" t="s">
        <v>1287</v>
      </c>
      <c r="D211" s="153">
        <v>0</v>
      </c>
      <c r="E211" s="153" t="s">
        <v>1253</v>
      </c>
    </row>
    <row r="212" spans="1:5" x14ac:dyDescent="0.3">
      <c r="A212" s="153" t="s">
        <v>1279</v>
      </c>
      <c r="B212" s="153" t="s">
        <v>1294</v>
      </c>
      <c r="C212" s="153" t="s">
        <v>1295</v>
      </c>
      <c r="D212" s="153" t="s">
        <v>1262</v>
      </c>
      <c r="E212" s="153" t="s">
        <v>1263</v>
      </c>
    </row>
    <row r="213" spans="1:5" x14ac:dyDescent="0.3">
      <c r="A213" s="153" t="s">
        <v>1279</v>
      </c>
      <c r="B213" s="153" t="s">
        <v>1271</v>
      </c>
      <c r="C213" s="153" t="s">
        <v>1272</v>
      </c>
      <c r="D213" s="153" t="s">
        <v>1273</v>
      </c>
      <c r="E213" s="153" t="s">
        <v>1274</v>
      </c>
    </row>
    <row r="214" spans="1:5" x14ac:dyDescent="0.3">
      <c r="A214" s="153" t="s">
        <v>1279</v>
      </c>
      <c r="B214" s="153" t="s">
        <v>1275</v>
      </c>
      <c r="C214" s="153" t="s">
        <v>1276</v>
      </c>
      <c r="D214" s="153" t="s">
        <v>1277</v>
      </c>
      <c r="E214" s="153" t="s">
        <v>1278</v>
      </c>
    </row>
    <row r="215" spans="1:5" x14ac:dyDescent="0.3">
      <c r="A215" s="153" t="s">
        <v>1279</v>
      </c>
      <c r="B215" s="153" t="s">
        <v>607</v>
      </c>
      <c r="C215" s="153">
        <v>6</v>
      </c>
      <c r="D215" s="153" t="s">
        <v>1296</v>
      </c>
      <c r="E215" s="153" t="s">
        <v>1297</v>
      </c>
    </row>
    <row r="216" spans="1:5" x14ac:dyDescent="0.3">
      <c r="A216" s="153" t="s">
        <v>1279</v>
      </c>
      <c r="B216" s="153" t="s">
        <v>618</v>
      </c>
      <c r="C216" s="153">
        <v>8</v>
      </c>
      <c r="D216" s="153" t="s">
        <v>1298</v>
      </c>
      <c r="E216" s="153" t="s">
        <v>1297</v>
      </c>
    </row>
    <row r="217" spans="1:5" x14ac:dyDescent="0.3">
      <c r="A217" s="153" t="s">
        <v>1279</v>
      </c>
      <c r="B217" s="153" t="s">
        <v>622</v>
      </c>
      <c r="C217" s="153">
        <v>12</v>
      </c>
      <c r="D217" s="153" t="s">
        <v>1299</v>
      </c>
      <c r="E217" s="153" t="s">
        <v>1297</v>
      </c>
    </row>
    <row r="218" spans="1:5" x14ac:dyDescent="0.3">
      <c r="A218" s="153" t="s">
        <v>1279</v>
      </c>
      <c r="B218" s="153" t="s">
        <v>633</v>
      </c>
      <c r="C218" s="153">
        <v>6</v>
      </c>
      <c r="D218" s="153" t="s">
        <v>1300</v>
      </c>
      <c r="E218" s="153" t="s">
        <v>1297</v>
      </c>
    </row>
    <row r="219" spans="1:5" x14ac:dyDescent="0.3">
      <c r="A219" s="153" t="s">
        <v>1279</v>
      </c>
      <c r="B219" s="153" t="s">
        <v>1004</v>
      </c>
      <c r="C219" s="153">
        <v>8</v>
      </c>
      <c r="D219" s="153" t="s">
        <v>1301</v>
      </c>
      <c r="E219" s="153" t="s">
        <v>1297</v>
      </c>
    </row>
    <row r="220" spans="1:5" x14ac:dyDescent="0.3">
      <c r="A220" s="153" t="s">
        <v>1279</v>
      </c>
      <c r="B220" s="153" t="s">
        <v>1025</v>
      </c>
      <c r="C220" s="153">
        <v>12</v>
      </c>
      <c r="D220" s="153" t="s">
        <v>1302</v>
      </c>
      <c r="E220" s="153" t="s">
        <v>1297</v>
      </c>
    </row>
    <row r="221" spans="1:5" x14ac:dyDescent="0.3">
      <c r="A221" s="153" t="s">
        <v>1279</v>
      </c>
      <c r="B221" s="153" t="s">
        <v>1303</v>
      </c>
      <c r="C221" s="153">
        <v>6</v>
      </c>
      <c r="D221" s="153" t="s">
        <v>1304</v>
      </c>
      <c r="E221" s="153" t="s">
        <v>1297</v>
      </c>
    </row>
    <row r="222" spans="1:5" x14ac:dyDescent="0.3">
      <c r="A222" s="153" t="s">
        <v>1279</v>
      </c>
      <c r="B222" s="153" t="s">
        <v>1305</v>
      </c>
      <c r="C222" s="153">
        <v>8</v>
      </c>
      <c r="D222" s="153" t="s">
        <v>1306</v>
      </c>
      <c r="E222" s="153" t="s">
        <v>1297</v>
      </c>
    </row>
    <row r="223" spans="1:5" x14ac:dyDescent="0.3">
      <c r="A223" s="153" t="s">
        <v>1279</v>
      </c>
      <c r="B223" s="153" t="s">
        <v>1307</v>
      </c>
      <c r="C223" s="153">
        <v>12</v>
      </c>
      <c r="D223" s="153" t="s">
        <v>1308</v>
      </c>
      <c r="E223" s="153" t="s">
        <v>1297</v>
      </c>
    </row>
    <row r="224" spans="1:5" x14ac:dyDescent="0.3">
      <c r="A224" s="153" t="s">
        <v>1279</v>
      </c>
      <c r="B224" s="153" t="s">
        <v>1309</v>
      </c>
      <c r="C224" s="153" t="s">
        <v>1310</v>
      </c>
      <c r="D224" s="153" t="s">
        <v>1311</v>
      </c>
      <c r="E224" s="153" t="s">
        <v>1312</v>
      </c>
    </row>
    <row r="225" spans="1:5" x14ac:dyDescent="0.3">
      <c r="A225" s="153" t="s">
        <v>1247</v>
      </c>
      <c r="B225" s="153" t="s">
        <v>1313</v>
      </c>
      <c r="C225" s="153" t="s">
        <v>1314</v>
      </c>
      <c r="D225" s="153" t="s">
        <v>1315</v>
      </c>
      <c r="E225" s="153" t="s">
        <v>1316</v>
      </c>
    </row>
    <row r="226" spans="1:5" x14ac:dyDescent="0.3">
      <c r="A226" s="153" t="s">
        <v>1247</v>
      </c>
      <c r="B226" s="153" t="s">
        <v>1317</v>
      </c>
      <c r="C226" s="153" t="s">
        <v>1318</v>
      </c>
      <c r="D226" s="153" t="s">
        <v>1319</v>
      </c>
      <c r="E226" s="153" t="s">
        <v>1316</v>
      </c>
    </row>
    <row r="227" spans="1:5" x14ac:dyDescent="0.3">
      <c r="A227" s="153" t="s">
        <v>1247</v>
      </c>
      <c r="B227" s="153" t="s">
        <v>1320</v>
      </c>
      <c r="C227" s="153" t="s">
        <v>1321</v>
      </c>
      <c r="D227" s="153" t="s">
        <v>1322</v>
      </c>
      <c r="E227" s="153" t="s">
        <v>1316</v>
      </c>
    </row>
    <row r="228" spans="1:5" x14ac:dyDescent="0.3">
      <c r="A228" s="153" t="s">
        <v>1247</v>
      </c>
      <c r="B228" s="153" t="s">
        <v>1323</v>
      </c>
      <c r="C228" s="154">
        <v>46143</v>
      </c>
      <c r="D228" s="153" t="s">
        <v>1324</v>
      </c>
      <c r="E228" s="153" t="s">
        <v>1325</v>
      </c>
    </row>
    <row r="229" spans="1:5" x14ac:dyDescent="0.3">
      <c r="A229" s="153" t="s">
        <v>1247</v>
      </c>
      <c r="B229" s="153" t="s">
        <v>1326</v>
      </c>
      <c r="C229" s="154">
        <v>46082</v>
      </c>
      <c r="D229" s="153" t="s">
        <v>1327</v>
      </c>
      <c r="E229" s="153" t="s">
        <v>1325</v>
      </c>
    </row>
    <row r="230" spans="1:5" x14ac:dyDescent="0.3">
      <c r="A230" s="153" t="s">
        <v>1247</v>
      </c>
      <c r="B230" s="153" t="s">
        <v>1328</v>
      </c>
      <c r="C230" s="154">
        <v>46054</v>
      </c>
      <c r="D230" s="153" t="s">
        <v>1329</v>
      </c>
      <c r="E230" s="153" t="s">
        <v>1325</v>
      </c>
    </row>
    <row r="231" spans="1:5" x14ac:dyDescent="0.3">
      <c r="A231" s="153" t="s">
        <v>1247</v>
      </c>
      <c r="B231" s="153" t="s">
        <v>1330</v>
      </c>
      <c r="C231" s="153"/>
      <c r="D231" s="153" t="s">
        <v>1324</v>
      </c>
      <c r="E231" s="153" t="s">
        <v>1331</v>
      </c>
    </row>
    <row r="232" spans="1:5" x14ac:dyDescent="0.3">
      <c r="A232" s="153" t="s">
        <v>1247</v>
      </c>
      <c r="B232" s="153" t="s">
        <v>1332</v>
      </c>
      <c r="C232" s="153"/>
      <c r="D232" s="153" t="s">
        <v>1333</v>
      </c>
      <c r="E232" s="153" t="s">
        <v>1334</v>
      </c>
    </row>
    <row r="233" spans="1:5" x14ac:dyDescent="0.3">
      <c r="A233" s="153" t="s">
        <v>1247</v>
      </c>
      <c r="B233" s="153" t="s">
        <v>1335</v>
      </c>
      <c r="C233" s="153"/>
      <c r="D233" s="153" t="s">
        <v>1333</v>
      </c>
      <c r="E233" s="153" t="s">
        <v>1336</v>
      </c>
    </row>
    <row r="234" spans="1:5" x14ac:dyDescent="0.3">
      <c r="A234" s="153" t="s">
        <v>1247</v>
      </c>
      <c r="B234" s="153" t="s">
        <v>1337</v>
      </c>
      <c r="C234" s="153" t="s">
        <v>1338</v>
      </c>
      <c r="D234" s="153" t="s">
        <v>1339</v>
      </c>
      <c r="E234" s="153" t="s">
        <v>1340</v>
      </c>
    </row>
    <row r="235" spans="1:5" x14ac:dyDescent="0.3">
      <c r="A235" s="153" t="s">
        <v>1247</v>
      </c>
      <c r="B235" s="153" t="s">
        <v>1341</v>
      </c>
      <c r="C235" s="153" t="s">
        <v>1342</v>
      </c>
      <c r="D235" s="153" t="s">
        <v>1343</v>
      </c>
      <c r="E235" s="153" t="s">
        <v>1344</v>
      </c>
    </row>
    <row r="236" spans="1:5" x14ac:dyDescent="0.3">
      <c r="A236" s="153" t="s">
        <v>1247</v>
      </c>
      <c r="B236" s="153" t="s">
        <v>1345</v>
      </c>
      <c r="C236" s="153" t="s">
        <v>1346</v>
      </c>
      <c r="D236" s="153" t="s">
        <v>1347</v>
      </c>
      <c r="E236" s="153" t="s">
        <v>1348</v>
      </c>
    </row>
    <row r="237" spans="1:5" x14ac:dyDescent="0.3">
      <c r="A237" s="153" t="s">
        <v>1247</v>
      </c>
      <c r="B237" s="153" t="s">
        <v>1349</v>
      </c>
      <c r="C237" s="153" t="s">
        <v>1350</v>
      </c>
      <c r="D237" s="153" t="s">
        <v>1351</v>
      </c>
      <c r="E237" s="153" t="s">
        <v>1352</v>
      </c>
    </row>
    <row r="238" spans="1:5" x14ac:dyDescent="0.3">
      <c r="A238" s="153" t="s">
        <v>1247</v>
      </c>
      <c r="B238" s="153" t="s">
        <v>1353</v>
      </c>
      <c r="C238" s="153" t="s">
        <v>1354</v>
      </c>
      <c r="D238" s="153" t="s">
        <v>1355</v>
      </c>
      <c r="E238" s="153" t="s">
        <v>1356</v>
      </c>
    </row>
    <row r="239" spans="1:5" x14ac:dyDescent="0.3">
      <c r="A239" s="153" t="s">
        <v>1247</v>
      </c>
      <c r="B239" s="153" t="s">
        <v>1357</v>
      </c>
      <c r="C239" s="153"/>
      <c r="D239" s="153" t="s">
        <v>1358</v>
      </c>
      <c r="E239" s="153" t="s">
        <v>1359</v>
      </c>
    </row>
    <row r="240" spans="1:5" x14ac:dyDescent="0.3">
      <c r="A240" s="153" t="s">
        <v>1247</v>
      </c>
      <c r="B240" s="153" t="s">
        <v>1360</v>
      </c>
      <c r="C240" s="153"/>
      <c r="D240" s="153" t="s">
        <v>1361</v>
      </c>
      <c r="E240" s="153" t="s">
        <v>1362</v>
      </c>
    </row>
    <row r="241" spans="1:5" x14ac:dyDescent="0.3">
      <c r="A241" s="153" t="s">
        <v>1247</v>
      </c>
      <c r="B241" s="153" t="s">
        <v>1363</v>
      </c>
      <c r="C241" s="153"/>
      <c r="D241" s="153" t="s">
        <v>1364</v>
      </c>
      <c r="E241" s="153" t="s">
        <v>1365</v>
      </c>
    </row>
    <row r="242" spans="1:5" x14ac:dyDescent="0.3">
      <c r="A242" s="153" t="s">
        <v>1247</v>
      </c>
      <c r="B242" s="153" t="s">
        <v>1366</v>
      </c>
      <c r="C242" s="153"/>
      <c r="D242" s="153" t="s">
        <v>1327</v>
      </c>
      <c r="E242" s="153" t="s">
        <v>1331</v>
      </c>
    </row>
    <row r="243" spans="1:5" x14ac:dyDescent="0.3">
      <c r="A243" s="153" t="s">
        <v>1247</v>
      </c>
      <c r="B243" s="153" t="s">
        <v>1367</v>
      </c>
      <c r="C243" s="153"/>
      <c r="D243" s="153" t="s">
        <v>1368</v>
      </c>
      <c r="E243" s="153" t="s">
        <v>1334</v>
      </c>
    </row>
    <row r="244" spans="1:5" x14ac:dyDescent="0.3">
      <c r="A244" s="153" t="s">
        <v>1247</v>
      </c>
      <c r="B244" s="153" t="s">
        <v>1369</v>
      </c>
      <c r="C244" s="153"/>
      <c r="D244" s="153" t="s">
        <v>1368</v>
      </c>
      <c r="E244" s="153" t="s">
        <v>1336</v>
      </c>
    </row>
    <row r="245" spans="1:5" x14ac:dyDescent="0.3">
      <c r="A245" s="153" t="s">
        <v>1247</v>
      </c>
      <c r="B245" s="153" t="s">
        <v>1370</v>
      </c>
      <c r="C245" s="153" t="s">
        <v>1371</v>
      </c>
      <c r="D245" s="153" t="s">
        <v>1372</v>
      </c>
      <c r="E245" s="153" t="s">
        <v>1340</v>
      </c>
    </row>
    <row r="246" spans="1:5" x14ac:dyDescent="0.3">
      <c r="A246" s="153" t="s">
        <v>1247</v>
      </c>
      <c r="B246" s="153" t="s">
        <v>1373</v>
      </c>
      <c r="C246" s="153" t="s">
        <v>1374</v>
      </c>
      <c r="D246" s="153" t="s">
        <v>1375</v>
      </c>
      <c r="E246" s="153" t="s">
        <v>1344</v>
      </c>
    </row>
    <row r="247" spans="1:5" x14ac:dyDescent="0.3">
      <c r="A247" s="153" t="s">
        <v>1247</v>
      </c>
      <c r="B247" s="153" t="s">
        <v>1376</v>
      </c>
      <c r="C247" s="153" t="s">
        <v>1377</v>
      </c>
      <c r="D247" s="153" t="s">
        <v>1378</v>
      </c>
      <c r="E247" s="153" t="s">
        <v>1348</v>
      </c>
    </row>
    <row r="248" spans="1:5" x14ac:dyDescent="0.3">
      <c r="A248" s="153" t="s">
        <v>1247</v>
      </c>
      <c r="B248" s="153" t="s">
        <v>1379</v>
      </c>
      <c r="C248" s="153" t="s">
        <v>1380</v>
      </c>
      <c r="D248" s="153" t="s">
        <v>1381</v>
      </c>
      <c r="E248" s="153" t="s">
        <v>1352</v>
      </c>
    </row>
    <row r="249" spans="1:5" x14ac:dyDescent="0.3">
      <c r="A249" s="153" t="s">
        <v>1247</v>
      </c>
      <c r="B249" s="153" t="s">
        <v>1382</v>
      </c>
      <c r="C249" s="153" t="s">
        <v>1383</v>
      </c>
      <c r="D249" s="153" t="s">
        <v>1384</v>
      </c>
      <c r="E249" s="153" t="s">
        <v>1356</v>
      </c>
    </row>
    <row r="250" spans="1:5" x14ac:dyDescent="0.3">
      <c r="A250" s="153" t="s">
        <v>1247</v>
      </c>
      <c r="B250" s="153" t="s">
        <v>1385</v>
      </c>
      <c r="C250" s="153"/>
      <c r="D250" s="153" t="s">
        <v>1386</v>
      </c>
      <c r="E250" s="153" t="s">
        <v>1359</v>
      </c>
    </row>
    <row r="251" spans="1:5" x14ac:dyDescent="0.3">
      <c r="A251" s="153" t="s">
        <v>1247</v>
      </c>
      <c r="B251" s="153" t="s">
        <v>1387</v>
      </c>
      <c r="C251" s="153"/>
      <c r="D251" s="153" t="s">
        <v>1388</v>
      </c>
      <c r="E251" s="153" t="s">
        <v>1362</v>
      </c>
    </row>
    <row r="252" spans="1:5" x14ac:dyDescent="0.3">
      <c r="A252" s="153" t="s">
        <v>1247</v>
      </c>
      <c r="B252" s="153" t="s">
        <v>1389</v>
      </c>
      <c r="C252" s="153"/>
      <c r="D252" s="153" t="s">
        <v>1390</v>
      </c>
      <c r="E252" s="153" t="s">
        <v>1365</v>
      </c>
    </row>
    <row r="253" spans="1:5" x14ac:dyDescent="0.3">
      <c r="A253" s="153" t="s">
        <v>1247</v>
      </c>
      <c r="B253" s="153" t="s">
        <v>1391</v>
      </c>
      <c r="C253" s="153"/>
      <c r="D253" s="153" t="s">
        <v>1329</v>
      </c>
      <c r="E253" s="153" t="s">
        <v>1331</v>
      </c>
    </row>
    <row r="254" spans="1:5" x14ac:dyDescent="0.3">
      <c r="A254" s="153" t="s">
        <v>1247</v>
      </c>
      <c r="B254" s="153" t="s">
        <v>1392</v>
      </c>
      <c r="C254" s="153"/>
      <c r="D254" s="153" t="s">
        <v>1393</v>
      </c>
      <c r="E254" s="153" t="s">
        <v>1334</v>
      </c>
    </row>
    <row r="255" spans="1:5" x14ac:dyDescent="0.3">
      <c r="A255" s="153" t="s">
        <v>1247</v>
      </c>
      <c r="B255" s="153" t="s">
        <v>1394</v>
      </c>
      <c r="C255" s="153"/>
      <c r="D255" s="153" t="s">
        <v>1393</v>
      </c>
      <c r="E255" s="153" t="s">
        <v>1336</v>
      </c>
    </row>
    <row r="256" spans="1:5" x14ac:dyDescent="0.3">
      <c r="A256" s="153" t="s">
        <v>1247</v>
      </c>
      <c r="B256" s="153" t="s">
        <v>1395</v>
      </c>
      <c r="C256" s="153" t="s">
        <v>1396</v>
      </c>
      <c r="D256" s="153" t="s">
        <v>1397</v>
      </c>
      <c r="E256" s="153" t="s">
        <v>1340</v>
      </c>
    </row>
    <row r="257" spans="1:5" x14ac:dyDescent="0.3">
      <c r="A257" s="153" t="s">
        <v>1247</v>
      </c>
      <c r="B257" s="153" t="s">
        <v>1398</v>
      </c>
      <c r="C257" s="153" t="s">
        <v>1399</v>
      </c>
      <c r="D257" s="153" t="s">
        <v>1400</v>
      </c>
      <c r="E257" s="153" t="s">
        <v>1344</v>
      </c>
    </row>
    <row r="258" spans="1:5" x14ac:dyDescent="0.3">
      <c r="A258" s="153" t="s">
        <v>1247</v>
      </c>
      <c r="B258" s="153" t="s">
        <v>1401</v>
      </c>
      <c r="C258" s="153" t="s">
        <v>1402</v>
      </c>
      <c r="D258" s="153" t="s">
        <v>1403</v>
      </c>
      <c r="E258" s="153" t="s">
        <v>1348</v>
      </c>
    </row>
    <row r="259" spans="1:5" x14ac:dyDescent="0.3">
      <c r="A259" s="153" t="s">
        <v>1247</v>
      </c>
      <c r="B259" s="153" t="s">
        <v>1404</v>
      </c>
      <c r="C259" s="153" t="s">
        <v>1405</v>
      </c>
      <c r="D259" s="153" t="s">
        <v>1406</v>
      </c>
      <c r="E259" s="153" t="s">
        <v>1352</v>
      </c>
    </row>
    <row r="260" spans="1:5" x14ac:dyDescent="0.3">
      <c r="A260" s="153" t="s">
        <v>1247</v>
      </c>
      <c r="B260" s="153" t="s">
        <v>1407</v>
      </c>
      <c r="C260" s="153" t="s">
        <v>1408</v>
      </c>
      <c r="D260" s="153" t="s">
        <v>1409</v>
      </c>
      <c r="E260" s="153" t="s">
        <v>1356</v>
      </c>
    </row>
    <row r="261" spans="1:5" x14ac:dyDescent="0.3">
      <c r="A261" s="153" t="s">
        <v>1247</v>
      </c>
      <c r="B261" s="153" t="s">
        <v>1410</v>
      </c>
      <c r="C261" s="153"/>
      <c r="D261" s="153" t="s">
        <v>1411</v>
      </c>
      <c r="E261" s="153" t="s">
        <v>1359</v>
      </c>
    </row>
    <row r="262" spans="1:5" x14ac:dyDescent="0.3">
      <c r="A262" s="153" t="s">
        <v>1247</v>
      </c>
      <c r="B262" s="153" t="s">
        <v>1412</v>
      </c>
      <c r="C262" s="153"/>
      <c r="D262" s="153" t="s">
        <v>1413</v>
      </c>
      <c r="E262" s="153" t="s">
        <v>1362</v>
      </c>
    </row>
    <row r="263" spans="1:5" x14ac:dyDescent="0.3">
      <c r="A263" s="153" t="s">
        <v>1247</v>
      </c>
      <c r="B263" s="153" t="s">
        <v>1414</v>
      </c>
      <c r="C263" s="153"/>
      <c r="D263" s="153" t="s">
        <v>1415</v>
      </c>
      <c r="E263" s="153" t="s">
        <v>1365</v>
      </c>
    </row>
    <row r="264" spans="1:5" x14ac:dyDescent="0.3">
      <c r="A264" s="153" t="s">
        <v>1247</v>
      </c>
      <c r="B264" s="153" t="s">
        <v>1416</v>
      </c>
      <c r="C264" s="153"/>
      <c r="D264" s="153" t="s">
        <v>1329</v>
      </c>
      <c r="E264" s="153" t="s">
        <v>1331</v>
      </c>
    </row>
    <row r="265" spans="1:5" x14ac:dyDescent="0.3">
      <c r="A265" s="153" t="s">
        <v>1247</v>
      </c>
      <c r="B265" s="153" t="s">
        <v>1417</v>
      </c>
      <c r="C265" s="153"/>
      <c r="D265" s="153" t="s">
        <v>1393</v>
      </c>
      <c r="E265" s="153" t="s">
        <v>1334</v>
      </c>
    </row>
    <row r="266" spans="1:5" x14ac:dyDescent="0.3">
      <c r="A266" s="153" t="s">
        <v>1247</v>
      </c>
      <c r="B266" s="153" t="s">
        <v>1418</v>
      </c>
      <c r="C266" s="153"/>
      <c r="D266" s="153" t="s">
        <v>1393</v>
      </c>
      <c r="E266" s="153" t="s">
        <v>1336</v>
      </c>
    </row>
    <row r="267" spans="1:5" x14ac:dyDescent="0.3">
      <c r="A267" s="153" t="s">
        <v>1247</v>
      </c>
      <c r="B267" s="153" t="s">
        <v>1419</v>
      </c>
      <c r="C267" s="153" t="s">
        <v>1420</v>
      </c>
      <c r="D267" s="153" t="s">
        <v>1421</v>
      </c>
      <c r="E267" s="153" t="s">
        <v>1340</v>
      </c>
    </row>
    <row r="268" spans="1:5" x14ac:dyDescent="0.3">
      <c r="A268" s="153" t="s">
        <v>1247</v>
      </c>
      <c r="B268" s="153" t="s">
        <v>1422</v>
      </c>
      <c r="C268" s="153" t="s">
        <v>1423</v>
      </c>
      <c r="D268" s="153" t="s">
        <v>1424</v>
      </c>
      <c r="E268" s="153" t="s">
        <v>1344</v>
      </c>
    </row>
    <row r="269" spans="1:5" x14ac:dyDescent="0.3">
      <c r="A269" s="153" t="s">
        <v>1247</v>
      </c>
      <c r="B269" s="153" t="s">
        <v>1425</v>
      </c>
      <c r="C269" s="153" t="s">
        <v>1426</v>
      </c>
      <c r="D269" s="153" t="s">
        <v>1427</v>
      </c>
      <c r="E269" s="153" t="s">
        <v>1348</v>
      </c>
    </row>
    <row r="270" spans="1:5" x14ac:dyDescent="0.3">
      <c r="A270" s="153" t="s">
        <v>1247</v>
      </c>
      <c r="B270" s="153" t="s">
        <v>1428</v>
      </c>
      <c r="C270" s="153" t="s">
        <v>1429</v>
      </c>
      <c r="D270" s="153" t="s">
        <v>1430</v>
      </c>
      <c r="E270" s="153" t="s">
        <v>1352</v>
      </c>
    </row>
    <row r="271" spans="1:5" x14ac:dyDescent="0.3">
      <c r="A271" s="153" t="s">
        <v>1247</v>
      </c>
      <c r="B271" s="153" t="s">
        <v>1431</v>
      </c>
      <c r="C271" s="153" t="s">
        <v>1432</v>
      </c>
      <c r="D271" s="153" t="s">
        <v>1433</v>
      </c>
      <c r="E271" s="153" t="s">
        <v>1356</v>
      </c>
    </row>
    <row r="272" spans="1:5" x14ac:dyDescent="0.3">
      <c r="A272" s="153" t="s">
        <v>1247</v>
      </c>
      <c r="B272" s="153" t="s">
        <v>1434</v>
      </c>
      <c r="C272" s="153"/>
      <c r="D272" s="153" t="s">
        <v>1435</v>
      </c>
      <c r="E272" s="153" t="s">
        <v>1359</v>
      </c>
    </row>
    <row r="273" spans="1:5" x14ac:dyDescent="0.3">
      <c r="A273" s="153" t="s">
        <v>1247</v>
      </c>
      <c r="B273" s="153" t="s">
        <v>1436</v>
      </c>
      <c r="C273" s="153"/>
      <c r="D273" s="153" t="s">
        <v>1437</v>
      </c>
      <c r="E273" s="153" t="s">
        <v>1362</v>
      </c>
    </row>
    <row r="274" spans="1:5" x14ac:dyDescent="0.3">
      <c r="A274" s="153" t="s">
        <v>1247</v>
      </c>
      <c r="B274" s="153" t="s">
        <v>1438</v>
      </c>
      <c r="C274" s="153"/>
      <c r="D274" s="153" t="s">
        <v>1439</v>
      </c>
      <c r="E274" s="153" t="s">
        <v>1365</v>
      </c>
    </row>
    <row r="275" spans="1:5" x14ac:dyDescent="0.3">
      <c r="A275" s="153" t="s">
        <v>1247</v>
      </c>
      <c r="B275" s="153" t="s">
        <v>1440</v>
      </c>
      <c r="C275" s="153"/>
      <c r="D275" s="153" t="s">
        <v>411</v>
      </c>
      <c r="E275" s="153" t="s">
        <v>1441</v>
      </c>
    </row>
    <row r="276" spans="1:5" x14ac:dyDescent="0.3">
      <c r="A276" s="153" t="s">
        <v>1247</v>
      </c>
      <c r="B276" s="153" t="s">
        <v>1442</v>
      </c>
      <c r="C276" s="153"/>
      <c r="D276" s="153" t="s">
        <v>412</v>
      </c>
      <c r="E276" s="153" t="s">
        <v>1441</v>
      </c>
    </row>
    <row r="277" spans="1:5" x14ac:dyDescent="0.3">
      <c r="A277" s="153" t="s">
        <v>1247</v>
      </c>
      <c r="B277" s="153" t="s">
        <v>1443</v>
      </c>
      <c r="C277" s="153"/>
      <c r="D277" s="153" t="s">
        <v>413</v>
      </c>
      <c r="E277" s="153" t="s">
        <v>1441</v>
      </c>
    </row>
    <row r="278" spans="1:5" x14ac:dyDescent="0.3">
      <c r="A278" s="153" t="s">
        <v>1247</v>
      </c>
      <c r="B278" s="153" t="s">
        <v>1444</v>
      </c>
      <c r="C278" s="153"/>
      <c r="D278" s="153" t="s">
        <v>414</v>
      </c>
      <c r="E278" s="153" t="s">
        <v>1441</v>
      </c>
    </row>
    <row r="279" spans="1:5" x14ac:dyDescent="0.3">
      <c r="A279" s="153" t="s">
        <v>1247</v>
      </c>
      <c r="B279" s="153" t="s">
        <v>1445</v>
      </c>
      <c r="C279" s="153"/>
      <c r="D279" s="153" t="s">
        <v>415</v>
      </c>
      <c r="E279" s="153" t="s">
        <v>1441</v>
      </c>
    </row>
    <row r="280" spans="1:5" x14ac:dyDescent="0.3">
      <c r="A280" s="153" t="s">
        <v>1247</v>
      </c>
      <c r="B280" s="153" t="s">
        <v>1446</v>
      </c>
      <c r="C280" s="153"/>
      <c r="D280" s="153" t="s">
        <v>416</v>
      </c>
      <c r="E280" s="153" t="s">
        <v>1441</v>
      </c>
    </row>
    <row r="281" spans="1:5" x14ac:dyDescent="0.3">
      <c r="A281" s="153" t="s">
        <v>1247</v>
      </c>
      <c r="B281" s="153" t="s">
        <v>1447</v>
      </c>
      <c r="C281" s="153">
        <v>3500</v>
      </c>
      <c r="D281" s="153" t="s">
        <v>1448</v>
      </c>
      <c r="E281" s="153" t="s">
        <v>1449</v>
      </c>
    </row>
    <row r="282" spans="1:5" x14ac:dyDescent="0.3">
      <c r="A282" s="153" t="s">
        <v>1247</v>
      </c>
      <c r="B282" s="153" t="s">
        <v>1450</v>
      </c>
      <c r="C282" s="153"/>
      <c r="D282" s="153" t="s">
        <v>1324</v>
      </c>
      <c r="E282" s="153" t="s">
        <v>1331</v>
      </c>
    </row>
    <row r="283" spans="1:5" x14ac:dyDescent="0.3">
      <c r="A283" s="153" t="s">
        <v>1247</v>
      </c>
      <c r="B283" s="153" t="s">
        <v>1451</v>
      </c>
      <c r="C283" s="153"/>
      <c r="D283" s="153" t="s">
        <v>1333</v>
      </c>
      <c r="E283" s="153" t="s">
        <v>1334</v>
      </c>
    </row>
    <row r="284" spans="1:5" x14ac:dyDescent="0.3">
      <c r="A284" s="153" t="s">
        <v>1247</v>
      </c>
      <c r="B284" s="153" t="s">
        <v>1452</v>
      </c>
      <c r="C284" s="153"/>
      <c r="D284" s="153" t="s">
        <v>1333</v>
      </c>
      <c r="E284" s="153" t="s">
        <v>1336</v>
      </c>
    </row>
    <row r="285" spans="1:5" x14ac:dyDescent="0.3">
      <c r="A285" s="153" t="s">
        <v>1247</v>
      </c>
      <c r="B285" s="153" t="s">
        <v>1453</v>
      </c>
      <c r="C285" s="153" t="s">
        <v>1454</v>
      </c>
      <c r="D285" s="153" t="s">
        <v>1455</v>
      </c>
      <c r="E285" s="153" t="s">
        <v>1340</v>
      </c>
    </row>
    <row r="286" spans="1:5" x14ac:dyDescent="0.3">
      <c r="A286" s="153" t="s">
        <v>1247</v>
      </c>
      <c r="B286" s="153" t="s">
        <v>1456</v>
      </c>
      <c r="C286" s="153" t="s">
        <v>1457</v>
      </c>
      <c r="D286" s="153" t="s">
        <v>1458</v>
      </c>
      <c r="E286" s="153" t="s">
        <v>1344</v>
      </c>
    </row>
    <row r="287" spans="1:5" x14ac:dyDescent="0.3">
      <c r="A287" s="153" t="s">
        <v>1247</v>
      </c>
      <c r="B287" s="153" t="s">
        <v>1459</v>
      </c>
      <c r="C287" s="153" t="s">
        <v>1460</v>
      </c>
      <c r="D287" s="153" t="s">
        <v>1461</v>
      </c>
      <c r="E287" s="153" t="s">
        <v>1348</v>
      </c>
    </row>
    <row r="288" spans="1:5" x14ac:dyDescent="0.3">
      <c r="A288" s="153" t="s">
        <v>1247</v>
      </c>
      <c r="B288" s="153" t="s">
        <v>1462</v>
      </c>
      <c r="C288" s="153" t="s">
        <v>1463</v>
      </c>
      <c r="D288" s="153" t="s">
        <v>1464</v>
      </c>
      <c r="E288" s="153" t="s">
        <v>1352</v>
      </c>
    </row>
    <row r="289" spans="1:5" x14ac:dyDescent="0.3">
      <c r="A289" s="153" t="s">
        <v>1247</v>
      </c>
      <c r="B289" s="153" t="s">
        <v>1465</v>
      </c>
      <c r="C289" s="153" t="s">
        <v>1466</v>
      </c>
      <c r="D289" s="153" t="s">
        <v>1467</v>
      </c>
      <c r="E289" s="153" t="s">
        <v>1356</v>
      </c>
    </row>
    <row r="290" spans="1:5" x14ac:dyDescent="0.3">
      <c r="A290" s="153" t="s">
        <v>1247</v>
      </c>
      <c r="B290" s="153" t="s">
        <v>1468</v>
      </c>
      <c r="C290" s="153"/>
      <c r="D290" s="153" t="s">
        <v>1469</v>
      </c>
      <c r="E290" s="153" t="s">
        <v>1359</v>
      </c>
    </row>
    <row r="291" spans="1:5" x14ac:dyDescent="0.3">
      <c r="A291" s="153" t="s">
        <v>1247</v>
      </c>
      <c r="B291" s="153" t="s">
        <v>1470</v>
      </c>
      <c r="C291" s="153"/>
      <c r="D291" s="153" t="s">
        <v>1471</v>
      </c>
      <c r="E291" s="153" t="s">
        <v>1362</v>
      </c>
    </row>
    <row r="292" spans="1:5" x14ac:dyDescent="0.3">
      <c r="A292" s="153" t="s">
        <v>1247</v>
      </c>
      <c r="B292" s="153" t="s">
        <v>1472</v>
      </c>
      <c r="C292" s="153"/>
      <c r="D292" s="153" t="s">
        <v>1473</v>
      </c>
      <c r="E292" s="153" t="s">
        <v>1365</v>
      </c>
    </row>
    <row r="293" spans="1:5" x14ac:dyDescent="0.3">
      <c r="A293" s="153" t="s">
        <v>1247</v>
      </c>
      <c r="B293" s="153" t="s">
        <v>1474</v>
      </c>
      <c r="C293" s="153"/>
      <c r="D293" s="153" t="s">
        <v>1327</v>
      </c>
      <c r="E293" s="153" t="s">
        <v>1331</v>
      </c>
    </row>
    <row r="294" spans="1:5" x14ac:dyDescent="0.3">
      <c r="A294" s="153" t="s">
        <v>1247</v>
      </c>
      <c r="B294" s="153" t="s">
        <v>1475</v>
      </c>
      <c r="C294" s="153"/>
      <c r="D294" s="153" t="s">
        <v>1368</v>
      </c>
      <c r="E294" s="153" t="s">
        <v>1334</v>
      </c>
    </row>
    <row r="295" spans="1:5" x14ac:dyDescent="0.3">
      <c r="A295" s="153" t="s">
        <v>1247</v>
      </c>
      <c r="B295" s="153" t="s">
        <v>1476</v>
      </c>
      <c r="C295" s="153"/>
      <c r="D295" s="153" t="s">
        <v>1368</v>
      </c>
      <c r="E295" s="153" t="s">
        <v>1336</v>
      </c>
    </row>
    <row r="296" spans="1:5" x14ac:dyDescent="0.3">
      <c r="A296" s="153" t="s">
        <v>1247</v>
      </c>
      <c r="B296" s="153" t="s">
        <v>1477</v>
      </c>
      <c r="C296" s="153" t="s">
        <v>1478</v>
      </c>
      <c r="D296" s="153" t="s">
        <v>1479</v>
      </c>
      <c r="E296" s="153" t="s">
        <v>1340</v>
      </c>
    </row>
    <row r="297" spans="1:5" x14ac:dyDescent="0.3">
      <c r="A297" s="153" t="s">
        <v>1247</v>
      </c>
      <c r="B297" s="153" t="s">
        <v>1480</v>
      </c>
      <c r="C297" s="153" t="s">
        <v>1481</v>
      </c>
      <c r="D297" s="153" t="s">
        <v>1482</v>
      </c>
      <c r="E297" s="153" t="s">
        <v>1344</v>
      </c>
    </row>
    <row r="298" spans="1:5" x14ac:dyDescent="0.3">
      <c r="A298" s="153" t="s">
        <v>1247</v>
      </c>
      <c r="B298" s="153" t="s">
        <v>1483</v>
      </c>
      <c r="C298" s="153" t="s">
        <v>1484</v>
      </c>
      <c r="D298" s="153" t="s">
        <v>1485</v>
      </c>
      <c r="E298" s="153" t="s">
        <v>1348</v>
      </c>
    </row>
    <row r="299" spans="1:5" x14ac:dyDescent="0.3">
      <c r="A299" s="153" t="s">
        <v>1247</v>
      </c>
      <c r="B299" s="153" t="s">
        <v>1486</v>
      </c>
      <c r="C299" s="153" t="s">
        <v>1487</v>
      </c>
      <c r="D299" s="153" t="s">
        <v>1488</v>
      </c>
      <c r="E299" s="153" t="s">
        <v>1352</v>
      </c>
    </row>
    <row r="300" spans="1:5" x14ac:dyDescent="0.3">
      <c r="A300" s="153" t="s">
        <v>1247</v>
      </c>
      <c r="B300" s="153" t="s">
        <v>1489</v>
      </c>
      <c r="C300" s="153" t="s">
        <v>1490</v>
      </c>
      <c r="D300" s="153" t="s">
        <v>1491</v>
      </c>
      <c r="E300" s="153" t="s">
        <v>1356</v>
      </c>
    </row>
    <row r="301" spans="1:5" x14ac:dyDescent="0.3">
      <c r="A301" s="153" t="s">
        <v>1247</v>
      </c>
      <c r="B301" s="153" t="s">
        <v>1492</v>
      </c>
      <c r="C301" s="153"/>
      <c r="D301" s="153" t="s">
        <v>1493</v>
      </c>
      <c r="E301" s="153" t="s">
        <v>1359</v>
      </c>
    </row>
    <row r="302" spans="1:5" x14ac:dyDescent="0.3">
      <c r="A302" s="153" t="s">
        <v>1247</v>
      </c>
      <c r="B302" s="153" t="s">
        <v>1494</v>
      </c>
      <c r="C302" s="153"/>
      <c r="D302" s="153" t="s">
        <v>1495</v>
      </c>
      <c r="E302" s="153" t="s">
        <v>1362</v>
      </c>
    </row>
    <row r="303" spans="1:5" x14ac:dyDescent="0.3">
      <c r="A303" s="153" t="s">
        <v>1247</v>
      </c>
      <c r="B303" s="153" t="s">
        <v>1496</v>
      </c>
      <c r="C303" s="153"/>
      <c r="D303" s="153" t="s">
        <v>1497</v>
      </c>
      <c r="E303" s="153" t="s">
        <v>1365</v>
      </c>
    </row>
    <row r="304" spans="1:5" x14ac:dyDescent="0.3">
      <c r="A304" s="153" t="s">
        <v>1247</v>
      </c>
      <c r="B304" s="153" t="s">
        <v>1498</v>
      </c>
      <c r="C304" s="153"/>
      <c r="D304" s="153" t="s">
        <v>1329</v>
      </c>
      <c r="E304" s="153" t="s">
        <v>1331</v>
      </c>
    </row>
    <row r="305" spans="1:5" x14ac:dyDescent="0.3">
      <c r="A305" s="153" t="s">
        <v>1247</v>
      </c>
      <c r="B305" s="153" t="s">
        <v>1499</v>
      </c>
      <c r="C305" s="153"/>
      <c r="D305" s="153" t="s">
        <v>1393</v>
      </c>
      <c r="E305" s="153" t="s">
        <v>1334</v>
      </c>
    </row>
    <row r="306" spans="1:5" x14ac:dyDescent="0.3">
      <c r="A306" s="153" t="s">
        <v>1247</v>
      </c>
      <c r="B306" s="153" t="s">
        <v>1500</v>
      </c>
      <c r="C306" s="153"/>
      <c r="D306" s="153" t="s">
        <v>1393</v>
      </c>
      <c r="E306" s="153" t="s">
        <v>1336</v>
      </c>
    </row>
    <row r="307" spans="1:5" x14ac:dyDescent="0.3">
      <c r="A307" s="153" t="s">
        <v>1247</v>
      </c>
      <c r="B307" s="153" t="s">
        <v>1501</v>
      </c>
      <c r="C307" s="153" t="s">
        <v>1502</v>
      </c>
      <c r="D307" s="153" t="s">
        <v>1503</v>
      </c>
      <c r="E307" s="153" t="s">
        <v>1340</v>
      </c>
    </row>
    <row r="308" spans="1:5" x14ac:dyDescent="0.3">
      <c r="A308" s="153" t="s">
        <v>1247</v>
      </c>
      <c r="B308" s="153" t="s">
        <v>1504</v>
      </c>
      <c r="C308" s="153" t="s">
        <v>1505</v>
      </c>
      <c r="D308" s="153" t="s">
        <v>1506</v>
      </c>
      <c r="E308" s="153" t="s">
        <v>1344</v>
      </c>
    </row>
    <row r="309" spans="1:5" x14ac:dyDescent="0.3">
      <c r="A309" s="153" t="s">
        <v>1247</v>
      </c>
      <c r="B309" s="153" t="s">
        <v>1507</v>
      </c>
      <c r="C309" s="153" t="s">
        <v>1508</v>
      </c>
      <c r="D309" s="153" t="s">
        <v>1509</v>
      </c>
      <c r="E309" s="153" t="s">
        <v>1348</v>
      </c>
    </row>
    <row r="310" spans="1:5" x14ac:dyDescent="0.3">
      <c r="A310" s="153" t="s">
        <v>1247</v>
      </c>
      <c r="B310" s="153" t="s">
        <v>1510</v>
      </c>
      <c r="C310" s="153" t="s">
        <v>1511</v>
      </c>
      <c r="D310" s="153" t="s">
        <v>1512</v>
      </c>
      <c r="E310" s="153" t="s">
        <v>1352</v>
      </c>
    </row>
    <row r="311" spans="1:5" x14ac:dyDescent="0.3">
      <c r="A311" s="153" t="s">
        <v>1247</v>
      </c>
      <c r="B311" s="153" t="s">
        <v>1513</v>
      </c>
      <c r="C311" s="153" t="s">
        <v>1514</v>
      </c>
      <c r="D311" s="153" t="s">
        <v>1515</v>
      </c>
      <c r="E311" s="153" t="s">
        <v>1356</v>
      </c>
    </row>
    <row r="312" spans="1:5" x14ac:dyDescent="0.3">
      <c r="A312" s="153" t="s">
        <v>1247</v>
      </c>
      <c r="B312" s="153" t="s">
        <v>1516</v>
      </c>
      <c r="C312" s="153"/>
      <c r="D312" s="153" t="s">
        <v>1517</v>
      </c>
      <c r="E312" s="153" t="s">
        <v>1359</v>
      </c>
    </row>
    <row r="313" spans="1:5" x14ac:dyDescent="0.3">
      <c r="A313" s="153" t="s">
        <v>1247</v>
      </c>
      <c r="B313" s="153" t="s">
        <v>1518</v>
      </c>
      <c r="C313" s="153"/>
      <c r="D313" s="153" t="s">
        <v>1519</v>
      </c>
      <c r="E313" s="153" t="s">
        <v>1362</v>
      </c>
    </row>
    <row r="314" spans="1:5" x14ac:dyDescent="0.3">
      <c r="A314" s="153" t="s">
        <v>1247</v>
      </c>
      <c r="B314" s="153" t="s">
        <v>1520</v>
      </c>
      <c r="C314" s="153"/>
      <c r="D314" s="153" t="s">
        <v>1521</v>
      </c>
      <c r="E314" s="153" t="s">
        <v>1365</v>
      </c>
    </row>
    <row r="315" spans="1:5" x14ac:dyDescent="0.3">
      <c r="A315" s="153" t="s">
        <v>1247</v>
      </c>
      <c r="B315" s="153" t="s">
        <v>1522</v>
      </c>
      <c r="C315" s="153"/>
      <c r="D315" s="153" t="s">
        <v>1329</v>
      </c>
      <c r="E315" s="153" t="s">
        <v>1331</v>
      </c>
    </row>
    <row r="316" spans="1:5" x14ac:dyDescent="0.3">
      <c r="A316" s="153" t="s">
        <v>1247</v>
      </c>
      <c r="B316" s="153" t="s">
        <v>1523</v>
      </c>
      <c r="C316" s="153"/>
      <c r="D316" s="153" t="s">
        <v>1393</v>
      </c>
      <c r="E316" s="153" t="s">
        <v>1334</v>
      </c>
    </row>
    <row r="317" spans="1:5" x14ac:dyDescent="0.3">
      <c r="A317" s="153" t="s">
        <v>1247</v>
      </c>
      <c r="B317" s="153" t="s">
        <v>1524</v>
      </c>
      <c r="C317" s="153"/>
      <c r="D317" s="153" t="s">
        <v>1393</v>
      </c>
      <c r="E317" s="153" t="s">
        <v>1336</v>
      </c>
    </row>
    <row r="318" spans="1:5" x14ac:dyDescent="0.3">
      <c r="A318" s="153" t="s">
        <v>1247</v>
      </c>
      <c r="B318" s="153" t="s">
        <v>1525</v>
      </c>
      <c r="C318" s="153" t="s">
        <v>1526</v>
      </c>
      <c r="D318" s="153" t="s">
        <v>1527</v>
      </c>
      <c r="E318" s="153" t="s">
        <v>1340</v>
      </c>
    </row>
    <row r="319" spans="1:5" x14ac:dyDescent="0.3">
      <c r="A319" s="153" t="s">
        <v>1247</v>
      </c>
      <c r="B319" s="153" t="s">
        <v>1528</v>
      </c>
      <c r="C319" s="153" t="s">
        <v>1529</v>
      </c>
      <c r="D319" s="153" t="s">
        <v>1530</v>
      </c>
      <c r="E319" s="153" t="s">
        <v>1344</v>
      </c>
    </row>
    <row r="320" spans="1:5" x14ac:dyDescent="0.3">
      <c r="A320" s="153" t="s">
        <v>1247</v>
      </c>
      <c r="B320" s="153" t="s">
        <v>1531</v>
      </c>
      <c r="C320" s="153" t="s">
        <v>1532</v>
      </c>
      <c r="D320" s="153" t="s">
        <v>1533</v>
      </c>
      <c r="E320" s="153" t="s">
        <v>1348</v>
      </c>
    </row>
    <row r="321" spans="1:5" x14ac:dyDescent="0.3">
      <c r="A321" s="153" t="s">
        <v>1247</v>
      </c>
      <c r="B321" s="153" t="s">
        <v>1534</v>
      </c>
      <c r="C321" s="153" t="s">
        <v>1535</v>
      </c>
      <c r="D321" s="153" t="s">
        <v>1536</v>
      </c>
      <c r="E321" s="153" t="s">
        <v>1352</v>
      </c>
    </row>
    <row r="322" spans="1:5" x14ac:dyDescent="0.3">
      <c r="A322" s="153" t="s">
        <v>1247</v>
      </c>
      <c r="B322" s="153" t="s">
        <v>1537</v>
      </c>
      <c r="C322" s="153" t="s">
        <v>1538</v>
      </c>
      <c r="D322" s="153" t="s">
        <v>1539</v>
      </c>
      <c r="E322" s="153" t="s">
        <v>1356</v>
      </c>
    </row>
    <row r="323" spans="1:5" x14ac:dyDescent="0.3">
      <c r="A323" s="153" t="s">
        <v>1247</v>
      </c>
      <c r="B323" s="153" t="s">
        <v>1540</v>
      </c>
      <c r="C323" s="153"/>
      <c r="D323" s="153" t="s">
        <v>1541</v>
      </c>
      <c r="E323" s="153" t="s">
        <v>1359</v>
      </c>
    </row>
    <row r="324" spans="1:5" x14ac:dyDescent="0.3">
      <c r="A324" s="153" t="s">
        <v>1247</v>
      </c>
      <c r="B324" s="153" t="s">
        <v>1542</v>
      </c>
      <c r="C324" s="153"/>
      <c r="D324" s="153" t="s">
        <v>1543</v>
      </c>
      <c r="E324" s="153" t="s">
        <v>1362</v>
      </c>
    </row>
    <row r="325" spans="1:5" x14ac:dyDescent="0.3">
      <c r="A325" s="153" t="s">
        <v>1247</v>
      </c>
      <c r="B325" s="153" t="s">
        <v>1544</v>
      </c>
      <c r="C325" s="153"/>
      <c r="D325" s="153" t="s">
        <v>1545</v>
      </c>
      <c r="E325" s="153" t="s">
        <v>1365</v>
      </c>
    </row>
    <row r="326" spans="1:5" x14ac:dyDescent="0.3">
      <c r="A326" s="153" t="s">
        <v>1247</v>
      </c>
      <c r="B326" s="153" t="s">
        <v>1546</v>
      </c>
      <c r="C326" s="153"/>
      <c r="D326" s="153" t="s">
        <v>411</v>
      </c>
      <c r="E326" s="153" t="s">
        <v>1441</v>
      </c>
    </row>
    <row r="327" spans="1:5" x14ac:dyDescent="0.3">
      <c r="A327" s="153" t="s">
        <v>1247</v>
      </c>
      <c r="B327" s="153" t="s">
        <v>1547</v>
      </c>
      <c r="C327" s="153"/>
      <c r="D327" s="153" t="s">
        <v>412</v>
      </c>
      <c r="E327" s="153" t="s">
        <v>1441</v>
      </c>
    </row>
    <row r="328" spans="1:5" x14ac:dyDescent="0.3">
      <c r="A328" s="153" t="s">
        <v>1247</v>
      </c>
      <c r="B328" s="153" t="s">
        <v>1548</v>
      </c>
      <c r="C328" s="153"/>
      <c r="D328" s="153" t="s">
        <v>413</v>
      </c>
      <c r="E328" s="153" t="s">
        <v>1441</v>
      </c>
    </row>
    <row r="329" spans="1:5" x14ac:dyDescent="0.3">
      <c r="A329" s="153" t="s">
        <v>1247</v>
      </c>
      <c r="B329" s="153" t="s">
        <v>1549</v>
      </c>
      <c r="C329" s="153"/>
      <c r="D329" s="153" t="s">
        <v>414</v>
      </c>
      <c r="E329" s="153" t="s">
        <v>1441</v>
      </c>
    </row>
    <row r="330" spans="1:5" x14ac:dyDescent="0.3">
      <c r="A330" s="153" t="s">
        <v>1247</v>
      </c>
      <c r="B330" s="153" t="s">
        <v>1550</v>
      </c>
      <c r="C330" s="153"/>
      <c r="D330" s="153" t="s">
        <v>415</v>
      </c>
      <c r="E330" s="153" t="s">
        <v>1441</v>
      </c>
    </row>
    <row r="331" spans="1:5" x14ac:dyDescent="0.3">
      <c r="A331" s="153" t="s">
        <v>1247</v>
      </c>
      <c r="B331" s="153" t="s">
        <v>1551</v>
      </c>
      <c r="C331" s="153"/>
      <c r="D331" s="153" t="s">
        <v>416</v>
      </c>
      <c r="E331" s="153" t="s">
        <v>1441</v>
      </c>
    </row>
    <row r="332" spans="1:5" x14ac:dyDescent="0.3">
      <c r="A332" s="153" t="s">
        <v>1247</v>
      </c>
      <c r="B332" s="153" t="s">
        <v>1552</v>
      </c>
      <c r="C332" s="153">
        <v>3500</v>
      </c>
      <c r="D332" s="153" t="s">
        <v>1553</v>
      </c>
      <c r="E332" s="153" t="s">
        <v>1449</v>
      </c>
    </row>
    <row r="333" spans="1:5" x14ac:dyDescent="0.3">
      <c r="A333" s="153" t="s">
        <v>1247</v>
      </c>
      <c r="B333" s="153" t="s">
        <v>1554</v>
      </c>
      <c r="C333" s="153"/>
      <c r="D333" s="153" t="s">
        <v>1324</v>
      </c>
      <c r="E333" s="153" t="s">
        <v>1331</v>
      </c>
    </row>
    <row r="334" spans="1:5" x14ac:dyDescent="0.3">
      <c r="A334" s="153" t="s">
        <v>1247</v>
      </c>
      <c r="B334" s="153" t="s">
        <v>1555</v>
      </c>
      <c r="C334" s="153"/>
      <c r="D334" s="153" t="s">
        <v>1333</v>
      </c>
      <c r="E334" s="153" t="s">
        <v>1334</v>
      </c>
    </row>
    <row r="335" spans="1:5" x14ac:dyDescent="0.3">
      <c r="A335" s="153" t="s">
        <v>1247</v>
      </c>
      <c r="B335" s="153" t="s">
        <v>1556</v>
      </c>
      <c r="C335" s="153"/>
      <c r="D335" s="153" t="s">
        <v>1333</v>
      </c>
      <c r="E335" s="153" t="s">
        <v>1336</v>
      </c>
    </row>
    <row r="336" spans="1:5" x14ac:dyDescent="0.3">
      <c r="A336" s="153" t="s">
        <v>1247</v>
      </c>
      <c r="B336" s="153" t="s">
        <v>1557</v>
      </c>
      <c r="C336" s="153" t="s">
        <v>1558</v>
      </c>
      <c r="D336" s="153" t="s">
        <v>1559</v>
      </c>
      <c r="E336" s="153" t="s">
        <v>1340</v>
      </c>
    </row>
    <row r="337" spans="1:5" x14ac:dyDescent="0.3">
      <c r="A337" s="153" t="s">
        <v>1247</v>
      </c>
      <c r="B337" s="153" t="s">
        <v>1560</v>
      </c>
      <c r="C337" s="153" t="s">
        <v>1561</v>
      </c>
      <c r="D337" s="153" t="s">
        <v>1562</v>
      </c>
      <c r="E337" s="153" t="s">
        <v>1344</v>
      </c>
    </row>
    <row r="338" spans="1:5" x14ac:dyDescent="0.3">
      <c r="A338" s="153" t="s">
        <v>1247</v>
      </c>
      <c r="B338" s="153" t="s">
        <v>1563</v>
      </c>
      <c r="C338" s="153" t="s">
        <v>1564</v>
      </c>
      <c r="D338" s="153" t="s">
        <v>1565</v>
      </c>
      <c r="E338" s="153" t="s">
        <v>1348</v>
      </c>
    </row>
    <row r="339" spans="1:5" x14ac:dyDescent="0.3">
      <c r="A339" s="153" t="s">
        <v>1247</v>
      </c>
      <c r="B339" s="153" t="s">
        <v>1566</v>
      </c>
      <c r="C339" s="153" t="s">
        <v>1567</v>
      </c>
      <c r="D339" s="153" t="s">
        <v>1568</v>
      </c>
      <c r="E339" s="153" t="s">
        <v>1352</v>
      </c>
    </row>
    <row r="340" spans="1:5" x14ac:dyDescent="0.3">
      <c r="A340" s="153" t="s">
        <v>1247</v>
      </c>
      <c r="B340" s="153" t="s">
        <v>1569</v>
      </c>
      <c r="C340" s="153" t="s">
        <v>1570</v>
      </c>
      <c r="D340" s="153" t="s">
        <v>1571</v>
      </c>
      <c r="E340" s="153" t="s">
        <v>1356</v>
      </c>
    </row>
    <row r="341" spans="1:5" x14ac:dyDescent="0.3">
      <c r="A341" s="153" t="s">
        <v>1247</v>
      </c>
      <c r="B341" s="153" t="s">
        <v>1572</v>
      </c>
      <c r="C341" s="153"/>
      <c r="D341" s="153" t="s">
        <v>1573</v>
      </c>
      <c r="E341" s="153" t="s">
        <v>1359</v>
      </c>
    </row>
    <row r="342" spans="1:5" x14ac:dyDescent="0.3">
      <c r="A342" s="153" t="s">
        <v>1247</v>
      </c>
      <c r="B342" s="153" t="s">
        <v>1574</v>
      </c>
      <c r="C342" s="153"/>
      <c r="D342" s="153" t="s">
        <v>1575</v>
      </c>
      <c r="E342" s="153" t="s">
        <v>1362</v>
      </c>
    </row>
    <row r="343" spans="1:5" x14ac:dyDescent="0.3">
      <c r="A343" s="153" t="s">
        <v>1247</v>
      </c>
      <c r="B343" s="153" t="s">
        <v>1576</v>
      </c>
      <c r="C343" s="153"/>
      <c r="D343" s="153" t="s">
        <v>1577</v>
      </c>
      <c r="E343" s="153" t="s">
        <v>1365</v>
      </c>
    </row>
    <row r="344" spans="1:5" x14ac:dyDescent="0.3">
      <c r="A344" s="153" t="s">
        <v>1247</v>
      </c>
      <c r="B344" s="153" t="s">
        <v>1578</v>
      </c>
      <c r="C344" s="153"/>
      <c r="D344" s="153" t="s">
        <v>1327</v>
      </c>
      <c r="E344" s="153" t="s">
        <v>1331</v>
      </c>
    </row>
    <row r="345" spans="1:5" x14ac:dyDescent="0.3">
      <c r="A345" s="153" t="s">
        <v>1247</v>
      </c>
      <c r="B345" s="153" t="s">
        <v>1579</v>
      </c>
      <c r="C345" s="153"/>
      <c r="D345" s="153" t="s">
        <v>1368</v>
      </c>
      <c r="E345" s="153" t="s">
        <v>1334</v>
      </c>
    </row>
    <row r="346" spans="1:5" x14ac:dyDescent="0.3">
      <c r="A346" s="153" t="s">
        <v>1247</v>
      </c>
      <c r="B346" s="153" t="s">
        <v>1580</v>
      </c>
      <c r="C346" s="153"/>
      <c r="D346" s="153" t="s">
        <v>1368</v>
      </c>
      <c r="E346" s="153" t="s">
        <v>1336</v>
      </c>
    </row>
    <row r="347" spans="1:5" x14ac:dyDescent="0.3">
      <c r="A347" s="153" t="s">
        <v>1247</v>
      </c>
      <c r="B347" s="153" t="s">
        <v>1581</v>
      </c>
      <c r="C347" s="153" t="s">
        <v>1582</v>
      </c>
      <c r="D347" s="153" t="s">
        <v>1583</v>
      </c>
      <c r="E347" s="153" t="s">
        <v>1340</v>
      </c>
    </row>
    <row r="348" spans="1:5" x14ac:dyDescent="0.3">
      <c r="A348" s="153" t="s">
        <v>1247</v>
      </c>
      <c r="B348" s="153" t="s">
        <v>1584</v>
      </c>
      <c r="C348" s="153" t="s">
        <v>1585</v>
      </c>
      <c r="D348" s="153" t="s">
        <v>1586</v>
      </c>
      <c r="E348" s="153" t="s">
        <v>1344</v>
      </c>
    </row>
    <row r="349" spans="1:5" x14ac:dyDescent="0.3">
      <c r="A349" s="153" t="s">
        <v>1247</v>
      </c>
      <c r="B349" s="153" t="s">
        <v>1587</v>
      </c>
      <c r="C349" s="153" t="s">
        <v>1588</v>
      </c>
      <c r="D349" s="153" t="s">
        <v>1589</v>
      </c>
      <c r="E349" s="153" t="s">
        <v>1348</v>
      </c>
    </row>
    <row r="350" spans="1:5" x14ac:dyDescent="0.3">
      <c r="A350" s="153" t="s">
        <v>1247</v>
      </c>
      <c r="B350" s="153" t="s">
        <v>1590</v>
      </c>
      <c r="C350" s="153" t="s">
        <v>1591</v>
      </c>
      <c r="D350" s="153" t="s">
        <v>1592</v>
      </c>
      <c r="E350" s="153" t="s">
        <v>1352</v>
      </c>
    </row>
    <row r="351" spans="1:5" x14ac:dyDescent="0.3">
      <c r="A351" s="153" t="s">
        <v>1247</v>
      </c>
      <c r="B351" s="153" t="s">
        <v>1593</v>
      </c>
      <c r="C351" s="153" t="s">
        <v>1594</v>
      </c>
      <c r="D351" s="153" t="s">
        <v>1595</v>
      </c>
      <c r="E351" s="153" t="s">
        <v>1356</v>
      </c>
    </row>
    <row r="352" spans="1:5" x14ac:dyDescent="0.3">
      <c r="A352" s="153" t="s">
        <v>1247</v>
      </c>
      <c r="B352" s="153" t="s">
        <v>1596</v>
      </c>
      <c r="C352" s="153"/>
      <c r="D352" s="153" t="s">
        <v>1597</v>
      </c>
      <c r="E352" s="153" t="s">
        <v>1359</v>
      </c>
    </row>
    <row r="353" spans="1:5" x14ac:dyDescent="0.3">
      <c r="A353" s="153" t="s">
        <v>1247</v>
      </c>
      <c r="B353" s="153" t="s">
        <v>1598</v>
      </c>
      <c r="C353" s="153"/>
      <c r="D353" s="153" t="s">
        <v>1599</v>
      </c>
      <c r="E353" s="153" t="s">
        <v>1362</v>
      </c>
    </row>
    <row r="354" spans="1:5" x14ac:dyDescent="0.3">
      <c r="A354" s="153" t="s">
        <v>1247</v>
      </c>
      <c r="B354" s="153" t="s">
        <v>1600</v>
      </c>
      <c r="C354" s="153"/>
      <c r="D354" s="153" t="s">
        <v>1601</v>
      </c>
      <c r="E354" s="153" t="s">
        <v>1365</v>
      </c>
    </row>
    <row r="355" spans="1:5" x14ac:dyDescent="0.3">
      <c r="A355" s="153" t="s">
        <v>1247</v>
      </c>
      <c r="B355" s="153" t="s">
        <v>1602</v>
      </c>
      <c r="C355" s="153"/>
      <c r="D355" s="153" t="s">
        <v>1329</v>
      </c>
      <c r="E355" s="153" t="s">
        <v>1331</v>
      </c>
    </row>
    <row r="356" spans="1:5" x14ac:dyDescent="0.3">
      <c r="A356" s="153" t="s">
        <v>1247</v>
      </c>
      <c r="B356" s="153" t="s">
        <v>1603</v>
      </c>
      <c r="C356" s="153"/>
      <c r="D356" s="153" t="s">
        <v>1393</v>
      </c>
      <c r="E356" s="153" t="s">
        <v>1334</v>
      </c>
    </row>
    <row r="357" spans="1:5" x14ac:dyDescent="0.3">
      <c r="A357" s="153" t="s">
        <v>1247</v>
      </c>
      <c r="B357" s="153" t="s">
        <v>1604</v>
      </c>
      <c r="C357" s="153"/>
      <c r="D357" s="153" t="s">
        <v>1393</v>
      </c>
      <c r="E357" s="153" t="s">
        <v>1336</v>
      </c>
    </row>
    <row r="358" spans="1:5" x14ac:dyDescent="0.3">
      <c r="A358" s="153" t="s">
        <v>1247</v>
      </c>
      <c r="B358" s="153" t="s">
        <v>1605</v>
      </c>
      <c r="C358" s="153" t="s">
        <v>1606</v>
      </c>
      <c r="D358" s="153" t="s">
        <v>1607</v>
      </c>
      <c r="E358" s="153" t="s">
        <v>1340</v>
      </c>
    </row>
    <row r="359" spans="1:5" x14ac:dyDescent="0.3">
      <c r="A359" s="153" t="s">
        <v>1247</v>
      </c>
      <c r="B359" s="153" t="s">
        <v>1608</v>
      </c>
      <c r="C359" s="153" t="s">
        <v>1609</v>
      </c>
      <c r="D359" s="153" t="s">
        <v>1610</v>
      </c>
      <c r="E359" s="153" t="s">
        <v>1344</v>
      </c>
    </row>
    <row r="360" spans="1:5" x14ac:dyDescent="0.3">
      <c r="A360" s="153" t="s">
        <v>1247</v>
      </c>
      <c r="B360" s="153" t="s">
        <v>1611</v>
      </c>
      <c r="C360" s="153" t="s">
        <v>1612</v>
      </c>
      <c r="D360" s="153" t="s">
        <v>1613</v>
      </c>
      <c r="E360" s="153" t="s">
        <v>1348</v>
      </c>
    </row>
    <row r="361" spans="1:5" x14ac:dyDescent="0.3">
      <c r="A361" s="153" t="s">
        <v>1247</v>
      </c>
      <c r="B361" s="153" t="s">
        <v>1614</v>
      </c>
      <c r="C361" s="153" t="s">
        <v>1615</v>
      </c>
      <c r="D361" s="153" t="s">
        <v>1616</v>
      </c>
      <c r="E361" s="153" t="s">
        <v>1352</v>
      </c>
    </row>
    <row r="362" spans="1:5" x14ac:dyDescent="0.3">
      <c r="A362" s="153" t="s">
        <v>1247</v>
      </c>
      <c r="B362" s="153" t="s">
        <v>1617</v>
      </c>
      <c r="C362" s="153" t="s">
        <v>1618</v>
      </c>
      <c r="D362" s="153" t="s">
        <v>1619</v>
      </c>
      <c r="E362" s="153" t="s">
        <v>1356</v>
      </c>
    </row>
    <row r="363" spans="1:5" x14ac:dyDescent="0.3">
      <c r="A363" s="153" t="s">
        <v>1247</v>
      </c>
      <c r="B363" s="153" t="s">
        <v>1620</v>
      </c>
      <c r="C363" s="153"/>
      <c r="D363" s="153" t="s">
        <v>1621</v>
      </c>
      <c r="E363" s="153" t="s">
        <v>1359</v>
      </c>
    </row>
    <row r="364" spans="1:5" x14ac:dyDescent="0.3">
      <c r="A364" s="153" t="s">
        <v>1247</v>
      </c>
      <c r="B364" s="153" t="s">
        <v>1622</v>
      </c>
      <c r="C364" s="153"/>
      <c r="D364" s="153" t="s">
        <v>1623</v>
      </c>
      <c r="E364" s="153" t="s">
        <v>1362</v>
      </c>
    </row>
    <row r="365" spans="1:5" x14ac:dyDescent="0.3">
      <c r="A365" s="153" t="s">
        <v>1247</v>
      </c>
      <c r="B365" s="153" t="s">
        <v>1624</v>
      </c>
      <c r="C365" s="153"/>
      <c r="D365" s="153" t="s">
        <v>1625</v>
      </c>
      <c r="E365" s="153" t="s">
        <v>1365</v>
      </c>
    </row>
    <row r="366" spans="1:5" x14ac:dyDescent="0.3">
      <c r="A366" s="153" t="s">
        <v>1247</v>
      </c>
      <c r="B366" s="153" t="s">
        <v>1626</v>
      </c>
      <c r="C366" s="153"/>
      <c r="D366" s="153" t="s">
        <v>1329</v>
      </c>
      <c r="E366" s="153" t="s">
        <v>1331</v>
      </c>
    </row>
    <row r="367" spans="1:5" x14ac:dyDescent="0.3">
      <c r="A367" s="153" t="s">
        <v>1247</v>
      </c>
      <c r="B367" s="153" t="s">
        <v>1627</v>
      </c>
      <c r="C367" s="153"/>
      <c r="D367" s="153" t="s">
        <v>1393</v>
      </c>
      <c r="E367" s="153" t="s">
        <v>1334</v>
      </c>
    </row>
    <row r="368" spans="1:5" x14ac:dyDescent="0.3">
      <c r="A368" s="153" t="s">
        <v>1247</v>
      </c>
      <c r="B368" s="153" t="s">
        <v>1628</v>
      </c>
      <c r="C368" s="153"/>
      <c r="D368" s="153" t="s">
        <v>1393</v>
      </c>
      <c r="E368" s="153" t="s">
        <v>1336</v>
      </c>
    </row>
    <row r="369" spans="1:5" x14ac:dyDescent="0.3">
      <c r="A369" s="153" t="s">
        <v>1247</v>
      </c>
      <c r="B369" s="153" t="s">
        <v>1629</v>
      </c>
      <c r="C369" s="153" t="s">
        <v>1630</v>
      </c>
      <c r="D369" s="153" t="s">
        <v>1631</v>
      </c>
      <c r="E369" s="153" t="s">
        <v>1340</v>
      </c>
    </row>
    <row r="370" spans="1:5" x14ac:dyDescent="0.3">
      <c r="A370" s="153" t="s">
        <v>1247</v>
      </c>
      <c r="B370" s="153" t="s">
        <v>1632</v>
      </c>
      <c r="C370" s="153" t="s">
        <v>1633</v>
      </c>
      <c r="D370" s="153" t="s">
        <v>1634</v>
      </c>
      <c r="E370" s="153" t="s">
        <v>1344</v>
      </c>
    </row>
    <row r="371" spans="1:5" x14ac:dyDescent="0.3">
      <c r="A371" s="153" t="s">
        <v>1247</v>
      </c>
      <c r="B371" s="153" t="s">
        <v>1635</v>
      </c>
      <c r="C371" s="153" t="s">
        <v>1636</v>
      </c>
      <c r="D371" s="153" t="s">
        <v>1637</v>
      </c>
      <c r="E371" s="153" t="s">
        <v>1348</v>
      </c>
    </row>
    <row r="372" spans="1:5" x14ac:dyDescent="0.3">
      <c r="A372" s="153" t="s">
        <v>1247</v>
      </c>
      <c r="B372" s="153" t="s">
        <v>1638</v>
      </c>
      <c r="C372" s="153" t="s">
        <v>1639</v>
      </c>
      <c r="D372" s="153" t="s">
        <v>1640</v>
      </c>
      <c r="E372" s="153" t="s">
        <v>1352</v>
      </c>
    </row>
    <row r="373" spans="1:5" x14ac:dyDescent="0.3">
      <c r="A373" s="153" t="s">
        <v>1247</v>
      </c>
      <c r="B373" s="153" t="s">
        <v>1641</v>
      </c>
      <c r="C373" s="153" t="s">
        <v>1642</v>
      </c>
      <c r="D373" s="153" t="s">
        <v>1643</v>
      </c>
      <c r="E373" s="153" t="s">
        <v>1356</v>
      </c>
    </row>
    <row r="374" spans="1:5" x14ac:dyDescent="0.3">
      <c r="A374" s="153" t="s">
        <v>1247</v>
      </c>
      <c r="B374" s="153" t="s">
        <v>1644</v>
      </c>
      <c r="C374" s="153"/>
      <c r="D374" s="153" t="s">
        <v>1645</v>
      </c>
      <c r="E374" s="153" t="s">
        <v>1359</v>
      </c>
    </row>
    <row r="375" spans="1:5" x14ac:dyDescent="0.3">
      <c r="A375" s="153" t="s">
        <v>1247</v>
      </c>
      <c r="B375" s="153" t="s">
        <v>1646</v>
      </c>
      <c r="C375" s="153"/>
      <c r="D375" s="153" t="s">
        <v>1647</v>
      </c>
      <c r="E375" s="153" t="s">
        <v>1362</v>
      </c>
    </row>
    <row r="376" spans="1:5" x14ac:dyDescent="0.3">
      <c r="A376" s="153" t="s">
        <v>1247</v>
      </c>
      <c r="B376" s="153" t="s">
        <v>1648</v>
      </c>
      <c r="C376" s="153"/>
      <c r="D376" s="153" t="s">
        <v>1649</v>
      </c>
      <c r="E376" s="153" t="s">
        <v>1365</v>
      </c>
    </row>
    <row r="377" spans="1:5" x14ac:dyDescent="0.3">
      <c r="A377" s="153" t="s">
        <v>1247</v>
      </c>
      <c r="B377" s="153" t="s">
        <v>1650</v>
      </c>
      <c r="C377" s="153"/>
      <c r="D377" s="153" t="s">
        <v>411</v>
      </c>
      <c r="E377" s="153" t="s">
        <v>1441</v>
      </c>
    </row>
    <row r="378" spans="1:5" x14ac:dyDescent="0.3">
      <c r="A378" s="153" t="s">
        <v>1247</v>
      </c>
      <c r="B378" s="153" t="s">
        <v>1651</v>
      </c>
      <c r="C378" s="153"/>
      <c r="D378" s="153" t="s">
        <v>412</v>
      </c>
      <c r="E378" s="153" t="s">
        <v>1441</v>
      </c>
    </row>
    <row r="379" spans="1:5" x14ac:dyDescent="0.3">
      <c r="A379" s="153" t="s">
        <v>1247</v>
      </c>
      <c r="B379" s="153" t="s">
        <v>1652</v>
      </c>
      <c r="C379" s="153"/>
      <c r="D379" s="153" t="s">
        <v>413</v>
      </c>
      <c r="E379" s="153" t="s">
        <v>1441</v>
      </c>
    </row>
    <row r="380" spans="1:5" x14ac:dyDescent="0.3">
      <c r="A380" s="153" t="s">
        <v>1247</v>
      </c>
      <c r="B380" s="153" t="s">
        <v>1653</v>
      </c>
      <c r="C380" s="153"/>
      <c r="D380" s="153" t="s">
        <v>414</v>
      </c>
      <c r="E380" s="153" t="s">
        <v>1441</v>
      </c>
    </row>
    <row r="381" spans="1:5" x14ac:dyDescent="0.3">
      <c r="A381" s="153" t="s">
        <v>1247</v>
      </c>
      <c r="B381" s="153" t="s">
        <v>1654</v>
      </c>
      <c r="C381" s="153"/>
      <c r="D381" s="153" t="s">
        <v>415</v>
      </c>
      <c r="E381" s="153" t="s">
        <v>1441</v>
      </c>
    </row>
    <row r="382" spans="1:5" x14ac:dyDescent="0.3">
      <c r="A382" s="153" t="s">
        <v>1247</v>
      </c>
      <c r="B382" s="153" t="s">
        <v>1655</v>
      </c>
      <c r="C382" s="153"/>
      <c r="D382" s="153" t="s">
        <v>416</v>
      </c>
      <c r="E382" s="153" t="s">
        <v>1441</v>
      </c>
    </row>
    <row r="383" spans="1:5" x14ac:dyDescent="0.3">
      <c r="A383" s="153" t="s">
        <v>1247</v>
      </c>
      <c r="B383" s="153" t="s">
        <v>1656</v>
      </c>
      <c r="C383" s="153">
        <v>800</v>
      </c>
      <c r="D383" s="153" t="s">
        <v>1657</v>
      </c>
      <c r="E383" s="153" t="s">
        <v>1449</v>
      </c>
    </row>
    <row r="384" spans="1:5" x14ac:dyDescent="0.3">
      <c r="A384" s="153" t="s">
        <v>1247</v>
      </c>
      <c r="B384" s="153" t="s">
        <v>1658</v>
      </c>
      <c r="C384" s="153"/>
      <c r="D384" s="153" t="s">
        <v>424</v>
      </c>
      <c r="E384" s="153" t="s">
        <v>1659</v>
      </c>
    </row>
    <row r="385" spans="1:5" x14ac:dyDescent="0.3">
      <c r="A385" s="153" t="s">
        <v>1279</v>
      </c>
      <c r="B385" s="153" t="s">
        <v>1660</v>
      </c>
      <c r="C385" s="153"/>
      <c r="D385" s="153" t="s">
        <v>1324</v>
      </c>
      <c r="E385" s="153" t="s">
        <v>1331</v>
      </c>
    </row>
    <row r="386" spans="1:5" x14ac:dyDescent="0.3">
      <c r="A386" s="153" t="s">
        <v>1279</v>
      </c>
      <c r="B386" s="153" t="s">
        <v>1661</v>
      </c>
      <c r="C386" s="153"/>
      <c r="D386" s="153" t="s">
        <v>1333</v>
      </c>
      <c r="E386" s="153" t="s">
        <v>1334</v>
      </c>
    </row>
    <row r="387" spans="1:5" x14ac:dyDescent="0.3">
      <c r="A387" s="153" t="s">
        <v>1279</v>
      </c>
      <c r="B387" s="153" t="s">
        <v>1662</v>
      </c>
      <c r="C387" s="153"/>
      <c r="D387" s="153" t="s">
        <v>1333</v>
      </c>
      <c r="E387" s="153" t="s">
        <v>1336</v>
      </c>
    </row>
    <row r="388" spans="1:5" x14ac:dyDescent="0.3">
      <c r="A388" s="153" t="s">
        <v>1279</v>
      </c>
      <c r="B388" s="153" t="s">
        <v>1663</v>
      </c>
      <c r="C388" s="153" t="s">
        <v>1664</v>
      </c>
      <c r="D388" s="153" t="s">
        <v>1665</v>
      </c>
      <c r="E388" s="153" t="s">
        <v>1340</v>
      </c>
    </row>
    <row r="389" spans="1:5" x14ac:dyDescent="0.3">
      <c r="A389" s="153" t="s">
        <v>1279</v>
      </c>
      <c r="B389" s="153" t="s">
        <v>1666</v>
      </c>
      <c r="C389" s="153" t="s">
        <v>1667</v>
      </c>
      <c r="D389" s="153" t="s">
        <v>1668</v>
      </c>
      <c r="E389" s="153" t="s">
        <v>1344</v>
      </c>
    </row>
    <row r="390" spans="1:5" x14ac:dyDescent="0.3">
      <c r="A390" s="153" t="s">
        <v>1279</v>
      </c>
      <c r="B390" s="153" t="s">
        <v>1669</v>
      </c>
      <c r="C390" s="153" t="s">
        <v>1670</v>
      </c>
      <c r="D390" s="153" t="s">
        <v>1671</v>
      </c>
      <c r="E390" s="153" t="s">
        <v>1348</v>
      </c>
    </row>
    <row r="391" spans="1:5" x14ac:dyDescent="0.3">
      <c r="A391" s="153" t="s">
        <v>1279</v>
      </c>
      <c r="B391" s="153" t="s">
        <v>1672</v>
      </c>
      <c r="C391" s="153" t="s">
        <v>1673</v>
      </c>
      <c r="D391" s="153" t="s">
        <v>1674</v>
      </c>
      <c r="E391" s="153" t="s">
        <v>1352</v>
      </c>
    </row>
    <row r="392" spans="1:5" x14ac:dyDescent="0.3">
      <c r="A392" s="153" t="s">
        <v>1279</v>
      </c>
      <c r="B392" s="153" t="s">
        <v>1675</v>
      </c>
      <c r="C392" s="153" t="s">
        <v>1676</v>
      </c>
      <c r="D392" s="153" t="s">
        <v>1677</v>
      </c>
      <c r="E392" s="153" t="s">
        <v>1356</v>
      </c>
    </row>
    <row r="393" spans="1:5" x14ac:dyDescent="0.3">
      <c r="A393" s="153" t="s">
        <v>1279</v>
      </c>
      <c r="B393" s="153" t="s">
        <v>1678</v>
      </c>
      <c r="C393" s="153"/>
      <c r="D393" s="153" t="s">
        <v>1679</v>
      </c>
      <c r="E393" s="153" t="s">
        <v>1359</v>
      </c>
    </row>
    <row r="394" spans="1:5" x14ac:dyDescent="0.3">
      <c r="A394" s="153" t="s">
        <v>1279</v>
      </c>
      <c r="B394" s="153" t="s">
        <v>1680</v>
      </c>
      <c r="C394" s="153"/>
      <c r="D394" s="153" t="s">
        <v>1681</v>
      </c>
      <c r="E394" s="153" t="s">
        <v>1362</v>
      </c>
    </row>
    <row r="395" spans="1:5" x14ac:dyDescent="0.3">
      <c r="A395" s="153" t="s">
        <v>1279</v>
      </c>
      <c r="B395" s="153" t="s">
        <v>1682</v>
      </c>
      <c r="C395" s="153"/>
      <c r="D395" s="153" t="s">
        <v>1683</v>
      </c>
      <c r="E395" s="153" t="s">
        <v>1365</v>
      </c>
    </row>
    <row r="396" spans="1:5" x14ac:dyDescent="0.3">
      <c r="A396" s="153" t="s">
        <v>1279</v>
      </c>
      <c r="B396" s="153" t="s">
        <v>1684</v>
      </c>
      <c r="C396" s="153"/>
      <c r="D396" s="153" t="s">
        <v>1327</v>
      </c>
      <c r="E396" s="153" t="s">
        <v>1331</v>
      </c>
    </row>
    <row r="397" spans="1:5" x14ac:dyDescent="0.3">
      <c r="A397" s="153" t="s">
        <v>1279</v>
      </c>
      <c r="B397" s="153" t="s">
        <v>1685</v>
      </c>
      <c r="C397" s="153"/>
      <c r="D397" s="153" t="s">
        <v>1368</v>
      </c>
      <c r="E397" s="153" t="s">
        <v>1334</v>
      </c>
    </row>
    <row r="398" spans="1:5" x14ac:dyDescent="0.3">
      <c r="A398" s="153" t="s">
        <v>1279</v>
      </c>
      <c r="B398" s="153" t="s">
        <v>1686</v>
      </c>
      <c r="C398" s="153"/>
      <c r="D398" s="153" t="s">
        <v>1368</v>
      </c>
      <c r="E398" s="153" t="s">
        <v>1336</v>
      </c>
    </row>
    <row r="399" spans="1:5" x14ac:dyDescent="0.3">
      <c r="A399" s="153" t="s">
        <v>1279</v>
      </c>
      <c r="B399" s="153" t="s">
        <v>1687</v>
      </c>
      <c r="C399" s="153" t="s">
        <v>1688</v>
      </c>
      <c r="D399" s="153" t="s">
        <v>1689</v>
      </c>
      <c r="E399" s="153" t="s">
        <v>1340</v>
      </c>
    </row>
    <row r="400" spans="1:5" x14ac:dyDescent="0.3">
      <c r="A400" s="153" t="s">
        <v>1279</v>
      </c>
      <c r="B400" s="153" t="s">
        <v>1690</v>
      </c>
      <c r="C400" s="153" t="s">
        <v>1691</v>
      </c>
      <c r="D400" s="153" t="s">
        <v>1692</v>
      </c>
      <c r="E400" s="153" t="s">
        <v>1344</v>
      </c>
    </row>
    <row r="401" spans="1:5" x14ac:dyDescent="0.3">
      <c r="A401" s="153" t="s">
        <v>1279</v>
      </c>
      <c r="B401" s="153" t="s">
        <v>1693</v>
      </c>
      <c r="C401" s="153" t="s">
        <v>1694</v>
      </c>
      <c r="D401" s="153" t="s">
        <v>1695</v>
      </c>
      <c r="E401" s="153" t="s">
        <v>1348</v>
      </c>
    </row>
    <row r="402" spans="1:5" x14ac:dyDescent="0.3">
      <c r="A402" s="153" t="s">
        <v>1279</v>
      </c>
      <c r="B402" s="153" t="s">
        <v>1696</v>
      </c>
      <c r="C402" s="153" t="s">
        <v>1697</v>
      </c>
      <c r="D402" s="153" t="s">
        <v>1698</v>
      </c>
      <c r="E402" s="153" t="s">
        <v>1352</v>
      </c>
    </row>
    <row r="403" spans="1:5" x14ac:dyDescent="0.3">
      <c r="A403" s="153" t="s">
        <v>1279</v>
      </c>
      <c r="B403" s="153" t="s">
        <v>1699</v>
      </c>
      <c r="C403" s="153" t="s">
        <v>1700</v>
      </c>
      <c r="D403" s="153" t="s">
        <v>1701</v>
      </c>
      <c r="E403" s="153" t="s">
        <v>1356</v>
      </c>
    </row>
    <row r="404" spans="1:5" x14ac:dyDescent="0.3">
      <c r="A404" s="153" t="s">
        <v>1279</v>
      </c>
      <c r="B404" s="153" t="s">
        <v>1702</v>
      </c>
      <c r="C404" s="153"/>
      <c r="D404" s="153" t="s">
        <v>1703</v>
      </c>
      <c r="E404" s="153" t="s">
        <v>1359</v>
      </c>
    </row>
    <row r="405" spans="1:5" x14ac:dyDescent="0.3">
      <c r="A405" s="153" t="s">
        <v>1279</v>
      </c>
      <c r="B405" s="153" t="s">
        <v>1704</v>
      </c>
      <c r="C405" s="153"/>
      <c r="D405" s="153" t="s">
        <v>1705</v>
      </c>
      <c r="E405" s="153" t="s">
        <v>1362</v>
      </c>
    </row>
    <row r="406" spans="1:5" x14ac:dyDescent="0.3">
      <c r="A406" s="153" t="s">
        <v>1279</v>
      </c>
      <c r="B406" s="153" t="s">
        <v>1706</v>
      </c>
      <c r="C406" s="153"/>
      <c r="D406" s="153" t="s">
        <v>1707</v>
      </c>
      <c r="E406" s="153" t="s">
        <v>1365</v>
      </c>
    </row>
    <row r="407" spans="1:5" x14ac:dyDescent="0.3">
      <c r="A407" s="153" t="s">
        <v>1279</v>
      </c>
      <c r="B407" s="153" t="s">
        <v>1708</v>
      </c>
      <c r="C407" s="153"/>
      <c r="D407" s="153" t="s">
        <v>1329</v>
      </c>
      <c r="E407" s="153" t="s">
        <v>1331</v>
      </c>
    </row>
    <row r="408" spans="1:5" x14ac:dyDescent="0.3">
      <c r="A408" s="153" t="s">
        <v>1279</v>
      </c>
      <c r="B408" s="153" t="s">
        <v>1709</v>
      </c>
      <c r="C408" s="153"/>
      <c r="D408" s="153" t="s">
        <v>1393</v>
      </c>
      <c r="E408" s="153" t="s">
        <v>1334</v>
      </c>
    </row>
    <row r="409" spans="1:5" x14ac:dyDescent="0.3">
      <c r="A409" s="153" t="s">
        <v>1279</v>
      </c>
      <c r="B409" s="153" t="s">
        <v>1710</v>
      </c>
      <c r="C409" s="153"/>
      <c r="D409" s="153" t="s">
        <v>1393</v>
      </c>
      <c r="E409" s="153" t="s">
        <v>1336</v>
      </c>
    </row>
    <row r="410" spans="1:5" x14ac:dyDescent="0.3">
      <c r="A410" s="153" t="s">
        <v>1279</v>
      </c>
      <c r="B410" s="153" t="s">
        <v>1711</v>
      </c>
      <c r="C410" s="153" t="s">
        <v>1712</v>
      </c>
      <c r="D410" s="153" t="s">
        <v>1713</v>
      </c>
      <c r="E410" s="153" t="s">
        <v>1340</v>
      </c>
    </row>
    <row r="411" spans="1:5" x14ac:dyDescent="0.3">
      <c r="A411" s="153" t="s">
        <v>1279</v>
      </c>
      <c r="B411" s="153" t="s">
        <v>1714</v>
      </c>
      <c r="C411" s="153" t="s">
        <v>1715</v>
      </c>
      <c r="D411" s="153" t="s">
        <v>1716</v>
      </c>
      <c r="E411" s="153" t="s">
        <v>1344</v>
      </c>
    </row>
    <row r="412" spans="1:5" x14ac:dyDescent="0.3">
      <c r="A412" s="153" t="s">
        <v>1279</v>
      </c>
      <c r="B412" s="153" t="s">
        <v>1717</v>
      </c>
      <c r="C412" s="153" t="s">
        <v>1718</v>
      </c>
      <c r="D412" s="153" t="s">
        <v>1719</v>
      </c>
      <c r="E412" s="153" t="s">
        <v>1348</v>
      </c>
    </row>
    <row r="413" spans="1:5" x14ac:dyDescent="0.3">
      <c r="A413" s="153" t="s">
        <v>1279</v>
      </c>
      <c r="B413" s="153" t="s">
        <v>1720</v>
      </c>
      <c r="C413" s="153" t="s">
        <v>1721</v>
      </c>
      <c r="D413" s="153" t="s">
        <v>1722</v>
      </c>
      <c r="E413" s="153" t="s">
        <v>1352</v>
      </c>
    </row>
    <row r="414" spans="1:5" x14ac:dyDescent="0.3">
      <c r="A414" s="153" t="s">
        <v>1279</v>
      </c>
      <c r="B414" s="153" t="s">
        <v>1723</v>
      </c>
      <c r="C414" s="153" t="s">
        <v>1724</v>
      </c>
      <c r="D414" s="153" t="s">
        <v>1725</v>
      </c>
      <c r="E414" s="153" t="s">
        <v>1356</v>
      </c>
    </row>
    <row r="415" spans="1:5" x14ac:dyDescent="0.3">
      <c r="A415" s="153" t="s">
        <v>1279</v>
      </c>
      <c r="B415" s="153" t="s">
        <v>1726</v>
      </c>
      <c r="C415" s="153"/>
      <c r="D415" s="153" t="s">
        <v>1727</v>
      </c>
      <c r="E415" s="153" t="s">
        <v>1359</v>
      </c>
    </row>
    <row r="416" spans="1:5" x14ac:dyDescent="0.3">
      <c r="A416" s="153" t="s">
        <v>1279</v>
      </c>
      <c r="B416" s="153" t="s">
        <v>1728</v>
      </c>
      <c r="C416" s="153"/>
      <c r="D416" s="153" t="s">
        <v>1729</v>
      </c>
      <c r="E416" s="153" t="s">
        <v>1362</v>
      </c>
    </row>
    <row r="417" spans="1:5" x14ac:dyDescent="0.3">
      <c r="A417" s="153" t="s">
        <v>1279</v>
      </c>
      <c r="B417" s="153" t="s">
        <v>1730</v>
      </c>
      <c r="C417" s="153"/>
      <c r="D417" s="153" t="s">
        <v>1731</v>
      </c>
      <c r="E417" s="153" t="s">
        <v>1365</v>
      </c>
    </row>
    <row r="418" spans="1:5" x14ac:dyDescent="0.3">
      <c r="A418" s="153" t="s">
        <v>1279</v>
      </c>
      <c r="B418" s="153" t="s">
        <v>1732</v>
      </c>
      <c r="C418" s="153"/>
      <c r="D418" s="153" t="s">
        <v>1329</v>
      </c>
      <c r="E418" s="153" t="s">
        <v>1331</v>
      </c>
    </row>
    <row r="419" spans="1:5" x14ac:dyDescent="0.3">
      <c r="A419" s="153" t="s">
        <v>1279</v>
      </c>
      <c r="B419" s="153" t="s">
        <v>1733</v>
      </c>
      <c r="C419" s="153"/>
      <c r="D419" s="153" t="s">
        <v>1393</v>
      </c>
      <c r="E419" s="153" t="s">
        <v>1334</v>
      </c>
    </row>
    <row r="420" spans="1:5" x14ac:dyDescent="0.3">
      <c r="A420" s="153" t="s">
        <v>1279</v>
      </c>
      <c r="B420" s="153" t="s">
        <v>1734</v>
      </c>
      <c r="C420" s="153"/>
      <c r="D420" s="153" t="s">
        <v>1393</v>
      </c>
      <c r="E420" s="153" t="s">
        <v>1336</v>
      </c>
    </row>
    <row r="421" spans="1:5" x14ac:dyDescent="0.3">
      <c r="A421" s="153" t="s">
        <v>1279</v>
      </c>
      <c r="B421" s="153" t="s">
        <v>1735</v>
      </c>
      <c r="C421" s="153" t="s">
        <v>1736</v>
      </c>
      <c r="D421" s="153" t="s">
        <v>1737</v>
      </c>
      <c r="E421" s="153" t="s">
        <v>1340</v>
      </c>
    </row>
    <row r="422" spans="1:5" x14ac:dyDescent="0.3">
      <c r="A422" s="153" t="s">
        <v>1279</v>
      </c>
      <c r="B422" s="153" t="s">
        <v>1738</v>
      </c>
      <c r="C422" s="153" t="s">
        <v>1739</v>
      </c>
      <c r="D422" s="153" t="s">
        <v>1740</v>
      </c>
      <c r="E422" s="153" t="s">
        <v>1344</v>
      </c>
    </row>
    <row r="423" spans="1:5" x14ac:dyDescent="0.3">
      <c r="A423" s="153" t="s">
        <v>1279</v>
      </c>
      <c r="B423" s="153" t="s">
        <v>1741</v>
      </c>
      <c r="C423" s="153" t="s">
        <v>1742</v>
      </c>
      <c r="D423" s="153" t="s">
        <v>1743</v>
      </c>
      <c r="E423" s="153" t="s">
        <v>1348</v>
      </c>
    </row>
    <row r="424" spans="1:5" x14ac:dyDescent="0.3">
      <c r="A424" s="153" t="s">
        <v>1279</v>
      </c>
      <c r="B424" s="153" t="s">
        <v>1744</v>
      </c>
      <c r="C424" s="153" t="s">
        <v>1745</v>
      </c>
      <c r="D424" s="153" t="s">
        <v>1746</v>
      </c>
      <c r="E424" s="153" t="s">
        <v>1352</v>
      </c>
    </row>
    <row r="425" spans="1:5" x14ac:dyDescent="0.3">
      <c r="A425" s="153" t="s">
        <v>1279</v>
      </c>
      <c r="B425" s="153" t="s">
        <v>1747</v>
      </c>
      <c r="C425" s="153" t="s">
        <v>1748</v>
      </c>
      <c r="D425" s="153" t="s">
        <v>1749</v>
      </c>
      <c r="E425" s="153" t="s">
        <v>1356</v>
      </c>
    </row>
    <row r="426" spans="1:5" x14ac:dyDescent="0.3">
      <c r="A426" s="153" t="s">
        <v>1279</v>
      </c>
      <c r="B426" s="153" t="s">
        <v>1750</v>
      </c>
      <c r="C426" s="153"/>
      <c r="D426" s="153" t="s">
        <v>1751</v>
      </c>
      <c r="E426" s="153" t="s">
        <v>1359</v>
      </c>
    </row>
    <row r="427" spans="1:5" x14ac:dyDescent="0.3">
      <c r="A427" s="153" t="s">
        <v>1279</v>
      </c>
      <c r="B427" s="153" t="s">
        <v>1752</v>
      </c>
      <c r="C427" s="153"/>
      <c r="D427" s="153" t="s">
        <v>1753</v>
      </c>
      <c r="E427" s="153" t="s">
        <v>1362</v>
      </c>
    </row>
    <row r="428" spans="1:5" x14ac:dyDescent="0.3">
      <c r="A428" s="153" t="s">
        <v>1279</v>
      </c>
      <c r="B428" s="153" t="s">
        <v>1754</v>
      </c>
      <c r="C428" s="153"/>
      <c r="D428" s="153" t="s">
        <v>1755</v>
      </c>
      <c r="E428" s="153" t="s">
        <v>1365</v>
      </c>
    </row>
    <row r="429" spans="1:5" x14ac:dyDescent="0.3">
      <c r="A429" s="153" t="s">
        <v>1279</v>
      </c>
      <c r="B429" s="153" t="s">
        <v>1756</v>
      </c>
      <c r="C429" s="153"/>
      <c r="D429" s="153" t="s">
        <v>411</v>
      </c>
      <c r="E429" s="153" t="s">
        <v>1441</v>
      </c>
    </row>
    <row r="430" spans="1:5" x14ac:dyDescent="0.3">
      <c r="A430" s="153" t="s">
        <v>1279</v>
      </c>
      <c r="B430" s="153" t="s">
        <v>1757</v>
      </c>
      <c r="C430" s="153"/>
      <c r="D430" s="153" t="s">
        <v>412</v>
      </c>
      <c r="E430" s="153" t="s">
        <v>1441</v>
      </c>
    </row>
    <row r="431" spans="1:5" x14ac:dyDescent="0.3">
      <c r="A431" s="153" t="s">
        <v>1279</v>
      </c>
      <c r="B431" s="153" t="s">
        <v>1758</v>
      </c>
      <c r="C431" s="153"/>
      <c r="D431" s="153" t="s">
        <v>413</v>
      </c>
      <c r="E431" s="153" t="s">
        <v>1441</v>
      </c>
    </row>
    <row r="432" spans="1:5" x14ac:dyDescent="0.3">
      <c r="A432" s="153" t="s">
        <v>1279</v>
      </c>
      <c r="B432" s="153" t="s">
        <v>1759</v>
      </c>
      <c r="C432" s="153"/>
      <c r="D432" s="153" t="s">
        <v>414</v>
      </c>
      <c r="E432" s="153" t="s">
        <v>1441</v>
      </c>
    </row>
    <row r="433" spans="1:5" x14ac:dyDescent="0.3">
      <c r="A433" s="153" t="s">
        <v>1279</v>
      </c>
      <c r="B433" s="153" t="s">
        <v>1760</v>
      </c>
      <c r="C433" s="153"/>
      <c r="D433" s="153" t="s">
        <v>415</v>
      </c>
      <c r="E433" s="153" t="s">
        <v>1441</v>
      </c>
    </row>
    <row r="434" spans="1:5" x14ac:dyDescent="0.3">
      <c r="A434" s="153" t="s">
        <v>1279</v>
      </c>
      <c r="B434" s="153" t="s">
        <v>1761</v>
      </c>
      <c r="C434" s="153"/>
      <c r="D434" s="153" t="s">
        <v>416</v>
      </c>
      <c r="E434" s="153" t="s">
        <v>1441</v>
      </c>
    </row>
    <row r="435" spans="1:5" x14ac:dyDescent="0.3">
      <c r="A435" s="153" t="s">
        <v>1279</v>
      </c>
      <c r="B435" s="153" t="s">
        <v>1762</v>
      </c>
      <c r="C435" s="153">
        <v>3500</v>
      </c>
      <c r="D435" s="153" t="s">
        <v>1763</v>
      </c>
      <c r="E435" s="153" t="s">
        <v>1449</v>
      </c>
    </row>
    <row r="436" spans="1:5" x14ac:dyDescent="0.3">
      <c r="A436" s="153" t="s">
        <v>1279</v>
      </c>
      <c r="B436" s="153" t="s">
        <v>1416</v>
      </c>
      <c r="C436" s="153"/>
      <c r="D436" s="153" t="s">
        <v>1324</v>
      </c>
      <c r="E436" s="153" t="s">
        <v>1331</v>
      </c>
    </row>
    <row r="437" spans="1:5" x14ac:dyDescent="0.3">
      <c r="A437" s="153" t="s">
        <v>1279</v>
      </c>
      <c r="B437" s="153" t="s">
        <v>1417</v>
      </c>
      <c r="C437" s="153"/>
      <c r="D437" s="153" t="s">
        <v>1333</v>
      </c>
      <c r="E437" s="153" t="s">
        <v>1334</v>
      </c>
    </row>
    <row r="438" spans="1:5" x14ac:dyDescent="0.3">
      <c r="A438" s="153" t="s">
        <v>1279</v>
      </c>
      <c r="B438" s="153" t="s">
        <v>1418</v>
      </c>
      <c r="C438" s="153"/>
      <c r="D438" s="153" t="s">
        <v>1333</v>
      </c>
      <c r="E438" s="153" t="s">
        <v>1336</v>
      </c>
    </row>
    <row r="439" spans="1:5" x14ac:dyDescent="0.3">
      <c r="A439" s="153" t="s">
        <v>1279</v>
      </c>
      <c r="B439" s="153" t="s">
        <v>1419</v>
      </c>
      <c r="C439" s="153" t="s">
        <v>1764</v>
      </c>
      <c r="D439" s="153" t="s">
        <v>1421</v>
      </c>
      <c r="E439" s="153" t="s">
        <v>1340</v>
      </c>
    </row>
    <row r="440" spans="1:5" x14ac:dyDescent="0.3">
      <c r="A440" s="153" t="s">
        <v>1279</v>
      </c>
      <c r="B440" s="153" t="s">
        <v>1422</v>
      </c>
      <c r="C440" s="153" t="s">
        <v>1765</v>
      </c>
      <c r="D440" s="153" t="s">
        <v>1766</v>
      </c>
      <c r="E440" s="153" t="s">
        <v>1344</v>
      </c>
    </row>
    <row r="441" spans="1:5" x14ac:dyDescent="0.3">
      <c r="A441" s="153" t="s">
        <v>1279</v>
      </c>
      <c r="B441" s="153" t="s">
        <v>1425</v>
      </c>
      <c r="C441" s="153" t="s">
        <v>1426</v>
      </c>
      <c r="D441" s="153" t="s">
        <v>1427</v>
      </c>
      <c r="E441" s="153" t="s">
        <v>1348</v>
      </c>
    </row>
    <row r="442" spans="1:5" x14ac:dyDescent="0.3">
      <c r="A442" s="153" t="s">
        <v>1279</v>
      </c>
      <c r="B442" s="153" t="s">
        <v>1428</v>
      </c>
      <c r="C442" s="153" t="s">
        <v>1767</v>
      </c>
      <c r="D442" s="153" t="s">
        <v>1768</v>
      </c>
      <c r="E442" s="153" t="s">
        <v>1352</v>
      </c>
    </row>
    <row r="443" spans="1:5" x14ac:dyDescent="0.3">
      <c r="A443" s="153" t="s">
        <v>1279</v>
      </c>
      <c r="B443" s="153" t="s">
        <v>1431</v>
      </c>
      <c r="C443" s="153" t="s">
        <v>1769</v>
      </c>
      <c r="D443" s="153" t="s">
        <v>1770</v>
      </c>
      <c r="E443" s="153" t="s">
        <v>1356</v>
      </c>
    </row>
    <row r="444" spans="1:5" x14ac:dyDescent="0.3">
      <c r="A444" s="153" t="s">
        <v>1279</v>
      </c>
      <c r="B444" s="153" t="s">
        <v>1434</v>
      </c>
      <c r="C444" s="153"/>
      <c r="D444" s="153" t="s">
        <v>1435</v>
      </c>
      <c r="E444" s="153" t="s">
        <v>1359</v>
      </c>
    </row>
    <row r="445" spans="1:5" x14ac:dyDescent="0.3">
      <c r="A445" s="153" t="s">
        <v>1279</v>
      </c>
      <c r="B445" s="153" t="s">
        <v>1436</v>
      </c>
      <c r="C445" s="153"/>
      <c r="D445" s="153" t="s">
        <v>1437</v>
      </c>
      <c r="E445" s="153" t="s">
        <v>1362</v>
      </c>
    </row>
    <row r="446" spans="1:5" x14ac:dyDescent="0.3">
      <c r="A446" s="153" t="s">
        <v>1279</v>
      </c>
      <c r="B446" s="153" t="s">
        <v>1438</v>
      </c>
      <c r="C446" s="153"/>
      <c r="D446" s="153" t="s">
        <v>1439</v>
      </c>
      <c r="E446" s="153" t="s">
        <v>1365</v>
      </c>
    </row>
    <row r="447" spans="1:5" x14ac:dyDescent="0.3">
      <c r="A447" s="153" t="s">
        <v>1279</v>
      </c>
      <c r="B447" s="153" t="s">
        <v>1771</v>
      </c>
      <c r="C447" s="153"/>
      <c r="D447" s="153" t="s">
        <v>1327</v>
      </c>
      <c r="E447" s="153" t="s">
        <v>1331</v>
      </c>
    </row>
    <row r="448" spans="1:5" x14ac:dyDescent="0.3">
      <c r="A448" s="153" t="s">
        <v>1279</v>
      </c>
      <c r="B448" s="153" t="s">
        <v>1772</v>
      </c>
      <c r="C448" s="153"/>
      <c r="D448" s="153" t="s">
        <v>1368</v>
      </c>
      <c r="E448" s="153" t="s">
        <v>1334</v>
      </c>
    </row>
    <row r="449" spans="1:5" x14ac:dyDescent="0.3">
      <c r="A449" s="153" t="s">
        <v>1279</v>
      </c>
      <c r="B449" s="153" t="s">
        <v>1773</v>
      </c>
      <c r="C449" s="153"/>
      <c r="D449" s="153" t="s">
        <v>1368</v>
      </c>
      <c r="E449" s="153" t="s">
        <v>1336</v>
      </c>
    </row>
    <row r="450" spans="1:5" x14ac:dyDescent="0.3">
      <c r="A450" s="153" t="s">
        <v>1279</v>
      </c>
      <c r="B450" s="153" t="s">
        <v>1774</v>
      </c>
      <c r="C450" s="153" t="s">
        <v>1775</v>
      </c>
      <c r="D450" s="153" t="s">
        <v>1776</v>
      </c>
      <c r="E450" s="153" t="s">
        <v>1340</v>
      </c>
    </row>
    <row r="451" spans="1:5" x14ac:dyDescent="0.3">
      <c r="A451" s="153" t="s">
        <v>1279</v>
      </c>
      <c r="B451" s="153" t="s">
        <v>1777</v>
      </c>
      <c r="C451" s="153" t="s">
        <v>1778</v>
      </c>
      <c r="D451" s="153" t="s">
        <v>1779</v>
      </c>
      <c r="E451" s="153" t="s">
        <v>1344</v>
      </c>
    </row>
    <row r="452" spans="1:5" x14ac:dyDescent="0.3">
      <c r="A452" s="153" t="s">
        <v>1279</v>
      </c>
      <c r="B452" s="153" t="s">
        <v>1780</v>
      </c>
      <c r="C452" s="153" t="s">
        <v>1781</v>
      </c>
      <c r="D452" s="153" t="s">
        <v>1782</v>
      </c>
      <c r="E452" s="153" t="s">
        <v>1348</v>
      </c>
    </row>
    <row r="453" spans="1:5" x14ac:dyDescent="0.3">
      <c r="A453" s="153" t="s">
        <v>1279</v>
      </c>
      <c r="B453" s="153" t="s">
        <v>1783</v>
      </c>
      <c r="C453" s="153" t="s">
        <v>1784</v>
      </c>
      <c r="D453" s="153" t="s">
        <v>1785</v>
      </c>
      <c r="E453" s="153" t="s">
        <v>1352</v>
      </c>
    </row>
    <row r="454" spans="1:5" x14ac:dyDescent="0.3">
      <c r="A454" s="153" t="s">
        <v>1279</v>
      </c>
      <c r="B454" s="153" t="s">
        <v>1786</v>
      </c>
      <c r="C454" s="153" t="s">
        <v>1787</v>
      </c>
      <c r="D454" s="153" t="s">
        <v>1788</v>
      </c>
      <c r="E454" s="153" t="s">
        <v>1356</v>
      </c>
    </row>
    <row r="455" spans="1:5" x14ac:dyDescent="0.3">
      <c r="A455" s="153" t="s">
        <v>1279</v>
      </c>
      <c r="B455" s="153" t="s">
        <v>1789</v>
      </c>
      <c r="C455" s="153"/>
      <c r="D455" s="153" t="s">
        <v>1790</v>
      </c>
      <c r="E455" s="153" t="s">
        <v>1359</v>
      </c>
    </row>
    <row r="456" spans="1:5" x14ac:dyDescent="0.3">
      <c r="A456" s="153" t="s">
        <v>1279</v>
      </c>
      <c r="B456" s="153" t="s">
        <v>1791</v>
      </c>
      <c r="C456" s="153"/>
      <c r="D456" s="153" t="s">
        <v>1792</v>
      </c>
      <c r="E456" s="153" t="s">
        <v>1362</v>
      </c>
    </row>
    <row r="457" spans="1:5" x14ac:dyDescent="0.3">
      <c r="A457" s="153" t="s">
        <v>1279</v>
      </c>
      <c r="B457" s="153" t="s">
        <v>1793</v>
      </c>
      <c r="C457" s="153"/>
      <c r="D457" s="153" t="s">
        <v>1794</v>
      </c>
      <c r="E457" s="153" t="s">
        <v>1365</v>
      </c>
    </row>
    <row r="458" spans="1:5" x14ac:dyDescent="0.3">
      <c r="A458" s="153" t="s">
        <v>1279</v>
      </c>
      <c r="B458" s="153" t="s">
        <v>1795</v>
      </c>
      <c r="C458" s="153"/>
      <c r="D458" s="153" t="s">
        <v>1329</v>
      </c>
      <c r="E458" s="153" t="s">
        <v>1331</v>
      </c>
    </row>
    <row r="459" spans="1:5" x14ac:dyDescent="0.3">
      <c r="A459" s="153" t="s">
        <v>1279</v>
      </c>
      <c r="B459" s="153" t="s">
        <v>1796</v>
      </c>
      <c r="C459" s="153"/>
      <c r="D459" s="153" t="s">
        <v>1393</v>
      </c>
      <c r="E459" s="153" t="s">
        <v>1334</v>
      </c>
    </row>
    <row r="460" spans="1:5" x14ac:dyDescent="0.3">
      <c r="A460" s="153" t="s">
        <v>1279</v>
      </c>
      <c r="B460" s="153" t="s">
        <v>1797</v>
      </c>
      <c r="C460" s="153"/>
      <c r="D460" s="153" t="s">
        <v>1393</v>
      </c>
      <c r="E460" s="153" t="s">
        <v>1336</v>
      </c>
    </row>
    <row r="461" spans="1:5" x14ac:dyDescent="0.3">
      <c r="A461" s="153" t="s">
        <v>1279</v>
      </c>
      <c r="B461" s="153" t="s">
        <v>1798</v>
      </c>
      <c r="C461" s="153" t="s">
        <v>1799</v>
      </c>
      <c r="D461" s="153" t="s">
        <v>1800</v>
      </c>
      <c r="E461" s="153" t="s">
        <v>1340</v>
      </c>
    </row>
    <row r="462" spans="1:5" x14ac:dyDescent="0.3">
      <c r="A462" s="153" t="s">
        <v>1279</v>
      </c>
      <c r="B462" s="153" t="s">
        <v>1801</v>
      </c>
      <c r="C462" s="153" t="s">
        <v>1802</v>
      </c>
      <c r="D462" s="153" t="s">
        <v>1803</v>
      </c>
      <c r="E462" s="153" t="s">
        <v>1344</v>
      </c>
    </row>
    <row r="463" spans="1:5" x14ac:dyDescent="0.3">
      <c r="A463" s="153" t="s">
        <v>1279</v>
      </c>
      <c r="B463" s="153" t="s">
        <v>1804</v>
      </c>
      <c r="C463" s="153" t="s">
        <v>1805</v>
      </c>
      <c r="D463" s="153" t="s">
        <v>1806</v>
      </c>
      <c r="E463" s="153" t="s">
        <v>1348</v>
      </c>
    </row>
    <row r="464" spans="1:5" x14ac:dyDescent="0.3">
      <c r="A464" s="153" t="s">
        <v>1279</v>
      </c>
      <c r="B464" s="153" t="s">
        <v>1807</v>
      </c>
      <c r="C464" s="153" t="s">
        <v>1808</v>
      </c>
      <c r="D464" s="153" t="s">
        <v>1809</v>
      </c>
      <c r="E464" s="153" t="s">
        <v>1352</v>
      </c>
    </row>
    <row r="465" spans="1:5" x14ac:dyDescent="0.3">
      <c r="A465" s="153" t="s">
        <v>1279</v>
      </c>
      <c r="B465" s="153" t="s">
        <v>1810</v>
      </c>
      <c r="C465" s="153" t="s">
        <v>1811</v>
      </c>
      <c r="D465" s="153" t="s">
        <v>1812</v>
      </c>
      <c r="E465" s="153" t="s">
        <v>1356</v>
      </c>
    </row>
    <row r="466" spans="1:5" x14ac:dyDescent="0.3">
      <c r="A466" s="153" t="s">
        <v>1279</v>
      </c>
      <c r="B466" s="153" t="s">
        <v>1813</v>
      </c>
      <c r="C466" s="153"/>
      <c r="D466" s="153" t="s">
        <v>1814</v>
      </c>
      <c r="E466" s="153" t="s">
        <v>1359</v>
      </c>
    </row>
    <row r="467" spans="1:5" x14ac:dyDescent="0.3">
      <c r="A467" s="153" t="s">
        <v>1279</v>
      </c>
      <c r="B467" s="153" t="s">
        <v>1815</v>
      </c>
      <c r="C467" s="153"/>
      <c r="D467" s="153" t="s">
        <v>1816</v>
      </c>
      <c r="E467" s="153" t="s">
        <v>1362</v>
      </c>
    </row>
    <row r="468" spans="1:5" x14ac:dyDescent="0.3">
      <c r="A468" s="153" t="s">
        <v>1279</v>
      </c>
      <c r="B468" s="153" t="s">
        <v>1817</v>
      </c>
      <c r="C468" s="153"/>
      <c r="D468" s="153" t="s">
        <v>1818</v>
      </c>
      <c r="E468" s="153" t="s">
        <v>1365</v>
      </c>
    </row>
    <row r="469" spans="1:5" x14ac:dyDescent="0.3">
      <c r="A469" s="153" t="s">
        <v>1279</v>
      </c>
      <c r="B469" s="153" t="s">
        <v>1819</v>
      </c>
      <c r="C469" s="153"/>
      <c r="D469" s="153" t="s">
        <v>1329</v>
      </c>
      <c r="E469" s="153" t="s">
        <v>1331</v>
      </c>
    </row>
    <row r="470" spans="1:5" x14ac:dyDescent="0.3">
      <c r="A470" s="153" t="s">
        <v>1279</v>
      </c>
      <c r="B470" s="153" t="s">
        <v>1820</v>
      </c>
      <c r="C470" s="153"/>
      <c r="D470" s="153" t="s">
        <v>1393</v>
      </c>
      <c r="E470" s="153" t="s">
        <v>1334</v>
      </c>
    </row>
    <row r="471" spans="1:5" x14ac:dyDescent="0.3">
      <c r="A471" s="153" t="s">
        <v>1279</v>
      </c>
      <c r="B471" s="153" t="s">
        <v>1821</v>
      </c>
      <c r="C471" s="153"/>
      <c r="D471" s="153" t="s">
        <v>1393</v>
      </c>
      <c r="E471" s="153" t="s">
        <v>1336</v>
      </c>
    </row>
    <row r="472" spans="1:5" x14ac:dyDescent="0.3">
      <c r="A472" s="153" t="s">
        <v>1279</v>
      </c>
      <c r="B472" s="153" t="s">
        <v>1822</v>
      </c>
      <c r="C472" s="153" t="s">
        <v>1823</v>
      </c>
      <c r="D472" s="153" t="s">
        <v>1824</v>
      </c>
      <c r="E472" s="153" t="s">
        <v>1340</v>
      </c>
    </row>
    <row r="473" spans="1:5" x14ac:dyDescent="0.3">
      <c r="A473" s="153" t="s">
        <v>1279</v>
      </c>
      <c r="B473" s="153" t="s">
        <v>1825</v>
      </c>
      <c r="C473" s="153" t="s">
        <v>1826</v>
      </c>
      <c r="D473" s="153" t="s">
        <v>1827</v>
      </c>
      <c r="E473" s="153" t="s">
        <v>1344</v>
      </c>
    </row>
    <row r="474" spans="1:5" x14ac:dyDescent="0.3">
      <c r="A474" s="153" t="s">
        <v>1279</v>
      </c>
      <c r="B474" s="153" t="s">
        <v>1828</v>
      </c>
      <c r="C474" s="153" t="s">
        <v>1829</v>
      </c>
      <c r="D474" s="153" t="s">
        <v>1830</v>
      </c>
      <c r="E474" s="153" t="s">
        <v>1348</v>
      </c>
    </row>
    <row r="475" spans="1:5" x14ac:dyDescent="0.3">
      <c r="A475" s="153" t="s">
        <v>1279</v>
      </c>
      <c r="B475" s="153" t="s">
        <v>1831</v>
      </c>
      <c r="C475" s="153" t="s">
        <v>1832</v>
      </c>
      <c r="D475" s="153" t="s">
        <v>1833</v>
      </c>
      <c r="E475" s="153" t="s">
        <v>1352</v>
      </c>
    </row>
    <row r="476" spans="1:5" x14ac:dyDescent="0.3">
      <c r="A476" s="153" t="s">
        <v>1279</v>
      </c>
      <c r="B476" s="153" t="s">
        <v>1834</v>
      </c>
      <c r="C476" s="153" t="s">
        <v>1835</v>
      </c>
      <c r="D476" s="153" t="s">
        <v>1836</v>
      </c>
      <c r="E476" s="153" t="s">
        <v>1356</v>
      </c>
    </row>
    <row r="477" spans="1:5" x14ac:dyDescent="0.3">
      <c r="A477" s="153" t="s">
        <v>1279</v>
      </c>
      <c r="B477" s="153" t="s">
        <v>1837</v>
      </c>
      <c r="C477" s="153"/>
      <c r="D477" s="153" t="s">
        <v>1838</v>
      </c>
      <c r="E477" s="153" t="s">
        <v>1359</v>
      </c>
    </row>
    <row r="478" spans="1:5" x14ac:dyDescent="0.3">
      <c r="A478" s="153" t="s">
        <v>1279</v>
      </c>
      <c r="B478" s="153" t="s">
        <v>1839</v>
      </c>
      <c r="C478" s="153"/>
      <c r="D478" s="153" t="s">
        <v>1840</v>
      </c>
      <c r="E478" s="153" t="s">
        <v>1362</v>
      </c>
    </row>
    <row r="479" spans="1:5" x14ac:dyDescent="0.3">
      <c r="A479" s="153" t="s">
        <v>1279</v>
      </c>
      <c r="B479" s="153" t="s">
        <v>1841</v>
      </c>
      <c r="C479" s="153"/>
      <c r="D479" s="153" t="s">
        <v>1842</v>
      </c>
      <c r="E479" s="153" t="s">
        <v>1365</v>
      </c>
    </row>
    <row r="480" spans="1:5" x14ac:dyDescent="0.3">
      <c r="A480" s="153" t="s">
        <v>1279</v>
      </c>
      <c r="B480" s="153" t="s">
        <v>1391</v>
      </c>
      <c r="C480" s="153"/>
      <c r="D480" s="153" t="s">
        <v>411</v>
      </c>
      <c r="E480" s="153" t="s">
        <v>1441</v>
      </c>
    </row>
    <row r="481" spans="1:5" x14ac:dyDescent="0.3">
      <c r="A481" s="153" t="s">
        <v>1279</v>
      </c>
      <c r="B481" s="153" t="s">
        <v>1392</v>
      </c>
      <c r="C481" s="153"/>
      <c r="D481" s="153" t="s">
        <v>412</v>
      </c>
      <c r="E481" s="153" t="s">
        <v>1441</v>
      </c>
    </row>
    <row r="482" spans="1:5" x14ac:dyDescent="0.3">
      <c r="A482" s="153" t="s">
        <v>1279</v>
      </c>
      <c r="B482" s="153" t="s">
        <v>1394</v>
      </c>
      <c r="C482" s="153"/>
      <c r="D482" s="153" t="s">
        <v>413</v>
      </c>
      <c r="E482" s="153" t="s">
        <v>1441</v>
      </c>
    </row>
    <row r="483" spans="1:5" x14ac:dyDescent="0.3">
      <c r="A483" s="153" t="s">
        <v>1279</v>
      </c>
      <c r="B483" s="153" t="s">
        <v>1410</v>
      </c>
      <c r="C483" s="153"/>
      <c r="D483" s="153" t="s">
        <v>414</v>
      </c>
      <c r="E483" s="153" t="s">
        <v>1441</v>
      </c>
    </row>
    <row r="484" spans="1:5" x14ac:dyDescent="0.3">
      <c r="A484" s="153" t="s">
        <v>1279</v>
      </c>
      <c r="B484" s="153" t="s">
        <v>1414</v>
      </c>
      <c r="C484" s="153"/>
      <c r="D484" s="153" t="s">
        <v>415</v>
      </c>
      <c r="E484" s="153" t="s">
        <v>1441</v>
      </c>
    </row>
    <row r="485" spans="1:5" x14ac:dyDescent="0.3">
      <c r="A485" s="153" t="s">
        <v>1279</v>
      </c>
      <c r="B485" s="153" t="s">
        <v>1412</v>
      </c>
      <c r="C485" s="153"/>
      <c r="D485" s="153" t="s">
        <v>416</v>
      </c>
      <c r="E485" s="153" t="s">
        <v>1441</v>
      </c>
    </row>
    <row r="486" spans="1:5" x14ac:dyDescent="0.3">
      <c r="A486" s="153" t="s">
        <v>1279</v>
      </c>
      <c r="B486" s="153" t="s">
        <v>1843</v>
      </c>
      <c r="C486" s="153">
        <v>3500</v>
      </c>
      <c r="D486" s="153" t="s">
        <v>1844</v>
      </c>
      <c r="E486" s="153" t="s">
        <v>1449</v>
      </c>
    </row>
    <row r="487" spans="1:5" x14ac:dyDescent="0.3">
      <c r="A487" s="153" t="s">
        <v>1279</v>
      </c>
      <c r="B487" s="153" t="s">
        <v>1522</v>
      </c>
      <c r="C487" s="153"/>
      <c r="D487" s="153" t="s">
        <v>1324</v>
      </c>
      <c r="E487" s="153" t="s">
        <v>1331</v>
      </c>
    </row>
    <row r="488" spans="1:5" x14ac:dyDescent="0.3">
      <c r="A488" s="153" t="s">
        <v>1279</v>
      </c>
      <c r="B488" s="153" t="s">
        <v>1523</v>
      </c>
      <c r="C488" s="153"/>
      <c r="D488" s="153" t="s">
        <v>1333</v>
      </c>
      <c r="E488" s="153" t="s">
        <v>1334</v>
      </c>
    </row>
    <row r="489" spans="1:5" x14ac:dyDescent="0.3">
      <c r="A489" s="153" t="s">
        <v>1279</v>
      </c>
      <c r="B489" s="153" t="s">
        <v>1524</v>
      </c>
      <c r="C489" s="153"/>
      <c r="D489" s="153" t="s">
        <v>1333</v>
      </c>
      <c r="E489" s="153" t="s">
        <v>1336</v>
      </c>
    </row>
    <row r="490" spans="1:5" x14ac:dyDescent="0.3">
      <c r="A490" s="153" t="s">
        <v>1279</v>
      </c>
      <c r="B490" s="153" t="s">
        <v>1525</v>
      </c>
      <c r="C490" s="153" t="s">
        <v>1845</v>
      </c>
      <c r="D490" s="153" t="s">
        <v>1527</v>
      </c>
      <c r="E490" s="153" t="s">
        <v>1340</v>
      </c>
    </row>
    <row r="491" spans="1:5" x14ac:dyDescent="0.3">
      <c r="A491" s="153" t="s">
        <v>1279</v>
      </c>
      <c r="B491" s="153" t="s">
        <v>1528</v>
      </c>
      <c r="C491" s="153" t="s">
        <v>1846</v>
      </c>
      <c r="D491" s="153" t="s">
        <v>1847</v>
      </c>
      <c r="E491" s="153" t="s">
        <v>1344</v>
      </c>
    </row>
    <row r="492" spans="1:5" x14ac:dyDescent="0.3">
      <c r="A492" s="153" t="s">
        <v>1279</v>
      </c>
      <c r="B492" s="153" t="s">
        <v>1531</v>
      </c>
      <c r="C492" s="153" t="s">
        <v>1532</v>
      </c>
      <c r="D492" s="153" t="s">
        <v>1533</v>
      </c>
      <c r="E492" s="153" t="s">
        <v>1348</v>
      </c>
    </row>
    <row r="493" spans="1:5" x14ac:dyDescent="0.3">
      <c r="A493" s="153" t="s">
        <v>1279</v>
      </c>
      <c r="B493" s="153" t="s">
        <v>1534</v>
      </c>
      <c r="C493" s="153" t="s">
        <v>1848</v>
      </c>
      <c r="D493" s="153" t="s">
        <v>1849</v>
      </c>
      <c r="E493" s="153" t="s">
        <v>1352</v>
      </c>
    </row>
    <row r="494" spans="1:5" x14ac:dyDescent="0.3">
      <c r="A494" s="153" t="s">
        <v>1279</v>
      </c>
      <c r="B494" s="153" t="s">
        <v>1537</v>
      </c>
      <c r="C494" s="153" t="s">
        <v>1850</v>
      </c>
      <c r="D494" s="153" t="s">
        <v>1851</v>
      </c>
      <c r="E494" s="153" t="s">
        <v>1356</v>
      </c>
    </row>
    <row r="495" spans="1:5" x14ac:dyDescent="0.3">
      <c r="A495" s="153" t="s">
        <v>1279</v>
      </c>
      <c r="B495" s="153" t="s">
        <v>1540</v>
      </c>
      <c r="C495" s="153"/>
      <c r="D495" s="153" t="s">
        <v>1541</v>
      </c>
      <c r="E495" s="153" t="s">
        <v>1359</v>
      </c>
    </row>
    <row r="496" spans="1:5" x14ac:dyDescent="0.3">
      <c r="A496" s="153" t="s">
        <v>1279</v>
      </c>
      <c r="B496" s="153" t="s">
        <v>1542</v>
      </c>
      <c r="C496" s="153"/>
      <c r="D496" s="153" t="s">
        <v>1852</v>
      </c>
      <c r="E496" s="153" t="s">
        <v>1362</v>
      </c>
    </row>
    <row r="497" spans="1:5" x14ac:dyDescent="0.3">
      <c r="A497" s="153" t="s">
        <v>1279</v>
      </c>
      <c r="B497" s="153" t="s">
        <v>1544</v>
      </c>
      <c r="C497" s="153"/>
      <c r="D497" s="153" t="s">
        <v>1545</v>
      </c>
      <c r="E497" s="153" t="s">
        <v>1365</v>
      </c>
    </row>
    <row r="498" spans="1:5" x14ac:dyDescent="0.3">
      <c r="A498" s="153" t="s">
        <v>1279</v>
      </c>
      <c r="B498" s="153" t="s">
        <v>1853</v>
      </c>
      <c r="C498" s="153"/>
      <c r="D498" s="153" t="s">
        <v>1327</v>
      </c>
      <c r="E498" s="153" t="s">
        <v>1331</v>
      </c>
    </row>
    <row r="499" spans="1:5" x14ac:dyDescent="0.3">
      <c r="A499" s="153" t="s">
        <v>1279</v>
      </c>
      <c r="B499" s="153" t="s">
        <v>1854</v>
      </c>
      <c r="C499" s="153"/>
      <c r="D499" s="153" t="s">
        <v>1368</v>
      </c>
      <c r="E499" s="153" t="s">
        <v>1334</v>
      </c>
    </row>
    <row r="500" spans="1:5" x14ac:dyDescent="0.3">
      <c r="A500" s="153" t="s">
        <v>1279</v>
      </c>
      <c r="B500" s="153" t="s">
        <v>1855</v>
      </c>
      <c r="C500" s="153"/>
      <c r="D500" s="153" t="s">
        <v>1368</v>
      </c>
      <c r="E500" s="153" t="s">
        <v>1336</v>
      </c>
    </row>
    <row r="501" spans="1:5" x14ac:dyDescent="0.3">
      <c r="A501" s="153" t="s">
        <v>1279</v>
      </c>
      <c r="B501" s="153" t="s">
        <v>1856</v>
      </c>
      <c r="C501" s="153" t="s">
        <v>1857</v>
      </c>
      <c r="D501" s="153" t="s">
        <v>1858</v>
      </c>
      <c r="E501" s="153" t="s">
        <v>1340</v>
      </c>
    </row>
    <row r="502" spans="1:5" x14ac:dyDescent="0.3">
      <c r="A502" s="153" t="s">
        <v>1279</v>
      </c>
      <c r="B502" s="153" t="s">
        <v>1859</v>
      </c>
      <c r="C502" s="153" t="s">
        <v>1860</v>
      </c>
      <c r="D502" s="153" t="s">
        <v>1861</v>
      </c>
      <c r="E502" s="153" t="s">
        <v>1344</v>
      </c>
    </row>
    <row r="503" spans="1:5" x14ac:dyDescent="0.3">
      <c r="A503" s="153" t="s">
        <v>1279</v>
      </c>
      <c r="B503" s="153" t="s">
        <v>1862</v>
      </c>
      <c r="C503" s="153" t="s">
        <v>1863</v>
      </c>
      <c r="D503" s="153" t="s">
        <v>1864</v>
      </c>
      <c r="E503" s="153" t="s">
        <v>1348</v>
      </c>
    </row>
    <row r="504" spans="1:5" x14ac:dyDescent="0.3">
      <c r="A504" s="153" t="s">
        <v>1279</v>
      </c>
      <c r="B504" s="153" t="s">
        <v>1865</v>
      </c>
      <c r="C504" s="153" t="s">
        <v>1866</v>
      </c>
      <c r="D504" s="153" t="s">
        <v>1867</v>
      </c>
      <c r="E504" s="153" t="s">
        <v>1352</v>
      </c>
    </row>
    <row r="505" spans="1:5" x14ac:dyDescent="0.3">
      <c r="A505" s="153" t="s">
        <v>1279</v>
      </c>
      <c r="B505" s="153" t="s">
        <v>1868</v>
      </c>
      <c r="C505" s="153" t="s">
        <v>1869</v>
      </c>
      <c r="D505" s="153" t="s">
        <v>1870</v>
      </c>
      <c r="E505" s="153" t="s">
        <v>1356</v>
      </c>
    </row>
    <row r="506" spans="1:5" x14ac:dyDescent="0.3">
      <c r="A506" s="153" t="s">
        <v>1279</v>
      </c>
      <c r="B506" s="153" t="s">
        <v>1871</v>
      </c>
      <c r="C506" s="153"/>
      <c r="D506" s="153" t="s">
        <v>1872</v>
      </c>
      <c r="E506" s="153" t="s">
        <v>1359</v>
      </c>
    </row>
    <row r="507" spans="1:5" x14ac:dyDescent="0.3">
      <c r="A507" s="153" t="s">
        <v>1279</v>
      </c>
      <c r="B507" s="153" t="s">
        <v>1873</v>
      </c>
      <c r="C507" s="153"/>
      <c r="D507" s="153" t="s">
        <v>1874</v>
      </c>
      <c r="E507" s="153" t="s">
        <v>1362</v>
      </c>
    </row>
    <row r="508" spans="1:5" x14ac:dyDescent="0.3">
      <c r="A508" s="153" t="s">
        <v>1279</v>
      </c>
      <c r="B508" s="153" t="s">
        <v>1875</v>
      </c>
      <c r="C508" s="153"/>
      <c r="D508" s="153" t="s">
        <v>1876</v>
      </c>
      <c r="E508" s="153" t="s">
        <v>1365</v>
      </c>
    </row>
    <row r="509" spans="1:5" x14ac:dyDescent="0.3">
      <c r="A509" s="153" t="s">
        <v>1279</v>
      </c>
      <c r="B509" s="153" t="s">
        <v>1877</v>
      </c>
      <c r="C509" s="153"/>
      <c r="D509" s="153" t="s">
        <v>1329</v>
      </c>
      <c r="E509" s="153" t="s">
        <v>1331</v>
      </c>
    </row>
    <row r="510" spans="1:5" x14ac:dyDescent="0.3">
      <c r="A510" s="153" t="s">
        <v>1279</v>
      </c>
      <c r="B510" s="153" t="s">
        <v>1878</v>
      </c>
      <c r="C510" s="153"/>
      <c r="D510" s="153" t="s">
        <v>1393</v>
      </c>
      <c r="E510" s="153" t="s">
        <v>1334</v>
      </c>
    </row>
    <row r="511" spans="1:5" x14ac:dyDescent="0.3">
      <c r="A511" s="153" t="s">
        <v>1279</v>
      </c>
      <c r="B511" s="153" t="s">
        <v>1879</v>
      </c>
      <c r="C511" s="153"/>
      <c r="D511" s="153" t="s">
        <v>1393</v>
      </c>
      <c r="E511" s="153" t="s">
        <v>1336</v>
      </c>
    </row>
    <row r="512" spans="1:5" x14ac:dyDescent="0.3">
      <c r="A512" s="153" t="s">
        <v>1279</v>
      </c>
      <c r="B512" s="153" t="s">
        <v>1880</v>
      </c>
      <c r="C512" s="153" t="s">
        <v>1881</v>
      </c>
      <c r="D512" s="153" t="s">
        <v>1882</v>
      </c>
      <c r="E512" s="153" t="s">
        <v>1340</v>
      </c>
    </row>
    <row r="513" spans="1:5" x14ac:dyDescent="0.3">
      <c r="A513" s="153" t="s">
        <v>1279</v>
      </c>
      <c r="B513" s="153" t="s">
        <v>1883</v>
      </c>
      <c r="C513" s="153" t="s">
        <v>1884</v>
      </c>
      <c r="D513" s="153" t="s">
        <v>1885</v>
      </c>
      <c r="E513" s="153" t="s">
        <v>1344</v>
      </c>
    </row>
    <row r="514" spans="1:5" x14ac:dyDescent="0.3">
      <c r="A514" s="153" t="s">
        <v>1279</v>
      </c>
      <c r="B514" s="153" t="s">
        <v>1886</v>
      </c>
      <c r="C514" s="153" t="s">
        <v>1887</v>
      </c>
      <c r="D514" s="153" t="s">
        <v>1888</v>
      </c>
      <c r="E514" s="153" t="s">
        <v>1348</v>
      </c>
    </row>
    <row r="515" spans="1:5" x14ac:dyDescent="0.3">
      <c r="A515" s="153" t="s">
        <v>1279</v>
      </c>
      <c r="B515" s="153" t="s">
        <v>1889</v>
      </c>
      <c r="C515" s="153" t="s">
        <v>1890</v>
      </c>
      <c r="D515" s="153" t="s">
        <v>1891</v>
      </c>
      <c r="E515" s="153" t="s">
        <v>1352</v>
      </c>
    </row>
    <row r="516" spans="1:5" x14ac:dyDescent="0.3">
      <c r="A516" s="153" t="s">
        <v>1279</v>
      </c>
      <c r="B516" s="153" t="s">
        <v>1892</v>
      </c>
      <c r="C516" s="153" t="s">
        <v>1893</v>
      </c>
      <c r="D516" s="153" t="s">
        <v>1894</v>
      </c>
      <c r="E516" s="153" t="s">
        <v>1356</v>
      </c>
    </row>
    <row r="517" spans="1:5" x14ac:dyDescent="0.3">
      <c r="A517" s="153" t="s">
        <v>1279</v>
      </c>
      <c r="B517" s="153" t="s">
        <v>1895</v>
      </c>
      <c r="C517" s="153"/>
      <c r="D517" s="153" t="s">
        <v>1896</v>
      </c>
      <c r="E517" s="153" t="s">
        <v>1359</v>
      </c>
    </row>
    <row r="518" spans="1:5" x14ac:dyDescent="0.3">
      <c r="A518" s="153" t="s">
        <v>1279</v>
      </c>
      <c r="B518" s="153" t="s">
        <v>1897</v>
      </c>
      <c r="C518" s="153"/>
      <c r="D518" s="153" t="s">
        <v>1898</v>
      </c>
      <c r="E518" s="153" t="s">
        <v>1362</v>
      </c>
    </row>
    <row r="519" spans="1:5" x14ac:dyDescent="0.3">
      <c r="A519" s="153" t="s">
        <v>1279</v>
      </c>
      <c r="B519" s="153" t="s">
        <v>1899</v>
      </c>
      <c r="C519" s="153"/>
      <c r="D519" s="153" t="s">
        <v>1900</v>
      </c>
      <c r="E519" s="153" t="s">
        <v>1365</v>
      </c>
    </row>
    <row r="520" spans="1:5" x14ac:dyDescent="0.3">
      <c r="A520" s="153" t="s">
        <v>1279</v>
      </c>
      <c r="B520" s="153" t="s">
        <v>1901</v>
      </c>
      <c r="C520" s="153"/>
      <c r="D520" s="153" t="s">
        <v>1329</v>
      </c>
      <c r="E520" s="153" t="s">
        <v>1331</v>
      </c>
    </row>
    <row r="521" spans="1:5" x14ac:dyDescent="0.3">
      <c r="A521" s="153" t="s">
        <v>1279</v>
      </c>
      <c r="B521" s="153" t="s">
        <v>1902</v>
      </c>
      <c r="C521" s="153"/>
      <c r="D521" s="153" t="s">
        <v>1393</v>
      </c>
      <c r="E521" s="153" t="s">
        <v>1334</v>
      </c>
    </row>
    <row r="522" spans="1:5" x14ac:dyDescent="0.3">
      <c r="A522" s="153" t="s">
        <v>1279</v>
      </c>
      <c r="B522" s="153" t="s">
        <v>1903</v>
      </c>
      <c r="C522" s="153"/>
      <c r="D522" s="153" t="s">
        <v>1393</v>
      </c>
      <c r="E522" s="153" t="s">
        <v>1336</v>
      </c>
    </row>
    <row r="523" spans="1:5" x14ac:dyDescent="0.3">
      <c r="A523" s="153" t="s">
        <v>1279</v>
      </c>
      <c r="B523" s="153" t="s">
        <v>1904</v>
      </c>
      <c r="C523" s="153" t="s">
        <v>1905</v>
      </c>
      <c r="D523" s="153" t="s">
        <v>1906</v>
      </c>
      <c r="E523" s="153" t="s">
        <v>1340</v>
      </c>
    </row>
    <row r="524" spans="1:5" x14ac:dyDescent="0.3">
      <c r="A524" s="153" t="s">
        <v>1279</v>
      </c>
      <c r="B524" s="153" t="s">
        <v>1907</v>
      </c>
      <c r="C524" s="153" t="s">
        <v>1908</v>
      </c>
      <c r="D524" s="153" t="s">
        <v>1909</v>
      </c>
      <c r="E524" s="153" t="s">
        <v>1344</v>
      </c>
    </row>
    <row r="525" spans="1:5" x14ac:dyDescent="0.3">
      <c r="A525" s="153" t="s">
        <v>1279</v>
      </c>
      <c r="B525" s="153" t="s">
        <v>1910</v>
      </c>
      <c r="C525" s="153" t="s">
        <v>1911</v>
      </c>
      <c r="D525" s="153" t="s">
        <v>1912</v>
      </c>
      <c r="E525" s="153" t="s">
        <v>1348</v>
      </c>
    </row>
    <row r="526" spans="1:5" x14ac:dyDescent="0.3">
      <c r="A526" s="153" t="s">
        <v>1279</v>
      </c>
      <c r="B526" s="153" t="s">
        <v>1913</v>
      </c>
      <c r="C526" s="153" t="s">
        <v>1914</v>
      </c>
      <c r="D526" s="153" t="s">
        <v>1915</v>
      </c>
      <c r="E526" s="153" t="s">
        <v>1352</v>
      </c>
    </row>
    <row r="527" spans="1:5" x14ac:dyDescent="0.3">
      <c r="A527" s="153" t="s">
        <v>1279</v>
      </c>
      <c r="B527" s="153" t="s">
        <v>1916</v>
      </c>
      <c r="C527" s="153" t="s">
        <v>1917</v>
      </c>
      <c r="D527" s="153" t="s">
        <v>1918</v>
      </c>
      <c r="E527" s="153" t="s">
        <v>1356</v>
      </c>
    </row>
    <row r="528" spans="1:5" x14ac:dyDescent="0.3">
      <c r="A528" s="153" t="s">
        <v>1279</v>
      </c>
      <c r="B528" s="153" t="s">
        <v>1919</v>
      </c>
      <c r="C528" s="153"/>
      <c r="D528" s="153" t="s">
        <v>1920</v>
      </c>
      <c r="E528" s="153" t="s">
        <v>1359</v>
      </c>
    </row>
    <row r="529" spans="1:5" x14ac:dyDescent="0.3">
      <c r="A529" s="153" t="s">
        <v>1279</v>
      </c>
      <c r="B529" s="153" t="s">
        <v>1921</v>
      </c>
      <c r="C529" s="153"/>
      <c r="D529" s="153" t="s">
        <v>1922</v>
      </c>
      <c r="E529" s="153" t="s">
        <v>1362</v>
      </c>
    </row>
    <row r="530" spans="1:5" x14ac:dyDescent="0.3">
      <c r="A530" s="153" t="s">
        <v>1279</v>
      </c>
      <c r="B530" s="153" t="s">
        <v>1923</v>
      </c>
      <c r="C530" s="153"/>
      <c r="D530" s="153" t="s">
        <v>1924</v>
      </c>
      <c r="E530" s="153" t="s">
        <v>1365</v>
      </c>
    </row>
    <row r="531" spans="1:5" x14ac:dyDescent="0.3">
      <c r="A531" s="153" t="s">
        <v>1279</v>
      </c>
      <c r="B531" s="153" t="s">
        <v>1498</v>
      </c>
      <c r="C531" s="153"/>
      <c r="D531" s="153" t="s">
        <v>411</v>
      </c>
      <c r="E531" s="153" t="s">
        <v>1441</v>
      </c>
    </row>
    <row r="532" spans="1:5" x14ac:dyDescent="0.3">
      <c r="A532" s="153" t="s">
        <v>1279</v>
      </c>
      <c r="B532" s="153" t="s">
        <v>1499</v>
      </c>
      <c r="C532" s="153"/>
      <c r="D532" s="153" t="s">
        <v>412</v>
      </c>
      <c r="E532" s="153" t="s">
        <v>1441</v>
      </c>
    </row>
    <row r="533" spans="1:5" x14ac:dyDescent="0.3">
      <c r="A533" s="153" t="s">
        <v>1279</v>
      </c>
      <c r="B533" s="153" t="s">
        <v>1500</v>
      </c>
      <c r="C533" s="153"/>
      <c r="D533" s="153" t="s">
        <v>413</v>
      </c>
      <c r="E533" s="153" t="s">
        <v>1441</v>
      </c>
    </row>
    <row r="534" spans="1:5" x14ac:dyDescent="0.3">
      <c r="A534" s="153" t="s">
        <v>1279</v>
      </c>
      <c r="B534" s="153" t="s">
        <v>1516</v>
      </c>
      <c r="C534" s="153"/>
      <c r="D534" s="153" t="s">
        <v>414</v>
      </c>
      <c r="E534" s="153" t="s">
        <v>1441</v>
      </c>
    </row>
    <row r="535" spans="1:5" x14ac:dyDescent="0.3">
      <c r="A535" s="153" t="s">
        <v>1279</v>
      </c>
      <c r="B535" s="153" t="s">
        <v>1520</v>
      </c>
      <c r="C535" s="153"/>
      <c r="D535" s="153" t="s">
        <v>415</v>
      </c>
      <c r="E535" s="153" t="s">
        <v>1441</v>
      </c>
    </row>
    <row r="536" spans="1:5" x14ac:dyDescent="0.3">
      <c r="A536" s="153" t="s">
        <v>1279</v>
      </c>
      <c r="B536" s="153" t="s">
        <v>1518</v>
      </c>
      <c r="C536" s="153"/>
      <c r="D536" s="153" t="s">
        <v>416</v>
      </c>
      <c r="E536" s="153" t="s">
        <v>1441</v>
      </c>
    </row>
    <row r="537" spans="1:5" x14ac:dyDescent="0.3">
      <c r="A537" s="153" t="s">
        <v>1279</v>
      </c>
      <c r="B537" s="153" t="s">
        <v>1925</v>
      </c>
      <c r="C537" s="153">
        <v>800</v>
      </c>
      <c r="D537" s="153" t="s">
        <v>1926</v>
      </c>
      <c r="E537" s="153" t="s">
        <v>1449</v>
      </c>
    </row>
    <row r="538" spans="1:5" x14ac:dyDescent="0.3">
      <c r="A538" s="153" t="s">
        <v>1279</v>
      </c>
      <c r="B538" s="153" t="s">
        <v>1658</v>
      </c>
      <c r="C538" s="153"/>
      <c r="D538" s="153" t="s">
        <v>424</v>
      </c>
      <c r="E538" s="153" t="s">
        <v>1659</v>
      </c>
    </row>
  </sheetData>
  <autoFilter ref="A1:E538" xr:uid="{00000000-0009-0000-0000-00000E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Instrucciones</vt:lpstr>
      <vt:lpstr>DECISIONES</vt:lpstr>
      <vt:lpstr>Seleccion_Ciclo0</vt:lpstr>
      <vt:lpstr>Catalogo_Decisiones</vt:lpstr>
      <vt:lpstr>FlujoWeb</vt:lpstr>
      <vt:lpstr>CANTIDAD DE PRODUCCIÓN</vt:lpstr>
      <vt:lpstr>Costos De Producción</vt:lpstr>
      <vt:lpstr>Lotes_Produccion</vt:lpstr>
      <vt:lpstr>Motor_Puntajes</vt:lpstr>
      <vt:lpstr>Matriz_Consecuencias</vt:lpstr>
      <vt:lpstr>Supuestos</vt:lpstr>
      <vt:lpstr>Oraculo_v19</vt:lpstr>
      <vt:lpstr>Componentes_v19</vt:lpstr>
      <vt:lpstr>Cierre_oraculo_v19</vt:lpstr>
      <vt:lpstr>Control_de_cambios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Joel Castillo</cp:lastModifiedBy>
  <dcterms:created xsi:type="dcterms:W3CDTF">2026-07-18T23:06:01Z</dcterms:created>
  <dcterms:modified xsi:type="dcterms:W3CDTF">2026-10-24T15:32:57Z</dcterms:modified>
</cp:coreProperties>
</file>