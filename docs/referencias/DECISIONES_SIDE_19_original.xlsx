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5"/>
    <sheet state="visible" name="DECISIONES" sheetId="2" r:id="rId6"/>
    <sheet state="visible" name="Seleccion_Ciclo0" sheetId="3" r:id="rId7"/>
    <sheet state="visible" name="Catalogo_Decisiones" sheetId="4" r:id="rId8"/>
    <sheet state="visible" name="FlujoWeb" sheetId="5" r:id="rId9"/>
    <sheet state="visible" name="CANTIDAD DE PRODUCCIÓN" sheetId="6" r:id="rId10"/>
    <sheet state="visible" name="Costos De Producción" sheetId="7" r:id="rId11"/>
    <sheet state="visible" name="Copia de Costos De Producción" sheetId="8" r:id="rId12"/>
    <sheet state="visible" name="Lotes_Produccion" sheetId="9" r:id="rId13"/>
    <sheet state="visible" name="Motor_Puntajes" sheetId="10" r:id="rId14"/>
    <sheet state="visible" name="Matriz_Consecuencias"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tc={5f7a8387-cbd9-473f-9b5f-df5f028bf3b2}</author>
    <author>tc={8822989d-3001-46a6-b6e0-bb79297b1895}</author>
    <author>tc={a25c6b5f-6688-4c58-82f0-2664a32e2f0c}</author>
  </authors>
  <commentList>
    <comment authorId="0" xr:uid="{5f7a8387-cbd9-473f-9b5f-df5f028bf3b2}" ref="C97">
      <text>
        <t xml:space="preserve">[Threaded comment]
 Your version of Excel allows you to read this threaded comment; however, any edits to it will get removed if the file is opened in a newer version of Excel. Learn more: https://go.microsoft.com/fwlink/?linkid=870924
Comment:
	ejemplo
</t>
      </text>
    </comment>
    <comment authorId="1" xr:uid="{8822989d-3001-46a6-b6e0-bb79297b1895}" ref="C83">
      <text>
        <t xml:space="preserve">[Threaded comment]
 Your version of Excel allows you to read this threaded comment; however, any edits to it will get removed if the file is opened in a newer version of Excel. Learn more: https://go.microsoft.com/fwlink/?linkid=870924
Comment:
	Ejemplo
</t>
      </text>
    </comment>
    <comment authorId="2" xr:uid="{a25c6b5f-6688-4c58-82f0-2664a32e2f0c}" ref="A123">
      <text>
        <t xml:space="preserve">[Threaded comment]
 Your version of Excel allows you to read this threaded comment; however, any edits to it will get removed if the file is opened in a newer version of Excel. Learn more: https://go.microsoft.com/fwlink/?linkid=870924
Comment:
	Considerar solo este calculo (formulas), para calcular la reputación
</t>
      </text>
    </comment>
  </commentList>
</comments>
</file>

<file path=xl/sharedStrings.xml><?xml version="1.0" encoding="utf-8"?>
<sst xmlns="http://schemas.openxmlformats.org/spreadsheetml/2006/main" count="2021" uniqueCount="589">
  <si>
    <t>Simulador de empresa de bolsos de cuero — Catalogo maestro de decisiones</t>
  </si>
  <si>
    <t xml:space="preserve">DECISIONES </t>
  </si>
  <si>
    <t>Puntaje</t>
  </si>
  <si>
    <t>Como esta organizado este archivo:</t>
  </si>
  <si>
    <t>Depreciación</t>
  </si>
  <si>
    <t>1) Catalogo_Decisiones: TODAS las opciones posibles del juego. Cada opcion es una fila y cada dato (costo, aporte a cada puntaje) tiene su propia celda — nada esta combinado en una sola celda.</t>
  </si>
  <si>
    <t>2) Seleccion_Ciclo0: aqui el jugador elige, por cada grupo de decision (maquinas, personal, canal, etc.), el codigo de la opcion que quiere (lista desplegable en la columna B). Las demas columnas se completan solas con formulas.</t>
  </si>
  <si>
    <t>2b) Lotes_Produccion: aqui se decide la calidad POR LOTE, no como promedio de toda la empresa. Cada lote (hasta 3 por ciclo) tiene su propia cantidad de unidades, su propio cuero/accesorios/hilo/molde y su propio segmento de venta. El sistema calcula el Puntaje de Calidad de CADA lote y lo compara contra el segmento elegido (si vendes 'Premium' con insumos bajos, el lote sale 'No alcanza el segmento').</t>
  </si>
  <si>
    <t>3) Motor_Puntajes: el Puntaje de Calidad de la empresa es el promedio de los lotes PONDERADO por las unidades de cada uno (un lote de 500 unidades pesa mas que uno de 50). Los otros 3 puntajes (Eficiencia, Reputacion, Salud Financiera) suman los aportes de Seleccion_Ciclo0.</t>
  </si>
  <si>
    <t>Garantía del producto</t>
  </si>
  <si>
    <t>4) Matriz_Consecuencias: reglas de negocio — que pasa (efecto numerico) y que mensaje ve el jugador segun el valor de cada puntaje.</t>
  </si>
  <si>
    <t>Mantenimiento de maquinaria</t>
  </si>
  <si>
    <t>Celdas amarillas = donde se elige/edita (inputs). Celdas verdes = puntajes/aportes calculados. Celdas grises = fijas u obligatorias.</t>
  </si>
  <si>
    <t>Política de inventarios</t>
  </si>
  <si>
    <t>Para agregar una opcion nueva: agrega una fila en Catalogo_Decisiones con su Codigo unico y sus aportes, y aparecera disponible para elegir en Seleccion_Ciclo0 (agregando el codigo a la lista desplegable del grupo correspondiente).</t>
  </si>
  <si>
    <t>Grupo de decision</t>
  </si>
  <si>
    <t>Codigo elegido (elige de la lista)</t>
  </si>
  <si>
    <t>Opcion / Nivel (auto)</t>
  </si>
  <si>
    <t>Descripcion (auto)</t>
  </si>
  <si>
    <t>Costo referencial (auto)</t>
  </si>
  <si>
    <t>Aporte Calidad (auto)</t>
  </si>
  <si>
    <t>Aporte Eficiencia (auto)</t>
  </si>
  <si>
    <t>Aporte Reputacion (auto)</t>
  </si>
  <si>
    <t>Aporte Financiero (auto)</t>
  </si>
  <si>
    <t>Maquina de ensamblado</t>
  </si>
  <si>
    <t>Codigo</t>
  </si>
  <si>
    <t>Flujo</t>
  </si>
  <si>
    <t>Bloque</t>
  </si>
  <si>
    <t>Opcion / Nivel</t>
  </si>
  <si>
    <t>Permanencia</t>
  </si>
  <si>
    <t>Steps</t>
  </si>
  <si>
    <t>Descripcion</t>
  </si>
  <si>
    <t>Costo referencial (S/)</t>
  </si>
  <si>
    <t>Docente</t>
  </si>
  <si>
    <t>Aporte Calidad</t>
  </si>
  <si>
    <t>Jugadores</t>
  </si>
  <si>
    <t>Aporte Eficiencia</t>
  </si>
  <si>
    <t>Valeria y Gonzalo</t>
  </si>
  <si>
    <t>Aporte Reputacion</t>
  </si>
  <si>
    <t>Aporte Financiero</t>
  </si>
  <si>
    <t>Notas</t>
  </si>
  <si>
    <t>GEN-01</t>
  </si>
  <si>
    <t>A. Empresa</t>
  </si>
  <si>
    <t>Calculo de MO</t>
  </si>
  <si>
    <t>Launcher</t>
  </si>
  <si>
    <t>Razon social</t>
  </si>
  <si>
    <t>Texto libre</t>
  </si>
  <si>
    <t>Fija</t>
  </si>
  <si>
    <t>Erick y Miguel</t>
  </si>
  <si>
    <t>Nombre legal de la empresa (texto)</t>
  </si>
  <si>
    <t xml:space="preserve">AREA DE CORTE </t>
  </si>
  <si>
    <t>Login</t>
  </si>
  <si>
    <t>Se valida el codigo de sala y el nombre empresa(usuario)</t>
  </si>
  <si>
    <t>Sin efecto en puntajes</t>
  </si>
  <si>
    <t>GEN-02</t>
  </si>
  <si>
    <t xml:space="preserve">Bolsas por día </t>
  </si>
  <si>
    <t>Configuracion del juego (incluye Creacion de Sala)</t>
  </si>
  <si>
    <t>Nombre comercial / marca</t>
  </si>
  <si>
    <t>Tutorial</t>
  </si>
  <si>
    <t>Indicaciones en un carrusel.</t>
  </si>
  <si>
    <t>Marca comercial (texto)</t>
  </si>
  <si>
    <t>Mesa de corte</t>
  </si>
  <si>
    <t>Ciclo 1</t>
  </si>
  <si>
    <t>GEN-04</t>
  </si>
  <si>
    <t>Decisiones</t>
  </si>
  <si>
    <t>Tipos de bolsos</t>
  </si>
  <si>
    <t>Espera (Fin de ciclo)</t>
  </si>
  <si>
    <t>El docente define si se hace automatico o manual</t>
  </si>
  <si>
    <t xml:space="preserve">Producción por día </t>
  </si>
  <si>
    <t>Información en vivo de las decisiones de los jugadores (Manual: Cierra el ciclo)</t>
  </si>
  <si>
    <t>AL MES</t>
  </si>
  <si>
    <t>Eficiencia</t>
  </si>
  <si>
    <t>Linea de productos que fabrica (tote, cartera, mochila, etc.)</t>
  </si>
  <si>
    <t>Estados financieros Generales</t>
  </si>
  <si>
    <t>Estados financieros Individuales e Informacion del mercado</t>
  </si>
  <si>
    <t>Produccion Real</t>
  </si>
  <si>
    <t>Descargables en pdf</t>
  </si>
  <si>
    <t>Ciclo 2</t>
  </si>
  <si>
    <t>SEG-01</t>
  </si>
  <si>
    <t>Segmento / linea</t>
  </si>
  <si>
    <t>Economico</t>
  </si>
  <si>
    <t xml:space="preserve">  </t>
  </si>
  <si>
    <t>Precio bajo, prioriza volumen y costo</t>
  </si>
  <si>
    <t>Exige coherencia con Calidad real</t>
  </si>
  <si>
    <t>SEG-02</t>
  </si>
  <si>
    <t xml:space="preserve">Nivel 1 - Operario basico </t>
  </si>
  <si>
    <t>Estandar</t>
  </si>
  <si>
    <t>Equilibra costo, calidad, demanda y margen</t>
  </si>
  <si>
    <t>SEG-03</t>
  </si>
  <si>
    <t>Ciclo 3</t>
  </si>
  <si>
    <t>Premium</t>
  </si>
  <si>
    <t>Precio alto; requiere Calidad&gt;=7 para sostenerse</t>
  </si>
  <si>
    <t>Riesgo si Calidad interna es baja (ver Matriz)</t>
  </si>
  <si>
    <t>INF-01</t>
  </si>
  <si>
    <t>B. Infraestructura</t>
  </si>
  <si>
    <t>Unica (obligatoria)</t>
  </si>
  <si>
    <t>Inversion fija para todos; habilita la etapa de corte</t>
  </si>
  <si>
    <t>Ciclo N</t>
  </si>
  <si>
    <t>Obligatoria, no otorga niveles</t>
  </si>
  <si>
    <t>INF-02</t>
  </si>
  <si>
    <t>Nivel 1: manual/basica</t>
  </si>
  <si>
    <t>Costura Singer 4423 Heavy Duty; desbastadora a mano con cuchilla o lija</t>
  </si>
  <si>
    <t>Resumen General - Indicar podio</t>
  </si>
  <si>
    <t>Estados financieros Individuales y Consolidado Final</t>
  </si>
  <si>
    <t>INF-03</t>
  </si>
  <si>
    <t>Nivel 2: semi-industrial</t>
  </si>
  <si>
    <t>Maquina de coser de columna/brazo (poste) Typical TB-801</t>
  </si>
  <si>
    <t>Mostrar Podio</t>
  </si>
  <si>
    <t>Agregar disclaimer indicando que los datos se guardaran un maximo de 24 horas</t>
  </si>
  <si>
    <t>Maquina de acabados</t>
  </si>
  <si>
    <t>INF-04</t>
  </si>
  <si>
    <t>Nivel 3: industrial</t>
  </si>
  <si>
    <t>Juki de triple accionamiento; desbastadora automatica de alta precision, servomotor</t>
  </si>
  <si>
    <t>INF-05</t>
  </si>
  <si>
    <t>Acabado a mano con cera/tinte de bordes, bruñido manual. Lento, variable en calidad</t>
  </si>
  <si>
    <t>Si el jugador no tomo decision dentro del tiempo establecido y es la primera decisión se le elimina del juego</t>
  </si>
  <si>
    <t>El Docente tiene la opcion de eliminar jugadores en cualquier momento. Sin importar si es manual o automatico</t>
  </si>
  <si>
    <t>INF-06</t>
  </si>
  <si>
    <t>Maquina de pulido de bordes (edge burnisher) electrica, tinte con pincel/aerografo</t>
  </si>
  <si>
    <t>INF-07</t>
  </si>
  <si>
    <t>Linea de acabado con teñido automatico + pulido, control de temperatura y velocidad</t>
  </si>
  <si>
    <t>Si el jugador no tomo decisiones dentro del tiempo establecido y no es la primera decisión el sistema replica las decisiones del ciclo anterior.</t>
  </si>
  <si>
    <t>INF-08</t>
  </si>
  <si>
    <t>Molde</t>
  </si>
  <si>
    <t>Nivel 1 - Generico basico</t>
  </si>
  <si>
    <t>Patrones simples, tipo plantilla estandar de internet o catalogo generico</t>
  </si>
  <si>
    <t>Bajo aprovechamiento de cuero</t>
  </si>
  <si>
    <t>INF-09</t>
  </si>
  <si>
    <t>Nivel 2 - Generico mejorado</t>
  </si>
  <si>
    <t>Patron tecnico mas elaborado, con lineas de corte, marcado y perforaciones bien definidas</t>
  </si>
  <si>
    <t>Aprovechamiento medio-alto</t>
  </si>
  <si>
    <t>INF-10</t>
  </si>
  <si>
    <t>Nivel 3 - Premium</t>
  </si>
  <si>
    <t>La empresa desarrolla su propio patron desde cero, adaptado a su propuesta de marca</t>
  </si>
  <si>
    <t>Maximo aprovechamiento y diferenciacion</t>
  </si>
  <si>
    <t>RH-01</t>
  </si>
  <si>
    <t>C. RRHH</t>
  </si>
  <si>
    <t>Personal de corte</t>
  </si>
  <si>
    <t>Nivel 1 - Operario basico</t>
  </si>
  <si>
    <t>Revisable con costo</t>
  </si>
  <si>
    <t>Corta con plantilla simple, sin experiencia previa. Mas lento, mas margen de error</t>
  </si>
  <si>
    <t>RH-02</t>
  </si>
  <si>
    <t>Nivel 2 - Cortador con experiencia</t>
  </si>
  <si>
    <t>Optimiza el aprovechamiento del cuero, reduce desperdicio, mas rapido</t>
  </si>
  <si>
    <t>RH-03</t>
  </si>
  <si>
    <t>Nivel 3 - Maestro cortador</t>
  </si>
  <si>
    <t>Trabaja cueros irregulares/premium, maximo aprovechamiento, minimo desperdicio</t>
  </si>
  <si>
    <t>RH-04</t>
  </si>
  <si>
    <t>Personal de ensamble</t>
  </si>
  <si>
    <t>Nivel 1 - Costurero basico</t>
  </si>
  <si>
    <t>Maquina domestica, puntadas rectas simples, funciona con diseños sencillos</t>
  </si>
  <si>
    <t>RH-05</t>
  </si>
  <si>
    <t>Nivel 2 - Maquinista industrial</t>
  </si>
  <si>
    <t>Maquina semi-industrial/industrial, costuras reforzadas, mayor velocidad</t>
  </si>
  <si>
    <t>Esta produccion no puede ser superior a lo que permite el material</t>
  </si>
  <si>
    <t>RH-06</t>
  </si>
  <si>
    <t xml:space="preserve">Nivel 2 - Cortador con experiencia </t>
  </si>
  <si>
    <t>Nivel 3 - Marroquinero especializado</t>
  </si>
  <si>
    <t>Costura a mano de alta gama, ejecuta moldes exclusivos complejos, ideal linea premium</t>
  </si>
  <si>
    <t>RH-07</t>
  </si>
  <si>
    <t>Personal de acabados</t>
  </si>
  <si>
    <t>Eficiencia BASE</t>
  </si>
  <si>
    <t>Nivel 1 - Operario de acabado basico</t>
  </si>
  <si>
    <t>Aplica tinte y cera de forma simple, resultado variable</t>
  </si>
  <si>
    <t xml:space="preserve">Nivel 3 - Maestro cortador </t>
  </si>
  <si>
    <t>RH-08</t>
  </si>
  <si>
    <t>Nivel 2 - Tecnico en acabados</t>
  </si>
  <si>
    <t>Maneja maquina de pulido de bordes, tinte con aerografo, resultado consistente</t>
  </si>
  <si>
    <t>AREA DE ENSAMBLADO</t>
  </si>
  <si>
    <t>RH-09</t>
  </si>
  <si>
    <t>Nivel 3 - Artesano acabador</t>
  </si>
  <si>
    <t>Bruñido fino, dorado, decoracion compleja (pedreria, herrajes especiales)</t>
  </si>
  <si>
    <t>RH-10A</t>
  </si>
  <si>
    <t>Jefatura</t>
  </si>
  <si>
    <t>Contratar jefatura</t>
  </si>
  <si>
    <t>Coordina el equipo, reduce riesgo de descoordinacion</t>
  </si>
  <si>
    <t>Operarios</t>
  </si>
  <si>
    <t>RH-10B</t>
  </si>
  <si>
    <t>MAQUINARIA MANUAL</t>
  </si>
  <si>
    <t xml:space="preserve">MAQUINARIA SEMIINDUSTRIAL </t>
  </si>
  <si>
    <t>No contratar jefatura</t>
  </si>
  <si>
    <t xml:space="preserve">MAQUINARIA INDUSTRIAL </t>
  </si>
  <si>
    <t>Ahorra costo fijo, pero aumenta el riesgo de descoordinacion</t>
  </si>
  <si>
    <t>Total de trabajadores</t>
  </si>
  <si>
    <t>Ahorro de caja pero baja Eficiencia</t>
  </si>
  <si>
    <t>RH-11</t>
  </si>
  <si>
    <t>Limpieza y servicios generales</t>
  </si>
  <si>
    <t>Monto fijo obligatorio para mantener la operacion</t>
  </si>
  <si>
    <t>RH-12</t>
  </si>
  <si>
    <t>Local de produccion</t>
  </si>
  <si>
    <t>Estandar (unico)</t>
  </si>
  <si>
    <t>Local de produccion estandar; alquiler fijo igual para todos los equipos</t>
  </si>
  <si>
    <t>total de trabajadores N3</t>
  </si>
  <si>
    <t>COM-01A</t>
  </si>
  <si>
    <t>D. Canales</t>
  </si>
  <si>
    <t>Canal de venta</t>
  </si>
  <si>
    <t>Solo tienda fisica</t>
  </si>
  <si>
    <t>Revisable cada ciclo</t>
  </si>
  <si>
    <t>Menor cobertura y demanda; menor complejidad y costo</t>
  </si>
  <si>
    <t>COM-01B</t>
  </si>
  <si>
    <t>Solo web</t>
  </si>
  <si>
    <t>Cobertura amplia con menor costo fijo; depende de marketing digital</t>
  </si>
  <si>
    <t>COM-01C</t>
  </si>
  <si>
    <t>Web y fisico</t>
  </si>
  <si>
    <t>Mayor cobertura y demanda; incrementa complejidad y costo</t>
  </si>
  <si>
    <t>FIN-01A</t>
  </si>
  <si>
    <t>Acceso a prestamo bancario</t>
  </si>
  <si>
    <t>Solicitar prestamo</t>
  </si>
  <si>
    <t>Fija: habilita</t>
  </si>
  <si>
    <t>Habilita apalancamiento; permite invertir mas rapido</t>
  </si>
  <si>
    <t>Aumenta apalancamiento</t>
  </si>
  <si>
    <t>FIN-01B</t>
  </si>
  <si>
    <t>No solicitar prestamo</t>
  </si>
  <si>
    <t>Evita intereses; la expansion depende del capital propio</t>
  </si>
  <si>
    <t>Nivel 1</t>
  </si>
  <si>
    <t>INS-01</t>
  </si>
  <si>
    <t>E. Insumos</t>
  </si>
  <si>
    <t>Calidad del cuero</t>
  </si>
  <si>
    <t>Nivel 1 - Cuero sintetico</t>
  </si>
  <si>
    <t>Bajo costo, menor durabilidad, acabado menos premium</t>
  </si>
  <si>
    <t>por unidad, referencial</t>
  </si>
  <si>
    <t>INS-02</t>
  </si>
  <si>
    <t>Nivel 2 - Cuero genuino estandar</t>
  </si>
  <si>
    <t>Costo medio, durabilidad media</t>
  </si>
  <si>
    <t>INS-03</t>
  </si>
  <si>
    <t>Nivel 3 - Cuero genuino premium</t>
  </si>
  <si>
    <t>Full grain / curtido vegetal: alto costo, alta durabilidad, mejor acabado</t>
  </si>
  <si>
    <t>INS-04</t>
  </si>
  <si>
    <t>Calidad de accesorios</t>
  </si>
  <si>
    <t>Nivel 1 - Aleacion economica</t>
  </si>
  <si>
    <t>Bajo costo, se oxida/desgasta mas rapido</t>
  </si>
  <si>
    <t>INS-05</t>
  </si>
  <si>
    <t>Nivel 2 - Metal premium</t>
  </si>
  <si>
    <t>Laton macizo o acero inoxidable, alto costo, mayor durabilidad y brillo</t>
  </si>
  <si>
    <t>INS-06</t>
  </si>
  <si>
    <t>Calidad del hilo</t>
  </si>
  <si>
    <t>Nivel 2</t>
  </si>
  <si>
    <t>Nivel 1 - Poliester estandar</t>
  </si>
  <si>
    <t>Economico, resistencia media</t>
  </si>
  <si>
    <t>INS-07</t>
  </si>
  <si>
    <t>Nivel 2 - Encerado reforzado</t>
  </si>
  <si>
    <t>Costo medio, mayor resistencia a tension</t>
  </si>
  <si>
    <t>INS-08</t>
  </si>
  <si>
    <t>Nivel 3</t>
  </si>
  <si>
    <t>Nivel 3 - Alta tenacidad (nylon trenzado)</t>
  </si>
  <si>
    <t>Costoso, maxima durabilidad, ideal para costura visible/detalle</t>
  </si>
  <si>
    <t>INS-09A</t>
  </si>
  <si>
    <t>Numero de proveedores</t>
  </si>
  <si>
    <t>Proveedor unico</t>
  </si>
  <si>
    <t>Obtiene 2% adicional de descuento, pero concentra el riesgo de abastecimiento</t>
  </si>
  <si>
    <t xml:space="preserve">AREA DE ACABADO </t>
  </si>
  <si>
    <t>Riesgo de desabastecimiento</t>
  </si>
  <si>
    <t>INS-09B</t>
  </si>
  <si>
    <t>Varios proveedores</t>
  </si>
  <si>
    <t>Menor descuento, pero reduce el riesgo de desabastecimiento</t>
  </si>
  <si>
    <t>INS-10A</t>
  </si>
  <si>
    <t>Politica de pago a proveedores</t>
  </si>
  <si>
    <t>Contado</t>
  </si>
  <si>
    <t>Obtiene 3% de descuento; reduce la caja inmediatamente</t>
  </si>
  <si>
    <t>INS-10B</t>
  </si>
  <si>
    <t>Credito</t>
  </si>
  <si>
    <t>Sin descuento; conserva liquidez en el ciclo</t>
  </si>
  <si>
    <t>INS-11A</t>
  </si>
  <si>
    <t>Lead time</t>
  </si>
  <si>
    <t>Rapido (urgente, con sobrecosto)</t>
  </si>
  <si>
    <t>Entrega en menos dias, pero con sobrecosto</t>
  </si>
  <si>
    <t>INS-11B</t>
  </si>
  <si>
    <t>Normal - 7 dias</t>
  </si>
  <si>
    <t>Equilibrio entre costo y disponibilidad</t>
  </si>
  <si>
    <t>INS-11C</t>
  </si>
  <si>
    <t>Lento (economico)</t>
  </si>
  <si>
    <t>Menor costo, mayor riesgo de quiebre de stock</t>
  </si>
  <si>
    <t>COM-05</t>
  </si>
  <si>
    <t>% de ventas a credito</t>
  </si>
  <si>
    <t>20% a credito (referencia)</t>
  </si>
  <si>
    <t>Balancea liquidez y ventas; riesgo de cobranza bajo</t>
  </si>
  <si>
    <t>Valor ingresado por el jugador en hoja Seleccion</t>
  </si>
  <si>
    <t>INV-01A</t>
  </si>
  <si>
    <t>F. Inversiones</t>
  </si>
  <si>
    <t>Inversion en RR.HH.</t>
  </si>
  <si>
    <t>Baja</t>
  </si>
  <si>
    <t>Poca capacitacion tecnica</t>
  </si>
  <si>
    <t>INV-01B</t>
  </si>
  <si>
    <t>Media</t>
  </si>
  <si>
    <t>Capacitacion tecnica: +8% de capacidad y mejor reputacion</t>
  </si>
  <si>
    <t>INV-01C</t>
  </si>
  <si>
    <t>Alta</t>
  </si>
  <si>
    <t>Capacitacion avanzada: mayor capacidad y reputacion, alto costo</t>
  </si>
  <si>
    <t>Jefe de Produccion</t>
  </si>
  <si>
    <t>INV-02A</t>
  </si>
  <si>
    <t>Inversion en marketing</t>
  </si>
  <si>
    <t>Poca visibilidad de marca</t>
  </si>
  <si>
    <t xml:space="preserve">NOTA: EL PROCETANJE DE TRABAJADORES DE NIVEL 3 AFECTA POSITIVAMENTE A LA EFICIENCIA </t>
  </si>
  <si>
    <t>INV-02B</t>
  </si>
  <si>
    <t>Calculo de MP</t>
  </si>
  <si>
    <t>S/ 6,000 por ciclo; aumenta demanda estimada 12% y reputacion</t>
  </si>
  <si>
    <t>INV-02C</t>
  </si>
  <si>
    <t>Alto costo; mayor aumento de demanda y reputacion</t>
  </si>
  <si>
    <t>FIN-02A</t>
  </si>
  <si>
    <t>G. Finanzas</t>
  </si>
  <si>
    <t>Método de depreciación</t>
  </si>
  <si>
    <t>Línea recta</t>
  </si>
  <si>
    <t>Fija en Ciclo 0</t>
  </si>
  <si>
    <t>Distribuye el valor depreciable de la maquinaria en cuotas iguales durante su vida útil</t>
  </si>
  <si>
    <t>S/0</t>
  </si>
  <si>
    <t>Gasto contable constante; no representa una salida de efectivo</t>
  </si>
  <si>
    <t>FIN-02B</t>
  </si>
  <si>
    <t>Unidades producidas</t>
  </si>
  <si>
    <t>Calcula la depreciación según el uso real de la maquinaria y las unidades fabricadas</t>
  </si>
  <si>
    <t>Costos: MO</t>
  </si>
  <si>
    <t>Mejora la asignación del costo por unidad; no representa una salida de efectivo</t>
  </si>
  <si>
    <t>Nivel 3 - Metal Deluxe</t>
  </si>
  <si>
    <t>FIN-02C</t>
  </si>
  <si>
    <t>Acelerada</t>
  </si>
  <si>
    <t>Reconoce una mayor depreciación durante los primeros ciclos y una menor depreciación después</t>
  </si>
  <si>
    <t>Reduce la utilidad contable inicial; no representa una salida de efectivo</t>
  </si>
  <si>
    <t>COM-06A</t>
  </si>
  <si>
    <t>UM Compra</t>
  </si>
  <si>
    <t>Sin garantía</t>
  </si>
  <si>
    <t>No cubre fallas posteriores a la venta; reduce el costo inmediato, pero genera desconfianza</t>
  </si>
  <si>
    <t>rollo</t>
  </si>
  <si>
    <t>Piel completa</t>
  </si>
  <si>
    <t>Juego</t>
  </si>
  <si>
    <t>Carrete</t>
  </si>
  <si>
    <t>O.Basico</t>
  </si>
  <si>
    <t>Mayor riesgo de reclamos y pérdida de clientes</t>
  </si>
  <si>
    <t>COM-06B</t>
  </si>
  <si>
    <t>MYPE</t>
  </si>
  <si>
    <t>NoMype</t>
  </si>
  <si>
    <t>Garantía de 30 días</t>
  </si>
  <si>
    <t>Cubre defectos de fabricación durante 30 días y brinda seguridad básica al cliente</t>
  </si>
  <si>
    <t>Costurero básico</t>
  </si>
  <si>
    <t>UM Produccion</t>
  </si>
  <si>
    <t>S/5</t>
  </si>
  <si>
    <t>m2</t>
  </si>
  <si>
    <t>unidad</t>
  </si>
  <si>
    <t>metro</t>
  </si>
  <si>
    <t>Costo referencial por unidad vendida para atender cambios o reparaciones</t>
  </si>
  <si>
    <t>Operario de acabado clásico</t>
  </si>
  <si>
    <t>COM-06C</t>
  </si>
  <si>
    <t>Garantía de 90 días</t>
  </si>
  <si>
    <t>Cubre defectos durante 90 días; aumenta la confianza, pero exige una mayor provisión</t>
  </si>
  <si>
    <t>S/10</t>
  </si>
  <si>
    <t>Costo referencial por unidad vendida; mayor exposición a devoluciones</t>
  </si>
  <si>
    <t>INF-11A</t>
  </si>
  <si>
    <t>Solo correctivo</t>
  </si>
  <si>
    <t>La empresa repara las máquinas únicamente cuando presentan una falla</t>
  </si>
  <si>
    <t>Ahorra al inicio, pero aumenta el riesgo de paradas y retrasos</t>
  </si>
  <si>
    <t>INF-11B</t>
  </si>
  <si>
    <t>Preventivo básico</t>
  </si>
  <si>
    <t>Incluye revisión, limpieza, lubricación y ajustes básicos para prevenir fallas</t>
  </si>
  <si>
    <t>S/1,500</t>
  </si>
  <si>
    <t>Costo referencial por ciclo; reduce parcialmente las averías</t>
  </si>
  <si>
    <t>INF-11C</t>
  </si>
  <si>
    <t>Preventivo integral</t>
  </si>
  <si>
    <t>Incluye mantenimiento programado, cambio de piezas críticas y calibración de equipos</t>
  </si>
  <si>
    <t>S/3,000</t>
  </si>
  <si>
    <t>Cantidad que desea producir</t>
  </si>
  <si>
    <t>Costo referencial por ciclo; minimiza paradas y defectos de fabricación</t>
  </si>
  <si>
    <t>INS-12A</t>
  </si>
  <si>
    <t>Justo a tiempo</t>
  </si>
  <si>
    <t>Mantiene inventario mínimo y compra cerca de la fecha de producción</t>
  </si>
  <si>
    <t>Menor dinero inmovilizado, pero mayor riesgo de quedarse sin insumos</t>
  </si>
  <si>
    <t>INS-12B</t>
  </si>
  <si>
    <t>Stock de seguridad medio</t>
  </si>
  <si>
    <t>Mantiene una reserva moderada para cubrir retrasos del proveedor o cambios de demanda</t>
  </si>
  <si>
    <t>S/1,000</t>
  </si>
  <si>
    <t>Costo referencial de almacenamiento por ciclo; alternativa equilibrada</t>
  </si>
  <si>
    <t>INS-12C</t>
  </si>
  <si>
    <t>Sueldo base</t>
  </si>
  <si>
    <t>Stock de seguridad alto</t>
  </si>
  <si>
    <t>Mantiene una reserva amplia de materiales para evitar interrupciones de producción</t>
  </si>
  <si>
    <t>S/2,500</t>
  </si>
  <si>
    <t>Reduce quiebres de stock, pero inmoviliza más efectivo y aumenta el almacenaje</t>
  </si>
  <si>
    <t>Essalud</t>
  </si>
  <si>
    <t>Grati</t>
  </si>
  <si>
    <t>CTS</t>
  </si>
  <si>
    <t>vacaciones</t>
  </si>
  <si>
    <t>Ejecucion de produccion</t>
  </si>
  <si>
    <t>Suma anual</t>
  </si>
  <si>
    <t>TOTAL PRODUCIDO REAL</t>
  </si>
  <si>
    <t>Cuero empleado</t>
  </si>
  <si>
    <t>Accesorios empleados</t>
  </si>
  <si>
    <t>Hilo empleado</t>
  </si>
  <si>
    <t>Calidad por Materiales</t>
  </si>
  <si>
    <t>Pago mensual</t>
  </si>
  <si>
    <t>Cortador con experiencia</t>
  </si>
  <si>
    <t>Maquinista industrial</t>
  </si>
  <si>
    <t>Técnico de acabado</t>
  </si>
  <si>
    <t>Inventario Inicial</t>
  </si>
  <si>
    <t>Compras</t>
  </si>
  <si>
    <t>Produccion</t>
  </si>
  <si>
    <t>Inventario Final</t>
  </si>
  <si>
    <t>InventarioFinal = InventarioInicial + compras - produccido</t>
  </si>
  <si>
    <t>0 - 10,000(rango en soles)</t>
  </si>
  <si>
    <t>Gastos del ciclo en publicidad</t>
  </si>
  <si>
    <t>Calculo de Reputacion</t>
  </si>
  <si>
    <t>ptos de reputación</t>
  </si>
  <si>
    <t>Factor de producción</t>
  </si>
  <si>
    <t>Factor de MO</t>
  </si>
  <si>
    <t>Factor de MP (utilizacion)</t>
  </si>
  <si>
    <t>Factor de Publicidad</t>
  </si>
  <si>
    <t>EJEMPLO de distribución de Ventas (Bolsos Economicos)</t>
  </si>
  <si>
    <t>Reputacion</t>
  </si>
  <si>
    <t>Precio</t>
  </si>
  <si>
    <t>Puntaje del precio</t>
  </si>
  <si>
    <t>Puntaje total</t>
  </si>
  <si>
    <t>Porcentaje parcial</t>
  </si>
  <si>
    <t>Unidades Vendidas</t>
  </si>
  <si>
    <t>Empresa A</t>
  </si>
  <si>
    <t>Empresa B</t>
  </si>
  <si>
    <t>Empresa C</t>
  </si>
  <si>
    <t>Empresa D</t>
  </si>
  <si>
    <t>Total</t>
  </si>
  <si>
    <t>Maestro cortador</t>
  </si>
  <si>
    <t>Marroquinero especializado</t>
  </si>
  <si>
    <t>Artesano acabador</t>
  </si>
  <si>
    <t>unidades mercado</t>
  </si>
  <si>
    <t>unidades mercado real</t>
  </si>
  <si>
    <t>EJEMPLO de distribución de Ventas (Bolsos promedio)</t>
  </si>
  <si>
    <t>EJEMPLO de distribución de Ventas (Bolsos Premium)</t>
  </si>
  <si>
    <t>Cantidad necesaria</t>
  </si>
  <si>
    <t>Compra Jugador</t>
  </si>
  <si>
    <t>Cantidad Produccion</t>
  </si>
  <si>
    <t>--- Otras decisiones numericas ---</t>
  </si>
  <si>
    <t>Limpieza</t>
  </si>
  <si>
    <t>Local de producción</t>
  </si>
  <si>
    <t>PRO-01 - Cantidad inicial a producir (unidades)</t>
  </si>
  <si>
    <t>COM-02 - N° de tiendas en zona alta (Miraflores)</t>
  </si>
  <si>
    <t>COM-03 - N° de tiendas en zona media (Los Olivos / San Miguel)</t>
  </si>
  <si>
    <t>COM-04 - N° de tiendas en zona baja (SJL / SMP)</t>
  </si>
  <si>
    <t>COM-05N - % de ventas a credito (0-100)</t>
  </si>
  <si>
    <t>FIN-01M - Monto de prestamo solicitado (S/)</t>
  </si>
  <si>
    <t>Costo fijo</t>
  </si>
  <si>
    <t>Peso precio</t>
  </si>
  <si>
    <t>Almacen</t>
  </si>
  <si>
    <t>Moldes (siempre debe comprar al menos uno)</t>
  </si>
  <si>
    <t>Cuero</t>
  </si>
  <si>
    <t>peso reputación</t>
  </si>
  <si>
    <t>Accesorios</t>
  </si>
  <si>
    <t>Hilos</t>
  </si>
  <si>
    <t>Peso calidad</t>
  </si>
  <si>
    <t>Reputación (0-10)</t>
  </si>
  <si>
    <t>Calidad (0-100)</t>
  </si>
  <si>
    <t>Precio Económico (0-100)</t>
  </si>
  <si>
    <t>Reputación (0-100)</t>
  </si>
  <si>
    <t>como estamos trabajando los hilos, po rmetro? pero cuando compramos compramos metros o carretes? si es carretes cuantos metros tiene</t>
  </si>
  <si>
    <t>Costos: Maquinaria</t>
  </si>
  <si>
    <t>es mas sencillo trabajarlo como unidad y establecer valores mas pequeños de hilo necesario, bajarle el precio al hilo</t>
  </si>
  <si>
    <t>Maquina de Ensamblado N1</t>
  </si>
  <si>
    <t>Maquina de acabado N1</t>
  </si>
  <si>
    <t>Cuantos Bolso deseas producir ?</t>
  </si>
  <si>
    <t>Producido luego del termino del ciclo</t>
  </si>
  <si>
    <t>Total Cuero Necesario</t>
  </si>
  <si>
    <t>Total Accesorios Necesario</t>
  </si>
  <si>
    <t>Total Hilo Necesario</t>
  </si>
  <si>
    <t>Total Cuero Utilizado</t>
  </si>
  <si>
    <t>Total Accesorios Utilizado</t>
  </si>
  <si>
    <t>Total Hilo Utilizado</t>
  </si>
  <si>
    <t>Costo de adquisición</t>
  </si>
  <si>
    <t>SUMA</t>
  </si>
  <si>
    <t xml:space="preserve">Instalación </t>
  </si>
  <si>
    <t>TOTAL</t>
  </si>
  <si>
    <t xml:space="preserve">Unidades mercado </t>
  </si>
  <si>
    <t xml:space="preserve">Unidades mercado real </t>
  </si>
  <si>
    <t>Capacitación</t>
  </si>
  <si>
    <t>EJEMPLO de distribución de Ventas (Bolsos Medio)</t>
  </si>
  <si>
    <t>Precio ideal</t>
  </si>
  <si>
    <t>Mantenimiento anual</t>
  </si>
  <si>
    <t>Depreciación anual</t>
  </si>
  <si>
    <t>Lote</t>
  </si>
  <si>
    <t>Segmento de venta (elige)</t>
  </si>
  <si>
    <t>Cantidad de unidades (input)</t>
  </si>
  <si>
    <t>Codigo Cuero (elige)</t>
  </si>
  <si>
    <t>Codigo Accesorios (elige)</t>
  </si>
  <si>
    <t>Codigo Hilo (elige)</t>
  </si>
  <si>
    <t>Codigo Molde (elige)</t>
  </si>
  <si>
    <t>Costo unitario insumos (auto)</t>
  </si>
  <si>
    <t>Puntaje Calidad del lote (auto)</t>
  </si>
  <si>
    <t>Umbral requerido por segmento (auto)</t>
  </si>
  <si>
    <t>Resultado (auto)</t>
  </si>
  <si>
    <t>Mensaje para el jugador (auto)</t>
  </si>
  <si>
    <t>Lote 1</t>
  </si>
  <si>
    <t>EJEMPLO de distribución de Ventas (Bolsos Caros)</t>
  </si>
  <si>
    <t>ALMACEN</t>
  </si>
  <si>
    <t>Molde 1</t>
  </si>
  <si>
    <t>Maquina de Ensamblado N2</t>
  </si>
  <si>
    <t>Maquina de acabado N2</t>
  </si>
  <si>
    <t>Lote 2</t>
  </si>
  <si>
    <t>Lote 3</t>
  </si>
  <si>
    <t>TOTAL CICLO</t>
  </si>
  <si>
    <t>Molde 2</t>
  </si>
  <si>
    <t>Maquina de Ensamblado N3</t>
  </si>
  <si>
    <t>Maquina de acabado N3</t>
  </si>
  <si>
    <t>Nota: cada lote se evalua por separado. El costo unitario de insumos (col H) NO incluye el molde (es inversion fija de Ciclo 0), solo cuero+accesorios+hilo por unidad.</t>
  </si>
  <si>
    <t>Moldes 3</t>
  </si>
  <si>
    <t>Costos: MP</t>
  </si>
  <si>
    <t>Tabla de materia base.</t>
  </si>
  <si>
    <t>Lo que sea comprado por un equipo:</t>
  </si>
  <si>
    <t>Grupo de decisión</t>
  </si>
  <si>
    <t>Opción/Nivel</t>
  </si>
  <si>
    <t>Precio de lista</t>
  </si>
  <si>
    <t>Descontado por cantidad</t>
  </si>
  <si>
    <t>Unidad</t>
  </si>
  <si>
    <t>1- Cuero sintético</t>
  </si>
  <si>
    <t>m²</t>
  </si>
  <si>
    <t>60m²</t>
  </si>
  <si>
    <t>2- Cuero genuino estándar</t>
  </si>
  <si>
    <t>Puntaje interno</t>
  </si>
  <si>
    <t>Valor (suma de aportes)</t>
  </si>
  <si>
    <t>Escala</t>
  </si>
  <si>
    <t>55m²</t>
  </si>
  <si>
    <t>Nivel resultante</t>
  </si>
  <si>
    <t>3-Cuero genuino premium</t>
  </si>
  <si>
    <t>CALIDAD POR LOTE (detalle)</t>
  </si>
  <si>
    <t>15m²</t>
  </si>
  <si>
    <t>1- Aleación económica</t>
  </si>
  <si>
    <t>Puntaje Calidad - Lote 1</t>
  </si>
  <si>
    <t>200 unidad</t>
  </si>
  <si>
    <t>2- Metal premium</t>
  </si>
  <si>
    <t>190 unidad</t>
  </si>
  <si>
    <t>1- Poliéster estándar</t>
  </si>
  <si>
    <t>m</t>
  </si>
  <si>
    <t>Puntaje Calidad - Lote 2</t>
  </si>
  <si>
    <t>0 m</t>
  </si>
  <si>
    <t>2- Encerado reforzado</t>
  </si>
  <si>
    <t>Puntaje Calidad - Lote 3</t>
  </si>
  <si>
    <t>6 m</t>
  </si>
  <si>
    <t>3- Alta tenacidad</t>
  </si>
  <si>
    <t>7 m</t>
  </si>
  <si>
    <t>Puntaje Calidad EMPRESA (promedio ponderado por unidades)</t>
  </si>
  <si>
    <t>Inventario Inicial:</t>
  </si>
  <si>
    <t>Unidad*cant. producida</t>
  </si>
  <si>
    <t>Producción:</t>
  </si>
  <si>
    <t>0 - 10 (referencial)</t>
  </si>
  <si>
    <t>OTROS PUNTAJES DE EMPRESA</t>
  </si>
  <si>
    <t>Puntaje de Eficiencia</t>
  </si>
  <si>
    <t>Puntaje de Reputacion</t>
  </si>
  <si>
    <t>Puntaje de Salud Financiera</t>
  </si>
  <si>
    <t>110m²</t>
  </si>
  <si>
    <t>Nota: cada 'Aporte' se define en la hoja Catalogo_Decisiones (columnas H-K) y se suma automaticamente segun lo elegido en Seleccion_Ciclo0.</t>
  </si>
  <si>
    <t>30m²</t>
  </si>
  <si>
    <t>107m²</t>
  </si>
  <si>
    <t>0m²</t>
  </si>
  <si>
    <t>185 unidad</t>
  </si>
  <si>
    <t>1500 m</t>
  </si>
  <si>
    <t>1400 m</t>
  </si>
  <si>
    <t>Inventario final: Inventario inicial - Producción</t>
  </si>
  <si>
    <t>ID</t>
  </si>
  <si>
    <t>Puntaje evaluado</t>
  </si>
  <si>
    <t>Condicion</t>
  </si>
  <si>
    <t>Efecto numerico en el juego</t>
  </si>
  <si>
    <t>Mensaje textual para el jugador</t>
  </si>
  <si>
    <t>CONS-01</t>
  </si>
  <si>
    <t>Calidad</t>
  </si>
  <si>
    <t>&lt; 4 y Segmento = Premium</t>
  </si>
  <si>
    <t>Precio de venta -35%, Reputacion -2</t>
  </si>
  <si>
    <t>Posicionaste tu marca como premium, pero tus materiales e insumos no lo respaldan. Los clientes se sienten enganados y las devoluciones aumentan.</t>
  </si>
  <si>
    <t>CONS-02</t>
  </si>
  <si>
    <t>&gt;= 7 y Segmento = Premium</t>
  </si>
  <si>
    <t>Precio de venta +40%, Reputacion +2</t>
  </si>
  <si>
    <t>Tu producto cumple con los estandares premium. Los clientes perciben el valor y pagan sin problema el precio elevado.</t>
  </si>
  <si>
    <t>CONS-03</t>
  </si>
  <si>
    <t>&lt; 4</t>
  </si>
  <si>
    <t>Produccion real = 70% de lo planeado (retrasos)</t>
  </si>
  <si>
    <t>Tu equipo no dio abasto con el volumen que planeaste. Hubo retrasos y entregaste menos de lo prometido.</t>
  </si>
  <si>
    <t>CONS-04</t>
  </si>
  <si>
    <t>&lt; 3 durante 2 ciclos seguidos</t>
  </si>
  <si>
    <t>Demanda -20%</t>
  </si>
  <si>
    <t>Tu marca empieza a perder terreno. Los clientes prefieren a la competencia.</t>
  </si>
  <si>
    <t>CONS-05</t>
  </si>
  <si>
    <t>Salud Financiera</t>
  </si>
  <si>
    <t>&lt; 3</t>
  </si>
  <si>
    <t>El banco sube la tasa de interes del proximo prestamo</t>
  </si>
  <si>
    <t>Tu situacion financiera es riesgosa. El banco te ofrece condiciones menos favorables la proxima vez.</t>
  </si>
  <si>
    <t>CONS-06</t>
  </si>
  <si>
    <t>Produccion vs Capacidad</t>
  </si>
  <si>
    <t>Cantidad producida &gt; capacidad instalada</t>
  </si>
  <si>
    <t>Retraso de entrega, costo extra por horas extra</t>
  </si>
  <si>
    <t>Intentaste producir mas de lo que tu planta soporta. Hubo cuellos de botella y tuviste que pagar horas extra para cumplir.</t>
  </si>
  <si>
    <t>CONS-07</t>
  </si>
  <si>
    <t>Produccion vs Demanda</t>
  </si>
  <si>
    <t>Cantidad producida &gt; demanda real del mercado</t>
  </si>
  <si>
    <t>Inventario sin vender, costo de almacenaje</t>
  </si>
  <si>
    <t>Produjiste mas de lo que el mercado te pidio. Te quedaste con inventario sin vender.</t>
  </si>
  <si>
    <t>CONS-08</t>
  </si>
  <si>
    <t>Jefatura = No y Eficiencia &lt; 5</t>
  </si>
  <si>
    <t>Riesgo de descoordinacion: -5% produccion adicional</t>
  </si>
  <si>
    <t>Sin jefatura que coordine, tu equipo perdio tiempo resolviendo conflictos de tareas.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</si>
</sst>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S/.]#,##0.00"/>
    <numFmt numFmtId="166" formatCode="d.m"/>
  </numFmts>
  <fonts count="18">
    <font>
      <sz val="11.0"/>
      <color theme="1"/>
      <name val="Calibri"/>
      <scheme val="minor"/>
    </font>
    <font>
      <b/>
      <sz val="14.0"/>
      <color rgb="FF1F3864"/>
      <name val="Arial"/>
    </font>
    <font>
      <b/>
      <color rgb="FFFFFFFF"/>
      <name val="Calibri"/>
      <scheme val="minor"/>
    </font>
    <font>
      <sz val="10.0"/>
      <color theme="1"/>
      <name val="Arial"/>
    </font>
    <font>
      <color theme="1"/>
      <name val="Calibri"/>
      <scheme val="minor"/>
    </font>
    <font>
      <b/>
      <sz val="10.0"/>
      <color theme="1"/>
      <name val="Arial"/>
    </font>
    <font>
      <b/>
      <sz val="11.0"/>
      <color rgb="FFFFFFFF"/>
      <name val="Arial"/>
    </font>
    <font>
      <sz val="18.0"/>
      <color theme="1"/>
      <name val="Calibri"/>
      <scheme val="minor"/>
    </font>
    <font>
      <b/>
      <color theme="1"/>
      <name val="Calibri"/>
      <scheme val="minor"/>
    </font>
    <font>
      <sz val="19.0"/>
      <color theme="1"/>
      <name val="Calibri"/>
      <scheme val="minor"/>
    </font>
    <font>
      <sz val="15.0"/>
      <color theme="1"/>
      <name val="Calibri"/>
      <scheme val="minor"/>
    </font>
    <font>
      <sz val="17.0"/>
      <color theme="1"/>
      <name val="Calibri"/>
      <scheme val="minor"/>
    </font>
    <font>
      <sz val="11.0"/>
      <color rgb="FF000000"/>
      <name val="Calibri"/>
    </font>
    <font>
      <sz val="16.0"/>
      <color theme="1"/>
      <name val="Calibri"/>
      <scheme val="minor"/>
    </font>
    <font>
      <b/>
      <i/>
      <color theme="1"/>
      <name val="Calibri"/>
      <scheme val="minor"/>
    </font>
    <font>
      <sz val="11.0"/>
      <color theme="1"/>
      <name val="Calibri"/>
    </font>
    <font>
      <i/>
      <sz val="9.0"/>
      <color rgb="FF666666"/>
      <name val="Arial"/>
    </font>
    <font>
      <b/>
      <i/>
      <sz val="10.0"/>
      <color rgb="FF1F3864"/>
      <name val="Arial"/>
    </font>
  </fonts>
  <fills count="25">
    <fill>
      <patternFill patternType="none"/>
    </fill>
    <fill>
      <patternFill patternType="lightGray"/>
    </fill>
    <fill>
      <patternFill patternType="solid">
        <fgColor rgb="FF134F5C"/>
        <bgColor rgb="FF134F5C"/>
      </patternFill>
    </fill>
    <fill>
      <patternFill patternType="solid">
        <fgColor rgb="FF1F3864"/>
        <bgColor rgb="FF1F3864"/>
      </patternFill>
    </fill>
    <fill>
      <patternFill patternType="solid">
        <fgColor rgb="FFFFF2CC"/>
        <bgColor rgb="FFFFF2CC"/>
      </patternFill>
    </fill>
    <fill>
      <patternFill patternType="solid">
        <fgColor rgb="FFC9DAF8"/>
        <bgColor rgb="FFC9DAF8"/>
      </patternFill>
    </fill>
    <fill>
      <patternFill patternType="solid">
        <fgColor rgb="FFE2EFDA"/>
        <bgColor rgb="FFE2EFDA"/>
      </patternFill>
    </fill>
    <fill>
      <patternFill patternType="solid">
        <fgColor rgb="FF93C47D"/>
        <bgColor rgb="FF93C47D"/>
      </patternFill>
    </fill>
    <fill>
      <patternFill patternType="solid">
        <fgColor rgb="FFB7B7B7"/>
        <bgColor rgb="FFB7B7B7"/>
      </patternFill>
    </fill>
    <fill>
      <patternFill patternType="solid">
        <fgColor rgb="FFB6D7A8"/>
        <bgColor rgb="FFB6D7A8"/>
      </patternFill>
    </fill>
    <fill>
      <patternFill patternType="solid">
        <fgColor rgb="FFD0E0E3"/>
        <bgColor rgb="FFD0E0E3"/>
      </patternFill>
    </fill>
    <fill>
      <patternFill patternType="solid">
        <fgColor rgb="FFFFFF00"/>
        <bgColor rgb="FFFFFF00"/>
      </patternFill>
    </fill>
    <fill>
      <patternFill patternType="solid">
        <fgColor rgb="FF999999"/>
        <bgColor rgb="FF999999"/>
      </patternFill>
    </fill>
    <fill>
      <patternFill patternType="solid">
        <fgColor rgb="FFA2C4C9"/>
        <bgColor rgb="FFA2C4C9"/>
      </patternFill>
    </fill>
    <fill>
      <patternFill patternType="solid">
        <fgColor rgb="FF6D9EEB"/>
        <bgColor rgb="FF6D9EEB"/>
      </patternFill>
    </fill>
    <fill>
      <patternFill patternType="solid">
        <fgColor rgb="FFF1C232"/>
        <bgColor rgb="FFF1C232"/>
      </patternFill>
    </fill>
    <fill>
      <patternFill patternType="solid">
        <fgColor theme="9"/>
        <bgColor theme="9"/>
      </patternFill>
    </fill>
    <fill>
      <patternFill patternType="solid">
        <fgColor rgb="FFD5A6BD"/>
        <bgColor rgb="FFD5A6BD"/>
      </patternFill>
    </fill>
    <fill>
      <patternFill patternType="solid">
        <fgColor rgb="FF6AA84F"/>
        <bgColor rgb="FF6AA84F"/>
      </patternFill>
    </fill>
    <fill>
      <patternFill patternType="solid">
        <fgColor rgb="FF3D85C6"/>
        <bgColor rgb="FF3D85C6"/>
      </patternFill>
    </fill>
    <fill>
      <patternFill patternType="solid">
        <fgColor theme="0"/>
        <bgColor theme="0"/>
      </patternFill>
    </fill>
    <fill>
      <patternFill patternType="solid">
        <fgColor rgb="FFD9D9D9"/>
        <bgColor rgb="FFD9D9D9"/>
      </patternFill>
    </fill>
    <fill>
      <patternFill patternType="solid">
        <fgColor rgb="FFE06666"/>
        <bgColor rgb="FFE06666"/>
      </patternFill>
    </fill>
    <fill>
      <patternFill patternType="solid">
        <fgColor rgb="FFF6B26B"/>
        <bgColor rgb="FFF6B26B"/>
      </patternFill>
    </fill>
    <fill>
      <patternFill patternType="solid">
        <fgColor rgb="FFD9EAD3"/>
        <bgColor rgb="FFD9EAD3"/>
      </patternFill>
    </fill>
  </fills>
  <borders count="24">
    <border/>
    <border>
      <left style="thin">
        <color rgb="FF000000"/>
      </left>
      <right style="thin">
        <color rgb="FF000000"/>
      </right>
      <top style="thin">
        <color rgb="FF000000"/>
      </top>
      <bottom style="thin">
        <color rgb="FF000000"/>
      </bottom>
    </border>
    <border>
      <left style="thin">
        <color rgb="FF000000"/>
      </left>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top style="thin">
        <color rgb="FFBFBFBF"/>
      </top>
      <bottom style="thin">
        <color rgb="FFBFBFBF"/>
      </bottom>
    </border>
    <border>
      <left style="thick">
        <color rgb="FFFF9900"/>
      </left>
      <top style="thick">
        <color rgb="FFFF9900"/>
      </top>
    </border>
    <border>
      <top style="thick">
        <color rgb="FFFF9900"/>
      </top>
    </border>
    <border>
      <right style="thick">
        <color rgb="FFFF9900"/>
      </right>
      <top style="thick">
        <color rgb="FFFF9900"/>
      </top>
    </border>
    <border>
      <left style="thick">
        <color rgb="FFFF9900"/>
      </left>
      <top style="thin">
        <color rgb="FFBFBFBF"/>
      </top>
      <bottom style="thin">
        <color rgb="FFBFBFBF"/>
      </bottom>
    </border>
    <border>
      <right style="thick">
        <color rgb="FFFF9900"/>
      </right>
    </border>
    <border>
      <left style="thick">
        <color rgb="FFFF9900"/>
      </left>
    </border>
    <border>
      <left style="thin">
        <color rgb="FFBFBFBF"/>
      </left>
      <right style="thick">
        <color rgb="FFFF9900"/>
      </right>
      <top style="thin">
        <color rgb="FFBFBFBF"/>
      </top>
      <bottom style="thin">
        <color rgb="FFBFBFBF"/>
      </bottom>
    </border>
    <border>
      <left style="thin">
        <color rgb="FFBFBFBF"/>
      </left>
      <right style="thick">
        <color rgb="FFFF9900"/>
      </right>
      <top style="thin">
        <color rgb="FFBFBFBF"/>
      </top>
    </border>
    <border>
      <left style="thin">
        <color rgb="FF000000"/>
      </left>
      <right style="thick">
        <color rgb="FFFF9900"/>
      </right>
      <top style="thin">
        <color rgb="FF000000"/>
      </top>
      <bottom style="thin">
        <color rgb="FF000000"/>
      </bottom>
    </border>
    <border>
      <left style="thick">
        <color rgb="FFFF9900"/>
      </left>
      <bottom style="thick">
        <color rgb="FFFF9900"/>
      </bottom>
    </border>
    <border>
      <bottom style="thick">
        <color rgb="FFFF9900"/>
      </bottom>
    </border>
    <border>
      <right style="thick">
        <color rgb="FFFF9900"/>
      </right>
      <bottom style="thick">
        <color rgb="FFFF9900"/>
      </bottom>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FBFBF"/>
      </left>
      <right style="thin">
        <color rgb="FFBFBFBF"/>
      </right>
    </border>
    <border>
      <left style="thin">
        <color rgb="FFBFBFBF"/>
      </left>
      <top style="thin">
        <color rgb="FFBFBFBF"/>
      </top>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readingOrder="0"/>
    </xf>
    <xf borderId="0" fillId="0" fontId="3" numFmtId="0" xfId="0" applyAlignment="1" applyFont="1">
      <alignment shrinkToFit="0" vertical="bottom" wrapText="1"/>
    </xf>
    <xf borderId="1" fillId="0" fontId="4" numFmtId="0" xfId="0" applyAlignment="1" applyBorder="1" applyFont="1">
      <alignment readingOrder="0"/>
    </xf>
    <xf borderId="0" fillId="0" fontId="5" numFmtId="0" xfId="0" applyAlignment="1" applyFont="1">
      <alignment shrinkToFit="0" vertical="bottom" wrapText="1"/>
    </xf>
    <xf borderId="1" fillId="0" fontId="4" numFmtId="0" xfId="0" applyBorder="1" applyFont="1"/>
    <xf borderId="2" fillId="0" fontId="4" numFmtId="0" xfId="0" applyAlignment="1" applyBorder="1" applyFont="1">
      <alignment readingOrder="0"/>
    </xf>
    <xf borderId="3" fillId="3" fontId="6" numFmtId="0" xfId="0" applyAlignment="1" applyBorder="1" applyFill="1" applyFont="1">
      <alignment shrinkToFit="0" vertical="center" wrapText="1"/>
    </xf>
    <xf borderId="3" fillId="0" fontId="5" numFmtId="0" xfId="0" applyAlignment="1" applyBorder="1" applyFont="1">
      <alignment shrinkToFit="0" vertical="bottom" wrapText="0"/>
    </xf>
    <xf borderId="3" fillId="4" fontId="3" numFmtId="0" xfId="0" applyAlignment="1" applyBorder="1" applyFill="1" applyFont="1">
      <alignment shrinkToFit="0" vertical="bottom" wrapText="0"/>
    </xf>
    <xf borderId="3" fillId="0" fontId="3" numFmtId="0" xfId="0" applyAlignment="1" applyBorder="1" applyFont="1">
      <alignment shrinkToFit="0" vertical="bottom" wrapText="0"/>
    </xf>
    <xf borderId="0" fillId="0" fontId="7" numFmtId="0" xfId="0" applyAlignment="1" applyFont="1">
      <alignment readingOrder="0"/>
    </xf>
    <xf borderId="1" fillId="0" fontId="8" numFmtId="0" xfId="0" applyAlignment="1" applyBorder="1" applyFont="1">
      <alignment horizontal="center" readingOrder="0"/>
    </xf>
    <xf borderId="1" fillId="5" fontId="4" numFmtId="0" xfId="0" applyAlignment="1" applyBorder="1" applyFill="1" applyFont="1">
      <alignment horizontal="center" readingOrder="0" vertical="center"/>
    </xf>
    <xf borderId="3" fillId="6" fontId="3" numFmtId="0" xfId="0" applyAlignment="1" applyBorder="1" applyFill="1" applyFont="1">
      <alignment shrinkToFit="0" vertical="bottom" wrapText="0"/>
    </xf>
    <xf borderId="1" fillId="0" fontId="4" numFmtId="0" xfId="0" applyAlignment="1" applyBorder="1" applyFont="1">
      <alignment horizontal="center" readingOrder="0"/>
    </xf>
    <xf borderId="1" fillId="0" fontId="4" numFmtId="0" xfId="0" applyAlignment="1" applyBorder="1" applyFont="1">
      <alignment horizontal="center" readingOrder="0" vertical="center"/>
    </xf>
    <xf borderId="3" fillId="7" fontId="3" numFmtId="0" xfId="0" applyAlignment="1" applyBorder="1" applyFill="1" applyFont="1">
      <alignment shrinkToFit="0" vertical="bottom" wrapText="0"/>
    </xf>
    <xf borderId="1" fillId="8" fontId="4" numFmtId="0" xfId="0" applyAlignment="1" applyBorder="1" applyFill="1" applyFont="1">
      <alignment horizontal="center" vertical="center"/>
    </xf>
    <xf borderId="0" fillId="0" fontId="8" numFmtId="0" xfId="0" applyAlignment="1" applyFont="1">
      <alignment readingOrder="0" shrinkToFit="0" wrapText="1"/>
    </xf>
    <xf borderId="1" fillId="9" fontId="4" numFmtId="0" xfId="0" applyAlignment="1" applyBorder="1" applyFill="1" applyFont="1">
      <alignment horizontal="center" readingOrder="0" vertical="center"/>
    </xf>
    <xf borderId="3" fillId="6" fontId="3" numFmtId="0" xfId="0" applyAlignment="1" applyBorder="1" applyFill="1" applyFont="1">
      <alignment horizontal="center" shrinkToFit="0" vertical="bottom" wrapText="0"/>
    </xf>
    <xf borderId="0" fillId="0" fontId="4" numFmtId="0" xfId="0" applyAlignment="1" applyFont="1">
      <alignment readingOrder="0"/>
    </xf>
    <xf borderId="0" fillId="10" fontId="4" numFmtId="0" xfId="0" applyAlignment="1" applyFill="1" applyFont="1">
      <alignment horizontal="center" readingOrder="0" vertical="center"/>
    </xf>
    <xf borderId="3" fillId="11" fontId="3" numFmtId="0" xfId="0" applyAlignment="1" applyBorder="1" applyFill="1" applyFont="1">
      <alignment shrinkToFit="0" vertical="bottom" wrapText="0"/>
    </xf>
    <xf borderId="0" fillId="0" fontId="4" numFmtId="0" xfId="0" applyAlignment="1" applyFont="1">
      <alignment readingOrder="0" vertical="center"/>
    </xf>
    <xf borderId="0" fillId="0" fontId="9" numFmtId="0" xfId="0" applyAlignment="1" applyFont="1">
      <alignment horizontal="center" readingOrder="0" shrinkToFit="0" textRotation="90" vertical="center" wrapText="1"/>
    </xf>
    <xf borderId="0" fillId="0" fontId="4" numFmtId="0" xfId="0" applyAlignment="1" applyFont="1">
      <alignment vertical="center"/>
    </xf>
    <xf borderId="0" fillId="13" fontId="4" numFmtId="0" xfId="0" applyAlignment="1" applyFill="1" applyFont="1">
      <alignment readingOrder="0" shrinkToFit="0" wrapText="1"/>
    </xf>
    <xf borderId="1" fillId="0" fontId="4" numFmtId="0" xfId="0" applyAlignment="1" applyBorder="1" applyFont="1">
      <alignment horizontal="center" readingOrder="0" shrinkToFit="0" vertical="center" wrapText="1"/>
    </xf>
    <xf borderId="3" fillId="12" fontId="3" numFmtId="0" xfId="0" applyAlignment="1" applyBorder="1" applyFill="1" applyFont="1">
      <alignment shrinkToFit="0" vertical="bottom" wrapText="0"/>
    </xf>
    <xf borderId="0" fillId="0" fontId="4" numFmtId="0" xfId="0" applyAlignment="1" applyFont="1">
      <alignment readingOrder="0" shrinkToFit="0" wrapText="1"/>
    </xf>
    <xf borderId="0" fillId="14" fontId="4" numFmtId="0" xfId="0" applyAlignment="1" applyFill="1" applyFont="1">
      <alignment horizontal="center" readingOrder="0" vertical="center"/>
    </xf>
    <xf borderId="1" fillId="7" fontId="4" numFmtId="0" xfId="0" applyAlignment="1" applyBorder="1" applyFill="1" applyFont="1">
      <alignment horizontal="center" readingOrder="0" vertical="center"/>
    </xf>
    <xf borderId="1" fillId="0" fontId="4" numFmtId="0" xfId="0" applyAlignment="1" applyBorder="1" applyFont="1">
      <alignment horizontal="center" vertical="center"/>
    </xf>
    <xf borderId="1" fillId="0" fontId="4" numFmtId="0" xfId="0" applyAlignment="1" applyBorder="1" applyFont="1">
      <alignment horizontal="center"/>
    </xf>
    <xf borderId="0" fillId="0" fontId="4" numFmtId="0" xfId="0" applyAlignment="1" applyFont="1">
      <alignment horizontal="center" vertical="center"/>
    </xf>
    <xf borderId="0" fillId="0" fontId="4" numFmtId="0" xfId="0" applyFont="1"/>
    <xf borderId="0" fillId="0" fontId="4" numFmtId="9" xfId="0" applyAlignment="1" applyFont="1" applyNumberFormat="1">
      <alignment readingOrder="0"/>
    </xf>
    <xf borderId="0" fillId="11" fontId="4" numFmtId="164" xfId="0" applyFill="1" applyFont="1" applyNumberFormat="1"/>
    <xf borderId="0" fillId="14" fontId="4" numFmtId="9" xfId="0" applyAlignment="1" applyFill="1" applyFont="1" applyNumberFormat="1">
      <alignment readingOrder="0"/>
    </xf>
    <xf borderId="0" fillId="0" fontId="8" numFmtId="0" xfId="0" applyAlignment="1" applyFont="1">
      <alignment readingOrder="0"/>
    </xf>
    <xf borderId="0" fillId="11" fontId="4" numFmtId="0" xfId="0" applyAlignment="1" applyFill="1" applyFont="1">
      <alignment vertical="center"/>
    </xf>
    <xf borderId="0" fillId="11" fontId="4" numFmtId="0" xfId="0" applyAlignment="1" applyFill="1" applyFont="1">
      <alignment horizontal="center" vertical="center"/>
    </xf>
    <xf borderId="0" fillId="0" fontId="4" numFmtId="0" xfId="0" applyAlignment="1" applyFont="1">
      <alignment horizontal="center" readingOrder="0" vertical="center"/>
    </xf>
    <xf borderId="1" fillId="14" fontId="4" numFmtId="0" xfId="0" applyAlignment="1" applyBorder="1" applyFill="1" applyFont="1">
      <alignment horizontal="center" readingOrder="0" vertical="center"/>
    </xf>
    <xf borderId="0" fillId="0" fontId="4" numFmtId="10" xfId="0" applyFont="1" applyNumberFormat="1"/>
    <xf borderId="1" fillId="7" fontId="4" numFmtId="0" xfId="0" applyAlignment="1" applyBorder="1" applyFill="1" applyFont="1">
      <alignment horizontal="center" vertical="center"/>
    </xf>
    <xf borderId="0" fillId="0" fontId="10" numFmtId="0" xfId="0" applyAlignment="1" applyFont="1">
      <alignment horizontal="center" vertical="center"/>
    </xf>
    <xf borderId="0" fillId="11" fontId="4" numFmtId="0" xfId="0" applyFill="1" applyFont="1"/>
    <xf borderId="0" fillId="7" fontId="4" numFmtId="0" xfId="0" applyAlignment="1" applyFill="1" applyFont="1">
      <alignment readingOrder="0"/>
    </xf>
    <xf borderId="0" fillId="0" fontId="11" numFmtId="0" xfId="0" applyAlignment="1" applyFont="1">
      <alignment readingOrder="0"/>
    </xf>
    <xf borderId="0" fillId="0" fontId="4" numFmtId="0" xfId="0" applyAlignment="1" applyFont="1">
      <alignment horizontal="center" shrinkToFit="0" vertical="center" wrapText="1"/>
    </xf>
    <xf borderId="3" fillId="15" fontId="3" numFmtId="0" xfId="0" applyAlignment="1" applyBorder="1" applyFill="1" applyFont="1">
      <alignment horizontal="center" shrinkToFit="0" vertical="center" wrapText="1"/>
    </xf>
    <xf borderId="0" fillId="0" fontId="12" numFmtId="0" xfId="0" applyAlignment="1" applyFont="1">
      <alignment readingOrder="0" vertical="bottom"/>
    </xf>
    <xf borderId="3" fillId="16" fontId="3" numFmtId="0" xfId="0" applyAlignment="1" applyBorder="1" applyFill="1" applyFont="1">
      <alignment horizontal="center" shrinkToFit="0" vertical="center" wrapText="1"/>
    </xf>
    <xf borderId="0" fillId="0" fontId="12" numFmtId="0" xfId="0" applyAlignment="1" applyFont="1">
      <alignment horizontal="right" readingOrder="0" vertical="bottom"/>
    </xf>
    <xf borderId="3" fillId="17" fontId="3" numFmtId="0" xfId="0" applyAlignment="1" applyBorder="1" applyFill="1" applyFont="1">
      <alignment horizontal="center" shrinkToFit="0" vertical="center" wrapText="1"/>
    </xf>
    <xf borderId="2" fillId="0" fontId="4" numFmtId="0" xfId="0" applyBorder="1" applyFont="1"/>
    <xf borderId="4" fillId="0" fontId="3" numFmtId="0" xfId="0" applyAlignment="1" applyBorder="1" applyFont="1">
      <alignment horizontal="center" shrinkToFit="0" vertical="center" wrapText="1"/>
    </xf>
    <xf borderId="0" fillId="0" fontId="12" numFmtId="0" xfId="0" applyAlignment="1" applyFont="1">
      <alignment horizontal="right" vertical="bottom"/>
    </xf>
    <xf borderId="4" fillId="0" fontId="3" numFmtId="0" xfId="0" applyAlignment="1" applyBorder="1" applyFont="1">
      <alignment horizontal="center" readingOrder="0" shrinkToFit="0" vertical="center" wrapText="1"/>
    </xf>
    <xf borderId="1" fillId="12" fontId="4" numFmtId="0" xfId="0" applyAlignment="1" applyBorder="1" applyFill="1" applyFont="1">
      <alignment horizontal="center" readingOrder="0" shrinkToFit="0" vertical="center" wrapText="1"/>
    </xf>
    <xf borderId="0" fillId="0" fontId="4" numFmtId="9" xfId="0" applyAlignment="1" applyFont="1" applyNumberFormat="1">
      <alignment horizontal="center" shrinkToFit="0" vertical="center" wrapText="1"/>
    </xf>
    <xf borderId="0" fillId="11" fontId="4" numFmtId="0" xfId="0" applyAlignment="1" applyFill="1" applyFont="1">
      <alignment readingOrder="0"/>
    </xf>
    <xf borderId="0" fillId="0" fontId="4" numFmtId="164" xfId="0" applyAlignment="1" applyFont="1" applyNumberFormat="1">
      <alignment horizontal="center" shrinkToFit="0" vertical="center" wrapText="1"/>
    </xf>
    <xf borderId="0" fillId="18" fontId="4" numFmtId="0" xfId="0" applyAlignment="1" applyFill="1" applyFont="1">
      <alignment readingOrder="0"/>
    </xf>
    <xf borderId="0" fillId="19" fontId="4" numFmtId="0" xfId="0" applyAlignment="1" applyFill="1" applyFont="1">
      <alignment readingOrder="0" shrinkToFit="0" wrapText="1"/>
    </xf>
    <xf borderId="0" fillId="19" fontId="4" numFmtId="0" xfId="0" applyAlignment="1" applyFill="1" applyFont="1">
      <alignment readingOrder="0"/>
    </xf>
    <xf borderId="5" fillId="0" fontId="3" numFmtId="0" xfId="0" applyAlignment="1" applyBorder="1" applyFont="1">
      <alignment shrinkToFit="0" vertical="bottom" wrapText="0"/>
    </xf>
    <xf borderId="1" fillId="14" fontId="4" numFmtId="0" xfId="0" applyAlignment="1" applyBorder="1" applyFill="1" applyFont="1">
      <alignment horizontal="center" readingOrder="0"/>
    </xf>
    <xf borderId="1" fillId="20" fontId="4" numFmtId="0" xfId="0" applyAlignment="1" applyBorder="1" applyFill="1" applyFont="1">
      <alignment horizontal="center" readingOrder="0" shrinkToFit="0" vertical="center" wrapText="1"/>
    </xf>
    <xf borderId="1" fillId="20" fontId="4" numFmtId="0" xfId="0" applyAlignment="1" applyBorder="1" applyFill="1" applyFont="1">
      <alignment horizontal="center" shrinkToFit="0" vertical="center" wrapText="1"/>
    </xf>
    <xf borderId="0" fillId="21" fontId="4" numFmtId="164" xfId="0" applyFill="1" applyFont="1" applyNumberFormat="1"/>
    <xf borderId="6" fillId="0" fontId="4" numFmtId="0" xfId="0" applyAlignment="1" applyBorder="1" applyFont="1">
      <alignment readingOrder="0"/>
    </xf>
    <xf borderId="7" fillId="0" fontId="8" numFmtId="0" xfId="0" applyBorder="1" applyFont="1"/>
    <xf borderId="7" fillId="21" fontId="8" numFmtId="0" xfId="0" applyBorder="1" applyFill="1" applyFont="1"/>
    <xf borderId="7" fillId="0" fontId="4" numFmtId="0" xfId="0" applyBorder="1" applyFont="1"/>
    <xf borderId="8" fillId="0" fontId="4" numFmtId="0" xfId="0" applyBorder="1" applyFont="1"/>
    <xf borderId="9" fillId="0" fontId="3" numFmtId="0" xfId="0" applyAlignment="1" applyBorder="1" applyFont="1">
      <alignment shrinkToFit="0" vertical="bottom" wrapText="0"/>
    </xf>
    <xf borderId="0" fillId="7" fontId="8" numFmtId="0" xfId="0" applyAlignment="1" applyFill="1" applyFont="1">
      <alignment horizontal="center" readingOrder="0" shrinkToFit="0" vertical="center" wrapText="1"/>
    </xf>
    <xf borderId="0" fillId="11" fontId="4" numFmtId="165" xfId="0" applyAlignment="1" applyFill="1" applyFont="1" applyNumberFormat="1">
      <alignment readingOrder="0"/>
    </xf>
    <xf borderId="0" fillId="18" fontId="4" numFmtId="165" xfId="0" applyAlignment="1" applyFill="1" applyFont="1" applyNumberFormat="1">
      <alignment readingOrder="0"/>
    </xf>
    <xf borderId="0" fillId="21" fontId="4" numFmtId="0" xfId="0" applyFill="1" applyFont="1"/>
    <xf borderId="0" fillId="19" fontId="4" numFmtId="165" xfId="0" applyAlignment="1" applyFill="1" applyFont="1" applyNumberFormat="1">
      <alignment readingOrder="0"/>
    </xf>
    <xf borderId="10" fillId="0" fontId="4" numFmtId="0" xfId="0" applyBorder="1" applyFont="1"/>
    <xf borderId="0" fillId="11" fontId="4" numFmtId="165" xfId="0" applyFill="1" applyFont="1" applyNumberFormat="1"/>
    <xf borderId="11" fillId="0" fontId="4" numFmtId="0" xfId="0" applyBorder="1" applyFont="1"/>
    <xf borderId="0" fillId="18" fontId="4" numFmtId="165" xfId="0" applyFill="1" applyFont="1" applyNumberFormat="1"/>
    <xf borderId="12" fillId="17" fontId="3" numFmtId="0" xfId="0" applyAlignment="1" applyBorder="1" applyFill="1" applyFont="1">
      <alignment horizontal="center" shrinkToFit="0" vertical="center" wrapText="1"/>
    </xf>
    <xf borderId="0" fillId="19" fontId="4" numFmtId="165" xfId="0" applyFill="1" applyFont="1" applyNumberFormat="1"/>
    <xf borderId="13" fillId="0" fontId="3" numFmtId="0" xfId="0" applyAlignment="1" applyBorder="1" applyFont="1">
      <alignment horizontal="center" shrinkToFit="0" vertical="center" wrapText="1"/>
    </xf>
    <xf borderId="14" fillId="0" fontId="4" numFmtId="0" xfId="0" applyAlignment="1" applyBorder="1" applyFont="1">
      <alignment horizontal="center" vertical="center"/>
    </xf>
    <xf borderId="0" fillId="20" fontId="4" numFmtId="0" xfId="0" applyFill="1" applyFont="1"/>
    <xf borderId="15" fillId="20" fontId="4" numFmtId="0" xfId="0" applyBorder="1" applyFill="1" applyFont="1"/>
    <xf borderId="16" fillId="20" fontId="3" numFmtId="0" xfId="0" applyAlignment="1" applyBorder="1" applyFill="1" applyFont="1">
      <alignment horizontal="center" shrinkToFit="0" vertical="center" wrapText="1"/>
    </xf>
    <xf borderId="17" fillId="20" fontId="3" numFmtId="0" xfId="0" applyAlignment="1" applyBorder="1" applyFill="1" applyFont="1">
      <alignment horizontal="center" shrinkToFit="0" vertical="center" wrapText="1"/>
    </xf>
    <xf borderId="0" fillId="20" fontId="3" numFmtId="0" xfId="0" applyAlignment="1" applyFill="1" applyFont="1">
      <alignment horizontal="center" shrinkToFit="0" vertical="center" wrapText="1"/>
    </xf>
    <xf borderId="0" fillId="0" fontId="8"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xf>
    <xf borderId="14" fillId="0" fontId="4" numFmtId="0" xfId="0" applyAlignment="1" applyBorder="1" applyFont="1">
      <alignment horizontal="center" readingOrder="0" vertical="center"/>
    </xf>
    <xf borderId="0" fillId="0" fontId="8" numFmtId="0" xfId="0" applyAlignment="1" applyFont="1">
      <alignment horizontal="center"/>
    </xf>
    <xf borderId="0" fillId="0" fontId="4" numFmtId="10" xfId="0" applyAlignment="1" applyFont="1" applyNumberFormat="1">
      <alignment horizontal="center" vertical="center"/>
    </xf>
    <xf borderId="0" fillId="0" fontId="4" numFmtId="2" xfId="0" applyFont="1" applyNumberFormat="1"/>
    <xf borderId="0" fillId="0" fontId="4" numFmtId="166" xfId="0" applyAlignment="1" applyFont="1" applyNumberFormat="1">
      <alignment readingOrder="0"/>
    </xf>
    <xf borderId="0" fillId="11" fontId="4" numFmtId="0" xfId="0" applyAlignment="1" applyFill="1" applyFont="1">
      <alignment readingOrder="0" shrinkToFit="0" wrapText="1"/>
    </xf>
    <xf borderId="0" fillId="18" fontId="4" numFmtId="0" xfId="0" applyAlignment="1" applyFill="1" applyFont="1">
      <alignment readingOrder="0" shrinkToFit="0" wrapText="1"/>
    </xf>
    <xf borderId="1" fillId="0" fontId="8" numFmtId="0" xfId="0" applyAlignment="1" applyBorder="1" applyFont="1">
      <alignment horizontal="center" vertical="center"/>
    </xf>
    <xf borderId="0" fillId="0" fontId="8" numFmtId="10" xfId="0" applyAlignment="1" applyFont="1" applyNumberFormat="1">
      <alignment horizontal="center" vertical="center"/>
    </xf>
    <xf borderId="3" fillId="16" fontId="3" numFmtId="0" xfId="0" applyAlignment="1" applyBorder="1" applyFill="1" applyFont="1">
      <alignment horizontal="center" readingOrder="0" shrinkToFit="0" vertical="center" wrapText="1"/>
    </xf>
    <xf borderId="0" fillId="0" fontId="13" numFmtId="0" xfId="0" applyAlignment="1" applyFont="1">
      <alignment readingOrder="0"/>
    </xf>
    <xf borderId="0" fillId="0" fontId="4" numFmtId="2" xfId="0" applyAlignment="1" applyFont="1" applyNumberFormat="1">
      <alignment horizontal="center" vertical="center"/>
    </xf>
    <xf borderId="0" fillId="0" fontId="14" numFmtId="2" xfId="0" applyAlignment="1" applyFont="1" applyNumberFormat="1">
      <alignment horizontal="right" vertical="center"/>
    </xf>
    <xf borderId="1" fillId="0" fontId="4" numFmtId="2" xfId="0" applyBorder="1" applyFont="1" applyNumberFormat="1"/>
    <xf borderId="1" fillId="0" fontId="4" numFmtId="10" xfId="0" applyBorder="1" applyFont="1" applyNumberFormat="1"/>
    <xf borderId="0" fillId="0" fontId="4" numFmtId="166" xfId="0" applyAlignment="1" applyFont="1" applyNumberFormat="1">
      <alignment horizontal="center" readingOrder="0" vertical="center"/>
    </xf>
    <xf borderId="1" fillId="0" fontId="4" numFmtId="4" xfId="0" applyAlignment="1" applyBorder="1" applyFont="1" applyNumberFormat="1">
      <alignment horizontal="center" readingOrder="0" vertical="center"/>
    </xf>
    <xf borderId="18" fillId="0" fontId="4" numFmtId="2" xfId="0" applyBorder="1" applyFont="1" applyNumberFormat="1"/>
    <xf borderId="18" fillId="0" fontId="4" numFmtId="0" xfId="0" applyBorder="1" applyFont="1"/>
    <xf borderId="2" fillId="0" fontId="4" numFmtId="9" xfId="0" applyAlignment="1" applyBorder="1" applyFont="1" applyNumberFormat="1">
      <alignment readingOrder="0"/>
    </xf>
    <xf borderId="19" fillId="0" fontId="4" numFmtId="0" xfId="0" applyBorder="1" applyFont="1"/>
    <xf borderId="20" fillId="0" fontId="4" numFmtId="0" xfId="0" applyBorder="1" applyFont="1"/>
    <xf borderId="21" fillId="0" fontId="4" numFmtId="0" xfId="0" applyBorder="1" applyFont="1"/>
    <xf borderId="2" fillId="0" fontId="4" numFmtId="0" xfId="0" applyAlignment="1" applyBorder="1" applyFont="1">
      <alignment horizontal="center" shrinkToFit="0" vertical="center" wrapText="1"/>
    </xf>
    <xf borderId="22" fillId="0" fontId="3" numFmtId="0" xfId="0" applyAlignment="1" applyBorder="1" applyFont="1">
      <alignment readingOrder="0" shrinkToFit="0" vertical="center" wrapText="1"/>
    </xf>
    <xf borderId="1" fillId="7" fontId="4" numFmtId="0" xfId="0" applyAlignment="1" applyBorder="1" applyFill="1" applyFont="1">
      <alignment horizontal="center" readingOrder="0" shrinkToFit="0" vertical="center" wrapText="1"/>
    </xf>
    <xf borderId="23" fillId="0" fontId="3" numFmtId="0" xfId="0" applyAlignment="1" applyBorder="1" applyFont="1">
      <alignment readingOrder="0" shrinkToFit="0" vertical="center" wrapText="1"/>
    </xf>
    <xf borderId="1" fillId="14" fontId="4" numFmtId="0" xfId="0" applyAlignment="1" applyBorder="1" applyFill="1" applyFont="1">
      <alignment horizontal="center" readingOrder="0" shrinkToFit="0" vertical="center" wrapText="1"/>
    </xf>
    <xf borderId="0" fillId="22" fontId="4" numFmtId="0" xfId="0" applyAlignment="1" applyFill="1" applyFont="1">
      <alignment readingOrder="0"/>
    </xf>
    <xf borderId="0" fillId="0" fontId="5" numFmtId="0" xfId="0" applyAlignment="1" applyFont="1">
      <alignment shrinkToFit="0" vertical="bottom" wrapText="0"/>
    </xf>
    <xf borderId="0" fillId="23" fontId="4" numFmtId="0" xfId="0" applyAlignment="1" applyFill="1" applyFont="1">
      <alignment readingOrder="0"/>
    </xf>
    <xf borderId="0" fillId="12" fontId="4" numFmtId="0" xfId="0" applyAlignment="1" applyFill="1" applyFont="1">
      <alignment readingOrder="0"/>
    </xf>
    <xf borderId="3" fillId="0" fontId="3" numFmtId="0" xfId="0" applyAlignment="1" applyBorder="1" applyFont="1">
      <alignment shrinkToFit="0" vertical="bottom" wrapText="1"/>
    </xf>
    <xf borderId="23" fillId="0" fontId="3" numFmtId="0" xfId="0" applyAlignment="1" applyBorder="1" applyFont="1">
      <alignment shrinkToFit="0" vertical="center" wrapText="1"/>
    </xf>
    <xf borderId="0" fillId="22" fontId="4" numFmtId="165" xfId="0" applyAlignment="1" applyFill="1" applyFont="1" applyNumberFormat="1">
      <alignment readingOrder="0"/>
    </xf>
    <xf borderId="0" fillId="23" fontId="4" numFmtId="165" xfId="0" applyAlignment="1" applyFill="1" applyFont="1" applyNumberFormat="1">
      <alignment readingOrder="0"/>
    </xf>
    <xf borderId="0" fillId="12" fontId="4" numFmtId="165" xfId="0" applyAlignment="1" applyFill="1" applyFont="1" applyNumberFormat="1">
      <alignment readingOrder="0"/>
    </xf>
    <xf borderId="0" fillId="22" fontId="4" numFmtId="165" xfId="0" applyFill="1" applyFont="1" applyNumberFormat="1"/>
    <xf borderId="0" fillId="23" fontId="4" numFmtId="165" xfId="0" applyFill="1" applyFont="1" applyNumberFormat="1"/>
    <xf borderId="0" fillId="0" fontId="4" numFmtId="165" xfId="0" applyFont="1" applyNumberFormat="1"/>
    <xf borderId="1" fillId="11" fontId="4" numFmtId="0" xfId="0" applyAlignment="1" applyBorder="1" applyFill="1" applyFont="1">
      <alignment readingOrder="0"/>
    </xf>
    <xf borderId="1" fillId="11" fontId="4" numFmtId="9" xfId="0" applyAlignment="1" applyBorder="1" applyFill="1" applyFont="1" applyNumberFormat="1">
      <alignment readingOrder="0"/>
    </xf>
    <xf borderId="1" fillId="0" fontId="4" numFmtId="0" xfId="0" applyAlignment="1" applyBorder="1" applyFont="1">
      <alignment readingOrder="0" shrinkToFit="0" vertical="center" wrapText="1"/>
    </xf>
    <xf borderId="0" fillId="0" fontId="4" numFmtId="0" xfId="0" applyAlignment="1" applyFont="1">
      <alignment shrinkToFit="0" vertical="center" wrapText="1"/>
    </xf>
    <xf borderId="1" fillId="0" fontId="12" numFmtId="0" xfId="0" applyAlignment="1" applyBorder="1" applyFont="1">
      <alignment horizontal="center" readingOrder="0" shrinkToFit="0" wrapText="0"/>
    </xf>
    <xf borderId="1" fillId="4" fontId="4" numFmtId="165" xfId="0" applyAlignment="1" applyBorder="1" applyFill="1" applyFont="1" applyNumberFormat="1">
      <alignment readingOrder="0" shrinkToFit="0" vertical="center" wrapText="1"/>
    </xf>
    <xf borderId="1" fillId="4" fontId="4" numFmtId="0" xfId="0" applyAlignment="1" applyBorder="1" applyFill="1" applyFont="1">
      <alignment readingOrder="0" shrinkToFit="0" vertical="center" wrapText="1"/>
    </xf>
    <xf borderId="0" fillId="11" fontId="8" numFmtId="0" xfId="0" applyAlignment="1" applyFill="1" applyFont="1">
      <alignment horizontal="center" shrinkToFit="0" wrapText="1"/>
    </xf>
    <xf borderId="1" fillId="24" fontId="4" numFmtId="0" xfId="0" applyAlignment="1" applyBorder="1" applyFill="1" applyFont="1">
      <alignment readingOrder="0" shrinkToFit="0" vertical="center" wrapText="1"/>
    </xf>
    <xf borderId="1" fillId="24" fontId="4" numFmtId="0" xfId="0" applyAlignment="1" applyBorder="1" applyFill="1" applyFont="1">
      <alignment shrinkToFit="0" vertical="center" wrapText="1"/>
    </xf>
    <xf borderId="0" fillId="0" fontId="4" numFmtId="0" xfId="0" applyFont="1"/>
    <xf borderId="1" fillId="24" fontId="4" numFmtId="10" xfId="0" applyAlignment="1" applyBorder="1" applyFill="1" applyFont="1" applyNumberFormat="1">
      <alignment shrinkToFit="0" vertical="center" wrapText="1"/>
    </xf>
    <xf borderId="0" fillId="23" fontId="4" numFmtId="0" xfId="0" applyAlignment="1" applyFill="1" applyFont="1">
      <alignment readingOrder="0" shrinkToFit="0" wrapText="1"/>
    </xf>
    <xf borderId="0" fillId="12" fontId="4" numFmtId="0" xfId="0" applyAlignment="1" applyFill="1" applyFont="1">
      <alignment readingOrder="0" shrinkToFit="0" wrapText="1"/>
    </xf>
    <xf borderId="0" fillId="0" fontId="14" numFmtId="0" xfId="0" applyAlignment="1" applyFont="1">
      <alignment horizontal="center" readingOrder="0" vertical="center"/>
    </xf>
    <xf borderId="1" fillId="0" fontId="4" numFmtId="0" xfId="0" applyAlignment="1" applyBorder="1" applyFont="1">
      <alignment shrinkToFit="0" vertical="center" wrapText="1"/>
    </xf>
    <xf borderId="1" fillId="24" fontId="4" numFmtId="0" xfId="0" applyAlignment="1" applyBorder="1" applyFill="1" applyFont="1">
      <alignment horizontal="right" readingOrder="0" shrinkToFit="0" vertical="center" wrapText="1"/>
    </xf>
    <xf borderId="0" fillId="12" fontId="4" numFmtId="165" xfId="0" applyFill="1" applyFont="1" applyNumberFormat="1"/>
    <xf borderId="1" fillId="0" fontId="4" numFmtId="9" xfId="0" applyAlignment="1" applyBorder="1" applyFont="1" applyNumberFormat="1">
      <alignment readingOrder="0" shrinkToFit="0" vertical="center" wrapText="1"/>
    </xf>
    <xf borderId="1" fillId="9" fontId="4" numFmtId="0" xfId="0" applyAlignment="1" applyBorder="1" applyFill="1" applyFont="1">
      <alignment horizontal="right" readingOrder="0" shrinkToFit="0" vertical="center" wrapText="1"/>
    </xf>
    <xf borderId="1" fillId="9" fontId="4" numFmtId="0" xfId="0" applyAlignment="1" applyBorder="1" applyFill="1" applyFont="1">
      <alignment shrinkToFit="0" vertical="center" wrapText="1"/>
    </xf>
    <xf borderId="3" fillId="4" fontId="3" numFmtId="0" xfId="0" applyAlignment="1" applyBorder="1" applyFill="1" applyFont="1">
      <alignment shrinkToFit="0" vertical="center" wrapText="1"/>
    </xf>
    <xf borderId="3" fillId="6" fontId="3" numFmtId="0" xfId="0" applyAlignment="1" applyBorder="1" applyFill="1" applyFont="1">
      <alignment shrinkToFit="0" vertical="center" wrapText="1"/>
    </xf>
    <xf borderId="0" fillId="7" fontId="4" numFmtId="0" xfId="0" applyAlignment="1" applyFill="1" applyFont="1">
      <alignment readingOrder="0" shrinkToFit="0" wrapText="1"/>
    </xf>
    <xf borderId="0" fillId="7" fontId="4" numFmtId="165" xfId="0" applyAlignment="1" applyFill="1" applyFont="1" applyNumberFormat="1">
      <alignment readingOrder="0"/>
    </xf>
    <xf borderId="0" fillId="7" fontId="4" numFmtId="165" xfId="0" applyFill="1" applyFont="1" applyNumberFormat="1"/>
    <xf borderId="3" fillId="0" fontId="3" numFmtId="0" xfId="0" applyAlignment="1" applyBorder="1" applyFont="1">
      <alignment shrinkToFit="0" vertical="center" wrapText="1"/>
    </xf>
    <xf borderId="3" fillId="0" fontId="15" numFmtId="0" xfId="0" applyAlignment="1" applyBorder="1" applyFont="1">
      <alignment shrinkToFit="0" vertical="bottom" wrapText="0"/>
    </xf>
    <xf borderId="3" fillId="6" fontId="5" numFmtId="0" xfId="0" applyAlignment="1" applyBorder="1" applyFill="1" applyFont="1">
      <alignment shrinkToFit="0" vertical="bottom" wrapText="0"/>
    </xf>
    <xf borderId="0" fillId="0" fontId="16" numFmtId="0" xfId="0" applyAlignment="1" applyFont="1">
      <alignment shrinkToFit="0" vertical="bottom" wrapText="0"/>
    </xf>
    <xf borderId="0" fillId="23" fontId="4" numFmtId="165" xfId="0" applyAlignment="1" applyFill="1" applyFont="1" applyNumberFormat="1">
      <alignment readingOrder="0" shrinkToFit="0" wrapText="1"/>
    </xf>
    <xf borderId="0" fillId="23" fontId="4" numFmtId="165" xfId="0" applyAlignment="1" applyFill="1" applyFont="1" applyNumberFormat="1">
      <alignment shrinkToFit="0" wrapText="1"/>
    </xf>
    <xf borderId="0" fillId="12" fontId="4" numFmtId="0" xfId="0" applyAlignment="1" applyFill="1" applyFont="1">
      <alignment horizontal="center" readingOrder="0" shrinkToFit="0" wrapText="1"/>
    </xf>
    <xf borderId="0" fillId="12" fontId="4" numFmtId="165" xfId="0" applyAlignment="1" applyFill="1" applyFont="1" applyNumberFormat="1">
      <alignment horizontal="center" readingOrder="0"/>
    </xf>
    <xf borderId="0" fillId="12" fontId="4" numFmtId="165" xfId="0" applyAlignment="1" applyFill="1" applyFont="1" applyNumberFormat="1">
      <alignment horizontal="center"/>
    </xf>
    <xf borderId="0" fillId="12" fontId="4" numFmtId="0" xfId="0" applyAlignment="1" applyFill="1" applyFont="1">
      <alignment horizontal="center" readingOrder="0"/>
    </xf>
    <xf borderId="3" fillId="0" fontId="17" numFmtId="0" xfId="0" applyAlignment="1" applyBorder="1" applyFont="1">
      <alignment shrinkToFit="0" vertical="bottom" wrapText="0"/>
    </xf>
    <xf borderId="0" fillId="0" fontId="4" numFmtId="165" xfId="0" applyFont="1" applyNumberFormat="1"/>
    <xf borderId="0" fillId="12" fontId="4" numFmtId="0" xfId="0" applyFill="1" applyFont="1"/>
    <xf borderId="0" fillId="12" fontId="4" numFmtId="165" xfId="0" applyFill="1" applyFont="1" applyNumberFormat="1"/>
    <xf borderId="3" fillId="0"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rick Joel Castillo Silva" id="{be2d992f-0d22-4005-babf-039276b0ee6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7" dT="2026-10-27T16:42:49.00" personId="{be2d992f-0d22-4005-babf-039276b0ee60}" id="{5f7a8387-cbd9-473f-9b5f-df5f028bf3b2}" done="0">
    <x18tc:text xml:space="preserve">ejemplo</x18tc:text>
  </x18tc:threadedComment>
  <x18tc:threadedComment ref="C83" dT="2026-10-27T16:42:28.00" personId="{be2d992f-0d22-4005-babf-039276b0ee60}" id="{8822989d-3001-46a6-b6e0-bb79297b1895}" done="0">
    <x18tc:text xml:space="preserve">Ejemplo</x18tc:text>
  </x18tc:threadedComment>
  <x18tc:threadedComment ref="A123" dT="2026-10-27T16:44:01.00" personId="{be2d992f-0d22-4005-babf-039276b0ee60}" id="{a25c6b5f-6688-4c58-82f0-2664a32e2f0c}" done="0">
    <x18tc:text xml:space="preserve">Considerar solo este calculo (formulas), para calcular la reputación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6.xml"/><Relationship Id="rId5"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10.0"/>
    <col customWidth="1" min="3" max="26" width="8.71"/>
  </cols>
  <sheetData>
    <row r="2">
      <c r="B2" s="1" t="s">
        <v>0</v>
      </c>
    </row>
    <row r="3">
      <c r="B3" s="3"/>
    </row>
    <row r="4">
      <c r="B4" s="3" t="s">
        <v>3</v>
      </c>
    </row>
    <row r="5">
      <c r="B5" s="3"/>
    </row>
    <row r="6">
      <c r="B6" s="5" t="s">
        <v>5</v>
      </c>
    </row>
    <row r="7">
      <c r="B7" s="5" t="s">
        <v>6</v>
      </c>
    </row>
    <row r="8">
      <c r="B8" s="5" t="s">
        <v>7</v>
      </c>
    </row>
    <row r="9">
      <c r="B9" s="5" t="s">
        <v>8</v>
      </c>
    </row>
    <row r="10">
      <c r="B10" s="5" t="s">
        <v>10</v>
      </c>
    </row>
    <row r="11">
      <c r="B11" s="3"/>
    </row>
    <row r="12">
      <c r="B12" s="3" t="s">
        <v>12</v>
      </c>
    </row>
    <row r="13">
      <c r="B13" s="3"/>
    </row>
    <row r="14">
      <c r="B14" s="3"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9.29"/>
  </cols>
  <sheetData>
    <row r="2">
      <c r="B2" s="2" t="s">
        <v>1</v>
      </c>
      <c r="C2" s="2" t="s">
        <v>2</v>
      </c>
    </row>
    <row r="3">
      <c r="B3" s="4" t="s">
        <v>4</v>
      </c>
      <c r="C3" s="6"/>
    </row>
    <row r="4">
      <c r="B4" s="4" t="s">
        <v>9</v>
      </c>
      <c r="C4" s="6"/>
    </row>
    <row r="5">
      <c r="B5" s="7" t="s">
        <v>11</v>
      </c>
      <c r="C5" s="6"/>
    </row>
    <row r="6">
      <c r="B6" s="4" t="s">
        <v>13</v>
      </c>
      <c r="C6" s="6"/>
    </row>
    <row r="7">
      <c r="B7" s="4"/>
      <c r="C7" s="6"/>
    </row>
    <row r="8">
      <c r="B8" s="6"/>
      <c r="C8" s="6"/>
    </row>
    <row r="9">
      <c r="B9" s="6"/>
      <c r="C9" s="6"/>
    </row>
    <row r="10">
      <c r="B10" s="6"/>
      <c r="C10" s="6"/>
    </row>
    <row r="11">
      <c r="B11" s="6"/>
      <c r="C11" s="6"/>
    </row>
    <row r="12">
      <c r="B12" s="6"/>
      <c r="C12" s="6"/>
    </row>
    <row r="13">
      <c r="B13" s="6"/>
      <c r="C13" s="6"/>
    </row>
    <row r="14">
      <c r="B14" s="6"/>
      <c r="C14" s="6"/>
    </row>
    <row r="15">
      <c r="B15" s="6"/>
      <c r="C15" s="6"/>
    </row>
    <row r="16">
      <c r="B16" s="6"/>
      <c r="C16" s="6"/>
    </row>
    <row r="17">
      <c r="B17" s="6"/>
      <c r="C17" s="6"/>
    </row>
    <row r="18">
      <c r="B18" s="6"/>
      <c r="C18" s="6"/>
    </row>
    <row r="19">
      <c r="B19" s="6"/>
      <c r="C19" s="6"/>
    </row>
    <row r="20">
      <c r="B20" s="6"/>
      <c r="C20" s="6"/>
    </row>
    <row r="21">
      <c r="B21" s="6"/>
      <c r="C21" s="6"/>
    </row>
    <row r="22">
      <c r="B22" s="6"/>
      <c r="C22" s="6"/>
    </row>
    <row r="23">
      <c r="B23" s="6"/>
      <c r="C23" s="6"/>
    </row>
    <row r="24">
      <c r="B24" s="6"/>
      <c r="C24" s="6"/>
    </row>
    <row r="25">
      <c r="B25" s="6"/>
      <c r="C25"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1.86"/>
    <col customWidth="1" min="2" max="2" width="22.0"/>
    <col customWidth="1" min="3" max="3" width="26.0"/>
    <col customWidth="1" min="4" max="4" width="40.0"/>
    <col customWidth="1" min="5" max="5" width="14.0"/>
    <col customWidth="1" min="6" max="9" width="12.0"/>
    <col customWidth="1" min="10" max="26" width="8.71"/>
  </cols>
  <sheetData>
    <row r="1">
      <c r="A1" s="8" t="s">
        <v>15</v>
      </c>
      <c r="B1" s="8" t="s">
        <v>16</v>
      </c>
      <c r="C1" s="8" t="s">
        <v>17</v>
      </c>
      <c r="D1" s="8" t="s">
        <v>18</v>
      </c>
      <c r="E1" s="8" t="s">
        <v>19</v>
      </c>
      <c r="F1" s="8" t="s">
        <v>20</v>
      </c>
      <c r="G1" s="8" t="s">
        <v>21</v>
      </c>
      <c r="H1" s="8" t="s">
        <v>22</v>
      </c>
      <c r="I1" s="8" t="s">
        <v>23</v>
      </c>
    </row>
    <row r="2">
      <c r="A2" s="9" t="s">
        <v>24</v>
      </c>
      <c r="B2" s="10"/>
      <c r="C2" s="11" t="str">
        <f t="array" ref="C2">IFERROR(INDEX(Catalogo_Decisiones!$D$2:$D$57,MATCH($B2,Catalogo_Decisiones!$A$2:$A$57,0)),"")</f>
        <v/>
      </c>
      <c r="D2" s="11" t="str">
        <f t="array" ref="D2">IFERROR(INDEX(Catalogo_Decisiones!$F$2:$F$57,MATCH($B2,Catalogo_Decisiones!$A$2:$A$57,0)),"")</f>
        <v/>
      </c>
      <c r="E2" s="11">
        <f t="array" ref="E2">IFERROR(INDEX(Catalogo_Decisiones!$G$2:$G$57,MATCH($B2,Catalogo_Decisiones!$A$2:$A$57,0)),0)</f>
        <v>0</v>
      </c>
      <c r="F2" s="15">
        <f t="array" ref="F2">IFERROR(INDEX(Catalogo_Decisiones!$H$2:$H$57,MATCH($B2,Catalogo_Decisiones!$A$2:$A$57,0)),0)</f>
        <v>0</v>
      </c>
      <c r="G2" s="15">
        <f t="array" ref="G2">IFERROR(INDEX(Catalogo_Decisiones!$I$2:$I$57,MATCH($B2,Catalogo_Decisiones!$A$2:$A$57,0)),0)</f>
        <v>0</v>
      </c>
      <c r="H2" s="15">
        <f t="array" ref="H2">IFERROR(INDEX(Catalogo_Decisiones!$J$2:$J$57,MATCH($B2,Catalogo_Decisiones!$A$2:$A$57,0)),0)</f>
        <v>0</v>
      </c>
      <c r="I2" s="15">
        <f t="array" ref="I2">IFERROR(INDEX(Catalogo_Decisiones!$K$2:$K$57,MATCH($B2,Catalogo_Decisiones!$A$2:$A$57,0)),0)</f>
        <v>0</v>
      </c>
    </row>
    <row r="3">
      <c r="A3" s="9" t="s">
        <v>109</v>
      </c>
      <c r="B3" s="10"/>
      <c r="C3" s="11" t="str">
        <f t="array" ref="C3">IFERROR(INDEX(Catalogo_Decisiones!$D$2:$D$57,MATCH($B3,Catalogo_Decisiones!$A$2:$A$57,0)),"")</f>
        <v/>
      </c>
      <c r="D3" s="11" t="str">
        <f t="array" ref="D3">IFERROR(INDEX(Catalogo_Decisiones!$F$2:$F$57,MATCH($B3,Catalogo_Decisiones!$A$2:$A$57,0)),"")</f>
        <v/>
      </c>
      <c r="E3" s="11">
        <f t="array" ref="E3">IFERROR(INDEX(Catalogo_Decisiones!$G$2:$G$57,MATCH($B3,Catalogo_Decisiones!$A$2:$A$57,0)),0)</f>
        <v>0</v>
      </c>
      <c r="F3" s="15">
        <f t="array" ref="F3">IFERROR(INDEX(Catalogo_Decisiones!$H$2:$H$57,MATCH($B3,Catalogo_Decisiones!$A$2:$A$57,0)),0)</f>
        <v>0</v>
      </c>
      <c r="G3" s="15">
        <f t="array" ref="G3">IFERROR(INDEX(Catalogo_Decisiones!$I$2:$I$57,MATCH($B3,Catalogo_Decisiones!$A$2:$A$57,0)),0)</f>
        <v>0</v>
      </c>
      <c r="H3" s="15">
        <f t="array" ref="H3">IFERROR(INDEX(Catalogo_Decisiones!$J$2:$J$57,MATCH($B3,Catalogo_Decisiones!$A$2:$A$57,0)),0)</f>
        <v>0</v>
      </c>
      <c r="I3" s="15">
        <f t="array" ref="I3">IFERROR(INDEX(Catalogo_Decisiones!$K$2:$K$57,MATCH($B3,Catalogo_Decisiones!$A$2:$A$57,0)),0)</f>
        <v>0</v>
      </c>
    </row>
    <row r="4">
      <c r="A4" s="9" t="s">
        <v>123</v>
      </c>
      <c r="B4" s="10"/>
      <c r="C4" s="11" t="str">
        <f t="array" ref="C4">IFERROR(INDEX(Catalogo_Decisiones!$D$2:$D$57,MATCH($B4,Catalogo_Decisiones!$A$2:$A$57,0)),"")</f>
        <v/>
      </c>
      <c r="D4" s="11" t="str">
        <f t="array" ref="D4">IFERROR(INDEX(Catalogo_Decisiones!$F$2:$F$57,MATCH($B4,Catalogo_Decisiones!$A$2:$A$57,0)),"")</f>
        <v/>
      </c>
      <c r="E4" s="11">
        <f t="array" ref="E4">IFERROR(INDEX(Catalogo_Decisiones!$G$2:$G$57,MATCH($B4,Catalogo_Decisiones!$A$2:$A$57,0)),0)</f>
        <v>0</v>
      </c>
      <c r="F4" s="15">
        <f t="array" ref="F4">IFERROR(INDEX(Catalogo_Decisiones!$H$2:$H$57,MATCH($B4,Catalogo_Decisiones!$A$2:$A$57,0)),0)</f>
        <v>0</v>
      </c>
      <c r="G4" s="15">
        <f t="array" ref="G4">IFERROR(INDEX(Catalogo_Decisiones!$I$2:$I$57,MATCH($B4,Catalogo_Decisiones!$A$2:$A$57,0)),0)</f>
        <v>0</v>
      </c>
      <c r="H4" s="15">
        <f t="array" ref="H4">IFERROR(INDEX(Catalogo_Decisiones!$J$2:$J$57,MATCH($B4,Catalogo_Decisiones!$A$2:$A$57,0)),0)</f>
        <v>0</v>
      </c>
      <c r="I4" s="15">
        <f t="array" ref="I4">IFERROR(INDEX(Catalogo_Decisiones!$K$2:$K$57,MATCH($B4,Catalogo_Decisiones!$A$2:$A$57,0)),0)</f>
        <v>0</v>
      </c>
    </row>
    <row r="5">
      <c r="A5" s="9" t="s">
        <v>137</v>
      </c>
      <c r="B5" s="10"/>
      <c r="C5" s="11" t="str">
        <f t="array" ref="C5">IFERROR(INDEX(Catalogo_Decisiones!$D$2:$D$57,MATCH($B5,Catalogo_Decisiones!$A$2:$A$57,0)),"")</f>
        <v/>
      </c>
      <c r="D5" s="11" t="str">
        <f t="array" ref="D5">IFERROR(INDEX(Catalogo_Decisiones!$F$2:$F$57,MATCH($B5,Catalogo_Decisiones!$A$2:$A$57,0)),"")</f>
        <v/>
      </c>
      <c r="E5" s="11">
        <f t="array" ref="E5">IFERROR(INDEX(Catalogo_Decisiones!$G$2:$G$57,MATCH($B5,Catalogo_Decisiones!$A$2:$A$57,0)),0)</f>
        <v>0</v>
      </c>
      <c r="F5" s="15">
        <f t="array" ref="F5">IFERROR(INDEX(Catalogo_Decisiones!$H$2:$H$57,MATCH($B5,Catalogo_Decisiones!$A$2:$A$57,0)),0)</f>
        <v>0</v>
      </c>
      <c r="G5" s="15">
        <f t="array" ref="G5">IFERROR(INDEX(Catalogo_Decisiones!$I$2:$I$57,MATCH($B5,Catalogo_Decisiones!$A$2:$A$57,0)),0)</f>
        <v>0</v>
      </c>
      <c r="H5" s="15">
        <f t="array" ref="H5">IFERROR(INDEX(Catalogo_Decisiones!$J$2:$J$57,MATCH($B5,Catalogo_Decisiones!$A$2:$A$57,0)),0)</f>
        <v>0</v>
      </c>
      <c r="I5" s="15">
        <f t="array" ref="I5">IFERROR(INDEX(Catalogo_Decisiones!$K$2:$K$57,MATCH($B5,Catalogo_Decisiones!$A$2:$A$57,0)),0)</f>
        <v>0</v>
      </c>
    </row>
    <row r="6">
      <c r="A6" s="9" t="s">
        <v>148</v>
      </c>
      <c r="B6" s="10"/>
      <c r="C6" s="11" t="str">
        <f t="array" ref="C6">IFERROR(INDEX(Catalogo_Decisiones!$D$2:$D$57,MATCH($B6,Catalogo_Decisiones!$A$2:$A$57,0)),"")</f>
        <v/>
      </c>
      <c r="D6" s="11" t="str">
        <f t="array" ref="D6">IFERROR(INDEX(Catalogo_Decisiones!$F$2:$F$57,MATCH($B6,Catalogo_Decisiones!$A$2:$A$57,0)),"")</f>
        <v/>
      </c>
      <c r="E6" s="11">
        <f t="array" ref="E6">IFERROR(INDEX(Catalogo_Decisiones!$G$2:$G$57,MATCH($B6,Catalogo_Decisiones!$A$2:$A$57,0)),0)</f>
        <v>0</v>
      </c>
      <c r="F6" s="15">
        <f t="array" ref="F6">IFERROR(INDEX(Catalogo_Decisiones!$H$2:$H$57,MATCH($B6,Catalogo_Decisiones!$A$2:$A$57,0)),0)</f>
        <v>0</v>
      </c>
      <c r="G6" s="15">
        <f t="array" ref="G6">IFERROR(INDEX(Catalogo_Decisiones!$I$2:$I$57,MATCH($B6,Catalogo_Decisiones!$A$2:$A$57,0)),0)</f>
        <v>0</v>
      </c>
      <c r="H6" s="15">
        <f t="array" ref="H6">IFERROR(INDEX(Catalogo_Decisiones!$J$2:$J$57,MATCH($B6,Catalogo_Decisiones!$A$2:$A$57,0)),0)</f>
        <v>0</v>
      </c>
      <c r="I6" s="15">
        <f t="array" ref="I6">IFERROR(INDEX(Catalogo_Decisiones!$K$2:$K$57,MATCH($B6,Catalogo_Decisiones!$A$2:$A$57,0)),0)</f>
        <v>0</v>
      </c>
    </row>
    <row r="7">
      <c r="A7" s="9" t="s">
        <v>160</v>
      </c>
      <c r="B7" s="10"/>
      <c r="C7" s="11" t="str">
        <f t="array" ref="C7">IFERROR(INDEX(Catalogo_Decisiones!$D$2:$D$57,MATCH($B7,Catalogo_Decisiones!$A$2:$A$57,0)),"")</f>
        <v/>
      </c>
      <c r="D7" s="11" t="str">
        <f t="array" ref="D7">IFERROR(INDEX(Catalogo_Decisiones!$F$2:$F$57,MATCH($B7,Catalogo_Decisiones!$A$2:$A$57,0)),"")</f>
        <v/>
      </c>
      <c r="E7" s="11">
        <f t="array" ref="E7">IFERROR(INDEX(Catalogo_Decisiones!$G$2:$G$57,MATCH($B7,Catalogo_Decisiones!$A$2:$A$57,0)),0)</f>
        <v>0</v>
      </c>
      <c r="F7" s="15">
        <f t="array" ref="F7">IFERROR(INDEX(Catalogo_Decisiones!$H$2:$H$57,MATCH($B7,Catalogo_Decisiones!$A$2:$A$57,0)),0)</f>
        <v>0</v>
      </c>
      <c r="G7" s="15">
        <f t="array" ref="G7">IFERROR(INDEX(Catalogo_Decisiones!$I$2:$I$57,MATCH($B7,Catalogo_Decisiones!$A$2:$A$57,0)),0)</f>
        <v>0</v>
      </c>
      <c r="H7" s="15">
        <f t="array" ref="H7">IFERROR(INDEX(Catalogo_Decisiones!$J$2:$J$57,MATCH($B7,Catalogo_Decisiones!$A$2:$A$57,0)),0)</f>
        <v>0</v>
      </c>
      <c r="I7" s="15">
        <f t="array" ref="I7">IFERROR(INDEX(Catalogo_Decisiones!$K$2:$K$57,MATCH($B7,Catalogo_Decisiones!$A$2:$A$57,0)),0)</f>
        <v>0</v>
      </c>
    </row>
    <row r="8">
      <c r="A8" s="9" t="s">
        <v>173</v>
      </c>
      <c r="B8" s="10"/>
      <c r="C8" s="11" t="str">
        <f t="array" ref="C8">IFERROR(INDEX(Catalogo_Decisiones!$D$2:$D$57,MATCH($B8,Catalogo_Decisiones!$A$2:$A$57,0)),"")</f>
        <v/>
      </c>
      <c r="D8" s="11" t="str">
        <f t="array" ref="D8">IFERROR(INDEX(Catalogo_Decisiones!$F$2:$F$57,MATCH($B8,Catalogo_Decisiones!$A$2:$A$57,0)),"")</f>
        <v/>
      </c>
      <c r="E8" s="11">
        <f t="array" ref="E8">IFERROR(INDEX(Catalogo_Decisiones!$G$2:$G$57,MATCH($B8,Catalogo_Decisiones!$A$2:$A$57,0)),0)</f>
        <v>0</v>
      </c>
      <c r="F8" s="15">
        <f t="array" ref="F8">IFERROR(INDEX(Catalogo_Decisiones!$H$2:$H$57,MATCH($B8,Catalogo_Decisiones!$A$2:$A$57,0)),0)</f>
        <v>0</v>
      </c>
      <c r="G8" s="15">
        <f t="array" ref="G8">IFERROR(INDEX(Catalogo_Decisiones!$I$2:$I$57,MATCH($B8,Catalogo_Decisiones!$A$2:$A$57,0)),0)</f>
        <v>0</v>
      </c>
      <c r="H8" s="15">
        <f t="array" ref="H8">IFERROR(INDEX(Catalogo_Decisiones!$J$2:$J$57,MATCH($B8,Catalogo_Decisiones!$A$2:$A$57,0)),0)</f>
        <v>0</v>
      </c>
      <c r="I8" s="15">
        <f t="array" ref="I8">IFERROR(INDEX(Catalogo_Decisiones!$K$2:$K$57,MATCH($B8,Catalogo_Decisiones!$A$2:$A$57,0)),0)</f>
        <v>0</v>
      </c>
    </row>
    <row r="9">
      <c r="A9" s="9" t="s">
        <v>195</v>
      </c>
      <c r="B9" s="10"/>
      <c r="C9" s="11" t="str">
        <f t="array" ref="C9">IFERROR(INDEX(Catalogo_Decisiones!$D$2:$D$57,MATCH($B9,Catalogo_Decisiones!$A$2:$A$57,0)),"")</f>
        <v/>
      </c>
      <c r="D9" s="11" t="str">
        <f t="array" ref="D9">IFERROR(INDEX(Catalogo_Decisiones!$F$2:$F$57,MATCH($B9,Catalogo_Decisiones!$A$2:$A$57,0)),"")</f>
        <v/>
      </c>
      <c r="E9" s="11">
        <f t="array" ref="E9">IFERROR(INDEX(Catalogo_Decisiones!$G$2:$G$57,MATCH($B9,Catalogo_Decisiones!$A$2:$A$57,0)),0)</f>
        <v>0</v>
      </c>
      <c r="F9" s="15">
        <f t="array" ref="F9">IFERROR(INDEX(Catalogo_Decisiones!$H$2:$H$57,MATCH($B9,Catalogo_Decisiones!$A$2:$A$57,0)),0)</f>
        <v>0</v>
      </c>
      <c r="G9" s="15">
        <f t="array" ref="G9">IFERROR(INDEX(Catalogo_Decisiones!$I$2:$I$57,MATCH($B9,Catalogo_Decisiones!$A$2:$A$57,0)),0)</f>
        <v>0</v>
      </c>
      <c r="H9" s="15">
        <f t="array" ref="H9">IFERROR(INDEX(Catalogo_Decisiones!$J$2:$J$57,MATCH($B9,Catalogo_Decisiones!$A$2:$A$57,0)),0)</f>
        <v>0</v>
      </c>
      <c r="I9" s="15">
        <f t="array" ref="I9">IFERROR(INDEX(Catalogo_Decisiones!$K$2:$K$57,MATCH($B9,Catalogo_Decisiones!$A$2:$A$57,0)),0)</f>
        <v>0</v>
      </c>
    </row>
    <row r="10">
      <c r="A10" s="9" t="s">
        <v>206</v>
      </c>
      <c r="B10" s="10"/>
      <c r="C10" s="11" t="str">
        <f t="array" ref="C10">IFERROR(INDEX(Catalogo_Decisiones!$D$2:$D$57,MATCH($B10,Catalogo_Decisiones!$A$2:$A$57,0)),"")</f>
        <v/>
      </c>
      <c r="D10" s="11" t="str">
        <f t="array" ref="D10">IFERROR(INDEX(Catalogo_Decisiones!$F$2:$F$57,MATCH($B10,Catalogo_Decisiones!$A$2:$A$57,0)),"")</f>
        <v/>
      </c>
      <c r="E10" s="11">
        <f t="array" ref="E10">IFERROR(INDEX(Catalogo_Decisiones!$G$2:$G$57,MATCH($B10,Catalogo_Decisiones!$A$2:$A$57,0)),0)</f>
        <v>0</v>
      </c>
      <c r="F10" s="15">
        <f t="array" ref="F10">IFERROR(INDEX(Catalogo_Decisiones!$H$2:$H$57,MATCH($B10,Catalogo_Decisiones!$A$2:$A$57,0)),0)</f>
        <v>0</v>
      </c>
      <c r="G10" s="15">
        <f t="array" ref="G10">IFERROR(INDEX(Catalogo_Decisiones!$I$2:$I$57,MATCH($B10,Catalogo_Decisiones!$A$2:$A$57,0)),0)</f>
        <v>0</v>
      </c>
      <c r="H10" s="15">
        <f t="array" ref="H10">IFERROR(INDEX(Catalogo_Decisiones!$J$2:$J$57,MATCH($B10,Catalogo_Decisiones!$A$2:$A$57,0)),0)</f>
        <v>0</v>
      </c>
      <c r="I10" s="15">
        <f t="array" ref="I10">IFERROR(INDEX(Catalogo_Decisiones!$K$2:$K$57,MATCH($B10,Catalogo_Decisiones!$A$2:$A$57,0)),0)</f>
        <v>0</v>
      </c>
    </row>
    <row r="11">
      <c r="A11" s="9" t="s">
        <v>247</v>
      </c>
      <c r="B11" s="10"/>
      <c r="C11" s="11" t="str">
        <f t="array" ref="C11">IFERROR(INDEX(Catalogo_Decisiones!$D$2:$D$57,MATCH($B11,Catalogo_Decisiones!$A$2:$A$57,0)),"")</f>
        <v/>
      </c>
      <c r="D11" s="11" t="str">
        <f t="array" ref="D11">IFERROR(INDEX(Catalogo_Decisiones!$F$2:$F$57,MATCH($B11,Catalogo_Decisiones!$A$2:$A$57,0)),"")</f>
        <v/>
      </c>
      <c r="E11" s="11">
        <f t="array" ref="E11">IFERROR(INDEX(Catalogo_Decisiones!$G$2:$G$57,MATCH($B11,Catalogo_Decisiones!$A$2:$A$57,0)),0)</f>
        <v>0</v>
      </c>
      <c r="F11" s="15">
        <f t="array" ref="F11">IFERROR(INDEX(Catalogo_Decisiones!$H$2:$H$57,MATCH($B11,Catalogo_Decisiones!$A$2:$A$57,0)),0)</f>
        <v>0</v>
      </c>
      <c r="G11" s="15">
        <f t="array" ref="G11">IFERROR(INDEX(Catalogo_Decisiones!$I$2:$I$57,MATCH($B11,Catalogo_Decisiones!$A$2:$A$57,0)),0)</f>
        <v>0</v>
      </c>
      <c r="H11" s="15">
        <f t="array" ref="H11">IFERROR(INDEX(Catalogo_Decisiones!$J$2:$J$57,MATCH($B11,Catalogo_Decisiones!$A$2:$A$57,0)),0)</f>
        <v>0</v>
      </c>
      <c r="I11" s="15">
        <f t="array" ref="I11">IFERROR(INDEX(Catalogo_Decisiones!$K$2:$K$57,MATCH($B11,Catalogo_Decisiones!$A$2:$A$57,0)),0)</f>
        <v>0</v>
      </c>
    </row>
    <row r="12">
      <c r="A12" s="9" t="s">
        <v>256</v>
      </c>
      <c r="B12" s="10"/>
      <c r="C12" s="11" t="str">
        <f t="array" ref="C12">IFERROR(INDEX(Catalogo_Decisiones!$D$2:$D$57,MATCH($B12,Catalogo_Decisiones!$A$2:$A$57,0)),"")</f>
        <v/>
      </c>
      <c r="D12" s="11" t="str">
        <f t="array" ref="D12">IFERROR(INDEX(Catalogo_Decisiones!$F$2:$F$57,MATCH($B12,Catalogo_Decisiones!$A$2:$A$57,0)),"")</f>
        <v/>
      </c>
      <c r="E12" s="11">
        <f t="array" ref="E12">IFERROR(INDEX(Catalogo_Decisiones!$G$2:$G$57,MATCH($B12,Catalogo_Decisiones!$A$2:$A$57,0)),0)</f>
        <v>0</v>
      </c>
      <c r="F12" s="15">
        <f t="array" ref="F12">IFERROR(INDEX(Catalogo_Decisiones!$H$2:$H$57,MATCH($B12,Catalogo_Decisiones!$A$2:$A$57,0)),0)</f>
        <v>0</v>
      </c>
      <c r="G12" s="15">
        <f t="array" ref="G12">IFERROR(INDEX(Catalogo_Decisiones!$I$2:$I$57,MATCH($B12,Catalogo_Decisiones!$A$2:$A$57,0)),0)</f>
        <v>0</v>
      </c>
      <c r="H12" s="15">
        <f t="array" ref="H12">IFERROR(INDEX(Catalogo_Decisiones!$J$2:$J$57,MATCH($B12,Catalogo_Decisiones!$A$2:$A$57,0)),0)</f>
        <v>0</v>
      </c>
      <c r="I12" s="15">
        <f t="array" ref="I12">IFERROR(INDEX(Catalogo_Decisiones!$K$2:$K$57,MATCH($B12,Catalogo_Decisiones!$A$2:$A$57,0)),0)</f>
        <v>0</v>
      </c>
    </row>
    <row r="13">
      <c r="A13" s="9" t="s">
        <v>263</v>
      </c>
      <c r="B13" s="10"/>
      <c r="C13" s="11" t="str">
        <f t="array" ref="C13">IFERROR(INDEX(Catalogo_Decisiones!$D$2:$D$57,MATCH($B13,Catalogo_Decisiones!$A$2:$A$57,0)),"")</f>
        <v/>
      </c>
      <c r="D13" s="11" t="str">
        <f t="array" ref="D13">IFERROR(INDEX(Catalogo_Decisiones!$F$2:$F$57,MATCH($B13,Catalogo_Decisiones!$A$2:$A$57,0)),"")</f>
        <v/>
      </c>
      <c r="E13" s="11">
        <f t="array" ref="E13">IFERROR(INDEX(Catalogo_Decisiones!$G$2:$G$57,MATCH($B13,Catalogo_Decisiones!$A$2:$A$57,0)),0)</f>
        <v>0</v>
      </c>
      <c r="F13" s="15">
        <f t="array" ref="F13">IFERROR(INDEX(Catalogo_Decisiones!$H$2:$H$57,MATCH($B13,Catalogo_Decisiones!$A$2:$A$57,0)),0)</f>
        <v>0</v>
      </c>
      <c r="G13" s="15">
        <f t="array" ref="G13">IFERROR(INDEX(Catalogo_Decisiones!$I$2:$I$57,MATCH($B13,Catalogo_Decisiones!$A$2:$A$57,0)),0)</f>
        <v>0</v>
      </c>
      <c r="H13" s="15">
        <f t="array" ref="H13">IFERROR(INDEX(Catalogo_Decisiones!$J$2:$J$57,MATCH($B13,Catalogo_Decisiones!$A$2:$A$57,0)),0)</f>
        <v>0</v>
      </c>
      <c r="I13" s="15">
        <f t="array" ref="I13">IFERROR(INDEX(Catalogo_Decisiones!$K$2:$K$57,MATCH($B13,Catalogo_Decisiones!$A$2:$A$57,0)),0)</f>
        <v>0</v>
      </c>
    </row>
    <row r="14">
      <c r="A14" s="9" t="s">
        <v>279</v>
      </c>
      <c r="B14" s="10"/>
      <c r="C14" s="11" t="str">
        <f t="array" ref="C14">IFERROR(INDEX(Catalogo_Decisiones!$D$2:$D$57,MATCH($B14,Catalogo_Decisiones!$A$2:$A$57,0)),"")</f>
        <v/>
      </c>
      <c r="D14" s="11" t="str">
        <f t="array" ref="D14">IFERROR(INDEX(Catalogo_Decisiones!$F$2:$F$57,MATCH($B14,Catalogo_Decisiones!$A$2:$A$57,0)),"")</f>
        <v/>
      </c>
      <c r="E14" s="11">
        <f t="array" ref="E14">IFERROR(INDEX(Catalogo_Decisiones!$G$2:$G$57,MATCH($B14,Catalogo_Decisiones!$A$2:$A$57,0)),0)</f>
        <v>0</v>
      </c>
      <c r="F14" s="15">
        <f t="array" ref="F14">IFERROR(INDEX(Catalogo_Decisiones!$H$2:$H$57,MATCH($B14,Catalogo_Decisiones!$A$2:$A$57,0)),0)</f>
        <v>0</v>
      </c>
      <c r="G14" s="15">
        <f t="array" ref="G14">IFERROR(INDEX(Catalogo_Decisiones!$I$2:$I$57,MATCH($B14,Catalogo_Decisiones!$A$2:$A$57,0)),0)</f>
        <v>0</v>
      </c>
      <c r="H14" s="15">
        <f t="array" ref="H14">IFERROR(INDEX(Catalogo_Decisiones!$J$2:$J$57,MATCH($B14,Catalogo_Decisiones!$A$2:$A$57,0)),0)</f>
        <v>0</v>
      </c>
      <c r="I14" s="15">
        <f t="array" ref="I14">IFERROR(INDEX(Catalogo_Decisiones!$K$2:$K$57,MATCH($B14,Catalogo_Decisiones!$A$2:$A$57,0)),0)</f>
        <v>0</v>
      </c>
    </row>
    <row r="15">
      <c r="A15" s="9" t="s">
        <v>290</v>
      </c>
      <c r="B15" s="10"/>
      <c r="C15" s="11" t="str">
        <f t="array" ref="C15">IFERROR(INDEX(Catalogo_Decisiones!$D$2:$D$57,MATCH($B15,Catalogo_Decisiones!$A$2:$A$57,0)),"")</f>
        <v/>
      </c>
      <c r="D15" s="11" t="str">
        <f t="array" ref="D15">IFERROR(INDEX(Catalogo_Decisiones!$F$2:$F$57,MATCH($B15,Catalogo_Decisiones!$A$2:$A$57,0)),"")</f>
        <v/>
      </c>
      <c r="E15" s="11">
        <f t="array" ref="E15">IFERROR(INDEX(Catalogo_Decisiones!$G$2:$G$57,MATCH($B15,Catalogo_Decisiones!$A$2:$A$57,0)),0)</f>
        <v>0</v>
      </c>
      <c r="F15" s="15">
        <f t="array" ref="F15">IFERROR(INDEX(Catalogo_Decisiones!$H$2:$H$57,MATCH($B15,Catalogo_Decisiones!$A$2:$A$57,0)),0)</f>
        <v>0</v>
      </c>
      <c r="G15" s="15">
        <f t="array" ref="G15">IFERROR(INDEX(Catalogo_Decisiones!$I$2:$I$57,MATCH($B15,Catalogo_Decisiones!$A$2:$A$57,0)),0)</f>
        <v>0</v>
      </c>
      <c r="H15" s="15">
        <f t="array" ref="H15">IFERROR(INDEX(Catalogo_Decisiones!$J$2:$J$57,MATCH($B15,Catalogo_Decisiones!$A$2:$A$57,0)),0)</f>
        <v>0</v>
      </c>
      <c r="I15" s="15">
        <f t="array" ref="I15">IFERROR(INDEX(Catalogo_Decisiones!$K$2:$K$57,MATCH($B15,Catalogo_Decisiones!$A$2:$A$57,0)),0)</f>
        <v>0</v>
      </c>
    </row>
    <row r="16">
      <c r="A16" s="131" t="s">
        <v>424</v>
      </c>
    </row>
    <row r="17">
      <c r="A17" s="134" t="s">
        <v>427</v>
      </c>
      <c r="B17" s="10">
        <v>0.0</v>
      </c>
    </row>
    <row r="18">
      <c r="A18" s="134" t="s">
        <v>428</v>
      </c>
      <c r="B18" s="10">
        <v>0.0</v>
      </c>
    </row>
    <row r="19">
      <c r="A19" s="134" t="s">
        <v>429</v>
      </c>
      <c r="B19" s="10">
        <v>0.0</v>
      </c>
    </row>
    <row r="20">
      <c r="A20" s="134" t="s">
        <v>430</v>
      </c>
      <c r="B20" s="10">
        <v>0.0</v>
      </c>
    </row>
    <row r="21" ht="15.75" customHeight="1">
      <c r="A21" s="134" t="s">
        <v>431</v>
      </c>
      <c r="B21" s="10">
        <v>0.0</v>
      </c>
    </row>
    <row r="22" ht="15.75" customHeight="1">
      <c r="A22" s="134" t="s">
        <v>432</v>
      </c>
      <c r="B22" s="10">
        <v>0.0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B4">
      <formula1>"INF-08,INF-09,INF-10"</formula1>
    </dataValidation>
    <dataValidation type="list" allowBlank="1" sqref="B8">
      <formula1>"RH-10A,RH-10B"</formula1>
    </dataValidation>
    <dataValidation type="list" allowBlank="1" sqref="B10">
      <formula1>"FIN-01A,FIN-01B"</formula1>
    </dataValidation>
    <dataValidation type="list" allowBlank="1" sqref="B9">
      <formula1>"COM-01A,COM-01B,COM-01C"</formula1>
    </dataValidation>
    <dataValidation type="list" allowBlank="1" sqref="B11">
      <formula1>"INS-09A,INS-09B"</formula1>
    </dataValidation>
    <dataValidation type="list" allowBlank="1" sqref="B3">
      <formula1>"INF-05,INF-06,INF-07"</formula1>
    </dataValidation>
    <dataValidation type="list" allowBlank="1" sqref="B6">
      <formula1>"RH-04,RH-05,RH-06"</formula1>
    </dataValidation>
    <dataValidation type="list" allowBlank="1" sqref="B15">
      <formula1>"INV-02A,INV-02B,INV-02C"</formula1>
    </dataValidation>
    <dataValidation type="list" allowBlank="1" sqref="B13">
      <formula1>"INS-11A,INS-11B,INS-11C"</formula1>
    </dataValidation>
    <dataValidation type="list" allowBlank="1" sqref="B5">
      <formula1>"RH-01,RH-02,RH-03"</formula1>
    </dataValidation>
    <dataValidation type="list" allowBlank="1" sqref="B14">
      <formula1>"INV-01A,INV-01B,INV-01C"</formula1>
    </dataValidation>
    <dataValidation type="list" allowBlank="1" sqref="B12">
      <formula1>"INS-10A,INS-10B"</formula1>
    </dataValidation>
    <dataValidation type="list" allowBlank="1" sqref="B2">
      <formula1>"INF-02,INF-03,INF-04"</formula1>
    </dataValidation>
    <dataValidation type="list" allowBlank="1" sqref="B7">
      <formula1>"RH-07,RH-08,RH-09"</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6.0"/>
    <col customWidth="1" min="3" max="3" width="26.0"/>
    <col customWidth="1" min="4" max="4" width="31.86"/>
    <col customWidth="1" min="5" max="5" width="21.29"/>
    <col customWidth="1" min="6" max="6" width="79.86"/>
    <col customWidth="1" min="7" max="7" width="13.86"/>
    <col customWidth="1" min="8" max="11" width="12.0"/>
    <col customWidth="1" min="12" max="12" width="40.29"/>
    <col customWidth="1" min="13" max="26" width="8.71"/>
  </cols>
  <sheetData>
    <row r="1">
      <c r="A1" s="8" t="s">
        <v>25</v>
      </c>
      <c r="B1" s="8" t="s">
        <v>27</v>
      </c>
      <c r="C1" s="8" t="s">
        <v>15</v>
      </c>
      <c r="D1" s="8" t="s">
        <v>28</v>
      </c>
      <c r="E1" s="8" t="s">
        <v>29</v>
      </c>
      <c r="F1" s="8" t="s">
        <v>31</v>
      </c>
      <c r="G1" s="8" t="s">
        <v>32</v>
      </c>
      <c r="H1" s="8" t="s">
        <v>34</v>
      </c>
      <c r="I1" s="8" t="s">
        <v>36</v>
      </c>
      <c r="J1" s="8" t="s">
        <v>38</v>
      </c>
      <c r="K1" s="8" t="s">
        <v>39</v>
      </c>
      <c r="L1" s="8" t="s">
        <v>40</v>
      </c>
    </row>
    <row r="2">
      <c r="A2" s="11" t="s">
        <v>41</v>
      </c>
      <c r="B2" s="11" t="s">
        <v>42</v>
      </c>
      <c r="C2" s="18" t="s">
        <v>45</v>
      </c>
      <c r="D2" s="11" t="s">
        <v>46</v>
      </c>
      <c r="E2" s="11" t="s">
        <v>47</v>
      </c>
      <c r="F2" s="11" t="s">
        <v>49</v>
      </c>
      <c r="G2" s="11">
        <v>0.0</v>
      </c>
      <c r="H2" s="22">
        <v>0.0</v>
      </c>
      <c r="I2" s="22">
        <v>0.0</v>
      </c>
      <c r="J2" s="22">
        <v>0.0</v>
      </c>
      <c r="K2" s="22">
        <v>0.0</v>
      </c>
      <c r="L2" s="11" t="s">
        <v>53</v>
      </c>
    </row>
    <row r="3">
      <c r="A3" s="11" t="s">
        <v>54</v>
      </c>
      <c r="B3" s="11" t="s">
        <v>42</v>
      </c>
      <c r="C3" s="25" t="s">
        <v>57</v>
      </c>
      <c r="D3" s="11" t="s">
        <v>46</v>
      </c>
      <c r="E3" s="11" t="s">
        <v>47</v>
      </c>
      <c r="F3" s="11" t="s">
        <v>60</v>
      </c>
      <c r="G3" s="11">
        <v>0.0</v>
      </c>
      <c r="H3" s="22">
        <v>0.0</v>
      </c>
      <c r="I3" s="22">
        <v>0.0</v>
      </c>
      <c r="J3" s="22">
        <v>0.0</v>
      </c>
      <c r="K3" s="22">
        <v>0.0</v>
      </c>
      <c r="L3" s="11" t="s">
        <v>53</v>
      </c>
    </row>
    <row r="4">
      <c r="A4" s="11" t="s">
        <v>63</v>
      </c>
      <c r="B4" s="11" t="s">
        <v>42</v>
      </c>
      <c r="C4" s="31" t="s">
        <v>65</v>
      </c>
      <c r="D4" s="11" t="s">
        <v>46</v>
      </c>
      <c r="E4" s="11" t="s">
        <v>47</v>
      </c>
      <c r="F4" s="11" t="s">
        <v>72</v>
      </c>
      <c r="G4" s="11">
        <v>0.0</v>
      </c>
      <c r="H4" s="22">
        <v>0.0</v>
      </c>
      <c r="I4" s="22">
        <v>0.0</v>
      </c>
      <c r="J4" s="22">
        <v>0.0</v>
      </c>
      <c r="K4" s="22">
        <v>0.0</v>
      </c>
      <c r="L4" s="11" t="s">
        <v>53</v>
      </c>
    </row>
    <row r="5">
      <c r="A5" s="11" t="s">
        <v>78</v>
      </c>
      <c r="B5" s="11" t="s">
        <v>42</v>
      </c>
      <c r="C5" s="11" t="s">
        <v>79</v>
      </c>
      <c r="D5" s="11" t="s">
        <v>80</v>
      </c>
      <c r="E5" s="11" t="s">
        <v>47</v>
      </c>
      <c r="F5" s="11" t="s">
        <v>82</v>
      </c>
      <c r="G5" s="11">
        <v>0.0</v>
      </c>
      <c r="H5" s="22">
        <v>0.0</v>
      </c>
      <c r="I5" s="22">
        <v>0.0</v>
      </c>
      <c r="J5" s="22">
        <v>1.0</v>
      </c>
      <c r="K5" s="22">
        <v>0.0</v>
      </c>
      <c r="L5" s="11" t="s">
        <v>83</v>
      </c>
    </row>
    <row r="6">
      <c r="A6" s="11" t="s">
        <v>84</v>
      </c>
      <c r="B6" s="11" t="s">
        <v>42</v>
      </c>
      <c r="C6" s="11" t="s">
        <v>79</v>
      </c>
      <c r="D6" s="11" t="s">
        <v>86</v>
      </c>
      <c r="E6" s="11" t="s">
        <v>47</v>
      </c>
      <c r="F6" s="11" t="s">
        <v>87</v>
      </c>
      <c r="G6" s="11">
        <v>0.0</v>
      </c>
      <c r="H6" s="22">
        <v>1.0</v>
      </c>
      <c r="I6" s="22">
        <v>0.0</v>
      </c>
      <c r="J6" s="22">
        <v>1.0</v>
      </c>
      <c r="K6" s="22">
        <v>0.0</v>
      </c>
      <c r="L6" s="11"/>
    </row>
    <row r="7">
      <c r="A7" s="11" t="s">
        <v>88</v>
      </c>
      <c r="B7" s="11" t="s">
        <v>42</v>
      </c>
      <c r="C7" s="11" t="s">
        <v>79</v>
      </c>
      <c r="D7" s="11" t="s">
        <v>90</v>
      </c>
      <c r="E7" s="11" t="s">
        <v>47</v>
      </c>
      <c r="F7" s="11" t="s">
        <v>91</v>
      </c>
      <c r="G7" s="11">
        <v>0.0</v>
      </c>
      <c r="H7" s="22">
        <v>2.0</v>
      </c>
      <c r="I7" s="22">
        <v>0.0</v>
      </c>
      <c r="J7" s="22">
        <v>2.0</v>
      </c>
      <c r="K7" s="22">
        <v>0.0</v>
      </c>
      <c r="L7" s="11" t="s">
        <v>92</v>
      </c>
    </row>
    <row r="8">
      <c r="A8" s="11" t="s">
        <v>93</v>
      </c>
      <c r="B8" s="11" t="s">
        <v>94</v>
      </c>
      <c r="C8" s="11" t="s">
        <v>61</v>
      </c>
      <c r="D8" s="11" t="s">
        <v>95</v>
      </c>
      <c r="E8" s="11" t="s">
        <v>47</v>
      </c>
      <c r="F8" s="11" t="s">
        <v>96</v>
      </c>
      <c r="G8" s="11">
        <v>2500.0</v>
      </c>
      <c r="H8" s="22">
        <v>0.0</v>
      </c>
      <c r="I8" s="22">
        <v>1.0</v>
      </c>
      <c r="J8" s="22">
        <v>0.0</v>
      </c>
      <c r="K8" s="22">
        <v>0.0</v>
      </c>
      <c r="L8" s="11" t="s">
        <v>98</v>
      </c>
    </row>
    <row r="9">
      <c r="A9" s="11" t="s">
        <v>99</v>
      </c>
      <c r="B9" s="11" t="s">
        <v>94</v>
      </c>
      <c r="C9" s="11" t="s">
        <v>24</v>
      </c>
      <c r="D9" s="11" t="s">
        <v>100</v>
      </c>
      <c r="E9" s="11" t="s">
        <v>47</v>
      </c>
      <c r="F9" s="11" t="s">
        <v>101</v>
      </c>
      <c r="G9" s="11">
        <v>3500.0</v>
      </c>
      <c r="H9" s="22">
        <v>1.0</v>
      </c>
      <c r="I9" s="22">
        <v>1.0</v>
      </c>
      <c r="J9" s="22">
        <v>0.0</v>
      </c>
      <c r="K9" s="22">
        <v>0.0</v>
      </c>
      <c r="L9" s="11"/>
    </row>
    <row r="10">
      <c r="A10" s="11" t="s">
        <v>104</v>
      </c>
      <c r="B10" s="11" t="s">
        <v>94</v>
      </c>
      <c r="C10" s="11" t="s">
        <v>24</v>
      </c>
      <c r="D10" s="11" t="s">
        <v>105</v>
      </c>
      <c r="E10" s="11" t="s">
        <v>47</v>
      </c>
      <c r="F10" s="11" t="s">
        <v>106</v>
      </c>
      <c r="G10" s="11">
        <v>7500.0</v>
      </c>
      <c r="H10" s="22">
        <v>2.0</v>
      </c>
      <c r="I10" s="22">
        <v>2.0</v>
      </c>
      <c r="J10" s="22">
        <v>0.0</v>
      </c>
      <c r="K10" s="22">
        <v>0.0</v>
      </c>
      <c r="L10" s="11"/>
    </row>
    <row r="11">
      <c r="A11" s="11" t="s">
        <v>110</v>
      </c>
      <c r="B11" s="11" t="s">
        <v>94</v>
      </c>
      <c r="C11" s="11" t="s">
        <v>24</v>
      </c>
      <c r="D11" s="11" t="s">
        <v>111</v>
      </c>
      <c r="E11" s="11" t="s">
        <v>47</v>
      </c>
      <c r="F11" s="11" t="s">
        <v>112</v>
      </c>
      <c r="G11" s="11">
        <v>15000.0</v>
      </c>
      <c r="H11" s="22">
        <v>3.0</v>
      </c>
      <c r="I11" s="22">
        <v>3.0</v>
      </c>
      <c r="J11" s="22">
        <v>0.0</v>
      </c>
      <c r="K11" s="22">
        <v>0.0</v>
      </c>
      <c r="L11" s="11"/>
    </row>
    <row r="12">
      <c r="A12" s="11" t="s">
        <v>113</v>
      </c>
      <c r="B12" s="11" t="s">
        <v>94</v>
      </c>
      <c r="C12" s="11" t="s">
        <v>109</v>
      </c>
      <c r="D12" s="11" t="s">
        <v>100</v>
      </c>
      <c r="E12" s="11" t="s">
        <v>47</v>
      </c>
      <c r="F12" s="11" t="s">
        <v>114</v>
      </c>
      <c r="G12" s="11">
        <v>1200.0</v>
      </c>
      <c r="H12" s="22">
        <v>1.0</v>
      </c>
      <c r="I12" s="22">
        <v>1.0</v>
      </c>
      <c r="J12" s="22">
        <v>0.0</v>
      </c>
      <c r="K12" s="22">
        <v>0.0</v>
      </c>
      <c r="L12" s="11"/>
    </row>
    <row r="13">
      <c r="A13" s="11" t="s">
        <v>117</v>
      </c>
      <c r="B13" s="11" t="s">
        <v>94</v>
      </c>
      <c r="C13" s="11" t="s">
        <v>109</v>
      </c>
      <c r="D13" s="11" t="s">
        <v>105</v>
      </c>
      <c r="E13" s="11" t="s">
        <v>47</v>
      </c>
      <c r="F13" s="11" t="s">
        <v>118</v>
      </c>
      <c r="G13" s="11">
        <v>4500.0</v>
      </c>
      <c r="H13" s="22">
        <v>2.0</v>
      </c>
      <c r="I13" s="22">
        <v>2.0</v>
      </c>
      <c r="J13" s="22">
        <v>0.0</v>
      </c>
      <c r="K13" s="22">
        <v>0.0</v>
      </c>
      <c r="L13" s="11"/>
    </row>
    <row r="14">
      <c r="A14" s="11" t="s">
        <v>119</v>
      </c>
      <c r="B14" s="11" t="s">
        <v>94</v>
      </c>
      <c r="C14" s="11" t="s">
        <v>109</v>
      </c>
      <c r="D14" s="11" t="s">
        <v>111</v>
      </c>
      <c r="E14" s="11" t="s">
        <v>47</v>
      </c>
      <c r="F14" s="11" t="s">
        <v>120</v>
      </c>
      <c r="G14" s="11">
        <v>9500.0</v>
      </c>
      <c r="H14" s="22">
        <v>3.0</v>
      </c>
      <c r="I14" s="22">
        <v>3.0</v>
      </c>
      <c r="J14" s="22">
        <v>0.0</v>
      </c>
      <c r="K14" s="22">
        <v>0.0</v>
      </c>
      <c r="L14" s="11"/>
    </row>
    <row r="15">
      <c r="A15" s="11" t="s">
        <v>122</v>
      </c>
      <c r="B15" s="11" t="s">
        <v>94</v>
      </c>
      <c r="C15" s="11" t="s">
        <v>123</v>
      </c>
      <c r="D15" s="11" t="s">
        <v>124</v>
      </c>
      <c r="E15" s="11" t="s">
        <v>47</v>
      </c>
      <c r="F15" s="11" t="s">
        <v>125</v>
      </c>
      <c r="G15" s="11">
        <v>300.0</v>
      </c>
      <c r="H15" s="22">
        <v>1.0</v>
      </c>
      <c r="I15" s="22">
        <v>1.0</v>
      </c>
      <c r="J15" s="22">
        <v>0.0</v>
      </c>
      <c r="K15" s="22">
        <v>0.0</v>
      </c>
      <c r="L15" s="11" t="s">
        <v>126</v>
      </c>
    </row>
    <row r="16">
      <c r="A16" s="11" t="s">
        <v>127</v>
      </c>
      <c r="B16" s="11" t="s">
        <v>94</v>
      </c>
      <c r="C16" s="11" t="s">
        <v>123</v>
      </c>
      <c r="D16" s="11" t="s">
        <v>128</v>
      </c>
      <c r="E16" s="11" t="s">
        <v>47</v>
      </c>
      <c r="F16" s="11" t="s">
        <v>129</v>
      </c>
      <c r="G16" s="11">
        <v>1200.0</v>
      </c>
      <c r="H16" s="22">
        <v>2.0</v>
      </c>
      <c r="I16" s="22">
        <v>2.0</v>
      </c>
      <c r="J16" s="22">
        <v>1.0</v>
      </c>
      <c r="K16" s="22">
        <v>0.0</v>
      </c>
      <c r="L16" s="11" t="s">
        <v>130</v>
      </c>
    </row>
    <row r="17">
      <c r="A17" s="11" t="s">
        <v>131</v>
      </c>
      <c r="B17" s="11" t="s">
        <v>94</v>
      </c>
      <c r="C17" s="11" t="s">
        <v>123</v>
      </c>
      <c r="D17" s="11" t="s">
        <v>132</v>
      </c>
      <c r="E17" s="11" t="s">
        <v>47</v>
      </c>
      <c r="F17" s="11" t="s">
        <v>133</v>
      </c>
      <c r="G17" s="11">
        <v>3500.0</v>
      </c>
      <c r="H17" s="22">
        <v>4.0</v>
      </c>
      <c r="I17" s="22">
        <v>2.0</v>
      </c>
      <c r="J17" s="22">
        <v>2.0</v>
      </c>
      <c r="K17" s="22">
        <v>0.0</v>
      </c>
      <c r="L17" s="11" t="s">
        <v>134</v>
      </c>
    </row>
    <row r="18">
      <c r="A18" s="11" t="s">
        <v>135</v>
      </c>
      <c r="B18" s="11" t="s">
        <v>136</v>
      </c>
      <c r="C18" s="11" t="s">
        <v>137</v>
      </c>
      <c r="D18" s="11" t="s">
        <v>138</v>
      </c>
      <c r="E18" s="11" t="s">
        <v>139</v>
      </c>
      <c r="F18" s="11" t="s">
        <v>140</v>
      </c>
      <c r="G18" s="11">
        <v>1500.0</v>
      </c>
      <c r="H18" s="22">
        <v>0.0</v>
      </c>
      <c r="I18" s="22">
        <v>1.0</v>
      </c>
      <c r="J18" s="22">
        <v>0.0</v>
      </c>
      <c r="K18" s="22">
        <v>0.0</v>
      </c>
      <c r="L18" s="11"/>
    </row>
    <row r="19">
      <c r="A19" s="11" t="s">
        <v>141</v>
      </c>
      <c r="B19" s="11" t="s">
        <v>136</v>
      </c>
      <c r="C19" s="11" t="s">
        <v>137</v>
      </c>
      <c r="D19" s="11" t="s">
        <v>142</v>
      </c>
      <c r="E19" s="11" t="s">
        <v>139</v>
      </c>
      <c r="F19" s="11" t="s">
        <v>143</v>
      </c>
      <c r="G19" s="11">
        <v>2500.0</v>
      </c>
      <c r="H19" s="22">
        <v>1.0</v>
      </c>
      <c r="I19" s="22">
        <v>2.0</v>
      </c>
      <c r="J19" s="22">
        <v>0.0</v>
      </c>
      <c r="K19" s="22">
        <v>0.0</v>
      </c>
      <c r="L19" s="11"/>
    </row>
    <row r="20">
      <c r="A20" s="11" t="s">
        <v>144</v>
      </c>
      <c r="B20" s="11" t="s">
        <v>136</v>
      </c>
      <c r="C20" s="11" t="s">
        <v>137</v>
      </c>
      <c r="D20" s="11" t="s">
        <v>145</v>
      </c>
      <c r="E20" s="11" t="s">
        <v>139</v>
      </c>
      <c r="F20" s="11" t="s">
        <v>146</v>
      </c>
      <c r="G20" s="11">
        <v>4000.0</v>
      </c>
      <c r="H20" s="22">
        <v>2.0</v>
      </c>
      <c r="I20" s="22">
        <v>3.0</v>
      </c>
      <c r="J20" s="22">
        <v>0.0</v>
      </c>
      <c r="K20" s="22">
        <v>0.0</v>
      </c>
      <c r="L20" s="11"/>
    </row>
    <row r="21" ht="15.75" customHeight="1">
      <c r="A21" s="11" t="s">
        <v>147</v>
      </c>
      <c r="B21" s="11" t="s">
        <v>136</v>
      </c>
      <c r="C21" s="11" t="s">
        <v>148</v>
      </c>
      <c r="D21" s="11" t="s">
        <v>149</v>
      </c>
      <c r="E21" s="11" t="s">
        <v>139</v>
      </c>
      <c r="F21" s="11" t="s">
        <v>150</v>
      </c>
      <c r="G21" s="11">
        <v>1500.0</v>
      </c>
      <c r="H21" s="22">
        <v>0.0</v>
      </c>
      <c r="I21" s="22">
        <v>1.0</v>
      </c>
      <c r="J21" s="22">
        <v>0.0</v>
      </c>
      <c r="K21" s="22">
        <v>0.0</v>
      </c>
      <c r="L21" s="11"/>
    </row>
    <row r="22" ht="15.75" customHeight="1">
      <c r="A22" s="11" t="s">
        <v>151</v>
      </c>
      <c r="B22" s="11" t="s">
        <v>136</v>
      </c>
      <c r="C22" s="11" t="s">
        <v>148</v>
      </c>
      <c r="D22" s="11" t="s">
        <v>152</v>
      </c>
      <c r="E22" s="11" t="s">
        <v>139</v>
      </c>
      <c r="F22" s="11" t="s">
        <v>153</v>
      </c>
      <c r="G22" s="11">
        <v>2800.0</v>
      </c>
      <c r="H22" s="22">
        <v>1.0</v>
      </c>
      <c r="I22" s="22">
        <v>2.0</v>
      </c>
      <c r="J22" s="22">
        <v>0.0</v>
      </c>
      <c r="K22" s="22">
        <v>0.0</v>
      </c>
      <c r="L22" s="11"/>
    </row>
    <row r="23" ht="15.75" customHeight="1">
      <c r="A23" s="11" t="s">
        <v>155</v>
      </c>
      <c r="B23" s="11" t="s">
        <v>136</v>
      </c>
      <c r="C23" s="11" t="s">
        <v>148</v>
      </c>
      <c r="D23" s="11" t="s">
        <v>157</v>
      </c>
      <c r="E23" s="11" t="s">
        <v>139</v>
      </c>
      <c r="F23" s="11" t="s">
        <v>158</v>
      </c>
      <c r="G23" s="11">
        <v>4500.0</v>
      </c>
      <c r="H23" s="22">
        <v>2.0</v>
      </c>
      <c r="I23" s="22">
        <v>3.0</v>
      </c>
      <c r="J23" s="22">
        <v>1.0</v>
      </c>
      <c r="K23" s="22">
        <v>0.0</v>
      </c>
      <c r="L23" s="11"/>
    </row>
    <row r="24" ht="15.75" customHeight="1">
      <c r="A24" s="11" t="s">
        <v>159</v>
      </c>
      <c r="B24" s="11" t="s">
        <v>136</v>
      </c>
      <c r="C24" s="11" t="s">
        <v>160</v>
      </c>
      <c r="D24" s="11" t="s">
        <v>162</v>
      </c>
      <c r="E24" s="11" t="s">
        <v>139</v>
      </c>
      <c r="F24" s="11" t="s">
        <v>163</v>
      </c>
      <c r="G24" s="11">
        <v>1500.0</v>
      </c>
      <c r="H24" s="22">
        <v>0.0</v>
      </c>
      <c r="I24" s="22">
        <v>1.0</v>
      </c>
      <c r="J24" s="22">
        <v>0.0</v>
      </c>
      <c r="K24" s="22">
        <v>0.0</v>
      </c>
      <c r="L24" s="11"/>
    </row>
    <row r="25" ht="15.75" customHeight="1">
      <c r="A25" s="11" t="s">
        <v>165</v>
      </c>
      <c r="B25" s="11" t="s">
        <v>136</v>
      </c>
      <c r="C25" s="11" t="s">
        <v>160</v>
      </c>
      <c r="D25" s="11" t="s">
        <v>166</v>
      </c>
      <c r="E25" s="11" t="s">
        <v>139</v>
      </c>
      <c r="F25" s="11" t="s">
        <v>167</v>
      </c>
      <c r="G25" s="11">
        <v>2800.0</v>
      </c>
      <c r="H25" s="22">
        <v>1.0</v>
      </c>
      <c r="I25" s="22">
        <v>2.0</v>
      </c>
      <c r="J25" s="22">
        <v>0.0</v>
      </c>
      <c r="K25" s="22">
        <v>0.0</v>
      </c>
      <c r="L25" s="11"/>
    </row>
    <row r="26" ht="15.75" customHeight="1">
      <c r="A26" s="11" t="s">
        <v>169</v>
      </c>
      <c r="B26" s="11" t="s">
        <v>136</v>
      </c>
      <c r="C26" s="11" t="s">
        <v>160</v>
      </c>
      <c r="D26" s="11" t="s">
        <v>170</v>
      </c>
      <c r="E26" s="11" t="s">
        <v>139</v>
      </c>
      <c r="F26" s="11" t="s">
        <v>171</v>
      </c>
      <c r="G26" s="11">
        <v>4500.0</v>
      </c>
      <c r="H26" s="22">
        <v>2.0</v>
      </c>
      <c r="I26" s="22">
        <v>3.0</v>
      </c>
      <c r="J26" s="22">
        <v>1.0</v>
      </c>
      <c r="K26" s="22">
        <v>0.0</v>
      </c>
      <c r="L26" s="11"/>
    </row>
    <row r="27" ht="15.75" customHeight="1">
      <c r="A27" s="11" t="s">
        <v>172</v>
      </c>
      <c r="B27" s="11" t="s">
        <v>136</v>
      </c>
      <c r="C27" s="11" t="s">
        <v>173</v>
      </c>
      <c r="D27" s="11" t="s">
        <v>174</v>
      </c>
      <c r="E27" s="11" t="s">
        <v>139</v>
      </c>
      <c r="F27" s="11" t="s">
        <v>175</v>
      </c>
      <c r="G27" s="11">
        <v>3000.0</v>
      </c>
      <c r="H27" s="22">
        <v>0.0</v>
      </c>
      <c r="I27" s="22">
        <v>2.0</v>
      </c>
      <c r="J27" s="22">
        <v>1.0</v>
      </c>
      <c r="K27" s="22">
        <v>0.0</v>
      </c>
      <c r="L27" s="11"/>
    </row>
    <row r="28" ht="15.75" customHeight="1">
      <c r="A28" s="11" t="s">
        <v>177</v>
      </c>
      <c r="B28" s="11" t="s">
        <v>136</v>
      </c>
      <c r="C28" s="11" t="s">
        <v>173</v>
      </c>
      <c r="D28" s="11" t="s">
        <v>180</v>
      </c>
      <c r="E28" s="11" t="s">
        <v>139</v>
      </c>
      <c r="F28" s="11" t="s">
        <v>182</v>
      </c>
      <c r="G28" s="11">
        <v>0.0</v>
      </c>
      <c r="H28" s="22">
        <v>0.0</v>
      </c>
      <c r="I28" s="22">
        <v>-1.0</v>
      </c>
      <c r="J28" s="22">
        <v>0.0</v>
      </c>
      <c r="K28" s="22">
        <v>1.0</v>
      </c>
      <c r="L28" s="11" t="s">
        <v>184</v>
      </c>
    </row>
    <row r="29" ht="15.75" customHeight="1">
      <c r="A29" s="11" t="s">
        <v>185</v>
      </c>
      <c r="B29" s="11" t="s">
        <v>136</v>
      </c>
      <c r="C29" s="11" t="s">
        <v>186</v>
      </c>
      <c r="D29" s="11" t="s">
        <v>95</v>
      </c>
      <c r="E29" s="11" t="s">
        <v>47</v>
      </c>
      <c r="F29" s="11" t="s">
        <v>187</v>
      </c>
      <c r="G29" s="11">
        <v>600.0</v>
      </c>
      <c r="H29" s="22">
        <v>0.0</v>
      </c>
      <c r="I29" s="22">
        <v>0.0</v>
      </c>
      <c r="J29" s="22">
        <v>0.0</v>
      </c>
      <c r="K29" s="22">
        <v>0.0</v>
      </c>
      <c r="L29" s="11"/>
    </row>
    <row r="30" ht="15.75" customHeight="1">
      <c r="A30" s="11" t="s">
        <v>188</v>
      </c>
      <c r="B30" s="11" t="s">
        <v>136</v>
      </c>
      <c r="C30" s="11" t="s">
        <v>189</v>
      </c>
      <c r="D30" s="11" t="s">
        <v>190</v>
      </c>
      <c r="E30" s="11" t="s">
        <v>47</v>
      </c>
      <c r="F30" s="11" t="s">
        <v>191</v>
      </c>
      <c r="G30" s="11">
        <v>2000.0</v>
      </c>
      <c r="H30" s="22">
        <v>0.0</v>
      </c>
      <c r="I30" s="22">
        <v>0.0</v>
      </c>
      <c r="J30" s="22">
        <v>0.0</v>
      </c>
      <c r="K30" s="22">
        <v>0.0</v>
      </c>
      <c r="L30" s="11"/>
    </row>
    <row r="31" ht="15.75" customHeight="1">
      <c r="A31" s="11" t="s">
        <v>193</v>
      </c>
      <c r="B31" s="11" t="s">
        <v>194</v>
      </c>
      <c r="C31" s="11" t="s">
        <v>195</v>
      </c>
      <c r="D31" s="11" t="s">
        <v>196</v>
      </c>
      <c r="E31" s="11" t="s">
        <v>197</v>
      </c>
      <c r="F31" s="11" t="s">
        <v>198</v>
      </c>
      <c r="G31" s="11">
        <v>0.0</v>
      </c>
      <c r="H31" s="22">
        <v>0.0</v>
      </c>
      <c r="I31" s="22">
        <v>0.0</v>
      </c>
      <c r="J31" s="22">
        <v>0.0</v>
      </c>
      <c r="K31" s="22">
        <v>1.0</v>
      </c>
      <c r="L31" s="11"/>
    </row>
    <row r="32" ht="15.75" customHeight="1">
      <c r="A32" s="11" t="s">
        <v>199</v>
      </c>
      <c r="B32" s="11" t="s">
        <v>194</v>
      </c>
      <c r="C32" s="11" t="s">
        <v>195</v>
      </c>
      <c r="D32" s="11" t="s">
        <v>200</v>
      </c>
      <c r="E32" s="11" t="s">
        <v>197</v>
      </c>
      <c r="F32" s="11" t="s">
        <v>201</v>
      </c>
      <c r="G32" s="11">
        <v>500.0</v>
      </c>
      <c r="H32" s="22">
        <v>0.0</v>
      </c>
      <c r="I32" s="22">
        <v>0.0</v>
      </c>
      <c r="J32" s="22">
        <v>1.0</v>
      </c>
      <c r="K32" s="22">
        <v>0.0</v>
      </c>
      <c r="L32" s="11"/>
    </row>
    <row r="33" ht="15.75" customHeight="1">
      <c r="A33" s="11" t="s">
        <v>202</v>
      </c>
      <c r="B33" s="11" t="s">
        <v>194</v>
      </c>
      <c r="C33" s="11" t="s">
        <v>195</v>
      </c>
      <c r="D33" s="11" t="s">
        <v>203</v>
      </c>
      <c r="E33" s="11" t="s">
        <v>197</v>
      </c>
      <c r="F33" s="11" t="s">
        <v>204</v>
      </c>
      <c r="G33" s="11">
        <v>1500.0</v>
      </c>
      <c r="H33" s="22">
        <v>0.0</v>
      </c>
      <c r="I33" s="22">
        <v>0.0</v>
      </c>
      <c r="J33" s="22">
        <v>2.0</v>
      </c>
      <c r="K33" s="22">
        <v>-1.0</v>
      </c>
      <c r="L33" s="11"/>
    </row>
    <row r="34" ht="15.75" customHeight="1">
      <c r="A34" s="11" t="s">
        <v>205</v>
      </c>
      <c r="B34" s="11" t="s">
        <v>194</v>
      </c>
      <c r="C34" s="11" t="s">
        <v>206</v>
      </c>
      <c r="D34" s="11" t="s">
        <v>207</v>
      </c>
      <c r="E34" s="11" t="s">
        <v>208</v>
      </c>
      <c r="F34" s="11" t="s">
        <v>209</v>
      </c>
      <c r="G34" s="11">
        <v>0.0</v>
      </c>
      <c r="H34" s="22">
        <v>0.0</v>
      </c>
      <c r="I34" s="22">
        <v>0.0</v>
      </c>
      <c r="J34" s="22">
        <v>0.0</v>
      </c>
      <c r="K34" s="22">
        <v>-1.0</v>
      </c>
      <c r="L34" s="11" t="s">
        <v>210</v>
      </c>
    </row>
    <row r="35" ht="15.75" customHeight="1">
      <c r="A35" s="11" t="s">
        <v>211</v>
      </c>
      <c r="B35" s="11" t="s">
        <v>194</v>
      </c>
      <c r="C35" s="11" t="s">
        <v>206</v>
      </c>
      <c r="D35" s="11" t="s">
        <v>212</v>
      </c>
      <c r="E35" s="11" t="s">
        <v>208</v>
      </c>
      <c r="F35" s="11" t="s">
        <v>213</v>
      </c>
      <c r="G35" s="11">
        <v>0.0</v>
      </c>
      <c r="H35" s="22">
        <v>0.0</v>
      </c>
      <c r="I35" s="22">
        <v>0.0</v>
      </c>
      <c r="J35" s="22">
        <v>1.0</v>
      </c>
      <c r="K35" s="22">
        <v>1.0</v>
      </c>
      <c r="L35" s="11"/>
    </row>
    <row r="36" ht="15.75" customHeight="1">
      <c r="A36" s="11" t="s">
        <v>215</v>
      </c>
      <c r="B36" s="11" t="s">
        <v>216</v>
      </c>
      <c r="C36" s="11" t="s">
        <v>217</v>
      </c>
      <c r="D36" s="11" t="s">
        <v>218</v>
      </c>
      <c r="E36" s="11" t="s">
        <v>197</v>
      </c>
      <c r="F36" s="11" t="s">
        <v>219</v>
      </c>
      <c r="G36" s="11">
        <v>25.0</v>
      </c>
      <c r="H36" s="22">
        <v>1.0</v>
      </c>
      <c r="I36" s="22">
        <v>0.0</v>
      </c>
      <c r="J36" s="22">
        <v>0.0</v>
      </c>
      <c r="K36" s="22">
        <v>1.0</v>
      </c>
      <c r="L36" s="11" t="s">
        <v>220</v>
      </c>
    </row>
    <row r="37" ht="15.75" customHeight="1">
      <c r="A37" s="11" t="s">
        <v>221</v>
      </c>
      <c r="B37" s="11" t="s">
        <v>216</v>
      </c>
      <c r="C37" s="11" t="s">
        <v>217</v>
      </c>
      <c r="D37" s="11" t="s">
        <v>222</v>
      </c>
      <c r="E37" s="11" t="s">
        <v>197</v>
      </c>
      <c r="F37" s="11" t="s">
        <v>223</v>
      </c>
      <c r="G37" s="11">
        <v>45.0</v>
      </c>
      <c r="H37" s="22">
        <v>2.0</v>
      </c>
      <c r="I37" s="22">
        <v>0.0</v>
      </c>
      <c r="J37" s="22">
        <v>0.0</v>
      </c>
      <c r="K37" s="22">
        <v>0.0</v>
      </c>
      <c r="L37" s="11" t="s">
        <v>220</v>
      </c>
    </row>
    <row r="38" ht="15.75" customHeight="1">
      <c r="A38" s="11" t="s">
        <v>224</v>
      </c>
      <c r="B38" s="11" t="s">
        <v>216</v>
      </c>
      <c r="C38" s="11" t="s">
        <v>217</v>
      </c>
      <c r="D38" s="11" t="s">
        <v>225</v>
      </c>
      <c r="E38" s="11" t="s">
        <v>197</v>
      </c>
      <c r="F38" s="11" t="s">
        <v>226</v>
      </c>
      <c r="G38" s="11">
        <v>80.0</v>
      </c>
      <c r="H38" s="22">
        <v>3.0</v>
      </c>
      <c r="I38" s="22">
        <v>0.0</v>
      </c>
      <c r="J38" s="22">
        <v>1.0</v>
      </c>
      <c r="K38" s="22">
        <v>-1.0</v>
      </c>
      <c r="L38" s="11" t="s">
        <v>220</v>
      </c>
    </row>
    <row r="39" ht="15.75" customHeight="1">
      <c r="A39" s="11" t="s">
        <v>227</v>
      </c>
      <c r="B39" s="11" t="s">
        <v>216</v>
      </c>
      <c r="C39" s="11" t="s">
        <v>228</v>
      </c>
      <c r="D39" s="11" t="s">
        <v>229</v>
      </c>
      <c r="E39" s="11" t="s">
        <v>197</v>
      </c>
      <c r="F39" s="11" t="s">
        <v>230</v>
      </c>
      <c r="G39" s="11">
        <v>4.0</v>
      </c>
      <c r="H39" s="22">
        <v>1.0</v>
      </c>
      <c r="I39" s="22">
        <v>0.0</v>
      </c>
      <c r="J39" s="22">
        <v>0.0</v>
      </c>
      <c r="K39" s="22">
        <v>1.0</v>
      </c>
      <c r="L39" s="11" t="s">
        <v>220</v>
      </c>
    </row>
    <row r="40" ht="15.75" customHeight="1">
      <c r="A40" s="11" t="s">
        <v>231</v>
      </c>
      <c r="B40" s="11" t="s">
        <v>216</v>
      </c>
      <c r="C40" s="11" t="s">
        <v>228</v>
      </c>
      <c r="D40" s="11" t="s">
        <v>232</v>
      </c>
      <c r="E40" s="11" t="s">
        <v>197</v>
      </c>
      <c r="F40" s="11" t="s">
        <v>233</v>
      </c>
      <c r="G40" s="11">
        <v>9.0</v>
      </c>
      <c r="H40" s="22">
        <v>2.0</v>
      </c>
      <c r="I40" s="22">
        <v>0.0</v>
      </c>
      <c r="J40" s="22">
        <v>1.0</v>
      </c>
      <c r="K40" s="22">
        <v>-1.0</v>
      </c>
      <c r="L40" s="11" t="s">
        <v>220</v>
      </c>
    </row>
    <row r="41" ht="15.75" customHeight="1">
      <c r="A41" s="11" t="s">
        <v>234</v>
      </c>
      <c r="B41" s="11" t="s">
        <v>216</v>
      </c>
      <c r="C41" s="11" t="s">
        <v>235</v>
      </c>
      <c r="D41" s="11" t="s">
        <v>237</v>
      </c>
      <c r="E41" s="11" t="s">
        <v>197</v>
      </c>
      <c r="F41" s="11" t="s">
        <v>238</v>
      </c>
      <c r="G41" s="11">
        <v>2.0</v>
      </c>
      <c r="H41" s="22">
        <v>1.0</v>
      </c>
      <c r="I41" s="22">
        <v>0.0</v>
      </c>
      <c r="J41" s="22">
        <v>0.0</v>
      </c>
      <c r="K41" s="22">
        <v>1.0</v>
      </c>
      <c r="L41" s="11" t="s">
        <v>220</v>
      </c>
    </row>
    <row r="42" ht="15.75" customHeight="1">
      <c r="A42" s="11" t="s">
        <v>239</v>
      </c>
      <c r="B42" s="11" t="s">
        <v>216</v>
      </c>
      <c r="C42" s="11" t="s">
        <v>235</v>
      </c>
      <c r="D42" s="11" t="s">
        <v>240</v>
      </c>
      <c r="E42" s="11" t="s">
        <v>197</v>
      </c>
      <c r="F42" s="11" t="s">
        <v>241</v>
      </c>
      <c r="G42" s="11">
        <v>4.0</v>
      </c>
      <c r="H42" s="22">
        <v>2.0</v>
      </c>
      <c r="I42" s="22">
        <v>0.0</v>
      </c>
      <c r="J42" s="22">
        <v>0.0</v>
      </c>
      <c r="K42" s="22">
        <v>0.0</v>
      </c>
      <c r="L42" s="11" t="s">
        <v>220</v>
      </c>
    </row>
    <row r="43" ht="15.75" customHeight="1">
      <c r="A43" s="11" t="s">
        <v>242</v>
      </c>
      <c r="B43" s="11" t="s">
        <v>216</v>
      </c>
      <c r="C43" s="11" t="s">
        <v>235</v>
      </c>
      <c r="D43" s="11" t="s">
        <v>244</v>
      </c>
      <c r="E43" s="11" t="s">
        <v>197</v>
      </c>
      <c r="F43" s="11" t="s">
        <v>245</v>
      </c>
      <c r="G43" s="11">
        <v>7.0</v>
      </c>
      <c r="H43" s="22">
        <v>3.0</v>
      </c>
      <c r="I43" s="22">
        <v>0.0</v>
      </c>
      <c r="J43" s="22">
        <v>1.0</v>
      </c>
      <c r="K43" s="22">
        <v>-1.0</v>
      </c>
      <c r="L43" s="11" t="s">
        <v>220</v>
      </c>
    </row>
    <row r="44" ht="15.75" customHeight="1">
      <c r="A44" s="11" t="s">
        <v>246</v>
      </c>
      <c r="B44" s="11" t="s">
        <v>216</v>
      </c>
      <c r="C44" s="11" t="s">
        <v>247</v>
      </c>
      <c r="D44" s="11" t="s">
        <v>248</v>
      </c>
      <c r="E44" s="11" t="s">
        <v>197</v>
      </c>
      <c r="F44" s="11" t="s">
        <v>249</v>
      </c>
      <c r="G44" s="11">
        <v>0.0</v>
      </c>
      <c r="H44" s="22">
        <v>0.0</v>
      </c>
      <c r="I44" s="22">
        <v>0.0</v>
      </c>
      <c r="J44" s="22">
        <v>0.0</v>
      </c>
      <c r="K44" s="22">
        <v>1.0</v>
      </c>
      <c r="L44" s="11" t="s">
        <v>251</v>
      </c>
    </row>
    <row r="45" ht="15.75" customHeight="1">
      <c r="A45" s="11" t="s">
        <v>252</v>
      </c>
      <c r="B45" s="11" t="s">
        <v>216</v>
      </c>
      <c r="C45" s="11" t="s">
        <v>247</v>
      </c>
      <c r="D45" s="11" t="s">
        <v>253</v>
      </c>
      <c r="E45" s="11" t="s">
        <v>197</v>
      </c>
      <c r="F45" s="11" t="s">
        <v>254</v>
      </c>
      <c r="G45" s="11">
        <v>0.0</v>
      </c>
      <c r="H45" s="22">
        <v>0.0</v>
      </c>
      <c r="I45" s="22">
        <v>1.0</v>
      </c>
      <c r="J45" s="22">
        <v>0.0</v>
      </c>
      <c r="K45" s="22">
        <v>0.0</v>
      </c>
      <c r="L45" s="11"/>
    </row>
    <row r="46" ht="15.75" customHeight="1">
      <c r="A46" s="11" t="s">
        <v>255</v>
      </c>
      <c r="B46" s="11" t="s">
        <v>216</v>
      </c>
      <c r="C46" s="11" t="s">
        <v>256</v>
      </c>
      <c r="D46" s="11" t="s">
        <v>257</v>
      </c>
      <c r="E46" s="11" t="s">
        <v>197</v>
      </c>
      <c r="F46" s="11" t="s">
        <v>258</v>
      </c>
      <c r="G46" s="11">
        <v>0.0</v>
      </c>
      <c r="H46" s="22">
        <v>0.0</v>
      </c>
      <c r="I46" s="22">
        <v>0.0</v>
      </c>
      <c r="J46" s="22">
        <v>0.0</v>
      </c>
      <c r="K46" s="22">
        <v>-1.0</v>
      </c>
      <c r="L46" s="11"/>
    </row>
    <row r="47" ht="15.75" customHeight="1">
      <c r="A47" s="11" t="s">
        <v>259</v>
      </c>
      <c r="B47" s="11" t="s">
        <v>216</v>
      </c>
      <c r="C47" s="11" t="s">
        <v>256</v>
      </c>
      <c r="D47" s="11" t="s">
        <v>260</v>
      </c>
      <c r="E47" s="11" t="s">
        <v>197</v>
      </c>
      <c r="F47" s="11" t="s">
        <v>261</v>
      </c>
      <c r="G47" s="11">
        <v>0.0</v>
      </c>
      <c r="H47" s="22">
        <v>0.0</v>
      </c>
      <c r="I47" s="22">
        <v>0.0</v>
      </c>
      <c r="J47" s="22">
        <v>0.0</v>
      </c>
      <c r="K47" s="22">
        <v>1.0</v>
      </c>
      <c r="L47" s="11"/>
    </row>
    <row r="48" ht="15.75" customHeight="1">
      <c r="A48" s="11" t="s">
        <v>262</v>
      </c>
      <c r="B48" s="11" t="s">
        <v>216</v>
      </c>
      <c r="C48" s="11" t="s">
        <v>263</v>
      </c>
      <c r="D48" s="11" t="s">
        <v>264</v>
      </c>
      <c r="E48" s="11" t="s">
        <v>197</v>
      </c>
      <c r="F48" s="11" t="s">
        <v>265</v>
      </c>
      <c r="G48" s="11">
        <v>0.0</v>
      </c>
      <c r="H48" s="22">
        <v>0.0</v>
      </c>
      <c r="I48" s="22">
        <v>1.0</v>
      </c>
      <c r="J48" s="22">
        <v>0.0</v>
      </c>
      <c r="K48" s="22">
        <v>-1.0</v>
      </c>
      <c r="L48" s="11"/>
    </row>
    <row r="49" ht="15.75" customHeight="1">
      <c r="A49" s="11" t="s">
        <v>266</v>
      </c>
      <c r="B49" s="11" t="s">
        <v>216</v>
      </c>
      <c r="C49" s="11" t="s">
        <v>263</v>
      </c>
      <c r="D49" s="11" t="s">
        <v>267</v>
      </c>
      <c r="E49" s="11" t="s">
        <v>197</v>
      </c>
      <c r="F49" s="11" t="s">
        <v>268</v>
      </c>
      <c r="G49" s="11">
        <v>0.0</v>
      </c>
      <c r="H49" s="22">
        <v>0.0</v>
      </c>
      <c r="I49" s="22">
        <v>0.0</v>
      </c>
      <c r="J49" s="22">
        <v>0.0</v>
      </c>
      <c r="K49" s="22">
        <v>0.0</v>
      </c>
      <c r="L49" s="11"/>
    </row>
    <row r="50" ht="15.75" customHeight="1">
      <c r="A50" s="11" t="s">
        <v>269</v>
      </c>
      <c r="B50" s="11" t="s">
        <v>216</v>
      </c>
      <c r="C50" s="11" t="s">
        <v>263</v>
      </c>
      <c r="D50" s="11" t="s">
        <v>270</v>
      </c>
      <c r="E50" s="11" t="s">
        <v>197</v>
      </c>
      <c r="F50" s="11" t="s">
        <v>271</v>
      </c>
      <c r="G50" s="11">
        <v>0.0</v>
      </c>
      <c r="H50" s="22">
        <v>0.0</v>
      </c>
      <c r="I50" s="22">
        <v>-1.0</v>
      </c>
      <c r="J50" s="22">
        <v>0.0</v>
      </c>
      <c r="K50" s="22">
        <v>1.0</v>
      </c>
      <c r="L50" s="11"/>
    </row>
    <row r="51" ht="15.75" customHeight="1">
      <c r="A51" s="11" t="s">
        <v>272</v>
      </c>
      <c r="B51" s="11" t="s">
        <v>194</v>
      </c>
      <c r="C51" s="11" t="s">
        <v>273</v>
      </c>
      <c r="D51" s="11" t="s">
        <v>274</v>
      </c>
      <c r="E51" s="11" t="s">
        <v>197</v>
      </c>
      <c r="F51" s="11" t="s">
        <v>275</v>
      </c>
      <c r="G51" s="11">
        <v>0.0</v>
      </c>
      <c r="H51" s="22">
        <v>0.0</v>
      </c>
      <c r="I51" s="22">
        <v>0.0</v>
      </c>
      <c r="J51" s="22">
        <v>1.0</v>
      </c>
      <c r="K51" s="22">
        <v>-1.0</v>
      </c>
      <c r="L51" s="11" t="s">
        <v>276</v>
      </c>
    </row>
    <row r="52" ht="15.75" customHeight="1">
      <c r="A52" s="11" t="s">
        <v>277</v>
      </c>
      <c r="B52" s="11" t="s">
        <v>278</v>
      </c>
      <c r="C52" s="11" t="s">
        <v>279</v>
      </c>
      <c r="D52" s="11" t="s">
        <v>280</v>
      </c>
      <c r="E52" s="11" t="s">
        <v>197</v>
      </c>
      <c r="F52" s="11" t="s">
        <v>281</v>
      </c>
      <c r="G52" s="11">
        <v>1000.0</v>
      </c>
      <c r="H52" s="22">
        <v>0.0</v>
      </c>
      <c r="I52" s="22">
        <v>1.0</v>
      </c>
      <c r="J52" s="22">
        <v>0.0</v>
      </c>
      <c r="K52" s="22">
        <v>-1.0</v>
      </c>
      <c r="L52" s="11"/>
    </row>
    <row r="53" ht="15.75" customHeight="1">
      <c r="A53" s="11" t="s">
        <v>282</v>
      </c>
      <c r="B53" s="11" t="s">
        <v>278</v>
      </c>
      <c r="C53" s="11" t="s">
        <v>279</v>
      </c>
      <c r="D53" s="11" t="s">
        <v>283</v>
      </c>
      <c r="E53" s="11" t="s">
        <v>197</v>
      </c>
      <c r="F53" s="11" t="s">
        <v>284</v>
      </c>
      <c r="G53" s="11">
        <v>6000.0</v>
      </c>
      <c r="H53" s="22">
        <v>0.0</v>
      </c>
      <c r="I53" s="22">
        <v>2.0</v>
      </c>
      <c r="J53" s="22">
        <v>1.0</v>
      </c>
      <c r="K53" s="22">
        <v>-1.0</v>
      </c>
      <c r="L53" s="11"/>
    </row>
    <row r="54" ht="15.75" customHeight="1">
      <c r="A54" s="11" t="s">
        <v>285</v>
      </c>
      <c r="B54" s="11" t="s">
        <v>278</v>
      </c>
      <c r="C54" s="11" t="s">
        <v>279</v>
      </c>
      <c r="D54" s="11" t="s">
        <v>286</v>
      </c>
      <c r="E54" s="11" t="s">
        <v>197</v>
      </c>
      <c r="F54" s="11" t="s">
        <v>287</v>
      </c>
      <c r="G54" s="11">
        <v>12000.0</v>
      </c>
      <c r="H54" s="22">
        <v>0.0</v>
      </c>
      <c r="I54" s="22">
        <v>3.0</v>
      </c>
      <c r="J54" s="22">
        <v>2.0</v>
      </c>
      <c r="K54" s="22">
        <v>-2.0</v>
      </c>
      <c r="L54" s="11"/>
    </row>
    <row r="55" ht="15.75" customHeight="1">
      <c r="A55" s="11" t="s">
        <v>289</v>
      </c>
      <c r="B55" s="11" t="s">
        <v>278</v>
      </c>
      <c r="C55" s="11" t="s">
        <v>290</v>
      </c>
      <c r="D55" s="11" t="s">
        <v>280</v>
      </c>
      <c r="E55" s="11" t="s">
        <v>197</v>
      </c>
      <c r="F55" s="11" t="s">
        <v>291</v>
      </c>
      <c r="G55" s="11">
        <v>1500.0</v>
      </c>
      <c r="H55" s="22">
        <v>0.0</v>
      </c>
      <c r="I55" s="22">
        <v>0.0</v>
      </c>
      <c r="J55" s="22">
        <v>1.0</v>
      </c>
      <c r="K55" s="22">
        <v>-1.0</v>
      </c>
      <c r="L55" s="11"/>
    </row>
    <row r="56" ht="15.75" customHeight="1">
      <c r="A56" s="11" t="s">
        <v>293</v>
      </c>
      <c r="B56" s="11" t="s">
        <v>278</v>
      </c>
      <c r="C56" s="11" t="s">
        <v>290</v>
      </c>
      <c r="D56" s="11" t="s">
        <v>283</v>
      </c>
      <c r="E56" s="11" t="s">
        <v>197</v>
      </c>
      <c r="F56" s="11" t="s">
        <v>295</v>
      </c>
      <c r="G56" s="11">
        <v>6000.0</v>
      </c>
      <c r="H56" s="22">
        <v>0.0</v>
      </c>
      <c r="I56" s="22">
        <v>0.0</v>
      </c>
      <c r="J56" s="22">
        <v>2.0</v>
      </c>
      <c r="K56" s="22">
        <v>-1.0</v>
      </c>
      <c r="L56" s="11"/>
    </row>
    <row r="57" ht="15.75" customHeight="1">
      <c r="A57" s="11" t="s">
        <v>296</v>
      </c>
      <c r="B57" s="11" t="s">
        <v>278</v>
      </c>
      <c r="C57" s="11" t="s">
        <v>290</v>
      </c>
      <c r="D57" s="11" t="s">
        <v>286</v>
      </c>
      <c r="E57" s="11" t="s">
        <v>197</v>
      </c>
      <c r="F57" s="11" t="s">
        <v>297</v>
      </c>
      <c r="G57" s="11">
        <v>12000.0</v>
      </c>
      <c r="H57" s="22">
        <v>0.0</v>
      </c>
      <c r="I57" s="22">
        <v>0.0</v>
      </c>
      <c r="J57" s="22">
        <v>3.0</v>
      </c>
      <c r="K57" s="22">
        <v>-2.0</v>
      </c>
      <c r="L57" s="11"/>
    </row>
    <row r="58" ht="15.75" customHeight="1">
      <c r="A58" s="55" t="s">
        <v>298</v>
      </c>
      <c r="B58" s="55" t="s">
        <v>299</v>
      </c>
      <c r="C58" s="55" t="s">
        <v>300</v>
      </c>
      <c r="D58" s="55" t="s">
        <v>301</v>
      </c>
      <c r="E58" s="55" t="s">
        <v>302</v>
      </c>
      <c r="F58" s="55" t="s">
        <v>303</v>
      </c>
      <c r="G58" s="57" t="s">
        <v>304</v>
      </c>
      <c r="H58" s="57">
        <v>0.0</v>
      </c>
      <c r="I58" s="57">
        <v>0.0</v>
      </c>
      <c r="J58" s="57">
        <v>0.0</v>
      </c>
      <c r="K58" s="57">
        <v>0.0</v>
      </c>
      <c r="L58" s="55" t="s">
        <v>305</v>
      </c>
    </row>
    <row r="59" ht="15.75" customHeight="1">
      <c r="A59" s="55" t="s">
        <v>306</v>
      </c>
      <c r="B59" s="55" t="s">
        <v>299</v>
      </c>
      <c r="C59" s="55" t="s">
        <v>300</v>
      </c>
      <c r="D59" s="55" t="s">
        <v>307</v>
      </c>
      <c r="E59" s="55" t="s">
        <v>302</v>
      </c>
      <c r="F59" s="55" t="s">
        <v>308</v>
      </c>
      <c r="G59" s="57" t="s">
        <v>304</v>
      </c>
      <c r="H59" s="57">
        <v>0.0</v>
      </c>
      <c r="I59" s="57">
        <v>0.0</v>
      </c>
      <c r="J59" s="57">
        <v>0.0</v>
      </c>
      <c r="K59" s="61">
        <f>+1</f>
        <v>1</v>
      </c>
      <c r="L59" s="55" t="s">
        <v>310</v>
      </c>
    </row>
    <row r="60" ht="15.75" customHeight="1">
      <c r="A60" s="55" t="s">
        <v>312</v>
      </c>
      <c r="B60" s="55" t="s">
        <v>299</v>
      </c>
      <c r="C60" s="55" t="s">
        <v>300</v>
      </c>
      <c r="D60" s="55" t="s">
        <v>313</v>
      </c>
      <c r="E60" s="55" t="s">
        <v>302</v>
      </c>
      <c r="F60" s="55" t="s">
        <v>314</v>
      </c>
      <c r="G60" s="57" t="s">
        <v>304</v>
      </c>
      <c r="H60" s="57">
        <v>0.0</v>
      </c>
      <c r="I60" s="57">
        <v>0.0</v>
      </c>
      <c r="J60" s="57">
        <v>0.0</v>
      </c>
      <c r="K60" s="57">
        <v>-1.0</v>
      </c>
      <c r="L60" s="55" t="s">
        <v>315</v>
      </c>
    </row>
    <row r="61" ht="15.75" customHeight="1">
      <c r="A61" s="55" t="s">
        <v>316</v>
      </c>
      <c r="B61" s="55" t="s">
        <v>194</v>
      </c>
      <c r="C61" s="55" t="s">
        <v>9</v>
      </c>
      <c r="D61" s="55" t="s">
        <v>318</v>
      </c>
      <c r="E61" s="55" t="s">
        <v>197</v>
      </c>
      <c r="F61" s="55" t="s">
        <v>319</v>
      </c>
      <c r="G61" s="57" t="s">
        <v>304</v>
      </c>
      <c r="H61" s="57">
        <v>0.0</v>
      </c>
      <c r="I61" s="57">
        <v>0.0</v>
      </c>
      <c r="J61" s="57">
        <v>-1.0</v>
      </c>
      <c r="K61" s="61">
        <f>+1</f>
        <v>1</v>
      </c>
      <c r="L61" s="55" t="s">
        <v>325</v>
      </c>
    </row>
    <row r="62" ht="15.75" customHeight="1">
      <c r="A62" s="55" t="s">
        <v>326</v>
      </c>
      <c r="B62" s="55" t="s">
        <v>194</v>
      </c>
      <c r="C62" s="55" t="s">
        <v>9</v>
      </c>
      <c r="D62" s="55" t="s">
        <v>329</v>
      </c>
      <c r="E62" s="55" t="s">
        <v>197</v>
      </c>
      <c r="F62" s="55" t="s">
        <v>330</v>
      </c>
      <c r="G62" s="57" t="s">
        <v>333</v>
      </c>
      <c r="H62" s="57">
        <v>0.0</v>
      </c>
      <c r="I62" s="57">
        <v>0.0</v>
      </c>
      <c r="J62" s="61">
        <f>+1</f>
        <v>1</v>
      </c>
      <c r="K62" s="57">
        <v>0.0</v>
      </c>
      <c r="L62" s="55" t="s">
        <v>337</v>
      </c>
    </row>
    <row r="63" ht="15.75" customHeight="1">
      <c r="A63" s="55" t="s">
        <v>339</v>
      </c>
      <c r="B63" s="55" t="s">
        <v>194</v>
      </c>
      <c r="C63" s="55" t="s">
        <v>9</v>
      </c>
      <c r="D63" s="55" t="s">
        <v>340</v>
      </c>
      <c r="E63" s="55" t="s">
        <v>197</v>
      </c>
      <c r="F63" s="55" t="s">
        <v>341</v>
      </c>
      <c r="G63" s="57" t="s">
        <v>342</v>
      </c>
      <c r="H63" s="57">
        <v>0.0</v>
      </c>
      <c r="I63" s="57">
        <v>0.0</v>
      </c>
      <c r="J63" s="61">
        <f>+2</f>
        <v>2</v>
      </c>
      <c r="K63" s="57">
        <v>-1.0</v>
      </c>
      <c r="L63" s="55" t="s">
        <v>343</v>
      </c>
    </row>
    <row r="64" ht="15.75" customHeight="1">
      <c r="A64" s="55" t="s">
        <v>344</v>
      </c>
      <c r="B64" s="55" t="s">
        <v>94</v>
      </c>
      <c r="C64" s="55" t="s">
        <v>11</v>
      </c>
      <c r="D64" s="55" t="s">
        <v>345</v>
      </c>
      <c r="E64" s="55" t="s">
        <v>197</v>
      </c>
      <c r="F64" s="55" t="s">
        <v>346</v>
      </c>
      <c r="G64" s="57" t="s">
        <v>304</v>
      </c>
      <c r="H64" s="57">
        <v>0.0</v>
      </c>
      <c r="I64" s="57">
        <v>-1.0</v>
      </c>
      <c r="J64" s="57">
        <v>0.0</v>
      </c>
      <c r="K64" s="61">
        <f>+1</f>
        <v>1</v>
      </c>
      <c r="L64" s="55" t="s">
        <v>347</v>
      </c>
    </row>
    <row r="65" ht="15.75" customHeight="1">
      <c r="A65" s="55" t="s">
        <v>348</v>
      </c>
      <c r="B65" s="55" t="s">
        <v>94</v>
      </c>
      <c r="C65" s="55" t="s">
        <v>11</v>
      </c>
      <c r="D65" s="55" t="s">
        <v>349</v>
      </c>
      <c r="E65" s="55" t="s">
        <v>197</v>
      </c>
      <c r="F65" s="55" t="s">
        <v>350</v>
      </c>
      <c r="G65" s="57" t="s">
        <v>351</v>
      </c>
      <c r="H65" s="57">
        <v>0.0</v>
      </c>
      <c r="I65" s="61">
        <f>+1</f>
        <v>1</v>
      </c>
      <c r="J65" s="57">
        <v>0.0</v>
      </c>
      <c r="K65" s="57">
        <v>0.0</v>
      </c>
      <c r="L65" s="55" t="s">
        <v>352</v>
      </c>
    </row>
    <row r="66" ht="15.75" customHeight="1">
      <c r="A66" s="55" t="s">
        <v>353</v>
      </c>
      <c r="B66" s="55" t="s">
        <v>94</v>
      </c>
      <c r="C66" s="55" t="s">
        <v>11</v>
      </c>
      <c r="D66" s="55" t="s">
        <v>354</v>
      </c>
      <c r="E66" s="55" t="s">
        <v>197</v>
      </c>
      <c r="F66" s="55" t="s">
        <v>355</v>
      </c>
      <c r="G66" s="57" t="s">
        <v>356</v>
      </c>
      <c r="H66" s="61">
        <f>+1</f>
        <v>1</v>
      </c>
      <c r="I66" s="61">
        <f>+2</f>
        <v>2</v>
      </c>
      <c r="J66" s="57">
        <v>0.0</v>
      </c>
      <c r="K66" s="57">
        <v>-1.0</v>
      </c>
      <c r="L66" s="55" t="s">
        <v>358</v>
      </c>
    </row>
    <row r="67" ht="15.75" customHeight="1">
      <c r="A67" s="55" t="s">
        <v>359</v>
      </c>
      <c r="B67" s="55" t="s">
        <v>216</v>
      </c>
      <c r="C67" s="55" t="s">
        <v>13</v>
      </c>
      <c r="D67" s="55" t="s">
        <v>360</v>
      </c>
      <c r="E67" s="55" t="s">
        <v>197</v>
      </c>
      <c r="F67" s="55" t="s">
        <v>361</v>
      </c>
      <c r="G67" s="57" t="s">
        <v>304</v>
      </c>
      <c r="H67" s="57">
        <v>0.0</v>
      </c>
      <c r="I67" s="57">
        <v>-1.0</v>
      </c>
      <c r="J67" s="57">
        <v>0.0</v>
      </c>
      <c r="K67" s="61">
        <f>+1</f>
        <v>1</v>
      </c>
      <c r="L67" s="55" t="s">
        <v>362</v>
      </c>
    </row>
    <row r="68" ht="15.75" customHeight="1">
      <c r="A68" s="55" t="s">
        <v>363</v>
      </c>
      <c r="B68" s="55" t="s">
        <v>216</v>
      </c>
      <c r="C68" s="55" t="s">
        <v>13</v>
      </c>
      <c r="D68" s="55" t="s">
        <v>364</v>
      </c>
      <c r="E68" s="55" t="s">
        <v>197</v>
      </c>
      <c r="F68" s="55" t="s">
        <v>365</v>
      </c>
      <c r="G68" s="57" t="s">
        <v>366</v>
      </c>
      <c r="H68" s="57">
        <v>0.0</v>
      </c>
      <c r="I68" s="61">
        <f>+1</f>
        <v>1</v>
      </c>
      <c r="J68" s="57">
        <v>0.0</v>
      </c>
      <c r="K68" s="57">
        <v>0.0</v>
      </c>
      <c r="L68" s="55" t="s">
        <v>367</v>
      </c>
    </row>
    <row r="69" ht="15.75" customHeight="1">
      <c r="A69" s="55" t="s">
        <v>368</v>
      </c>
      <c r="B69" s="55" t="s">
        <v>216</v>
      </c>
      <c r="C69" s="55" t="s">
        <v>13</v>
      </c>
      <c r="D69" s="55" t="s">
        <v>370</v>
      </c>
      <c r="E69" s="55" t="s">
        <v>197</v>
      </c>
      <c r="F69" s="55" t="s">
        <v>371</v>
      </c>
      <c r="G69" s="57" t="s">
        <v>372</v>
      </c>
      <c r="H69" s="57">
        <v>0.0</v>
      </c>
      <c r="I69" s="61">
        <f>+2</f>
        <v>2</v>
      </c>
      <c r="J69" s="57">
        <v>0.0</v>
      </c>
      <c r="K69" s="57">
        <v>-1.0</v>
      </c>
      <c r="L69" s="55" t="s">
        <v>373</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6.0"/>
    <col customWidth="1" min="4" max="4" width="36.71"/>
    <col customWidth="1" min="8" max="8" width="17.57"/>
  </cols>
  <sheetData>
    <row r="3">
      <c r="B3" s="12" t="s">
        <v>26</v>
      </c>
    </row>
    <row r="4">
      <c r="B4" s="13" t="s">
        <v>30</v>
      </c>
      <c r="C4" s="13" t="s">
        <v>33</v>
      </c>
      <c r="D4" s="13" t="s">
        <v>35</v>
      </c>
      <c r="H4" s="14" t="s">
        <v>37</v>
      </c>
    </row>
    <row r="5">
      <c r="B5" s="16">
        <v>1.0</v>
      </c>
      <c r="C5" s="17" t="s">
        <v>44</v>
      </c>
      <c r="D5" s="19"/>
      <c r="H5" s="21" t="s">
        <v>48</v>
      </c>
    </row>
    <row r="6">
      <c r="B6" s="16">
        <v>2.0</v>
      </c>
      <c r="C6" s="14" t="s">
        <v>51</v>
      </c>
      <c r="D6" s="19"/>
      <c r="E6" s="23" t="s">
        <v>52</v>
      </c>
    </row>
    <row r="7">
      <c r="B7" s="16">
        <v>3.0</v>
      </c>
      <c r="C7" s="14" t="s">
        <v>56</v>
      </c>
      <c r="D7" s="19"/>
    </row>
    <row r="8">
      <c r="B8" s="16">
        <v>4.0</v>
      </c>
      <c r="C8" s="19"/>
      <c r="D8" s="17" t="s">
        <v>44</v>
      </c>
    </row>
    <row r="9">
      <c r="B9" s="16">
        <v>5.0</v>
      </c>
      <c r="C9" s="19"/>
      <c r="D9" s="17" t="s">
        <v>51</v>
      </c>
    </row>
    <row r="10">
      <c r="B10" s="16">
        <v>6.0</v>
      </c>
      <c r="C10" s="19"/>
      <c r="D10" s="14" t="s">
        <v>58</v>
      </c>
      <c r="E10" s="23" t="s">
        <v>59</v>
      </c>
    </row>
    <row r="11">
      <c r="A11" s="27" t="s">
        <v>62</v>
      </c>
      <c r="B11" s="16">
        <v>7.0</v>
      </c>
      <c r="C11" s="19"/>
      <c r="D11" s="21" t="s">
        <v>64</v>
      </c>
    </row>
    <row r="12">
      <c r="B12" s="16">
        <v>8.0</v>
      </c>
      <c r="C12" s="19"/>
      <c r="D12" s="17" t="s">
        <v>66</v>
      </c>
      <c r="E12" s="23" t="s">
        <v>67</v>
      </c>
    </row>
    <row r="13" ht="29.25" customHeight="1">
      <c r="B13" s="16">
        <v>9.0</v>
      </c>
      <c r="C13" s="30" t="s">
        <v>69</v>
      </c>
      <c r="D13" s="19"/>
    </row>
    <row r="14" ht="29.25" customHeight="1">
      <c r="B14" s="16">
        <v>10.0</v>
      </c>
      <c r="C14" s="17" t="s">
        <v>73</v>
      </c>
      <c r="D14" s="30" t="s">
        <v>74</v>
      </c>
      <c r="E14" s="23" t="s">
        <v>76</v>
      </c>
    </row>
    <row r="15">
      <c r="A15" s="27" t="s">
        <v>77</v>
      </c>
      <c r="B15" s="16">
        <v>11.0</v>
      </c>
      <c r="C15" s="19"/>
      <c r="D15" s="17" t="s">
        <v>64</v>
      </c>
      <c r="G15" s="23" t="s">
        <v>81</v>
      </c>
    </row>
    <row r="16">
      <c r="B16" s="16">
        <v>12.0</v>
      </c>
      <c r="C16" s="19"/>
      <c r="D16" s="17" t="s">
        <v>66</v>
      </c>
    </row>
    <row r="17">
      <c r="B17" s="16">
        <v>13.0</v>
      </c>
      <c r="C17" s="30" t="s">
        <v>69</v>
      </c>
      <c r="D17" s="19"/>
    </row>
    <row r="18">
      <c r="B18" s="16">
        <v>14.0</v>
      </c>
      <c r="C18" s="17" t="s">
        <v>73</v>
      </c>
      <c r="D18" s="30" t="s">
        <v>74</v>
      </c>
      <c r="E18" s="23" t="s">
        <v>76</v>
      </c>
    </row>
    <row r="19">
      <c r="A19" s="27" t="s">
        <v>89</v>
      </c>
      <c r="B19" s="16">
        <v>15.0</v>
      </c>
      <c r="C19" s="19"/>
      <c r="D19" s="17" t="s">
        <v>64</v>
      </c>
    </row>
    <row r="20">
      <c r="B20" s="16">
        <v>16.0</v>
      </c>
      <c r="C20" s="19"/>
      <c r="D20" s="17" t="s">
        <v>66</v>
      </c>
    </row>
    <row r="21">
      <c r="B21" s="16">
        <v>17.0</v>
      </c>
      <c r="C21" s="30" t="s">
        <v>69</v>
      </c>
      <c r="D21" s="19"/>
    </row>
    <row r="22">
      <c r="B22" s="16">
        <v>18.0</v>
      </c>
      <c r="C22" s="17" t="s">
        <v>73</v>
      </c>
      <c r="D22" s="30" t="s">
        <v>74</v>
      </c>
      <c r="E22" s="23" t="s">
        <v>76</v>
      </c>
    </row>
    <row r="23">
      <c r="A23" s="27" t="s">
        <v>97</v>
      </c>
      <c r="B23" s="16">
        <v>15.0</v>
      </c>
      <c r="C23" s="19"/>
      <c r="D23" s="17" t="s">
        <v>64</v>
      </c>
    </row>
    <row r="24">
      <c r="B24" s="16">
        <v>16.0</v>
      </c>
      <c r="C24" s="19"/>
      <c r="D24" s="17" t="s">
        <v>66</v>
      </c>
    </row>
    <row r="25">
      <c r="B25" s="16">
        <v>17.0</v>
      </c>
      <c r="C25" s="30" t="s">
        <v>69</v>
      </c>
      <c r="D25" s="19"/>
    </row>
    <row r="26">
      <c r="B26" s="16">
        <v>18.0</v>
      </c>
      <c r="C26" s="17" t="s">
        <v>73</v>
      </c>
      <c r="D26" s="30" t="s">
        <v>74</v>
      </c>
    </row>
    <row r="27" ht="27.0" customHeight="1">
      <c r="B27" s="16">
        <v>23.0</v>
      </c>
      <c r="C27" s="17" t="s">
        <v>102</v>
      </c>
      <c r="D27" s="30" t="s">
        <v>103</v>
      </c>
      <c r="E27" s="23" t="s">
        <v>76</v>
      </c>
    </row>
    <row r="28">
      <c r="B28" s="16">
        <v>24.0</v>
      </c>
      <c r="C28" s="35"/>
      <c r="D28" s="17" t="s">
        <v>107</v>
      </c>
      <c r="E28" s="23" t="s">
        <v>108</v>
      </c>
    </row>
    <row r="29">
      <c r="B29" s="36"/>
      <c r="C29" s="36"/>
      <c r="D29" s="36"/>
    </row>
    <row r="30">
      <c r="B30" s="36"/>
      <c r="C30" s="36"/>
      <c r="D30" s="36"/>
    </row>
    <row r="31">
      <c r="B31" s="36"/>
      <c r="C31" s="36"/>
      <c r="D31" s="36"/>
    </row>
    <row r="32">
      <c r="B32" s="36"/>
      <c r="C32" s="36"/>
      <c r="D32" s="36"/>
    </row>
    <row r="33">
      <c r="B33" s="36"/>
      <c r="C33" s="36"/>
      <c r="D33" s="36"/>
    </row>
    <row r="34">
      <c r="B34" s="36"/>
      <c r="C34" s="36"/>
      <c r="D34" s="36"/>
    </row>
    <row r="37">
      <c r="B37" s="23" t="s">
        <v>115</v>
      </c>
    </row>
    <row r="38">
      <c r="B38" s="23" t="s">
        <v>116</v>
      </c>
    </row>
    <row r="39">
      <c r="B39" s="23" t="s">
        <v>121</v>
      </c>
    </row>
  </sheetData>
  <mergeCells count="4">
    <mergeCell ref="A11:A14"/>
    <mergeCell ref="A15:A18"/>
    <mergeCell ref="A19:A22"/>
    <mergeCell ref="A23:A2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7.57"/>
    <col customWidth="1" min="2" max="2" width="20.71"/>
    <col customWidth="1" min="3" max="3" width="40.14"/>
    <col customWidth="1" min="4" max="4" width="18.43"/>
    <col customWidth="1" min="5" max="5" width="16.57"/>
    <col customWidth="1" min="6" max="6" width="18.86"/>
    <col customWidth="1" min="7" max="7" width="17.71"/>
    <col customWidth="1" min="8" max="8" width="16.86"/>
    <col customWidth="1" min="10" max="10" width="10.71"/>
    <col customWidth="1" min="11" max="11" width="20.14"/>
    <col customWidth="1" min="15" max="15" width="17.43"/>
  </cols>
  <sheetData>
    <row r="1">
      <c r="A1" s="12" t="s">
        <v>43</v>
      </c>
    </row>
    <row r="2">
      <c r="A2" s="20"/>
      <c r="B2" s="20"/>
    </row>
    <row r="3">
      <c r="A3" s="20" t="s">
        <v>50</v>
      </c>
    </row>
    <row r="4">
      <c r="E4" s="24" t="s">
        <v>55</v>
      </c>
      <c r="F4" s="26" t="s">
        <v>61</v>
      </c>
      <c r="G4" s="28"/>
      <c r="H4" s="28"/>
      <c r="K4" s="29" t="s">
        <v>68</v>
      </c>
      <c r="L4" s="23" t="s">
        <v>70</v>
      </c>
      <c r="M4" s="23" t="s">
        <v>71</v>
      </c>
      <c r="N4" s="23" t="s">
        <v>75</v>
      </c>
      <c r="O4" s="32"/>
    </row>
    <row r="5">
      <c r="C5" s="32" t="s">
        <v>85</v>
      </c>
      <c r="E5" s="33">
        <v>5.0</v>
      </c>
      <c r="F5" s="34">
        <v>1.0</v>
      </c>
      <c r="G5" s="28"/>
      <c r="H5" s="28"/>
      <c r="I5" s="37">
        <f t="shared" ref="I5:I7" si="1">E5*F5</f>
        <v>5</v>
      </c>
      <c r="K5" s="38">
        <f>MIN(I8,I14,I20)</f>
        <v>17.2</v>
      </c>
      <c r="L5" s="38">
        <f>K5*24</f>
        <v>412.8</v>
      </c>
      <c r="M5" s="39">
        <f>K7+(F7+F13+F19)/100+4%*F21</f>
        <v>0.96</v>
      </c>
      <c r="N5" s="40">
        <f>ROUND(L5*M5,0)</f>
        <v>396</v>
      </c>
      <c r="O5" s="23" t="s">
        <v>154</v>
      </c>
    </row>
    <row r="6">
      <c r="C6" s="32" t="s">
        <v>156</v>
      </c>
      <c r="E6" s="33">
        <v>7.0</v>
      </c>
      <c r="F6" s="34">
        <v>1.0</v>
      </c>
      <c r="G6" s="28"/>
      <c r="H6" s="28"/>
      <c r="I6" s="37">
        <f t="shared" si="1"/>
        <v>7</v>
      </c>
      <c r="K6" s="23" t="s">
        <v>161</v>
      </c>
    </row>
    <row r="7">
      <c r="C7" s="32" t="s">
        <v>164</v>
      </c>
      <c r="E7" s="33">
        <v>9.0</v>
      </c>
      <c r="F7" s="34">
        <v>1.0</v>
      </c>
      <c r="G7" s="28"/>
      <c r="H7" s="28"/>
      <c r="I7" s="37">
        <f t="shared" si="1"/>
        <v>9</v>
      </c>
      <c r="K7" s="41">
        <v>0.9</v>
      </c>
    </row>
    <row r="8">
      <c r="A8" s="42" t="s">
        <v>168</v>
      </c>
      <c r="E8" s="37"/>
      <c r="F8" s="28"/>
      <c r="G8" s="43"/>
      <c r="H8" s="43"/>
      <c r="I8" s="44">
        <f>SUM(I5:I7)</f>
        <v>21</v>
      </c>
    </row>
    <row r="9">
      <c r="C9" s="23" t="s">
        <v>176</v>
      </c>
      <c r="E9" s="37"/>
      <c r="F9" s="30" t="s">
        <v>178</v>
      </c>
      <c r="G9" s="30" t="s">
        <v>179</v>
      </c>
      <c r="H9" s="30" t="s">
        <v>181</v>
      </c>
      <c r="I9" s="37"/>
      <c r="K9" s="23" t="s">
        <v>183</v>
      </c>
      <c r="L9" s="38">
        <f>SUM(F5:F7,F11:H13,F17:H19)</f>
        <v>8</v>
      </c>
    </row>
    <row r="10">
      <c r="A10" s="32"/>
      <c r="B10" s="23"/>
      <c r="C10" s="23"/>
      <c r="E10" s="45"/>
      <c r="F10" s="46">
        <v>1.0</v>
      </c>
      <c r="G10" s="46">
        <v>1.2</v>
      </c>
      <c r="H10" s="46">
        <v>1.5</v>
      </c>
      <c r="I10" s="37"/>
      <c r="K10" s="23" t="s">
        <v>192</v>
      </c>
      <c r="L10" s="38">
        <f>SUM(F7,F13:H13,F19:H19)</f>
        <v>3</v>
      </c>
      <c r="M10" s="47">
        <f>L10/L9</f>
        <v>0.375</v>
      </c>
    </row>
    <row r="11">
      <c r="A11" s="32"/>
      <c r="C11" s="23" t="s">
        <v>214</v>
      </c>
      <c r="E11" s="33">
        <v>6.0</v>
      </c>
      <c r="F11" s="48"/>
      <c r="G11" s="48"/>
      <c r="H11" s="34">
        <v>1.0</v>
      </c>
      <c r="I11" s="37">
        <f t="shared" ref="I11:I13" si="2">SUM(F11*E11*$F$10,G11*E11*$G$10,H11*E11*$H$10)</f>
        <v>9</v>
      </c>
    </row>
    <row r="12">
      <c r="A12" s="32"/>
      <c r="C12" s="23" t="s">
        <v>236</v>
      </c>
      <c r="E12" s="33">
        <v>8.0</v>
      </c>
      <c r="F12" s="34">
        <v>1.0</v>
      </c>
      <c r="G12" s="34">
        <v>0.0</v>
      </c>
      <c r="H12" s="48"/>
      <c r="I12" s="37">
        <f t="shared" si="2"/>
        <v>8</v>
      </c>
    </row>
    <row r="13">
      <c r="A13" s="32"/>
      <c r="C13" s="23" t="s">
        <v>243</v>
      </c>
      <c r="E13" s="33">
        <v>12.0</v>
      </c>
      <c r="F13" s="48"/>
      <c r="G13" s="34">
        <v>1.0</v>
      </c>
      <c r="H13" s="48"/>
      <c r="I13" s="37">
        <f t="shared" si="2"/>
        <v>14.4</v>
      </c>
    </row>
    <row r="14">
      <c r="A14" s="42" t="s">
        <v>250</v>
      </c>
      <c r="E14" s="37"/>
      <c r="F14" s="28"/>
      <c r="G14" s="43"/>
      <c r="H14" s="43"/>
      <c r="I14" s="44">
        <f>SUM(I11:I13)</f>
        <v>31.4</v>
      </c>
    </row>
    <row r="15">
      <c r="C15" s="23" t="s">
        <v>176</v>
      </c>
      <c r="E15" s="49"/>
      <c r="F15" s="30" t="s">
        <v>178</v>
      </c>
      <c r="G15" s="30" t="s">
        <v>179</v>
      </c>
      <c r="H15" s="30" t="s">
        <v>181</v>
      </c>
      <c r="I15" s="37"/>
    </row>
    <row r="16">
      <c r="A16" s="32"/>
      <c r="C16" s="23"/>
      <c r="E16" s="45"/>
      <c r="F16" s="46">
        <v>1.0</v>
      </c>
      <c r="G16" s="46">
        <v>1.2</v>
      </c>
      <c r="H16" s="46">
        <v>1.5</v>
      </c>
      <c r="I16" s="37"/>
    </row>
    <row r="17">
      <c r="A17" s="32"/>
      <c r="C17" s="23" t="s">
        <v>214</v>
      </c>
      <c r="E17" s="33">
        <v>6.0</v>
      </c>
      <c r="F17" s="48"/>
      <c r="G17" s="34">
        <v>1.0</v>
      </c>
      <c r="H17" s="48"/>
      <c r="I17" s="37">
        <f t="shared" ref="I17:I19" si="3">SUM(F17*E17*$F$16,G17*E17*$G$16,H17*E17*$H$16)</f>
        <v>7.2</v>
      </c>
    </row>
    <row r="18">
      <c r="A18" s="32"/>
      <c r="C18" s="23" t="s">
        <v>236</v>
      </c>
      <c r="E18" s="33">
        <v>7.0</v>
      </c>
      <c r="F18" s="48"/>
      <c r="G18" s="34">
        <v>0.0</v>
      </c>
      <c r="H18" s="34">
        <v>0.0</v>
      </c>
      <c r="I18" s="37">
        <f t="shared" si="3"/>
        <v>0</v>
      </c>
    </row>
    <row r="19">
      <c r="A19" s="32"/>
      <c r="C19" s="23" t="s">
        <v>243</v>
      </c>
      <c r="E19" s="33">
        <v>10.0</v>
      </c>
      <c r="F19" s="34">
        <v>1.0</v>
      </c>
      <c r="G19" s="48"/>
      <c r="H19" s="48"/>
      <c r="I19" s="37">
        <f t="shared" si="3"/>
        <v>10</v>
      </c>
    </row>
    <row r="20">
      <c r="G20" s="50"/>
      <c r="H20" s="50"/>
      <c r="I20" s="44">
        <f>SUM(I17:I19)</f>
        <v>17.2</v>
      </c>
    </row>
    <row r="21">
      <c r="A21" s="23" t="s">
        <v>288</v>
      </c>
      <c r="F21" s="51">
        <v>1.0</v>
      </c>
    </row>
    <row r="23">
      <c r="B23" s="23" t="s">
        <v>292</v>
      </c>
    </row>
    <row r="25">
      <c r="A25" s="52" t="s">
        <v>294</v>
      </c>
    </row>
    <row r="27" ht="51.75" customHeight="1">
      <c r="A27" s="53"/>
      <c r="B27" s="53"/>
      <c r="C27" s="53"/>
      <c r="D27" s="54" t="s">
        <v>217</v>
      </c>
      <c r="E27" s="54" t="s">
        <v>217</v>
      </c>
      <c r="F27" s="54" t="s">
        <v>217</v>
      </c>
      <c r="G27" s="56" t="s">
        <v>228</v>
      </c>
      <c r="H27" s="56" t="s">
        <v>228</v>
      </c>
      <c r="I27" s="56" t="s">
        <v>228</v>
      </c>
      <c r="J27" s="58" t="s">
        <v>235</v>
      </c>
      <c r="K27" s="58" t="s">
        <v>235</v>
      </c>
      <c r="L27" s="58" t="s">
        <v>235</v>
      </c>
      <c r="M27" s="53"/>
      <c r="N27" s="53"/>
      <c r="O27" s="53"/>
      <c r="P27" s="53"/>
      <c r="Q27" s="53"/>
      <c r="R27" s="53"/>
      <c r="S27" s="53"/>
      <c r="T27" s="53"/>
      <c r="U27" s="53"/>
      <c r="V27" s="53"/>
      <c r="W27" s="53"/>
      <c r="X27" s="53"/>
      <c r="Y27" s="53"/>
      <c r="Z27" s="53"/>
      <c r="AA27" s="53"/>
      <c r="AB27" s="53"/>
    </row>
    <row r="28" ht="51.75" customHeight="1">
      <c r="A28" s="53"/>
      <c r="B28" s="53"/>
      <c r="C28" s="53"/>
      <c r="D28" s="60" t="s">
        <v>218</v>
      </c>
      <c r="E28" s="60" t="s">
        <v>222</v>
      </c>
      <c r="F28" s="60" t="s">
        <v>225</v>
      </c>
      <c r="G28" s="60" t="s">
        <v>229</v>
      </c>
      <c r="H28" s="60" t="s">
        <v>232</v>
      </c>
      <c r="I28" s="62" t="s">
        <v>311</v>
      </c>
      <c r="J28" s="60" t="s">
        <v>237</v>
      </c>
      <c r="K28" s="60" t="s">
        <v>240</v>
      </c>
      <c r="L28" s="60" t="s">
        <v>244</v>
      </c>
      <c r="M28" s="53"/>
      <c r="N28" s="53"/>
      <c r="O28" s="53"/>
      <c r="P28" s="53"/>
      <c r="Q28" s="53"/>
      <c r="R28" s="53"/>
      <c r="S28" s="53"/>
      <c r="T28" s="53"/>
      <c r="U28" s="53"/>
      <c r="V28" s="53"/>
      <c r="W28" s="53"/>
      <c r="X28" s="53"/>
      <c r="Y28" s="53"/>
      <c r="Z28" s="53"/>
      <c r="AA28" s="53"/>
      <c r="AB28" s="53"/>
    </row>
    <row r="29" ht="51.75" customHeight="1">
      <c r="A29" s="53"/>
      <c r="B29" s="53"/>
      <c r="C29" s="63" t="s">
        <v>317</v>
      </c>
      <c r="D29" s="63" t="s">
        <v>320</v>
      </c>
      <c r="E29" s="63" t="s">
        <v>321</v>
      </c>
      <c r="F29" s="63" t="s">
        <v>321</v>
      </c>
      <c r="G29" s="63" t="s">
        <v>322</v>
      </c>
      <c r="H29" s="63" t="s">
        <v>322</v>
      </c>
      <c r="I29" s="63" t="s">
        <v>322</v>
      </c>
      <c r="J29" s="63" t="s">
        <v>323</v>
      </c>
      <c r="K29" s="63" t="s">
        <v>323</v>
      </c>
      <c r="L29" s="63" t="s">
        <v>323</v>
      </c>
      <c r="M29" s="64"/>
      <c r="N29" s="66"/>
      <c r="O29" s="53"/>
      <c r="P29" s="53"/>
      <c r="Q29" s="53"/>
      <c r="R29" s="53"/>
      <c r="S29" s="53"/>
      <c r="T29" s="53"/>
      <c r="U29" s="53"/>
      <c r="V29" s="53"/>
      <c r="W29" s="53"/>
      <c r="X29" s="53"/>
      <c r="Y29" s="53"/>
      <c r="Z29" s="53"/>
      <c r="AA29" s="53"/>
      <c r="AB29" s="53"/>
    </row>
    <row r="30" ht="40.5" customHeight="1">
      <c r="C30" s="30" t="s">
        <v>332</v>
      </c>
      <c r="D30" s="17" t="s">
        <v>334</v>
      </c>
      <c r="E30" s="17" t="s">
        <v>334</v>
      </c>
      <c r="F30" s="17" t="s">
        <v>334</v>
      </c>
      <c r="G30" s="17" t="s">
        <v>335</v>
      </c>
      <c r="H30" s="17" t="s">
        <v>335</v>
      </c>
      <c r="I30" s="17" t="s">
        <v>335</v>
      </c>
      <c r="J30" s="17" t="s">
        <v>336</v>
      </c>
      <c r="K30" s="17" t="s">
        <v>336</v>
      </c>
      <c r="L30" s="17" t="s">
        <v>336</v>
      </c>
    </row>
    <row r="31">
      <c r="C31" s="70" t="s">
        <v>124</v>
      </c>
      <c r="D31" s="71">
        <v>0.3</v>
      </c>
      <c r="E31" s="71"/>
      <c r="F31" s="71"/>
      <c r="G31" s="72">
        <v>1.0</v>
      </c>
      <c r="H31" s="72"/>
      <c r="I31" s="72"/>
      <c r="J31" s="72">
        <v>6.0</v>
      </c>
      <c r="K31" s="72"/>
      <c r="L31" s="72"/>
    </row>
    <row r="32">
      <c r="C32" s="70" t="s">
        <v>128</v>
      </c>
      <c r="D32" s="72"/>
      <c r="E32" s="72">
        <v>0.4</v>
      </c>
      <c r="F32" s="72"/>
      <c r="G32" s="71"/>
      <c r="H32" s="71">
        <v>1.0</v>
      </c>
      <c r="I32" s="71"/>
      <c r="J32" s="72"/>
      <c r="K32" s="72">
        <v>7.0</v>
      </c>
      <c r="L32" s="72"/>
    </row>
    <row r="33">
      <c r="C33" s="70" t="s">
        <v>132</v>
      </c>
      <c r="D33" s="73"/>
      <c r="E33" s="73"/>
      <c r="F33" s="72">
        <v>0.7</v>
      </c>
      <c r="G33" s="73"/>
      <c r="H33" s="73"/>
      <c r="I33" s="72">
        <v>1.0</v>
      </c>
      <c r="J33" s="71"/>
      <c r="K33" s="71"/>
      <c r="L33" s="71">
        <v>13.0</v>
      </c>
    </row>
    <row r="35">
      <c r="E35" s="74">
        <f>N5</f>
        <v>396</v>
      </c>
    </row>
    <row r="36">
      <c r="C36" s="75" t="s">
        <v>357</v>
      </c>
      <c r="D36" s="76">
        <f t="shared" ref="D36:E36" si="4">SUM(D37:D39)</f>
        <v>520</v>
      </c>
      <c r="E36" s="77">
        <f t="shared" si="4"/>
        <v>395</v>
      </c>
      <c r="F36" s="78"/>
      <c r="G36" s="78"/>
      <c r="H36" s="78"/>
      <c r="I36" s="78"/>
      <c r="J36" s="78"/>
      <c r="K36" s="78"/>
      <c r="L36" s="79"/>
    </row>
    <row r="37">
      <c r="C37" s="80" t="s">
        <v>124</v>
      </c>
      <c r="D37" s="81">
        <v>250.0</v>
      </c>
      <c r="E37" s="84">
        <f>ROUNDDOWN(D37*E35/D36,0)</f>
        <v>190</v>
      </c>
      <c r="L37" s="86"/>
    </row>
    <row r="38">
      <c r="C38" s="80" t="s">
        <v>128</v>
      </c>
      <c r="D38" s="81">
        <v>180.0</v>
      </c>
      <c r="E38" s="84">
        <f>ROUNDDOWN(D38*E35/D36,0)</f>
        <v>137</v>
      </c>
      <c r="L38" s="86"/>
    </row>
    <row r="39">
      <c r="C39" s="80" t="s">
        <v>132</v>
      </c>
      <c r="D39" s="81">
        <v>90.0</v>
      </c>
      <c r="E39" s="84">
        <f>ROUNDDOWN(D39*E35/D36,0)</f>
        <v>68</v>
      </c>
      <c r="L39" s="86"/>
    </row>
    <row r="40">
      <c r="C40" s="88"/>
      <c r="D40" s="54" t="s">
        <v>217</v>
      </c>
      <c r="E40" s="54" t="s">
        <v>217</v>
      </c>
      <c r="F40" s="54" t="s">
        <v>217</v>
      </c>
      <c r="G40" s="56" t="s">
        <v>228</v>
      </c>
      <c r="H40" s="56" t="s">
        <v>228</v>
      </c>
      <c r="I40" s="56" t="s">
        <v>228</v>
      </c>
      <c r="J40" s="58" t="s">
        <v>235</v>
      </c>
      <c r="K40" s="58" t="s">
        <v>235</v>
      </c>
      <c r="L40" s="90" t="s">
        <v>235</v>
      </c>
    </row>
    <row r="41">
      <c r="C41" s="88"/>
      <c r="D41" s="60" t="s">
        <v>218</v>
      </c>
      <c r="E41" s="60" t="s">
        <v>222</v>
      </c>
      <c r="F41" s="60" t="s">
        <v>225</v>
      </c>
      <c r="G41" s="60" t="s">
        <v>229</v>
      </c>
      <c r="H41" s="60" t="s">
        <v>232</v>
      </c>
      <c r="I41" s="62" t="s">
        <v>311</v>
      </c>
      <c r="J41" s="60" t="s">
        <v>237</v>
      </c>
      <c r="K41" s="60" t="s">
        <v>240</v>
      </c>
      <c r="L41" s="92" t="s">
        <v>244</v>
      </c>
    </row>
    <row r="42">
      <c r="C42" s="80" t="s">
        <v>124</v>
      </c>
      <c r="D42" s="35">
        <f t="shared" ref="D42:L42" si="5">$D37*D31</f>
        <v>75</v>
      </c>
      <c r="E42" s="35">
        <f t="shared" si="5"/>
        <v>0</v>
      </c>
      <c r="F42" s="35">
        <f t="shared" si="5"/>
        <v>0</v>
      </c>
      <c r="G42" s="35">
        <f t="shared" si="5"/>
        <v>250</v>
      </c>
      <c r="H42" s="35">
        <f t="shared" si="5"/>
        <v>0</v>
      </c>
      <c r="I42" s="35">
        <f t="shared" si="5"/>
        <v>0</v>
      </c>
      <c r="J42" s="35">
        <f t="shared" si="5"/>
        <v>1500</v>
      </c>
      <c r="K42" s="35">
        <f t="shared" si="5"/>
        <v>0</v>
      </c>
      <c r="L42" s="93">
        <f t="shared" si="5"/>
        <v>0</v>
      </c>
    </row>
    <row r="43">
      <c r="C43" s="80" t="s">
        <v>128</v>
      </c>
      <c r="D43" s="35">
        <f t="shared" ref="D43:L43" si="6">$D38*D32</f>
        <v>0</v>
      </c>
      <c r="E43" s="35">
        <f t="shared" si="6"/>
        <v>72</v>
      </c>
      <c r="F43" s="35">
        <f t="shared" si="6"/>
        <v>0</v>
      </c>
      <c r="G43" s="35">
        <f t="shared" si="6"/>
        <v>0</v>
      </c>
      <c r="H43" s="35">
        <f t="shared" si="6"/>
        <v>180</v>
      </c>
      <c r="I43" s="35">
        <f t="shared" si="6"/>
        <v>0</v>
      </c>
      <c r="J43" s="35">
        <f t="shared" si="6"/>
        <v>0</v>
      </c>
      <c r="K43" s="35">
        <f t="shared" si="6"/>
        <v>1260</v>
      </c>
      <c r="L43" s="93">
        <f t="shared" si="6"/>
        <v>0</v>
      </c>
    </row>
    <row r="44">
      <c r="C44" s="80" t="s">
        <v>132</v>
      </c>
      <c r="D44" s="35">
        <f t="shared" ref="D44:L44" si="7">$D39*D33</f>
        <v>0</v>
      </c>
      <c r="E44" s="35">
        <f t="shared" si="7"/>
        <v>0</v>
      </c>
      <c r="F44" s="35">
        <f t="shared" si="7"/>
        <v>63</v>
      </c>
      <c r="G44" s="35">
        <f t="shared" si="7"/>
        <v>0</v>
      </c>
      <c r="H44" s="35">
        <f t="shared" si="7"/>
        <v>0</v>
      </c>
      <c r="I44" s="35">
        <f t="shared" si="7"/>
        <v>90</v>
      </c>
      <c r="J44" s="35">
        <f t="shared" si="7"/>
        <v>0</v>
      </c>
      <c r="K44" s="35">
        <f t="shared" si="7"/>
        <v>0</v>
      </c>
      <c r="L44" s="93">
        <f t="shared" si="7"/>
        <v>1170</v>
      </c>
    </row>
    <row r="45">
      <c r="A45" s="94"/>
      <c r="B45" s="94"/>
      <c r="C45" s="95"/>
      <c r="D45" s="96"/>
      <c r="E45" s="96"/>
      <c r="F45" s="96"/>
      <c r="G45" s="96"/>
      <c r="H45" s="96"/>
      <c r="I45" s="96"/>
      <c r="J45" s="96"/>
      <c r="K45" s="96"/>
      <c r="L45" s="97"/>
      <c r="M45" s="94"/>
      <c r="N45" s="94"/>
      <c r="O45" s="94"/>
      <c r="P45" s="94"/>
      <c r="Q45" s="94"/>
      <c r="R45" s="94"/>
      <c r="S45" s="94"/>
      <c r="T45" s="94"/>
      <c r="U45" s="94"/>
      <c r="V45" s="94"/>
      <c r="W45" s="94"/>
      <c r="X45" s="94"/>
      <c r="Y45" s="94"/>
      <c r="Z45" s="94"/>
      <c r="AA45" s="94"/>
      <c r="AB45" s="94"/>
    </row>
    <row r="46">
      <c r="A46" s="94"/>
      <c r="B46" s="94"/>
      <c r="C46" s="94"/>
      <c r="D46" s="98"/>
      <c r="E46" s="98"/>
      <c r="F46" s="98"/>
      <c r="G46" s="98"/>
      <c r="H46" s="98"/>
      <c r="I46" s="98"/>
      <c r="J46" s="98"/>
      <c r="K46" s="98"/>
      <c r="L46" s="98"/>
      <c r="M46" s="94"/>
      <c r="N46" s="94"/>
      <c r="O46" s="94"/>
      <c r="P46" s="94"/>
      <c r="Q46" s="94"/>
      <c r="R46" s="94"/>
      <c r="S46" s="94"/>
      <c r="T46" s="94"/>
      <c r="U46" s="94"/>
      <c r="V46" s="94"/>
      <c r="W46" s="94"/>
      <c r="X46" s="94"/>
      <c r="Y46" s="94"/>
      <c r="Z46" s="94"/>
      <c r="AA46" s="94"/>
      <c r="AB46" s="94"/>
    </row>
    <row r="47">
      <c r="D47" s="54" t="s">
        <v>217</v>
      </c>
      <c r="E47" s="54" t="s">
        <v>217</v>
      </c>
      <c r="F47" s="54" t="s">
        <v>217</v>
      </c>
      <c r="G47" s="56" t="s">
        <v>228</v>
      </c>
      <c r="H47" s="56" t="s">
        <v>228</v>
      </c>
      <c r="I47" s="56" t="s">
        <v>228</v>
      </c>
      <c r="J47" s="58" t="s">
        <v>235</v>
      </c>
      <c r="K47" s="58" t="s">
        <v>235</v>
      </c>
      <c r="L47" s="58" t="s">
        <v>235</v>
      </c>
    </row>
    <row r="48" ht="40.5" customHeight="1">
      <c r="C48" s="99" t="s">
        <v>378</v>
      </c>
      <c r="D48" s="60" t="s">
        <v>218</v>
      </c>
      <c r="E48" s="60" t="s">
        <v>222</v>
      </c>
      <c r="F48" s="60" t="s">
        <v>225</v>
      </c>
      <c r="G48" s="60" t="s">
        <v>229</v>
      </c>
      <c r="H48" s="60" t="s">
        <v>232</v>
      </c>
      <c r="I48" s="62" t="s">
        <v>311</v>
      </c>
      <c r="J48" s="60" t="s">
        <v>237</v>
      </c>
      <c r="K48" s="60" t="s">
        <v>240</v>
      </c>
      <c r="L48" s="60" t="s">
        <v>244</v>
      </c>
      <c r="M48" s="100"/>
      <c r="N48" s="100"/>
    </row>
    <row r="49">
      <c r="C49" s="70" t="s">
        <v>124</v>
      </c>
      <c r="D49" s="72">
        <v>60.0</v>
      </c>
      <c r="E49" s="72">
        <v>10.0</v>
      </c>
      <c r="F49" s="72"/>
      <c r="G49" s="72"/>
      <c r="H49" s="72">
        <v>200.0</v>
      </c>
      <c r="I49" s="73"/>
      <c r="J49" s="72">
        <v>1600.0</v>
      </c>
      <c r="K49" s="73"/>
      <c r="L49" s="73"/>
      <c r="M49" s="101"/>
      <c r="N49" s="101"/>
    </row>
    <row r="50">
      <c r="C50" s="70" t="s">
        <v>128</v>
      </c>
      <c r="D50" s="35"/>
      <c r="E50" s="17">
        <v>50.0</v>
      </c>
      <c r="F50" s="35"/>
      <c r="G50" s="35"/>
      <c r="H50" s="17">
        <v>150.0</v>
      </c>
      <c r="I50" s="35"/>
      <c r="J50" s="35"/>
      <c r="K50" s="35"/>
      <c r="L50" s="102">
        <v>1200.0</v>
      </c>
      <c r="M50" s="101"/>
      <c r="N50" s="101"/>
    </row>
    <row r="51">
      <c r="C51" s="70" t="s">
        <v>132</v>
      </c>
      <c r="D51" s="73"/>
      <c r="E51" s="72"/>
      <c r="F51" s="72">
        <v>70.0</v>
      </c>
      <c r="G51" s="73"/>
      <c r="H51" s="72">
        <v>50.0</v>
      </c>
      <c r="I51" s="72"/>
      <c r="J51" s="72"/>
      <c r="K51" s="72"/>
      <c r="L51" s="72">
        <v>1100.0</v>
      </c>
      <c r="M51" s="101"/>
      <c r="N51" s="101"/>
    </row>
    <row r="52">
      <c r="D52" s="103"/>
      <c r="E52" s="103"/>
      <c r="F52" s="104"/>
      <c r="H52" s="103"/>
      <c r="I52" s="103"/>
      <c r="J52" s="103"/>
      <c r="L52" s="103"/>
      <c r="M52" s="103"/>
      <c r="N52" s="103"/>
    </row>
    <row r="53">
      <c r="D53" s="105">
        <f>D49/D31</f>
        <v>200</v>
      </c>
      <c r="G53" s="38">
        <f>G49/G31</f>
        <v>0</v>
      </c>
      <c r="J53" s="105">
        <f>J49/J31</f>
        <v>266.6666667</v>
      </c>
    </row>
    <row r="55">
      <c r="C55" s="23" t="s">
        <v>380</v>
      </c>
      <c r="G55" s="23" t="s">
        <v>381</v>
      </c>
      <c r="H55" s="23" t="s">
        <v>382</v>
      </c>
      <c r="I55" s="23" t="s">
        <v>383</v>
      </c>
      <c r="K55" s="23" t="s">
        <v>384</v>
      </c>
    </row>
    <row r="56">
      <c r="C56" s="70" t="s">
        <v>124</v>
      </c>
      <c r="D56" s="38">
        <f>MIN(SUM(D49:F49)/D31,SUM(G49:I49)/G31,SUM(J49:L49)/J31,E37,D37)</f>
        <v>190</v>
      </c>
      <c r="E56" s="38">
        <f t="shared" ref="E56:E58" si="8">ROUNDDOWN(D56,0)</f>
        <v>190</v>
      </c>
      <c r="G56" s="38">
        <f>E56*D31</f>
        <v>57</v>
      </c>
      <c r="H56" s="38">
        <f>E56*G31</f>
        <v>190</v>
      </c>
      <c r="I56" s="38">
        <f>E56*J31</f>
        <v>1140</v>
      </c>
      <c r="K56" s="106">
        <v>46143.0</v>
      </c>
    </row>
    <row r="57">
      <c r="C57" s="70" t="s">
        <v>128</v>
      </c>
      <c r="D57" s="38">
        <f>MIN(SUM(D50:F50)/E32,SUM(G50:I50)/H32,SUM(J50:L50)/K32,E38,D38)</f>
        <v>125</v>
      </c>
      <c r="E57" s="38">
        <f t="shared" si="8"/>
        <v>125</v>
      </c>
      <c r="G57" s="38">
        <f>E57*E32</f>
        <v>50</v>
      </c>
      <c r="H57" s="38">
        <f>E57*H32</f>
        <v>125</v>
      </c>
      <c r="I57" s="38">
        <f>E57*K32</f>
        <v>875</v>
      </c>
      <c r="K57" s="106">
        <v>46082.0</v>
      </c>
    </row>
    <row r="58">
      <c r="C58" s="70" t="s">
        <v>132</v>
      </c>
      <c r="D58" s="38">
        <f>MIN(SUM(D51:F51)/F33,SUM(G51:I51)/I33,SUM(J51:L51)/L33,E39,D39)</f>
        <v>50</v>
      </c>
      <c r="E58" s="38">
        <f t="shared" si="8"/>
        <v>50</v>
      </c>
      <c r="G58" s="38">
        <f>E58*F33</f>
        <v>35</v>
      </c>
      <c r="H58" s="38">
        <f>E58*I33</f>
        <v>50</v>
      </c>
      <c r="I58" s="38">
        <f>E58*L33</f>
        <v>650</v>
      </c>
      <c r="K58" s="106">
        <v>46054.0</v>
      </c>
    </row>
    <row r="62">
      <c r="C62" s="6"/>
      <c r="D62" s="4" t="s">
        <v>389</v>
      </c>
      <c r="E62" s="4" t="s">
        <v>390</v>
      </c>
      <c r="F62" s="4" t="s">
        <v>391</v>
      </c>
      <c r="G62" s="4" t="s">
        <v>392</v>
      </c>
      <c r="H62" s="23" t="s">
        <v>393</v>
      </c>
    </row>
    <row r="63" ht="42.0" customHeight="1">
      <c r="C63" s="54" t="s">
        <v>218</v>
      </c>
      <c r="D63" s="17">
        <v>15.0</v>
      </c>
      <c r="E63" s="17">
        <v>60.0</v>
      </c>
      <c r="F63" s="17">
        <v>75.0</v>
      </c>
      <c r="G63" s="109">
        <f t="shared" ref="G63:G71" si="9">D63+E63-F63</f>
        <v>0</v>
      </c>
    </row>
    <row r="64" ht="42.0" customHeight="1">
      <c r="C64" s="54" t="s">
        <v>222</v>
      </c>
      <c r="D64" s="17">
        <v>17.0</v>
      </c>
      <c r="E64" s="17">
        <v>55.0</v>
      </c>
      <c r="F64" s="17">
        <v>72.0</v>
      </c>
      <c r="G64" s="109">
        <f t="shared" si="9"/>
        <v>0</v>
      </c>
      <c r="H64" s="110"/>
    </row>
    <row r="65" ht="42.0" customHeight="1">
      <c r="C65" s="54" t="s">
        <v>225</v>
      </c>
      <c r="D65" s="17">
        <v>48.0</v>
      </c>
      <c r="E65" s="17">
        <v>15.0</v>
      </c>
      <c r="F65" s="17">
        <v>63.0</v>
      </c>
      <c r="G65" s="109">
        <f t="shared" si="9"/>
        <v>0</v>
      </c>
      <c r="H65" s="110"/>
    </row>
    <row r="66" ht="42.0" customHeight="1">
      <c r="C66" s="56" t="s">
        <v>229</v>
      </c>
      <c r="D66" s="17">
        <v>50.0</v>
      </c>
      <c r="E66" s="17">
        <v>200.0</v>
      </c>
      <c r="F66" s="17">
        <v>250.0</v>
      </c>
      <c r="G66" s="109">
        <f t="shared" si="9"/>
        <v>0</v>
      </c>
      <c r="H66" s="110"/>
    </row>
    <row r="67" ht="42.0" customHeight="1">
      <c r="C67" s="56" t="s">
        <v>232</v>
      </c>
      <c r="D67" s="17">
        <v>0.0</v>
      </c>
      <c r="E67" s="17">
        <v>190.0</v>
      </c>
      <c r="F67" s="17">
        <v>180.0</v>
      </c>
      <c r="G67" s="109">
        <f t="shared" si="9"/>
        <v>10</v>
      </c>
      <c r="H67" s="110"/>
    </row>
    <row r="68" ht="42.0" customHeight="1">
      <c r="C68" s="111" t="s">
        <v>311</v>
      </c>
      <c r="D68" s="17">
        <v>90.0</v>
      </c>
      <c r="E68" s="17">
        <v>0.0</v>
      </c>
      <c r="F68" s="17">
        <v>90.0</v>
      </c>
      <c r="G68" s="109">
        <f t="shared" si="9"/>
        <v>0</v>
      </c>
      <c r="H68" s="110"/>
    </row>
    <row r="69" ht="42.0" customHeight="1">
      <c r="C69" s="58" t="s">
        <v>237</v>
      </c>
      <c r="D69" s="17">
        <v>1494.0</v>
      </c>
      <c r="E69" s="17">
        <v>6.0</v>
      </c>
      <c r="F69" s="17">
        <v>1500.0</v>
      </c>
      <c r="G69" s="109">
        <f t="shared" si="9"/>
        <v>0</v>
      </c>
      <c r="H69" s="110"/>
    </row>
    <row r="70" ht="42.0" customHeight="1">
      <c r="C70" s="58" t="s">
        <v>240</v>
      </c>
      <c r="D70" s="17">
        <v>1253.0</v>
      </c>
      <c r="E70" s="17">
        <v>7.0</v>
      </c>
      <c r="F70" s="17">
        <v>1260.0</v>
      </c>
      <c r="G70" s="109">
        <f t="shared" si="9"/>
        <v>0</v>
      </c>
      <c r="H70" s="110"/>
    </row>
    <row r="71" ht="42.0" customHeight="1">
      <c r="C71" s="58" t="s">
        <v>244</v>
      </c>
      <c r="D71" s="17">
        <v>1170.0</v>
      </c>
      <c r="E71" s="17">
        <v>0.0</v>
      </c>
      <c r="F71" s="17">
        <v>1170.0</v>
      </c>
      <c r="G71" s="109">
        <f t="shared" si="9"/>
        <v>0</v>
      </c>
      <c r="H71" s="110"/>
    </row>
    <row r="72">
      <c r="B72" s="23" t="s">
        <v>394</v>
      </c>
    </row>
    <row r="73" ht="67.5" customHeight="1">
      <c r="A73" s="100" t="s">
        <v>395</v>
      </c>
      <c r="B73" s="45">
        <v>3000.0</v>
      </c>
    </row>
    <row r="74">
      <c r="A74" s="112"/>
    </row>
    <row r="75">
      <c r="A75" s="112" t="s">
        <v>396</v>
      </c>
      <c r="C75" s="113">
        <f>F51*10</f>
        <v>700</v>
      </c>
      <c r="D75" s="113">
        <f>M10*10</f>
        <v>3.75</v>
      </c>
      <c r="E75" s="113"/>
      <c r="F75" s="37">
        <f>B73/10000*10</f>
        <v>3</v>
      </c>
      <c r="G75" s="114">
        <f>SUM(C75:F75)</f>
        <v>706.75</v>
      </c>
      <c r="H75" s="26" t="s">
        <v>397</v>
      </c>
    </row>
    <row r="76" ht="35.25" customHeight="1">
      <c r="C76" s="100" t="s">
        <v>398</v>
      </c>
      <c r="D76" s="100" t="s">
        <v>399</v>
      </c>
      <c r="E76" s="100" t="s">
        <v>400</v>
      </c>
      <c r="F76" s="100" t="s">
        <v>401</v>
      </c>
    </row>
    <row r="82" ht="46.5" customHeight="1">
      <c r="B82" s="30" t="s">
        <v>402</v>
      </c>
      <c r="C82" s="17" t="s">
        <v>403</v>
      </c>
      <c r="D82" s="17" t="s">
        <v>404</v>
      </c>
      <c r="E82" s="17" t="s">
        <v>405</v>
      </c>
      <c r="F82" s="17" t="s">
        <v>406</v>
      </c>
      <c r="G82" s="17" t="s">
        <v>407</v>
      </c>
      <c r="H82" s="17" t="s">
        <v>408</v>
      </c>
      <c r="K82" s="100"/>
      <c r="L82" s="45"/>
      <c r="M82" s="45"/>
      <c r="N82" s="45"/>
    </row>
    <row r="83">
      <c r="B83" s="17" t="s">
        <v>409</v>
      </c>
      <c r="C83" s="17">
        <v>7.0</v>
      </c>
      <c r="D83" s="17">
        <v>40.0</v>
      </c>
      <c r="E83" s="17">
        <f t="shared" ref="E83:E86" si="10">(MAX($D$83:$D$86)*2-D83)/10</f>
        <v>5</v>
      </c>
      <c r="F83" s="115">
        <f t="shared" ref="F83:F86" si="11">SUM(C83,E83)</f>
        <v>12</v>
      </c>
      <c r="G83" s="116">
        <f t="shared" ref="G83:G86" si="12">F83/$F$87</f>
        <v>0.223880597</v>
      </c>
      <c r="H83" s="6">
        <f t="shared" ref="H83:H86" si="13">ROUND(G83*$B$91,0)</f>
        <v>784</v>
      </c>
      <c r="K83" s="45"/>
      <c r="L83" s="45"/>
      <c r="M83" s="45"/>
      <c r="N83" s="37"/>
      <c r="O83" s="105"/>
    </row>
    <row r="84">
      <c r="B84" s="17" t="s">
        <v>410</v>
      </c>
      <c r="C84" s="17">
        <v>8.3</v>
      </c>
      <c r="D84" s="17">
        <v>45.0</v>
      </c>
      <c r="E84" s="17">
        <f t="shared" si="10"/>
        <v>4.5</v>
      </c>
      <c r="F84" s="115">
        <f t="shared" si="11"/>
        <v>12.8</v>
      </c>
      <c r="G84" s="116">
        <f t="shared" si="12"/>
        <v>0.2388059701</v>
      </c>
      <c r="H84" s="6">
        <f t="shared" si="13"/>
        <v>836</v>
      </c>
      <c r="K84" s="45"/>
      <c r="L84" s="117"/>
      <c r="M84" s="45"/>
      <c r="N84" s="37"/>
      <c r="O84" s="105"/>
    </row>
    <row r="85">
      <c r="B85" s="17" t="s">
        <v>411</v>
      </c>
      <c r="C85" s="118">
        <v>10.2</v>
      </c>
      <c r="D85" s="17">
        <v>43.0</v>
      </c>
      <c r="E85" s="17">
        <f t="shared" si="10"/>
        <v>4.7</v>
      </c>
      <c r="F85" s="115">
        <f t="shared" si="11"/>
        <v>14.9</v>
      </c>
      <c r="G85" s="116">
        <f t="shared" si="12"/>
        <v>0.2779850746</v>
      </c>
      <c r="H85" s="6">
        <f t="shared" si="13"/>
        <v>973</v>
      </c>
      <c r="K85" s="45"/>
      <c r="L85" s="117"/>
      <c r="M85" s="45"/>
      <c r="N85" s="37"/>
      <c r="O85" s="105"/>
    </row>
    <row r="86">
      <c r="B86" s="17" t="s">
        <v>412</v>
      </c>
      <c r="C86" s="17">
        <v>9.0</v>
      </c>
      <c r="D86" s="17">
        <v>41.0</v>
      </c>
      <c r="E86" s="17">
        <f t="shared" si="10"/>
        <v>4.9</v>
      </c>
      <c r="F86" s="115">
        <f t="shared" si="11"/>
        <v>13.9</v>
      </c>
      <c r="G86" s="116">
        <f t="shared" si="12"/>
        <v>0.2593283582</v>
      </c>
      <c r="H86" s="6">
        <f t="shared" si="13"/>
        <v>908</v>
      </c>
      <c r="K86" s="45"/>
      <c r="L86" s="45"/>
      <c r="M86" s="45"/>
      <c r="N86" s="37"/>
      <c r="O86" s="105"/>
    </row>
    <row r="87">
      <c r="B87" s="59"/>
      <c r="E87" s="23" t="s">
        <v>413</v>
      </c>
      <c r="F87" s="119">
        <f>SUM(F83:F86)</f>
        <v>53.6</v>
      </c>
      <c r="H87" s="38">
        <f>SUM(H83:H86)</f>
        <v>3501</v>
      </c>
    </row>
    <row r="88">
      <c r="B88" s="59"/>
      <c r="F88" s="120"/>
    </row>
    <row r="89">
      <c r="B89" s="7">
        <v>7000.0</v>
      </c>
      <c r="C89" s="23" t="s">
        <v>417</v>
      </c>
      <c r="F89" s="120"/>
      <c r="K89" s="23"/>
    </row>
    <row r="90">
      <c r="B90" s="121">
        <v>0.5</v>
      </c>
      <c r="F90" s="120"/>
      <c r="K90" s="39"/>
    </row>
    <row r="91">
      <c r="B91" s="59">
        <f>B89*B90</f>
        <v>3500</v>
      </c>
      <c r="C91" s="23" t="s">
        <v>418</v>
      </c>
      <c r="F91" s="120"/>
    </row>
    <row r="92">
      <c r="B92" s="122"/>
      <c r="C92" s="123"/>
      <c r="D92" s="123"/>
      <c r="E92" s="123"/>
      <c r="F92" s="124"/>
    </row>
    <row r="96">
      <c r="B96" s="30" t="s">
        <v>419</v>
      </c>
      <c r="C96" s="17" t="s">
        <v>403</v>
      </c>
      <c r="D96" s="17" t="s">
        <v>404</v>
      </c>
      <c r="E96" s="17" t="s">
        <v>405</v>
      </c>
      <c r="F96" s="17" t="s">
        <v>406</v>
      </c>
      <c r="G96" s="17" t="s">
        <v>407</v>
      </c>
      <c r="H96" s="17" t="s">
        <v>408</v>
      </c>
    </row>
    <row r="97">
      <c r="B97" s="17" t="s">
        <v>409</v>
      </c>
      <c r="C97" s="17">
        <v>7.0</v>
      </c>
      <c r="D97" s="17">
        <v>120.0</v>
      </c>
      <c r="E97" s="35">
        <f t="shared" ref="E97:E100" si="14">(MAX($D$97:$D$100)*2-D97)/10</f>
        <v>28</v>
      </c>
      <c r="F97" s="115">
        <f t="shared" ref="F97:F100" si="15">SUM(C97,E97)</f>
        <v>35</v>
      </c>
      <c r="G97" s="116">
        <f t="shared" ref="G97:G100" si="16">F97/$F$101</f>
        <v>0.2723735409</v>
      </c>
      <c r="H97" s="6">
        <f t="shared" ref="H97:H100" si="17">ROUND(G97*$B$91,0)</f>
        <v>953</v>
      </c>
    </row>
    <row r="98">
      <c r="B98" s="17" t="s">
        <v>410</v>
      </c>
      <c r="C98" s="17">
        <v>8.3</v>
      </c>
      <c r="D98" s="17">
        <v>150.0</v>
      </c>
      <c r="E98" s="35">
        <f t="shared" si="14"/>
        <v>25</v>
      </c>
      <c r="F98" s="115">
        <f t="shared" si="15"/>
        <v>33.3</v>
      </c>
      <c r="G98" s="116">
        <f t="shared" si="16"/>
        <v>0.2591439689</v>
      </c>
      <c r="H98" s="6">
        <f t="shared" si="17"/>
        <v>907</v>
      </c>
    </row>
    <row r="99">
      <c r="B99" s="17" t="s">
        <v>411</v>
      </c>
      <c r="C99" s="17">
        <v>10.2</v>
      </c>
      <c r="D99" s="17">
        <v>190.0</v>
      </c>
      <c r="E99" s="35">
        <f t="shared" si="14"/>
        <v>21</v>
      </c>
      <c r="F99" s="115">
        <f t="shared" si="15"/>
        <v>31.2</v>
      </c>
      <c r="G99" s="116">
        <f t="shared" si="16"/>
        <v>0.2428015564</v>
      </c>
      <c r="H99" s="6">
        <f t="shared" si="17"/>
        <v>850</v>
      </c>
    </row>
    <row r="100">
      <c r="B100" s="17" t="s">
        <v>412</v>
      </c>
      <c r="C100" s="17">
        <v>9.0</v>
      </c>
      <c r="D100" s="17">
        <v>200.0</v>
      </c>
      <c r="E100" s="35">
        <f t="shared" si="14"/>
        <v>20</v>
      </c>
      <c r="F100" s="115">
        <f t="shared" si="15"/>
        <v>29</v>
      </c>
      <c r="G100" s="116">
        <f t="shared" si="16"/>
        <v>0.2256809339</v>
      </c>
      <c r="H100" s="6">
        <f t="shared" si="17"/>
        <v>790</v>
      </c>
    </row>
    <row r="101">
      <c r="B101" s="59"/>
      <c r="E101" s="23" t="s">
        <v>413</v>
      </c>
      <c r="F101" s="119">
        <f>SUM(F97:F100)</f>
        <v>128.5</v>
      </c>
    </row>
    <row r="102">
      <c r="B102" s="59"/>
      <c r="F102" s="120"/>
    </row>
    <row r="103">
      <c r="B103" s="7">
        <v>5000.0</v>
      </c>
      <c r="C103" s="23" t="s">
        <v>417</v>
      </c>
      <c r="F103" s="120"/>
    </row>
    <row r="104">
      <c r="B104" s="121">
        <v>0.7</v>
      </c>
      <c r="F104" s="120"/>
    </row>
    <row r="105">
      <c r="B105" s="59">
        <f>B103*B104</f>
        <v>3500</v>
      </c>
      <c r="C105" s="23" t="s">
        <v>418</v>
      </c>
      <c r="F105" s="120"/>
    </row>
    <row r="106">
      <c r="B106" s="122"/>
      <c r="C106" s="123"/>
      <c r="D106" s="123"/>
      <c r="E106" s="123"/>
      <c r="F106" s="124"/>
    </row>
    <row r="110">
      <c r="B110" s="30" t="s">
        <v>420</v>
      </c>
      <c r="C110" s="17" t="s">
        <v>403</v>
      </c>
      <c r="D110" s="17" t="s">
        <v>404</v>
      </c>
      <c r="E110" s="17" t="s">
        <v>405</v>
      </c>
      <c r="F110" s="17" t="s">
        <v>406</v>
      </c>
      <c r="G110" s="17" t="s">
        <v>407</v>
      </c>
      <c r="H110" s="17" t="s">
        <v>408</v>
      </c>
    </row>
    <row r="111">
      <c r="B111" s="17" t="s">
        <v>409</v>
      </c>
      <c r="C111" s="17">
        <v>7.0</v>
      </c>
      <c r="D111" s="17">
        <v>250.0</v>
      </c>
      <c r="E111" s="35">
        <f t="shared" ref="E111:E114" si="18">(MAX($D$111:$D$114)*2-D111)/10</f>
        <v>55</v>
      </c>
      <c r="F111" s="115">
        <f t="shared" ref="F111:F114" si="19">SUM(C111,E111)</f>
        <v>62</v>
      </c>
      <c r="G111" s="116">
        <f t="shared" ref="G111:G114" si="20">F111/$F$115</f>
        <v>0.2610526316</v>
      </c>
      <c r="H111" s="6">
        <f t="shared" ref="H111:H114" si="21">ROUND(G111*$B$119,0)</f>
        <v>209</v>
      </c>
    </row>
    <row r="112">
      <c r="B112" s="17" t="s">
        <v>410</v>
      </c>
      <c r="C112" s="17">
        <v>8.3</v>
      </c>
      <c r="D112" s="17">
        <v>300.0</v>
      </c>
      <c r="E112" s="35">
        <f t="shared" si="18"/>
        <v>50</v>
      </c>
      <c r="F112" s="115">
        <f t="shared" si="19"/>
        <v>58.3</v>
      </c>
      <c r="G112" s="116">
        <f t="shared" si="20"/>
        <v>0.2454736842</v>
      </c>
      <c r="H112" s="6">
        <f t="shared" si="21"/>
        <v>196</v>
      </c>
    </row>
    <row r="113">
      <c r="B113" s="17" t="s">
        <v>411</v>
      </c>
      <c r="C113" s="17">
        <v>10.2</v>
      </c>
      <c r="D113" s="17">
        <v>220.0</v>
      </c>
      <c r="E113" s="35">
        <f t="shared" si="18"/>
        <v>58</v>
      </c>
      <c r="F113" s="115">
        <f t="shared" si="19"/>
        <v>68.2</v>
      </c>
      <c r="G113" s="116">
        <f t="shared" si="20"/>
        <v>0.2871578947</v>
      </c>
      <c r="H113" s="6">
        <f t="shared" si="21"/>
        <v>230</v>
      </c>
    </row>
    <row r="114">
      <c r="B114" s="17" t="s">
        <v>412</v>
      </c>
      <c r="C114" s="17">
        <v>9.0</v>
      </c>
      <c r="D114" s="17">
        <v>400.0</v>
      </c>
      <c r="E114" s="35">
        <f t="shared" si="18"/>
        <v>40</v>
      </c>
      <c r="F114" s="115">
        <f t="shared" si="19"/>
        <v>49</v>
      </c>
      <c r="G114" s="116">
        <f t="shared" si="20"/>
        <v>0.2063157895</v>
      </c>
      <c r="H114" s="6">
        <f t="shared" si="21"/>
        <v>165</v>
      </c>
    </row>
    <row r="115">
      <c r="B115" s="59"/>
      <c r="E115" s="23" t="s">
        <v>413</v>
      </c>
      <c r="F115" s="119">
        <f>SUM(F111:F114)</f>
        <v>237.5</v>
      </c>
    </row>
    <row r="116">
      <c r="B116" s="59"/>
      <c r="F116" s="120"/>
    </row>
    <row r="117">
      <c r="B117" s="7">
        <v>2000.0</v>
      </c>
      <c r="C117" s="23" t="s">
        <v>417</v>
      </c>
      <c r="F117" s="120"/>
    </row>
    <row r="118">
      <c r="B118" s="121">
        <v>0.4</v>
      </c>
      <c r="F118" s="120"/>
    </row>
    <row r="119">
      <c r="B119" s="59">
        <f>B117*B118</f>
        <v>800</v>
      </c>
      <c r="C119" s="23" t="s">
        <v>418</v>
      </c>
      <c r="F119" s="120"/>
    </row>
    <row r="120">
      <c r="B120" s="122"/>
      <c r="C120" s="123"/>
      <c r="D120" s="123"/>
      <c r="E120" s="123"/>
      <c r="F120" s="124"/>
    </row>
    <row r="123">
      <c r="A123" s="112" t="s">
        <v>396</v>
      </c>
      <c r="C123" s="113">
        <f>F51*10</f>
        <v>700</v>
      </c>
      <c r="D123" s="113">
        <f>M10*10</f>
        <v>3.75</v>
      </c>
      <c r="E123" s="113"/>
      <c r="F123" s="37">
        <f>B73/10000*10</f>
        <v>3</v>
      </c>
      <c r="G123" s="114">
        <f>SUM(C123:F123)</f>
        <v>706.75</v>
      </c>
      <c r="H123" s="26" t="s">
        <v>397</v>
      </c>
    </row>
    <row r="124">
      <c r="C124" s="100" t="s">
        <v>398</v>
      </c>
      <c r="D124" s="100" t="s">
        <v>399</v>
      </c>
      <c r="E124" s="100" t="s">
        <v>400</v>
      </c>
      <c r="F124" s="100" t="s">
        <v>401</v>
      </c>
      <c r="L124" s="142" t="s">
        <v>434</v>
      </c>
      <c r="M124" s="143">
        <v>0.7</v>
      </c>
    </row>
    <row r="125">
      <c r="L125" s="142" t="s">
        <v>438</v>
      </c>
      <c r="M125" s="143">
        <v>0.2</v>
      </c>
    </row>
    <row r="126">
      <c r="L126" s="142" t="s">
        <v>441</v>
      </c>
      <c r="M126" s="143">
        <v>0.1</v>
      </c>
    </row>
    <row r="127">
      <c r="B127" s="144" t="s">
        <v>402</v>
      </c>
      <c r="C127" s="144" t="s">
        <v>404</v>
      </c>
      <c r="D127" s="144" t="s">
        <v>442</v>
      </c>
      <c r="E127" s="144" t="s">
        <v>443</v>
      </c>
      <c r="F127" s="144" t="s">
        <v>444</v>
      </c>
      <c r="G127" s="144" t="s">
        <v>445</v>
      </c>
      <c r="H127" s="144" t="s">
        <v>406</v>
      </c>
      <c r="I127" s="144" t="s">
        <v>407</v>
      </c>
      <c r="J127" s="144" t="s">
        <v>408</v>
      </c>
      <c r="K127" s="145"/>
    </row>
    <row r="128">
      <c r="B128" s="146" t="s">
        <v>409</v>
      </c>
      <c r="C128" s="147">
        <v>40.0</v>
      </c>
      <c r="D128" s="148">
        <v>7.0</v>
      </c>
      <c r="E128" s="148">
        <f t="shared" ref="E128:E131" si="22">ROUND((D128/$D$132)*100,0)</f>
        <v>20</v>
      </c>
      <c r="F128" s="150">
        <f t="shared" ref="F128:F131" si="23">100*(MAX($C$128:$C$131)-C128)/(MAX($C$128:$C$131)-MIN($C$128:$C$131))</f>
        <v>100</v>
      </c>
      <c r="G128" s="150">
        <f t="shared" ref="G128:G131" si="24">D128*10</f>
        <v>70</v>
      </c>
      <c r="H128" s="151">
        <f t="shared" ref="H128:H131" si="25">$M$124*F128+$M$125*G128+$M$126*E128</f>
        <v>86</v>
      </c>
      <c r="I128" s="153">
        <f t="shared" ref="I128:I131" si="26">H128/$H$132</f>
        <v>0.3690987124</v>
      </c>
      <c r="J128" s="151">
        <f t="shared" ref="J128:J131" si="27">ROUND(I128*$B$136,0)</f>
        <v>1292</v>
      </c>
      <c r="K128" s="145"/>
    </row>
    <row r="129">
      <c r="B129" s="146" t="s">
        <v>410</v>
      </c>
      <c r="C129" s="147">
        <v>45.0</v>
      </c>
      <c r="D129" s="148">
        <v>8.3</v>
      </c>
      <c r="E129" s="148">
        <f t="shared" si="22"/>
        <v>24</v>
      </c>
      <c r="F129" s="150">
        <f t="shared" si="23"/>
        <v>0</v>
      </c>
      <c r="G129" s="150">
        <f t="shared" si="24"/>
        <v>83</v>
      </c>
      <c r="H129" s="151">
        <f t="shared" si="25"/>
        <v>19</v>
      </c>
      <c r="I129" s="153">
        <f t="shared" si="26"/>
        <v>0.08154506438</v>
      </c>
      <c r="J129" s="151">
        <f t="shared" si="27"/>
        <v>285</v>
      </c>
      <c r="K129" s="145"/>
    </row>
    <row r="130">
      <c r="B130" s="146" t="s">
        <v>411</v>
      </c>
      <c r="C130" s="147">
        <v>43.0</v>
      </c>
      <c r="D130" s="148">
        <v>10.2</v>
      </c>
      <c r="E130" s="148">
        <f t="shared" si="22"/>
        <v>30</v>
      </c>
      <c r="F130" s="150">
        <f t="shared" si="23"/>
        <v>40</v>
      </c>
      <c r="G130" s="150">
        <f t="shared" si="24"/>
        <v>102</v>
      </c>
      <c r="H130" s="151">
        <f t="shared" si="25"/>
        <v>51.4</v>
      </c>
      <c r="I130" s="153">
        <f t="shared" si="26"/>
        <v>0.2206008584</v>
      </c>
      <c r="J130" s="151">
        <f t="shared" si="27"/>
        <v>772</v>
      </c>
      <c r="K130" s="145"/>
    </row>
    <row r="131">
      <c r="B131" s="146" t="s">
        <v>412</v>
      </c>
      <c r="C131" s="147">
        <v>41.0</v>
      </c>
      <c r="D131" s="148">
        <v>9.0</v>
      </c>
      <c r="E131" s="148">
        <f t="shared" si="22"/>
        <v>26</v>
      </c>
      <c r="F131" s="150">
        <f t="shared" si="23"/>
        <v>80</v>
      </c>
      <c r="G131" s="150">
        <f t="shared" si="24"/>
        <v>90</v>
      </c>
      <c r="H131" s="151">
        <f t="shared" si="25"/>
        <v>76.6</v>
      </c>
      <c r="I131" s="153">
        <f t="shared" si="26"/>
        <v>0.3287553648</v>
      </c>
      <c r="J131" s="151">
        <f t="shared" si="27"/>
        <v>1151</v>
      </c>
      <c r="K131" s="145"/>
    </row>
    <row r="132">
      <c r="B132" s="157"/>
      <c r="C132" s="144" t="s">
        <v>460</v>
      </c>
      <c r="D132" s="157">
        <f>SUM(D128:D131)</f>
        <v>34.5</v>
      </c>
      <c r="E132" s="157"/>
      <c r="F132" s="157"/>
      <c r="G132" s="158" t="s">
        <v>462</v>
      </c>
      <c r="H132" s="151">
        <f>SUM(H128:H131)</f>
        <v>233</v>
      </c>
      <c r="I132" s="157"/>
      <c r="J132" s="157">
        <f>SUM(J128:J131)</f>
        <v>3500</v>
      </c>
      <c r="K132" s="145"/>
    </row>
    <row r="133">
      <c r="B133" s="145"/>
      <c r="C133" s="145"/>
      <c r="D133" s="145"/>
      <c r="E133" s="145"/>
      <c r="F133" s="145"/>
      <c r="G133" s="145"/>
      <c r="H133" s="145"/>
      <c r="I133" s="145"/>
      <c r="J133" s="145"/>
      <c r="K133" s="145"/>
    </row>
    <row r="134">
      <c r="B134" s="144">
        <v>7000.0</v>
      </c>
      <c r="C134" s="144" t="s">
        <v>463</v>
      </c>
      <c r="D134" s="145"/>
      <c r="E134" s="145"/>
      <c r="F134" s="145"/>
      <c r="G134" s="145"/>
      <c r="H134" s="145"/>
      <c r="I134" s="145"/>
      <c r="J134" s="145"/>
      <c r="K134" s="145"/>
    </row>
    <row r="135">
      <c r="B135" s="160">
        <v>0.5</v>
      </c>
      <c r="C135" s="157"/>
      <c r="D135" s="145"/>
      <c r="E135" s="145"/>
      <c r="F135" s="145"/>
      <c r="G135" s="145"/>
      <c r="H135" s="145"/>
      <c r="I135" s="145"/>
      <c r="J135" s="145"/>
      <c r="K135" s="145"/>
    </row>
    <row r="136">
      <c r="B136" s="144">
        <v>3500.0</v>
      </c>
      <c r="C136" s="144" t="s">
        <v>464</v>
      </c>
      <c r="D136" s="145"/>
      <c r="E136" s="145"/>
      <c r="F136" s="145"/>
      <c r="G136" s="145"/>
      <c r="H136" s="145"/>
      <c r="I136" s="145"/>
      <c r="J136" s="145"/>
      <c r="K136" s="145"/>
    </row>
    <row r="137">
      <c r="B137" s="145"/>
      <c r="C137" s="145"/>
      <c r="D137" s="145"/>
      <c r="E137" s="145"/>
      <c r="F137" s="145"/>
      <c r="G137" s="145"/>
      <c r="H137" s="145"/>
      <c r="I137" s="145"/>
      <c r="J137" s="145"/>
      <c r="K137" s="145"/>
      <c r="L137" s="142" t="s">
        <v>434</v>
      </c>
      <c r="M137" s="143">
        <v>0.4</v>
      </c>
    </row>
    <row r="138">
      <c r="B138" s="145"/>
      <c r="C138" s="145"/>
      <c r="D138" s="145"/>
      <c r="E138" s="145"/>
      <c r="F138" s="145"/>
      <c r="G138" s="145"/>
      <c r="H138" s="145"/>
      <c r="I138" s="145"/>
      <c r="J138" s="145"/>
      <c r="K138" s="145"/>
      <c r="L138" s="142" t="s">
        <v>438</v>
      </c>
      <c r="M138" s="143">
        <v>0.35</v>
      </c>
    </row>
    <row r="139">
      <c r="B139" s="145"/>
      <c r="C139" s="145"/>
      <c r="D139" s="145"/>
      <c r="E139" s="145"/>
      <c r="F139" s="145"/>
      <c r="G139" s="145"/>
      <c r="H139" s="145"/>
      <c r="I139" s="145"/>
      <c r="J139" s="145"/>
      <c r="K139" s="145"/>
      <c r="L139" s="142" t="s">
        <v>441</v>
      </c>
      <c r="M139" s="143">
        <v>0.25</v>
      </c>
    </row>
    <row r="140">
      <c r="B140" s="144" t="s">
        <v>466</v>
      </c>
      <c r="C140" s="144" t="s">
        <v>404</v>
      </c>
      <c r="D140" s="144" t="s">
        <v>442</v>
      </c>
      <c r="E140" s="144" t="s">
        <v>443</v>
      </c>
      <c r="F140" s="144" t="s">
        <v>444</v>
      </c>
      <c r="G140" s="144" t="s">
        <v>445</v>
      </c>
      <c r="H140" s="144" t="s">
        <v>406</v>
      </c>
      <c r="I140" s="144" t="s">
        <v>407</v>
      </c>
      <c r="J140" s="144" t="s">
        <v>408</v>
      </c>
      <c r="K140" s="145"/>
      <c r="L140" s="142" t="s">
        <v>467</v>
      </c>
      <c r="M140" s="142">
        <v>100.0</v>
      </c>
    </row>
    <row r="141">
      <c r="B141" s="146" t="s">
        <v>409</v>
      </c>
      <c r="C141" s="147">
        <v>120.0</v>
      </c>
      <c r="D141" s="148">
        <v>7.0</v>
      </c>
      <c r="E141" s="148">
        <f t="shared" ref="E141:E144" si="28">ROUND((D141/$D$132)*100,0)</f>
        <v>20</v>
      </c>
      <c r="F141" s="150">
        <f t="shared" ref="F141:F144" si="29">100-(ABS(C141-$M$140)/$M$140*100)</f>
        <v>80</v>
      </c>
      <c r="G141" s="150">
        <f t="shared" ref="G141:G144" si="30">D141*10</f>
        <v>70</v>
      </c>
      <c r="H141" s="151">
        <f t="shared" ref="H141:H144" si="31">$M$137*F141+$M$138*G141+$M$139*E141</f>
        <v>61.5</v>
      </c>
      <c r="I141" s="153">
        <f t="shared" ref="I141:I144" si="32">H141/$H$145</f>
        <v>0.3048327138</v>
      </c>
      <c r="J141" s="151">
        <f t="shared" ref="J141:J144" si="33">ROUND(I141*$B$149,0)</f>
        <v>1067</v>
      </c>
      <c r="K141" s="145"/>
    </row>
    <row r="142">
      <c r="B142" s="146" t="s">
        <v>410</v>
      </c>
      <c r="C142" s="147">
        <v>150.0</v>
      </c>
      <c r="D142" s="148">
        <v>8.3</v>
      </c>
      <c r="E142" s="148">
        <f t="shared" si="28"/>
        <v>24</v>
      </c>
      <c r="F142" s="150">
        <f t="shared" si="29"/>
        <v>50</v>
      </c>
      <c r="G142" s="150">
        <f t="shared" si="30"/>
        <v>83</v>
      </c>
      <c r="H142" s="151">
        <f t="shared" si="31"/>
        <v>55.05</v>
      </c>
      <c r="I142" s="153">
        <f t="shared" si="32"/>
        <v>0.2728624535</v>
      </c>
      <c r="J142" s="151">
        <f t="shared" si="33"/>
        <v>955</v>
      </c>
      <c r="K142" s="145"/>
    </row>
    <row r="143">
      <c r="B143" s="146" t="s">
        <v>411</v>
      </c>
      <c r="C143" s="147">
        <v>190.0</v>
      </c>
      <c r="D143" s="148">
        <v>10.2</v>
      </c>
      <c r="E143" s="148">
        <f t="shared" si="28"/>
        <v>30</v>
      </c>
      <c r="F143" s="150">
        <f t="shared" si="29"/>
        <v>10</v>
      </c>
      <c r="G143" s="150">
        <f t="shared" si="30"/>
        <v>102</v>
      </c>
      <c r="H143" s="151">
        <f t="shared" si="31"/>
        <v>47.2</v>
      </c>
      <c r="I143" s="153">
        <f t="shared" si="32"/>
        <v>0.233952912</v>
      </c>
      <c r="J143" s="151">
        <f t="shared" si="33"/>
        <v>819</v>
      </c>
      <c r="K143" s="145"/>
    </row>
    <row r="144">
      <c r="B144" s="146" t="s">
        <v>412</v>
      </c>
      <c r="C144" s="147">
        <v>200.0</v>
      </c>
      <c r="D144" s="148">
        <v>9.0</v>
      </c>
      <c r="E144" s="148">
        <f t="shared" si="28"/>
        <v>26</v>
      </c>
      <c r="F144" s="150">
        <f t="shared" si="29"/>
        <v>0</v>
      </c>
      <c r="G144" s="150">
        <f t="shared" si="30"/>
        <v>90</v>
      </c>
      <c r="H144" s="151">
        <f t="shared" si="31"/>
        <v>38</v>
      </c>
      <c r="I144" s="153">
        <f t="shared" si="32"/>
        <v>0.1883519207</v>
      </c>
      <c r="J144" s="151">
        <f t="shared" si="33"/>
        <v>659</v>
      </c>
      <c r="K144" s="145"/>
    </row>
    <row r="145">
      <c r="B145" s="157"/>
      <c r="C145" s="144" t="s">
        <v>460</v>
      </c>
      <c r="D145" s="157">
        <f>SUM(D141:D144)</f>
        <v>34.5</v>
      </c>
      <c r="E145" s="157"/>
      <c r="F145" s="157"/>
      <c r="G145" s="161" t="s">
        <v>462</v>
      </c>
      <c r="H145" s="162">
        <f>SUM(H141:H144)</f>
        <v>201.75</v>
      </c>
      <c r="I145" s="157"/>
      <c r="J145" s="157">
        <f>SUM(J141:J144)</f>
        <v>3500</v>
      </c>
      <c r="K145" s="145"/>
    </row>
    <row r="146">
      <c r="B146" s="145"/>
      <c r="C146" s="145"/>
      <c r="D146" s="145"/>
      <c r="E146" s="145"/>
      <c r="F146" s="145"/>
      <c r="G146" s="145"/>
      <c r="H146" s="145"/>
      <c r="I146" s="145"/>
      <c r="J146" s="145"/>
      <c r="K146" s="145"/>
    </row>
    <row r="147">
      <c r="B147" s="144">
        <v>5000.0</v>
      </c>
      <c r="C147" s="144" t="s">
        <v>463</v>
      </c>
      <c r="D147" s="145"/>
      <c r="E147" s="145"/>
      <c r="F147" s="145"/>
      <c r="G147" s="145"/>
      <c r="H147" s="145"/>
      <c r="I147" s="145"/>
      <c r="J147" s="145"/>
      <c r="K147" s="145"/>
    </row>
    <row r="148">
      <c r="B148" s="160">
        <v>0.7</v>
      </c>
      <c r="C148" s="157"/>
      <c r="D148" s="145"/>
      <c r="E148" s="145"/>
      <c r="F148" s="145"/>
      <c r="G148" s="145"/>
      <c r="H148" s="145"/>
      <c r="I148" s="145"/>
      <c r="J148" s="145"/>
    </row>
    <row r="149">
      <c r="B149" s="144">
        <v>3500.0</v>
      </c>
      <c r="C149" s="144" t="s">
        <v>464</v>
      </c>
      <c r="D149" s="145"/>
      <c r="E149" s="145"/>
      <c r="F149" s="145"/>
      <c r="G149" s="145"/>
      <c r="H149" s="145"/>
      <c r="I149" s="145"/>
      <c r="J149" s="145"/>
    </row>
    <row r="150">
      <c r="L150" s="142" t="s">
        <v>434</v>
      </c>
      <c r="M150" s="143">
        <v>0.1</v>
      </c>
    </row>
    <row r="151">
      <c r="L151" s="142" t="s">
        <v>438</v>
      </c>
      <c r="M151" s="143">
        <v>0.5</v>
      </c>
    </row>
    <row r="152">
      <c r="L152" s="142" t="s">
        <v>441</v>
      </c>
      <c r="M152" s="143">
        <v>0.4</v>
      </c>
    </row>
    <row r="153">
      <c r="B153" s="144" t="s">
        <v>483</v>
      </c>
      <c r="C153" s="144" t="s">
        <v>404</v>
      </c>
      <c r="D153" s="144" t="s">
        <v>442</v>
      </c>
      <c r="E153" s="144" t="s">
        <v>443</v>
      </c>
      <c r="F153" s="144" t="s">
        <v>444</v>
      </c>
      <c r="G153" s="144" t="s">
        <v>445</v>
      </c>
      <c r="H153" s="144" t="s">
        <v>406</v>
      </c>
      <c r="I153" s="144" t="s">
        <v>407</v>
      </c>
      <c r="J153" s="144" t="s">
        <v>408</v>
      </c>
      <c r="L153" s="142" t="s">
        <v>467</v>
      </c>
      <c r="M153" s="142">
        <v>250.0</v>
      </c>
    </row>
    <row r="154">
      <c r="B154" s="146" t="s">
        <v>409</v>
      </c>
      <c r="C154" s="147">
        <v>250.0</v>
      </c>
      <c r="D154" s="148">
        <v>7.0</v>
      </c>
      <c r="E154" s="148">
        <f t="shared" ref="E154:E157" si="34">ROUND((D154/$D$132)*100,0)</f>
        <v>20</v>
      </c>
      <c r="F154" s="150">
        <f t="shared" ref="F154:F157" si="35">100-(ABS(C154-$M$153)/$M$153*100)</f>
        <v>100</v>
      </c>
      <c r="G154" s="150">
        <f t="shared" ref="G154:G157" si="36">D154*10</f>
        <v>70</v>
      </c>
      <c r="H154" s="151">
        <f t="shared" ref="H154:H157" si="37">$M$150*F154+$M$151*G154+$M$152*E154</f>
        <v>53</v>
      </c>
      <c r="I154" s="153">
        <f t="shared" ref="I154:I157" si="38">H154/$H$158</f>
        <v>0.21783806</v>
      </c>
      <c r="J154" s="151">
        <f t="shared" ref="J154:J157" si="39">ROUND(I154*$B$162,0)</f>
        <v>174</v>
      </c>
    </row>
    <row r="155">
      <c r="B155" s="146" t="s">
        <v>410</v>
      </c>
      <c r="C155" s="147">
        <v>300.0</v>
      </c>
      <c r="D155" s="148">
        <v>8.3</v>
      </c>
      <c r="E155" s="148">
        <f t="shared" si="34"/>
        <v>24</v>
      </c>
      <c r="F155" s="150">
        <f t="shared" si="35"/>
        <v>80</v>
      </c>
      <c r="G155" s="150">
        <f t="shared" si="36"/>
        <v>83</v>
      </c>
      <c r="H155" s="151">
        <f t="shared" si="37"/>
        <v>59.1</v>
      </c>
      <c r="I155" s="153">
        <f t="shared" si="38"/>
        <v>0.2429099877</v>
      </c>
      <c r="J155" s="151">
        <f t="shared" si="39"/>
        <v>194</v>
      </c>
    </row>
    <row r="156">
      <c r="B156" s="146" t="s">
        <v>411</v>
      </c>
      <c r="C156" s="147">
        <v>220.0</v>
      </c>
      <c r="D156" s="148">
        <v>10.2</v>
      </c>
      <c r="E156" s="148">
        <f t="shared" si="34"/>
        <v>30</v>
      </c>
      <c r="F156" s="150">
        <f t="shared" si="35"/>
        <v>88</v>
      </c>
      <c r="G156" s="150">
        <f t="shared" si="36"/>
        <v>102</v>
      </c>
      <c r="H156" s="151">
        <f t="shared" si="37"/>
        <v>71.8</v>
      </c>
      <c r="I156" s="153">
        <f t="shared" si="38"/>
        <v>0.295108919</v>
      </c>
      <c r="J156" s="151">
        <f t="shared" si="39"/>
        <v>236</v>
      </c>
    </row>
    <row r="157">
      <c r="B157" s="146" t="s">
        <v>412</v>
      </c>
      <c r="C157" s="147">
        <v>400.0</v>
      </c>
      <c r="D157" s="148">
        <v>9.0</v>
      </c>
      <c r="E157" s="148">
        <f t="shared" si="34"/>
        <v>26</v>
      </c>
      <c r="F157" s="150">
        <f t="shared" si="35"/>
        <v>40</v>
      </c>
      <c r="G157" s="150">
        <f t="shared" si="36"/>
        <v>90</v>
      </c>
      <c r="H157" s="151">
        <f t="shared" si="37"/>
        <v>59.4</v>
      </c>
      <c r="I157" s="153">
        <f t="shared" si="38"/>
        <v>0.2441430333</v>
      </c>
      <c r="J157" s="151">
        <f t="shared" si="39"/>
        <v>195</v>
      </c>
    </row>
    <row r="158">
      <c r="B158" s="157"/>
      <c r="C158" s="144" t="s">
        <v>460</v>
      </c>
      <c r="D158" s="157">
        <f>SUM(D154:D157)</f>
        <v>34.5</v>
      </c>
      <c r="E158" s="157"/>
      <c r="F158" s="157"/>
      <c r="G158" s="161" t="s">
        <v>462</v>
      </c>
      <c r="H158" s="162">
        <f>SUM(H154:H157)</f>
        <v>243.3</v>
      </c>
      <c r="I158" s="157"/>
      <c r="J158" s="157">
        <f>SUM(J154:J157)</f>
        <v>799</v>
      </c>
    </row>
    <row r="159">
      <c r="B159" s="145"/>
      <c r="C159" s="145"/>
      <c r="D159" s="145"/>
      <c r="E159" s="145"/>
      <c r="F159" s="145"/>
      <c r="G159" s="145"/>
      <c r="H159" s="145"/>
      <c r="I159" s="145"/>
      <c r="J159" s="145"/>
    </row>
    <row r="160">
      <c r="B160" s="144">
        <v>2000.0</v>
      </c>
      <c r="C160" s="144" t="s">
        <v>463</v>
      </c>
      <c r="D160" s="145"/>
      <c r="E160" s="145"/>
      <c r="F160" s="145"/>
      <c r="G160" s="145"/>
      <c r="H160" s="145"/>
      <c r="I160" s="145"/>
      <c r="J160" s="145"/>
    </row>
    <row r="161">
      <c r="B161" s="160">
        <v>0.4</v>
      </c>
      <c r="C161" s="157"/>
      <c r="D161" s="145"/>
      <c r="E161" s="145"/>
      <c r="F161" s="145"/>
      <c r="G161" s="145"/>
      <c r="H161" s="145"/>
      <c r="I161" s="145"/>
      <c r="J161" s="145"/>
    </row>
    <row r="162">
      <c r="B162" s="144">
        <v>800.0</v>
      </c>
      <c r="C162" s="144" t="s">
        <v>464</v>
      </c>
      <c r="D162" s="145"/>
      <c r="E162" s="145"/>
      <c r="F162" s="145"/>
      <c r="G162" s="145"/>
      <c r="H162" s="145"/>
      <c r="I162" s="145"/>
      <c r="J162" s="145"/>
    </row>
  </sheetData>
  <mergeCells count="1">
    <mergeCell ref="A3:B3"/>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7.57"/>
    <col customWidth="1" min="2" max="2" width="20.71"/>
    <col customWidth="1" min="3" max="3" width="26.0"/>
    <col customWidth="1" min="4" max="4" width="18.43"/>
    <col customWidth="1" min="5" max="5" width="16.57"/>
    <col customWidth="1" min="6" max="6" width="18.86"/>
    <col customWidth="1" min="7" max="7" width="17.71"/>
    <col customWidth="1" min="8" max="8" width="16.86"/>
    <col customWidth="1" min="10" max="10" width="10.71"/>
    <col customWidth="1" min="11" max="11" width="20.14"/>
    <col customWidth="1" min="15" max="15" width="17.43"/>
    <col customWidth="1" min="20" max="20" width="18.86"/>
    <col customWidth="1" min="24" max="24" width="16.86"/>
    <col customWidth="1" min="28" max="28" width="17.57"/>
  </cols>
  <sheetData>
    <row r="1">
      <c r="A1" s="12" t="s">
        <v>43</v>
      </c>
      <c r="S1" s="59"/>
    </row>
    <row r="2">
      <c r="A2" s="20"/>
      <c r="B2" s="20"/>
      <c r="S2" s="59"/>
      <c r="T2" s="42" t="s">
        <v>309</v>
      </c>
    </row>
    <row r="3">
      <c r="A3" s="20" t="s">
        <v>50</v>
      </c>
      <c r="S3" s="59"/>
    </row>
    <row r="4">
      <c r="E4" s="24" t="s">
        <v>55</v>
      </c>
      <c r="F4" s="26" t="s">
        <v>61</v>
      </c>
      <c r="G4" s="28"/>
      <c r="H4" s="28"/>
      <c r="K4" s="29" t="s">
        <v>68</v>
      </c>
      <c r="L4" s="23" t="s">
        <v>70</v>
      </c>
      <c r="M4" s="23" t="s">
        <v>71</v>
      </c>
      <c r="N4" s="23" t="s">
        <v>75</v>
      </c>
      <c r="O4" s="32"/>
      <c r="S4" s="59"/>
      <c r="T4" s="65" t="s">
        <v>324</v>
      </c>
      <c r="U4" s="65" t="s">
        <v>327</v>
      </c>
      <c r="V4" s="65" t="s">
        <v>328</v>
      </c>
      <c r="X4" s="67" t="s">
        <v>331</v>
      </c>
      <c r="Y4" s="67" t="s">
        <v>327</v>
      </c>
      <c r="Z4" s="67" t="s">
        <v>328</v>
      </c>
      <c r="AB4" s="68" t="s">
        <v>338</v>
      </c>
      <c r="AC4" s="69" t="s">
        <v>327</v>
      </c>
      <c r="AD4" s="69" t="s">
        <v>328</v>
      </c>
    </row>
    <row r="5">
      <c r="C5" s="32" t="s">
        <v>85</v>
      </c>
      <c r="E5" s="33">
        <v>6.0</v>
      </c>
      <c r="F5" s="34">
        <v>1.0</v>
      </c>
      <c r="G5" s="28"/>
      <c r="H5" s="28"/>
      <c r="I5" s="37">
        <f t="shared" ref="I5:I7" si="1">E5*F5</f>
        <v>6</v>
      </c>
      <c r="K5" s="38">
        <f>MIN(I8,I14,I20)</f>
        <v>14</v>
      </c>
      <c r="L5" s="38">
        <f>K5*30</f>
        <v>420</v>
      </c>
      <c r="M5" s="39">
        <f>K7+(F7+F13+F19)/100+4%*F21</f>
        <v>0.91</v>
      </c>
      <c r="N5" s="40">
        <f>ROUND(L5*M5,0)</f>
        <v>382</v>
      </c>
      <c r="O5" s="23" t="s">
        <v>154</v>
      </c>
      <c r="S5" s="59"/>
      <c r="T5" s="65" t="s">
        <v>369</v>
      </c>
      <c r="U5" s="82">
        <v>1500.0</v>
      </c>
      <c r="V5" s="82">
        <v>1500.0</v>
      </c>
      <c r="X5" s="67" t="s">
        <v>369</v>
      </c>
      <c r="Y5" s="83">
        <v>1500.0</v>
      </c>
      <c r="Z5" s="83">
        <v>1500.0</v>
      </c>
      <c r="AB5" s="69" t="s">
        <v>369</v>
      </c>
      <c r="AC5" s="85">
        <v>1500.0</v>
      </c>
      <c r="AD5" s="85">
        <v>1500.0</v>
      </c>
    </row>
    <row r="6" ht="20.25" customHeight="1">
      <c r="C6" s="32" t="s">
        <v>156</v>
      </c>
      <c r="E6" s="33">
        <v>8.0</v>
      </c>
      <c r="F6" s="34">
        <v>1.0</v>
      </c>
      <c r="G6" s="28"/>
      <c r="H6" s="28"/>
      <c r="I6" s="37">
        <f t="shared" si="1"/>
        <v>8</v>
      </c>
      <c r="K6" s="23" t="s">
        <v>161</v>
      </c>
      <c r="S6" s="59"/>
      <c r="T6" s="65" t="s">
        <v>374</v>
      </c>
      <c r="U6" s="87">
        <f t="shared" ref="U6:V6" si="2">U5*0.09</f>
        <v>135</v>
      </c>
      <c r="V6" s="87">
        <f t="shared" si="2"/>
        <v>135</v>
      </c>
      <c r="X6" s="67" t="s">
        <v>374</v>
      </c>
      <c r="Y6" s="89">
        <f t="shared" ref="Y6:Z6" si="3">Y5*0.09</f>
        <v>135</v>
      </c>
      <c r="Z6" s="89">
        <f t="shared" si="3"/>
        <v>135</v>
      </c>
      <c r="AB6" s="69" t="s">
        <v>374</v>
      </c>
      <c r="AC6" s="91">
        <f t="shared" ref="AC6:AD6" si="4">AC5*0.09</f>
        <v>135</v>
      </c>
      <c r="AD6" s="91">
        <f t="shared" si="4"/>
        <v>135</v>
      </c>
    </row>
    <row r="7">
      <c r="C7" s="32" t="s">
        <v>164</v>
      </c>
      <c r="E7" s="33">
        <v>12.0</v>
      </c>
      <c r="F7" s="34">
        <v>0.0</v>
      </c>
      <c r="G7" s="28"/>
      <c r="H7" s="28"/>
      <c r="I7" s="37">
        <f t="shared" si="1"/>
        <v>0</v>
      </c>
      <c r="K7" s="41">
        <v>0.9</v>
      </c>
      <c r="S7" s="59"/>
      <c r="T7" s="65" t="s">
        <v>375</v>
      </c>
      <c r="U7" s="82">
        <f>U5</f>
        <v>1500</v>
      </c>
      <c r="V7" s="87">
        <f>V5*2</f>
        <v>3000</v>
      </c>
      <c r="X7" s="67" t="s">
        <v>375</v>
      </c>
      <c r="Y7" s="83">
        <f>Y5</f>
        <v>1500</v>
      </c>
      <c r="Z7" s="89">
        <f>Z5*2</f>
        <v>3000</v>
      </c>
      <c r="AB7" s="69" t="s">
        <v>375</v>
      </c>
      <c r="AC7" s="85">
        <f>AC5</f>
        <v>1500</v>
      </c>
      <c r="AD7" s="91">
        <f>AD5*2</f>
        <v>3000</v>
      </c>
    </row>
    <row r="8">
      <c r="A8" s="42" t="s">
        <v>168</v>
      </c>
      <c r="E8" s="37"/>
      <c r="F8" s="28"/>
      <c r="G8" s="43"/>
      <c r="H8" s="43"/>
      <c r="I8" s="44">
        <f>SUM(I5:I7)</f>
        <v>14</v>
      </c>
      <c r="S8" s="59"/>
      <c r="T8" s="65" t="s">
        <v>376</v>
      </c>
      <c r="U8" s="82">
        <v>750.0</v>
      </c>
      <c r="V8" s="82">
        <v>1500.0</v>
      </c>
      <c r="X8" s="67" t="s">
        <v>376</v>
      </c>
      <c r="Y8" s="83">
        <v>750.0</v>
      </c>
      <c r="Z8" s="83">
        <v>1500.0</v>
      </c>
      <c r="AB8" s="69" t="s">
        <v>376</v>
      </c>
      <c r="AC8" s="85">
        <v>750.0</v>
      </c>
      <c r="AD8" s="85">
        <v>1500.0</v>
      </c>
    </row>
    <row r="9">
      <c r="C9" s="23" t="s">
        <v>176</v>
      </c>
      <c r="E9" s="37"/>
      <c r="F9" s="30" t="s">
        <v>178</v>
      </c>
      <c r="G9" s="30" t="s">
        <v>179</v>
      </c>
      <c r="H9" s="30" t="s">
        <v>181</v>
      </c>
      <c r="I9" s="37"/>
      <c r="K9" s="23" t="s">
        <v>183</v>
      </c>
      <c r="L9" s="38">
        <f>SUM(F5:F7,F11:H13,F17:H19)</f>
        <v>7</v>
      </c>
      <c r="S9" s="59"/>
      <c r="T9" s="65" t="s">
        <v>377</v>
      </c>
      <c r="U9" s="87">
        <f>U5/2</f>
        <v>750</v>
      </c>
      <c r="V9" s="87">
        <f>V5</f>
        <v>1500</v>
      </c>
      <c r="X9" s="67" t="s">
        <v>377</v>
      </c>
      <c r="Y9" s="89">
        <f>Y5/2</f>
        <v>750</v>
      </c>
      <c r="Z9" s="89">
        <f>Z5</f>
        <v>1500</v>
      </c>
      <c r="AB9" s="69" t="s">
        <v>377</v>
      </c>
      <c r="AC9" s="91">
        <f>AC5/2</f>
        <v>750</v>
      </c>
      <c r="AD9" s="91">
        <f>AD5</f>
        <v>1500</v>
      </c>
    </row>
    <row r="10">
      <c r="A10" s="32"/>
      <c r="B10" s="23"/>
      <c r="C10" s="23"/>
      <c r="E10" s="45"/>
      <c r="F10" s="46">
        <v>1.0</v>
      </c>
      <c r="G10" s="46">
        <v>1.2</v>
      </c>
      <c r="H10" s="46">
        <v>1.5</v>
      </c>
      <c r="I10" s="37"/>
      <c r="K10" s="23" t="s">
        <v>192</v>
      </c>
      <c r="L10" s="38">
        <f>SUM(F7,F13:H13,F19:H19)</f>
        <v>2</v>
      </c>
      <c r="M10" s="47">
        <f>L10/L9</f>
        <v>0.2857142857</v>
      </c>
      <c r="S10" s="59"/>
      <c r="T10" s="65" t="s">
        <v>379</v>
      </c>
      <c r="U10" s="87">
        <f t="shared" ref="U10:V10" si="5">SUM(U6:U9)+U5*12</f>
        <v>21135</v>
      </c>
      <c r="V10" s="87">
        <f t="shared" si="5"/>
        <v>24135</v>
      </c>
      <c r="X10" s="67" t="s">
        <v>379</v>
      </c>
      <c r="Y10" s="89">
        <f t="shared" ref="Y10:Z10" si="6">SUM(Y6:Y9)+Y5*12</f>
        <v>21135</v>
      </c>
      <c r="Z10" s="89">
        <f t="shared" si="6"/>
        <v>24135</v>
      </c>
      <c r="AB10" s="69" t="s">
        <v>379</v>
      </c>
      <c r="AC10" s="91">
        <f t="shared" ref="AC10:AD10" si="7">SUM(AC6:AC9)+AC5*12</f>
        <v>21135</v>
      </c>
      <c r="AD10" s="91">
        <f t="shared" si="7"/>
        <v>24135</v>
      </c>
    </row>
    <row r="11">
      <c r="A11" s="32"/>
      <c r="C11" s="23" t="s">
        <v>214</v>
      </c>
      <c r="E11" s="33">
        <v>6.0</v>
      </c>
      <c r="F11" s="48"/>
      <c r="G11" s="48"/>
      <c r="H11" s="34">
        <v>1.0</v>
      </c>
      <c r="I11" s="37">
        <f t="shared" ref="I11:I13" si="8">SUM(F11*E11*$F$10,G11*E11*$G$10,H11*E11*$H$10)</f>
        <v>9</v>
      </c>
      <c r="S11" s="59"/>
      <c r="T11" s="65" t="s">
        <v>385</v>
      </c>
      <c r="U11" s="87">
        <f>U10/12.5</f>
        <v>1690.8</v>
      </c>
      <c r="V11" s="87">
        <f>V10/13</f>
        <v>1856.538462</v>
      </c>
      <c r="X11" s="67" t="s">
        <v>385</v>
      </c>
      <c r="Y11" s="89">
        <f>Y10/12.5</f>
        <v>1690.8</v>
      </c>
      <c r="Z11" s="89">
        <f>Z10/13</f>
        <v>1856.538462</v>
      </c>
      <c r="AB11" s="69" t="s">
        <v>385</v>
      </c>
      <c r="AC11" s="91">
        <f>AC10/12.5</f>
        <v>1690.8</v>
      </c>
      <c r="AD11" s="91">
        <f>AD10/13</f>
        <v>1856.538462</v>
      </c>
    </row>
    <row r="12">
      <c r="A12" s="32"/>
      <c r="C12" s="23" t="s">
        <v>236</v>
      </c>
      <c r="E12" s="33">
        <v>8.0</v>
      </c>
      <c r="F12" s="34">
        <v>1.0</v>
      </c>
      <c r="G12" s="48"/>
      <c r="H12" s="48"/>
      <c r="I12" s="37">
        <f t="shared" si="8"/>
        <v>8</v>
      </c>
      <c r="S12" s="59"/>
    </row>
    <row r="13">
      <c r="A13" s="32"/>
      <c r="C13" s="23" t="s">
        <v>243</v>
      </c>
      <c r="E13" s="33">
        <v>12.0</v>
      </c>
      <c r="F13" s="48"/>
      <c r="G13" s="34">
        <v>1.0</v>
      </c>
      <c r="H13" s="48"/>
      <c r="I13" s="37">
        <f t="shared" si="8"/>
        <v>14.4</v>
      </c>
      <c r="S13" s="59"/>
      <c r="T13" s="107" t="s">
        <v>386</v>
      </c>
      <c r="U13" s="65" t="s">
        <v>327</v>
      </c>
      <c r="V13" s="65" t="s">
        <v>328</v>
      </c>
      <c r="X13" s="108" t="s">
        <v>387</v>
      </c>
      <c r="Y13" s="67" t="s">
        <v>327</v>
      </c>
      <c r="Z13" s="67" t="s">
        <v>328</v>
      </c>
      <c r="AB13" s="68" t="s">
        <v>388</v>
      </c>
      <c r="AC13" s="69" t="s">
        <v>327</v>
      </c>
      <c r="AD13" s="69" t="s">
        <v>328</v>
      </c>
    </row>
    <row r="14">
      <c r="A14" s="42" t="s">
        <v>250</v>
      </c>
      <c r="E14" s="37"/>
      <c r="F14" s="28"/>
      <c r="G14" s="43"/>
      <c r="H14" s="43"/>
      <c r="I14" s="44">
        <f>SUM(I11:I13)</f>
        <v>31.4</v>
      </c>
      <c r="S14" s="59"/>
      <c r="T14" s="65" t="s">
        <v>369</v>
      </c>
      <c r="U14" s="82">
        <v>2000.0</v>
      </c>
      <c r="V14" s="82">
        <v>2000.0</v>
      </c>
      <c r="X14" s="67" t="s">
        <v>369</v>
      </c>
      <c r="Y14" s="83">
        <v>2800.0</v>
      </c>
      <c r="Z14" s="83">
        <v>2800.0</v>
      </c>
      <c r="AB14" s="69" t="s">
        <v>369</v>
      </c>
      <c r="AC14" s="85">
        <v>2800.0</v>
      </c>
      <c r="AD14" s="85">
        <v>2800.0</v>
      </c>
    </row>
    <row r="15" ht="18.0" customHeight="1">
      <c r="C15" s="23" t="s">
        <v>176</v>
      </c>
      <c r="E15" s="49"/>
      <c r="F15" s="30" t="s">
        <v>178</v>
      </c>
      <c r="G15" s="30" t="s">
        <v>179</v>
      </c>
      <c r="H15" s="30" t="s">
        <v>181</v>
      </c>
      <c r="I15" s="37"/>
      <c r="S15" s="59"/>
      <c r="T15" s="65" t="s">
        <v>374</v>
      </c>
      <c r="U15" s="87">
        <f t="shared" ref="U15:V15" si="9">U14*0.09</f>
        <v>180</v>
      </c>
      <c r="V15" s="87">
        <f t="shared" si="9"/>
        <v>180</v>
      </c>
      <c r="X15" s="67" t="s">
        <v>374</v>
      </c>
      <c r="Y15" s="89">
        <f t="shared" ref="Y15:Z15" si="10">Y14*0.09</f>
        <v>252</v>
      </c>
      <c r="Z15" s="89">
        <f t="shared" si="10"/>
        <v>252</v>
      </c>
      <c r="AB15" s="69" t="s">
        <v>374</v>
      </c>
      <c r="AC15" s="91">
        <f t="shared" ref="AC15:AD15" si="11">AC14*0.09</f>
        <v>252</v>
      </c>
      <c r="AD15" s="91">
        <f t="shared" si="11"/>
        <v>252</v>
      </c>
    </row>
    <row r="16">
      <c r="A16" s="32"/>
      <c r="C16" s="23"/>
      <c r="E16" s="45"/>
      <c r="F16" s="46">
        <v>1.0</v>
      </c>
      <c r="G16" s="46">
        <v>1.2</v>
      </c>
      <c r="H16" s="46">
        <v>1.5</v>
      </c>
      <c r="I16" s="37"/>
      <c r="S16" s="59"/>
      <c r="T16" s="65" t="s">
        <v>375</v>
      </c>
      <c r="U16" s="82">
        <f>U14</f>
        <v>2000</v>
      </c>
      <c r="V16" s="87">
        <f>V14*2</f>
        <v>4000</v>
      </c>
      <c r="X16" s="67" t="s">
        <v>375</v>
      </c>
      <c r="Y16" s="83">
        <f>Y14</f>
        <v>2800</v>
      </c>
      <c r="Z16" s="89">
        <f>Z14*2</f>
        <v>5600</v>
      </c>
      <c r="AB16" s="69" t="s">
        <v>375</v>
      </c>
      <c r="AC16" s="85">
        <f>AC14</f>
        <v>2800</v>
      </c>
      <c r="AD16" s="91">
        <f>AD14*2</f>
        <v>5600</v>
      </c>
    </row>
    <row r="17">
      <c r="A17" s="32"/>
      <c r="C17" s="23" t="s">
        <v>214</v>
      </c>
      <c r="E17" s="33">
        <v>6.0</v>
      </c>
      <c r="F17" s="48"/>
      <c r="G17" s="48"/>
      <c r="H17" s="48"/>
      <c r="I17" s="37">
        <f t="shared" ref="I17:I19" si="12">SUM(F17*E17*$F$16,G17*E17*$G$16,H17*E17*$H$16)</f>
        <v>0</v>
      </c>
      <c r="S17" s="59"/>
      <c r="T17" s="65" t="s">
        <v>376</v>
      </c>
      <c r="U17" s="82">
        <f>U14/2</f>
        <v>1000</v>
      </c>
      <c r="V17" s="82">
        <f>V14</f>
        <v>2000</v>
      </c>
      <c r="X17" s="67" t="s">
        <v>376</v>
      </c>
      <c r="Y17" s="83">
        <v>750.0</v>
      </c>
      <c r="Z17" s="83">
        <v>1500.0</v>
      </c>
      <c r="AB17" s="69" t="s">
        <v>376</v>
      </c>
      <c r="AC17" s="85">
        <v>750.0</v>
      </c>
      <c r="AD17" s="85">
        <v>1500.0</v>
      </c>
    </row>
    <row r="18">
      <c r="A18" s="32"/>
      <c r="C18" s="23" t="s">
        <v>236</v>
      </c>
      <c r="E18" s="33">
        <v>8.0</v>
      </c>
      <c r="F18" s="48"/>
      <c r="G18" s="48"/>
      <c r="H18" s="34">
        <v>1.0</v>
      </c>
      <c r="I18" s="37">
        <f t="shared" si="12"/>
        <v>12</v>
      </c>
      <c r="S18" s="59"/>
      <c r="T18" s="65" t="s">
        <v>377</v>
      </c>
      <c r="U18" s="87">
        <f>U14/2</f>
        <v>1000</v>
      </c>
      <c r="V18" s="87">
        <f>V14</f>
        <v>2000</v>
      </c>
      <c r="X18" s="67" t="s">
        <v>377</v>
      </c>
      <c r="Y18" s="89">
        <f>Y14/2</f>
        <v>1400</v>
      </c>
      <c r="Z18" s="89">
        <f>Z14</f>
        <v>2800</v>
      </c>
      <c r="AB18" s="69" t="s">
        <v>377</v>
      </c>
      <c r="AC18" s="91">
        <f>AC14/2</f>
        <v>1400</v>
      </c>
      <c r="AD18" s="91">
        <f>AD14</f>
        <v>2800</v>
      </c>
    </row>
    <row r="19">
      <c r="A19" s="32"/>
      <c r="C19" s="23" t="s">
        <v>243</v>
      </c>
      <c r="E19" s="33">
        <v>12.0</v>
      </c>
      <c r="F19" s="34">
        <v>1.0</v>
      </c>
      <c r="G19" s="48"/>
      <c r="H19" s="48"/>
      <c r="I19" s="37">
        <f t="shared" si="12"/>
        <v>12</v>
      </c>
      <c r="S19" s="59"/>
      <c r="T19" s="65" t="s">
        <v>379</v>
      </c>
      <c r="U19" s="87">
        <f t="shared" ref="U19:V19" si="13">SUM(U15:U18)+U14*12</f>
        <v>28180</v>
      </c>
      <c r="V19" s="87">
        <f t="shared" si="13"/>
        <v>32180</v>
      </c>
      <c r="X19" s="67" t="s">
        <v>379</v>
      </c>
      <c r="Y19" s="89">
        <f t="shared" ref="Y19:Z19" si="14">SUM(Y15:Y18)+Y14*12</f>
        <v>38802</v>
      </c>
      <c r="Z19" s="89">
        <f t="shared" si="14"/>
        <v>43752</v>
      </c>
      <c r="AB19" s="69" t="s">
        <v>379</v>
      </c>
      <c r="AC19" s="91">
        <f t="shared" ref="AC19:AD19" si="15">SUM(AC15:AC18)+AC14*12</f>
        <v>38802</v>
      </c>
      <c r="AD19" s="91">
        <f t="shared" si="15"/>
        <v>43752</v>
      </c>
    </row>
    <row r="20">
      <c r="G20" s="50"/>
      <c r="H20" s="50"/>
      <c r="I20" s="44">
        <f>SUM(I17:I19)</f>
        <v>24</v>
      </c>
      <c r="S20" s="59"/>
      <c r="T20" s="65" t="s">
        <v>385</v>
      </c>
      <c r="U20" s="87">
        <f>U19/12.5</f>
        <v>2254.4</v>
      </c>
      <c r="V20" s="87">
        <f>V19/13</f>
        <v>2475.384615</v>
      </c>
      <c r="X20" s="67" t="s">
        <v>385</v>
      </c>
      <c r="Y20" s="89">
        <f>Y19/12.5</f>
        <v>3104.16</v>
      </c>
      <c r="Z20" s="89">
        <f>Z19/13</f>
        <v>3365.538462</v>
      </c>
      <c r="AB20" s="69" t="s">
        <v>385</v>
      </c>
      <c r="AC20" s="91">
        <f>AC19/12.5</f>
        <v>3104.16</v>
      </c>
      <c r="AD20" s="91">
        <f>AD19/13</f>
        <v>3365.538462</v>
      </c>
    </row>
    <row r="21">
      <c r="A21" s="23" t="s">
        <v>288</v>
      </c>
      <c r="F21" s="51">
        <v>0.0</v>
      </c>
      <c r="S21" s="59"/>
    </row>
    <row r="22">
      <c r="S22" s="59"/>
      <c r="T22" s="65" t="s">
        <v>414</v>
      </c>
      <c r="U22" s="65" t="s">
        <v>327</v>
      </c>
      <c r="V22" s="65" t="s">
        <v>328</v>
      </c>
      <c r="X22" s="108" t="s">
        <v>415</v>
      </c>
      <c r="Y22" s="67" t="s">
        <v>327</v>
      </c>
      <c r="Z22" s="67" t="s">
        <v>328</v>
      </c>
      <c r="AB22" s="68" t="s">
        <v>416</v>
      </c>
      <c r="AC22" s="69" t="s">
        <v>327</v>
      </c>
      <c r="AD22" s="69" t="s">
        <v>328</v>
      </c>
    </row>
    <row r="23">
      <c r="B23" s="23" t="s">
        <v>292</v>
      </c>
      <c r="S23" s="59"/>
      <c r="T23" s="65" t="s">
        <v>369</v>
      </c>
      <c r="U23" s="82">
        <v>3800.0</v>
      </c>
      <c r="V23" s="82">
        <v>3800.0</v>
      </c>
      <c r="X23" s="67" t="s">
        <v>369</v>
      </c>
      <c r="Y23" s="83">
        <v>4500.0</v>
      </c>
      <c r="Z23" s="83">
        <v>4500.0</v>
      </c>
      <c r="AB23" s="69" t="s">
        <v>369</v>
      </c>
      <c r="AC23" s="85">
        <v>4500.0</v>
      </c>
      <c r="AD23" s="85">
        <v>4500.0</v>
      </c>
    </row>
    <row r="24">
      <c r="S24" s="59"/>
      <c r="T24" s="65" t="s">
        <v>374</v>
      </c>
      <c r="U24" s="87">
        <f t="shared" ref="U24:V24" si="16">U23*0.09</f>
        <v>342</v>
      </c>
      <c r="V24" s="87">
        <f t="shared" si="16"/>
        <v>342</v>
      </c>
      <c r="X24" s="67" t="s">
        <v>374</v>
      </c>
      <c r="Y24" s="89">
        <f t="shared" ref="Y24:Z24" si="17">Y23*0.09</f>
        <v>405</v>
      </c>
      <c r="Z24" s="89">
        <f t="shared" si="17"/>
        <v>405</v>
      </c>
      <c r="AB24" s="69" t="s">
        <v>374</v>
      </c>
      <c r="AC24" s="91">
        <f t="shared" ref="AC24:AD24" si="18">AC23*0.09</f>
        <v>405</v>
      </c>
      <c r="AD24" s="91">
        <f t="shared" si="18"/>
        <v>405</v>
      </c>
    </row>
    <row r="25">
      <c r="A25" s="52" t="s">
        <v>294</v>
      </c>
      <c r="S25" s="59"/>
      <c r="T25" s="65" t="s">
        <v>375</v>
      </c>
      <c r="U25" s="82">
        <f>U23</f>
        <v>3800</v>
      </c>
      <c r="V25" s="87">
        <f>V23*2</f>
        <v>7600</v>
      </c>
      <c r="X25" s="67" t="s">
        <v>375</v>
      </c>
      <c r="Y25" s="83">
        <f>Y23</f>
        <v>4500</v>
      </c>
      <c r="Z25" s="89">
        <f>Z23*2</f>
        <v>9000</v>
      </c>
      <c r="AB25" s="69" t="s">
        <v>375</v>
      </c>
      <c r="AC25" s="85">
        <f>AC23</f>
        <v>4500</v>
      </c>
      <c r="AD25" s="91">
        <f>AD23*2</f>
        <v>9000</v>
      </c>
    </row>
    <row r="26">
      <c r="S26" s="59"/>
      <c r="T26" s="65" t="s">
        <v>376</v>
      </c>
      <c r="U26" s="82">
        <v>750.0</v>
      </c>
      <c r="V26" s="82">
        <v>1500.0</v>
      </c>
      <c r="X26" s="67" t="s">
        <v>376</v>
      </c>
      <c r="Y26" s="83">
        <v>750.0</v>
      </c>
      <c r="Z26" s="83">
        <v>1500.0</v>
      </c>
      <c r="AB26" s="69" t="s">
        <v>376</v>
      </c>
      <c r="AC26" s="85">
        <v>750.0</v>
      </c>
      <c r="AD26" s="85">
        <v>1500.0</v>
      </c>
    </row>
    <row r="27" ht="24.0" customHeight="1">
      <c r="A27" s="53"/>
      <c r="B27" s="53"/>
      <c r="C27" s="53"/>
      <c r="D27" s="54" t="s">
        <v>217</v>
      </c>
      <c r="E27" s="54" t="s">
        <v>217</v>
      </c>
      <c r="F27" s="54" t="s">
        <v>217</v>
      </c>
      <c r="G27" s="56" t="s">
        <v>228</v>
      </c>
      <c r="H27" s="56" t="s">
        <v>228</v>
      </c>
      <c r="I27" s="58" t="s">
        <v>235</v>
      </c>
      <c r="J27" s="58" t="s">
        <v>235</v>
      </c>
      <c r="K27" s="58" t="s">
        <v>235</v>
      </c>
      <c r="L27" s="53"/>
      <c r="M27" s="53"/>
      <c r="N27" s="53"/>
      <c r="O27" s="53"/>
      <c r="P27" s="53"/>
      <c r="Q27" s="53"/>
      <c r="R27" s="53"/>
      <c r="S27" s="125"/>
      <c r="T27" s="65" t="s">
        <v>377</v>
      </c>
      <c r="U27" s="87">
        <f>U23/2</f>
        <v>1900</v>
      </c>
      <c r="V27" s="87">
        <f>V23</f>
        <v>3800</v>
      </c>
      <c r="W27" s="53"/>
      <c r="X27" s="67" t="s">
        <v>377</v>
      </c>
      <c r="Y27" s="89">
        <f>Y23/2</f>
        <v>2250</v>
      </c>
      <c r="Z27" s="89">
        <f>Z23</f>
        <v>4500</v>
      </c>
      <c r="AA27" s="53"/>
      <c r="AB27" s="69" t="s">
        <v>377</v>
      </c>
      <c r="AC27" s="91">
        <f>AC23/2</f>
        <v>2250</v>
      </c>
      <c r="AD27" s="91">
        <f>AD23</f>
        <v>4500</v>
      </c>
    </row>
    <row r="28" ht="12.75" customHeight="1">
      <c r="A28" s="53"/>
      <c r="B28" s="53"/>
      <c r="C28" s="53"/>
      <c r="D28" s="60" t="s">
        <v>218</v>
      </c>
      <c r="E28" s="60" t="s">
        <v>222</v>
      </c>
      <c r="F28" s="60" t="s">
        <v>225</v>
      </c>
      <c r="G28" s="60" t="s">
        <v>229</v>
      </c>
      <c r="H28" s="60" t="s">
        <v>232</v>
      </c>
      <c r="I28" s="60" t="s">
        <v>237</v>
      </c>
      <c r="J28" s="60" t="s">
        <v>240</v>
      </c>
      <c r="K28" s="60" t="s">
        <v>244</v>
      </c>
      <c r="L28" s="53"/>
      <c r="M28" s="53"/>
      <c r="N28" s="53"/>
      <c r="O28" s="53"/>
      <c r="P28" s="53"/>
      <c r="Q28" s="53"/>
      <c r="R28" s="53"/>
      <c r="S28" s="125"/>
      <c r="T28" s="65" t="s">
        <v>379</v>
      </c>
      <c r="U28" s="87">
        <f t="shared" ref="U28:V28" si="19">SUM(U24:U27)+U23*12</f>
        <v>52392</v>
      </c>
      <c r="V28" s="87">
        <f t="shared" si="19"/>
        <v>58842</v>
      </c>
      <c r="W28" s="53"/>
      <c r="X28" s="67" t="s">
        <v>379</v>
      </c>
      <c r="Y28" s="89">
        <f t="shared" ref="Y28:Z28" si="20">SUM(Y24:Y27)+Y23*12</f>
        <v>61905</v>
      </c>
      <c r="Z28" s="89">
        <f t="shared" si="20"/>
        <v>69405</v>
      </c>
      <c r="AA28" s="53"/>
      <c r="AB28" s="69" t="s">
        <v>379</v>
      </c>
      <c r="AC28" s="91">
        <f t="shared" ref="AC28:AD28" si="21">SUM(AC24:AC27)+AC23*12</f>
        <v>61905</v>
      </c>
      <c r="AD28" s="91">
        <f t="shared" si="21"/>
        <v>69405</v>
      </c>
    </row>
    <row r="29" ht="19.5" customHeight="1">
      <c r="A29" s="53"/>
      <c r="B29" s="53"/>
      <c r="C29" s="30" t="s">
        <v>317</v>
      </c>
      <c r="D29" s="30" t="s">
        <v>320</v>
      </c>
      <c r="E29" s="30" t="s">
        <v>321</v>
      </c>
      <c r="F29" s="30" t="s">
        <v>321</v>
      </c>
      <c r="G29" s="30" t="s">
        <v>322</v>
      </c>
      <c r="H29" s="30" t="s">
        <v>322</v>
      </c>
      <c r="I29" s="30" t="s">
        <v>323</v>
      </c>
      <c r="J29" s="30" t="s">
        <v>323</v>
      </c>
      <c r="K29" s="30" t="s">
        <v>323</v>
      </c>
      <c r="L29" s="53"/>
      <c r="M29" s="64"/>
      <c r="N29" s="66"/>
      <c r="O29" s="53"/>
      <c r="P29" s="53"/>
      <c r="Q29" s="53"/>
      <c r="R29" s="53"/>
      <c r="S29" s="125"/>
      <c r="T29" s="65" t="s">
        <v>385</v>
      </c>
      <c r="U29" s="87">
        <f>U28/12.5</f>
        <v>4191.36</v>
      </c>
      <c r="V29" s="87">
        <f>V28/13</f>
        <v>4526.307692</v>
      </c>
      <c r="W29" s="53"/>
      <c r="X29" s="67" t="s">
        <v>385</v>
      </c>
      <c r="Y29" s="89">
        <f>Y28/12.5</f>
        <v>4952.4</v>
      </c>
      <c r="Z29" s="89">
        <f>Z28/13</f>
        <v>5338.846154</v>
      </c>
      <c r="AA29" s="53"/>
      <c r="AB29" s="69" t="s">
        <v>385</v>
      </c>
      <c r="AC29" s="91">
        <f>AC28/12.5</f>
        <v>4952.4</v>
      </c>
      <c r="AD29" s="91">
        <f>AD28/13</f>
        <v>5338.846154</v>
      </c>
    </row>
    <row r="30" ht="40.5" customHeight="1">
      <c r="C30" s="30" t="s">
        <v>332</v>
      </c>
      <c r="D30" s="17" t="s">
        <v>334</v>
      </c>
      <c r="E30" s="17" t="s">
        <v>334</v>
      </c>
      <c r="F30" s="17" t="s">
        <v>334</v>
      </c>
      <c r="G30" s="17" t="s">
        <v>335</v>
      </c>
      <c r="H30" s="17" t="s">
        <v>335</v>
      </c>
      <c r="I30" s="17" t="s">
        <v>336</v>
      </c>
      <c r="J30" s="17" t="s">
        <v>336</v>
      </c>
      <c r="K30" s="17" t="s">
        <v>336</v>
      </c>
      <c r="S30" s="59"/>
    </row>
    <row r="31">
      <c r="B31" s="23" t="s">
        <v>421</v>
      </c>
      <c r="C31" s="126" t="s">
        <v>422</v>
      </c>
      <c r="D31" s="127">
        <v>60.0</v>
      </c>
      <c r="E31" s="127">
        <v>55.0</v>
      </c>
      <c r="F31" s="127">
        <v>15.0</v>
      </c>
      <c r="G31" s="127">
        <v>200.0</v>
      </c>
      <c r="H31" s="127">
        <v>190.0</v>
      </c>
      <c r="I31" s="127">
        <v>0.0</v>
      </c>
      <c r="J31" s="127">
        <v>6.0</v>
      </c>
      <c r="K31" s="127">
        <v>7.0</v>
      </c>
      <c r="S31" s="59"/>
    </row>
    <row r="32">
      <c r="C32" s="128" t="s">
        <v>423</v>
      </c>
      <c r="D32" s="129">
        <v>1.0</v>
      </c>
      <c r="E32" s="129">
        <v>2.0</v>
      </c>
      <c r="F32" s="129">
        <v>2.0</v>
      </c>
      <c r="G32" s="129">
        <v>1.0</v>
      </c>
      <c r="H32" s="129">
        <v>1.0</v>
      </c>
      <c r="I32" s="129">
        <v>270.0</v>
      </c>
      <c r="J32" s="129">
        <v>250.0</v>
      </c>
      <c r="K32" s="129">
        <v>200.0</v>
      </c>
      <c r="S32" s="59"/>
      <c r="T32" s="130" t="s">
        <v>173</v>
      </c>
      <c r="U32" s="130" t="s">
        <v>327</v>
      </c>
      <c r="V32" s="130" t="s">
        <v>328</v>
      </c>
      <c r="X32" s="132" t="s">
        <v>425</v>
      </c>
      <c r="Y32" s="132" t="s">
        <v>327</v>
      </c>
      <c r="Z32" s="132" t="s">
        <v>328</v>
      </c>
      <c r="AB32" s="133" t="s">
        <v>426</v>
      </c>
      <c r="AC32" s="133" t="s">
        <v>327</v>
      </c>
      <c r="AD32" s="133" t="s">
        <v>328</v>
      </c>
    </row>
    <row r="33">
      <c r="C33" s="135"/>
      <c r="D33" s="73">
        <f t="shared" ref="D33:K33" si="22">D31*D32</f>
        <v>60</v>
      </c>
      <c r="E33" s="73">
        <f t="shared" si="22"/>
        <v>110</v>
      </c>
      <c r="F33" s="73">
        <f t="shared" si="22"/>
        <v>30</v>
      </c>
      <c r="G33" s="73">
        <f t="shared" si="22"/>
        <v>200</v>
      </c>
      <c r="H33" s="73">
        <f t="shared" si="22"/>
        <v>190</v>
      </c>
      <c r="I33" s="73">
        <f t="shared" si="22"/>
        <v>0</v>
      </c>
      <c r="J33" s="73">
        <f t="shared" si="22"/>
        <v>1500</v>
      </c>
      <c r="K33" s="73">
        <f t="shared" si="22"/>
        <v>1400</v>
      </c>
      <c r="S33" s="59"/>
      <c r="T33" s="130" t="s">
        <v>369</v>
      </c>
      <c r="U33" s="136">
        <v>3000.0</v>
      </c>
      <c r="V33" s="136">
        <v>3000.0</v>
      </c>
      <c r="X33" s="132" t="s">
        <v>369</v>
      </c>
      <c r="Y33" s="137">
        <v>600.0</v>
      </c>
      <c r="Z33" s="137">
        <v>600.0</v>
      </c>
      <c r="AB33" s="133" t="s">
        <v>433</v>
      </c>
      <c r="AC33" s="138">
        <v>2000.0</v>
      </c>
      <c r="AD33" s="138">
        <v>2000.0</v>
      </c>
    </row>
    <row r="34">
      <c r="S34" s="59"/>
      <c r="T34" s="130" t="s">
        <v>374</v>
      </c>
      <c r="U34" s="139">
        <f t="shared" ref="U34:V34" si="23">U33*0.09</f>
        <v>270</v>
      </c>
      <c r="V34" s="139">
        <f t="shared" si="23"/>
        <v>270</v>
      </c>
      <c r="X34" s="132" t="s">
        <v>374</v>
      </c>
      <c r="Y34" s="140">
        <f t="shared" ref="Y34:Z34" si="24">Y33*0.09</f>
        <v>54</v>
      </c>
      <c r="Z34" s="140">
        <f t="shared" si="24"/>
        <v>54</v>
      </c>
      <c r="AC34" s="141"/>
      <c r="AD34" s="141"/>
    </row>
    <row r="35">
      <c r="H35" s="23" t="s">
        <v>393</v>
      </c>
      <c r="S35" s="59"/>
      <c r="T35" s="130" t="s">
        <v>375</v>
      </c>
      <c r="U35" s="136">
        <f>U33</f>
        <v>3000</v>
      </c>
      <c r="V35" s="139">
        <f>V33*2</f>
        <v>6000</v>
      </c>
      <c r="X35" s="132" t="s">
        <v>375</v>
      </c>
      <c r="Y35" s="137">
        <f>Y33</f>
        <v>600</v>
      </c>
      <c r="Z35" s="140">
        <f>Z33*2</f>
        <v>1200</v>
      </c>
      <c r="AC35" s="141"/>
      <c r="AD35" s="141"/>
    </row>
    <row r="36">
      <c r="D36" s="17" t="s">
        <v>334</v>
      </c>
      <c r="E36" s="17" t="s">
        <v>335</v>
      </c>
      <c r="F36" s="17" t="s">
        <v>336</v>
      </c>
      <c r="H36" s="23" t="s">
        <v>435</v>
      </c>
      <c r="S36" s="59"/>
      <c r="T36" s="130" t="s">
        <v>376</v>
      </c>
      <c r="U36" s="136">
        <v>750.0</v>
      </c>
      <c r="V36" s="136">
        <v>1500.0</v>
      </c>
      <c r="X36" s="132" t="s">
        <v>376</v>
      </c>
      <c r="Y36" s="137">
        <v>750.0</v>
      </c>
      <c r="Z36" s="137">
        <v>1500.0</v>
      </c>
      <c r="AC36" s="141"/>
      <c r="AD36" s="141"/>
    </row>
    <row r="37">
      <c r="C37" s="23" t="s">
        <v>436</v>
      </c>
      <c r="D37" s="16" t="s">
        <v>437</v>
      </c>
      <c r="E37" s="16" t="s">
        <v>439</v>
      </c>
      <c r="F37" s="16" t="s">
        <v>440</v>
      </c>
      <c r="H37" s="16" t="s">
        <v>437</v>
      </c>
      <c r="I37" s="16" t="s">
        <v>439</v>
      </c>
      <c r="J37" s="16" t="s">
        <v>440</v>
      </c>
      <c r="S37" s="59"/>
      <c r="T37" s="130" t="s">
        <v>377</v>
      </c>
      <c r="U37" s="139">
        <f>U33/2</f>
        <v>1500</v>
      </c>
      <c r="V37" s="139">
        <f>V33</f>
        <v>3000</v>
      </c>
      <c r="X37" s="132" t="s">
        <v>377</v>
      </c>
      <c r="Y37" s="140">
        <f>Y33/2</f>
        <v>300</v>
      </c>
      <c r="Z37" s="140">
        <f>Z33</f>
        <v>600</v>
      </c>
      <c r="AC37" s="141"/>
      <c r="AD37" s="141"/>
    </row>
    <row r="38">
      <c r="C38" s="70" t="s">
        <v>124</v>
      </c>
      <c r="D38" s="71">
        <v>0.3</v>
      </c>
      <c r="E38" s="71">
        <v>1.0</v>
      </c>
      <c r="F38" s="71">
        <v>6.0</v>
      </c>
      <c r="H38" s="149">
        <f>SUM(D33:F33)</f>
        <v>200</v>
      </c>
      <c r="I38" s="149">
        <f>SUM(G33:H33)</f>
        <v>390</v>
      </c>
      <c r="J38" s="149">
        <f>SUM(I33:K33)</f>
        <v>2900</v>
      </c>
      <c r="S38" s="59"/>
      <c r="T38" s="130" t="s">
        <v>379</v>
      </c>
      <c r="U38" s="139">
        <f t="shared" ref="U38:V38" si="25">SUM(U34:U37)+U33*12</f>
        <v>41520</v>
      </c>
      <c r="V38" s="139">
        <f t="shared" si="25"/>
        <v>46770</v>
      </c>
      <c r="X38" s="132" t="s">
        <v>379</v>
      </c>
      <c r="Y38" s="140">
        <f t="shared" ref="Y38:Z38" si="26">SUM(Y34:Y37)+Y33*12</f>
        <v>8904</v>
      </c>
      <c r="Z38" s="140">
        <f t="shared" si="26"/>
        <v>10554</v>
      </c>
      <c r="AC38" s="141"/>
      <c r="AD38" s="141"/>
    </row>
    <row r="39">
      <c r="C39" s="70" t="s">
        <v>128</v>
      </c>
      <c r="D39" s="71">
        <v>0.4</v>
      </c>
      <c r="E39" s="71">
        <v>1.0</v>
      </c>
      <c r="F39" s="71">
        <v>7.0</v>
      </c>
      <c r="S39" s="59"/>
      <c r="T39" s="130" t="s">
        <v>385</v>
      </c>
      <c r="U39" s="139">
        <f>U38/12.5</f>
        <v>3321.6</v>
      </c>
      <c r="V39" s="139">
        <f>V38/13</f>
        <v>3597.692308</v>
      </c>
      <c r="X39" s="132" t="s">
        <v>385</v>
      </c>
      <c r="Y39" s="140">
        <f>Y38/12.5</f>
        <v>712.32</v>
      </c>
      <c r="Z39" s="140">
        <f>Z38/13</f>
        <v>811.8461538</v>
      </c>
      <c r="AC39" s="141"/>
      <c r="AD39" s="141"/>
    </row>
    <row r="40">
      <c r="C40" s="70" t="s">
        <v>132</v>
      </c>
      <c r="D40" s="71">
        <v>0.7</v>
      </c>
      <c r="E40" s="71">
        <v>1.0</v>
      </c>
      <c r="F40" s="71">
        <v>13.0</v>
      </c>
      <c r="S40" s="59"/>
    </row>
    <row r="41">
      <c r="C41" s="152"/>
      <c r="S41" s="59"/>
    </row>
    <row r="42">
      <c r="B42" s="23" t="s">
        <v>446</v>
      </c>
      <c r="C42" s="152"/>
      <c r="S42" s="59"/>
      <c r="T42" s="42" t="s">
        <v>447</v>
      </c>
    </row>
    <row r="43">
      <c r="B43" s="23" t="s">
        <v>448</v>
      </c>
      <c r="C43" s="152"/>
      <c r="S43" s="59"/>
    </row>
    <row r="44">
      <c r="S44" s="59"/>
      <c r="T44" s="65" t="s">
        <v>61</v>
      </c>
      <c r="U44" s="65" t="s">
        <v>327</v>
      </c>
      <c r="V44" s="65" t="s">
        <v>328</v>
      </c>
      <c r="X44" s="154" t="s">
        <v>449</v>
      </c>
      <c r="Y44" s="132" t="s">
        <v>327</v>
      </c>
      <c r="Z44" s="132" t="s">
        <v>328</v>
      </c>
      <c r="AB44" s="155" t="s">
        <v>450</v>
      </c>
      <c r="AC44" s="133" t="s">
        <v>327</v>
      </c>
      <c r="AD44" s="133" t="s">
        <v>328</v>
      </c>
    </row>
    <row r="45" ht="43.5" customHeight="1">
      <c r="C45" s="23" t="s">
        <v>451</v>
      </c>
      <c r="E45" s="32" t="s">
        <v>452</v>
      </c>
      <c r="H45" s="100" t="s">
        <v>453</v>
      </c>
      <c r="I45" s="100" t="s">
        <v>454</v>
      </c>
      <c r="J45" s="100" t="s">
        <v>455</v>
      </c>
      <c r="L45" s="100" t="s">
        <v>456</v>
      </c>
      <c r="M45" s="100" t="s">
        <v>457</v>
      </c>
      <c r="N45" s="100" t="s">
        <v>458</v>
      </c>
      <c r="S45" s="59"/>
      <c r="T45" s="107" t="s">
        <v>459</v>
      </c>
      <c r="U45" s="82">
        <v>2500.0</v>
      </c>
      <c r="V45" s="82">
        <v>2500.0</v>
      </c>
      <c r="X45" s="154" t="s">
        <v>459</v>
      </c>
      <c r="Y45" s="137">
        <v>3500.0</v>
      </c>
      <c r="Z45" s="137">
        <v>3500.0</v>
      </c>
      <c r="AB45" s="155" t="s">
        <v>459</v>
      </c>
      <c r="AC45" s="138">
        <v>1200.0</v>
      </c>
      <c r="AD45" s="138">
        <v>1200.0</v>
      </c>
    </row>
    <row r="46">
      <c r="C46" s="70" t="s">
        <v>124</v>
      </c>
      <c r="D46" s="34">
        <v>150.0</v>
      </c>
      <c r="E46" s="156">
        <v>150.0</v>
      </c>
      <c r="F46" s="104">
        <f>E46/E49</f>
        <v>0.4076086957</v>
      </c>
      <c r="H46" s="101">
        <f t="shared" ref="H46:H48" si="27">D38*D46</f>
        <v>45</v>
      </c>
      <c r="I46" s="101">
        <f t="shared" ref="I46:I48" si="28">D46*E38</f>
        <v>150</v>
      </c>
      <c r="J46" s="101">
        <f t="shared" ref="J46:J48" si="29">F38*D46</f>
        <v>900</v>
      </c>
      <c r="L46" s="101">
        <f t="shared" ref="L46:L47" si="30">E46*D38</f>
        <v>45</v>
      </c>
      <c r="M46" s="101">
        <f t="shared" ref="M46:M48" si="31">E46*E38</f>
        <v>150</v>
      </c>
      <c r="N46" s="101">
        <f t="shared" ref="N46:N48" si="32">F38*E46</f>
        <v>900</v>
      </c>
      <c r="S46" s="59"/>
      <c r="T46" s="65" t="s">
        <v>461</v>
      </c>
      <c r="U46" s="87">
        <f>U45*3%</f>
        <v>75</v>
      </c>
      <c r="V46" s="87">
        <f>V45*5%</f>
        <v>125</v>
      </c>
      <c r="X46" s="132" t="s">
        <v>461</v>
      </c>
      <c r="Y46" s="140">
        <f>Y45*3%</f>
        <v>105</v>
      </c>
      <c r="Z46" s="140">
        <f>Z45*5%</f>
        <v>175</v>
      </c>
      <c r="AB46" s="133" t="s">
        <v>461</v>
      </c>
      <c r="AC46" s="159">
        <f>AC45*3%</f>
        <v>36</v>
      </c>
      <c r="AD46" s="159">
        <f>AD45*5%</f>
        <v>60</v>
      </c>
    </row>
    <row r="47">
      <c r="C47" s="70" t="s">
        <v>128</v>
      </c>
      <c r="D47" s="34">
        <v>140.0</v>
      </c>
      <c r="E47" s="156">
        <v>140.0</v>
      </c>
      <c r="F47" s="104">
        <f>E47/E49</f>
        <v>0.3804347826</v>
      </c>
      <c r="H47" s="101">
        <f t="shared" si="27"/>
        <v>56</v>
      </c>
      <c r="I47" s="101">
        <f t="shared" si="28"/>
        <v>140</v>
      </c>
      <c r="J47" s="101">
        <f t="shared" si="29"/>
        <v>980</v>
      </c>
      <c r="L47" s="101">
        <f t="shared" si="30"/>
        <v>56</v>
      </c>
      <c r="M47" s="101">
        <f t="shared" si="31"/>
        <v>140</v>
      </c>
      <c r="N47" s="101">
        <f t="shared" si="32"/>
        <v>980</v>
      </c>
      <c r="S47" s="59"/>
      <c r="T47" s="65" t="s">
        <v>465</v>
      </c>
      <c r="U47" s="82">
        <f>U45*2%</f>
        <v>50</v>
      </c>
      <c r="V47" s="87">
        <f>V45*3%</f>
        <v>75</v>
      </c>
      <c r="X47" s="132" t="s">
        <v>465</v>
      </c>
      <c r="Y47" s="137">
        <f>Y45*2%</f>
        <v>70</v>
      </c>
      <c r="Z47" s="140">
        <f>Z45*3%</f>
        <v>105</v>
      </c>
      <c r="AB47" s="133" t="s">
        <v>465</v>
      </c>
      <c r="AC47" s="138">
        <f>AC45*2%</f>
        <v>24</v>
      </c>
      <c r="AD47" s="159">
        <f>AD45*3%</f>
        <v>36</v>
      </c>
    </row>
    <row r="48" ht="33.0" customHeight="1">
      <c r="C48" s="70" t="s">
        <v>132</v>
      </c>
      <c r="D48" s="34">
        <v>95.0</v>
      </c>
      <c r="E48" s="156">
        <v>78.0</v>
      </c>
      <c r="F48" s="104">
        <f>E48/E49</f>
        <v>0.2119565217</v>
      </c>
      <c r="H48" s="101">
        <f t="shared" si="27"/>
        <v>66.5</v>
      </c>
      <c r="I48" s="101">
        <f t="shared" si="28"/>
        <v>95</v>
      </c>
      <c r="J48" s="101">
        <f t="shared" si="29"/>
        <v>1235</v>
      </c>
      <c r="L48" s="101">
        <f>D40*E48</f>
        <v>54.6</v>
      </c>
      <c r="M48" s="101">
        <f t="shared" si="31"/>
        <v>78</v>
      </c>
      <c r="N48" s="101">
        <f t="shared" si="32"/>
        <v>1014</v>
      </c>
      <c r="S48" s="59"/>
      <c r="T48" s="107" t="s">
        <v>468</v>
      </c>
      <c r="U48" s="82">
        <f>U45*5%</f>
        <v>125</v>
      </c>
      <c r="V48" s="82">
        <f>V45*8%</f>
        <v>200</v>
      </c>
      <c r="X48" s="154" t="s">
        <v>468</v>
      </c>
      <c r="Y48" s="137">
        <f>Y45*5%</f>
        <v>175</v>
      </c>
      <c r="Z48" s="137">
        <f>Z45*8%</f>
        <v>280</v>
      </c>
      <c r="AB48" s="155" t="s">
        <v>468</v>
      </c>
      <c r="AC48" s="138">
        <f>AC45*5%</f>
        <v>60</v>
      </c>
      <c r="AD48" s="138">
        <f>AD45*8%</f>
        <v>96</v>
      </c>
    </row>
    <row r="49">
      <c r="D49" s="103">
        <f t="shared" ref="D49:F49" si="33">SUM(D46:D48)</f>
        <v>385</v>
      </c>
      <c r="E49" s="103">
        <f t="shared" si="33"/>
        <v>368</v>
      </c>
      <c r="F49" s="104">
        <f t="shared" si="33"/>
        <v>1</v>
      </c>
      <c r="H49" s="103">
        <f t="shared" ref="H49:J49" si="34">SUM(H46:H48)</f>
        <v>167.5</v>
      </c>
      <c r="I49" s="103">
        <f t="shared" si="34"/>
        <v>385</v>
      </c>
      <c r="J49" s="103">
        <f t="shared" si="34"/>
        <v>3115</v>
      </c>
      <c r="L49" s="103">
        <f t="shared" ref="L49:N49" si="35">SUM(L46:L48)</f>
        <v>155.6</v>
      </c>
      <c r="M49" s="103">
        <f t="shared" si="35"/>
        <v>368</v>
      </c>
      <c r="N49" s="103">
        <f t="shared" si="35"/>
        <v>2894</v>
      </c>
      <c r="S49" s="59"/>
      <c r="T49" s="65" t="s">
        <v>469</v>
      </c>
      <c r="U49" s="87">
        <f>-((U45-U45*5%)/10)</f>
        <v>-237.5</v>
      </c>
      <c r="V49" s="87">
        <f>-((V45-V45*10%)/10)</f>
        <v>-225</v>
      </c>
      <c r="X49" s="132" t="s">
        <v>469</v>
      </c>
      <c r="Y49" s="140">
        <f>-(Y45-Y45*5%)/10</f>
        <v>-332.5</v>
      </c>
      <c r="Z49" s="140">
        <f>-(Z45-Z45*10%)/10</f>
        <v>-315</v>
      </c>
      <c r="AB49" s="133" t="s">
        <v>469</v>
      </c>
      <c r="AC49" s="159">
        <f>-(AC45-AC45*5%)/8</f>
        <v>-142.5</v>
      </c>
      <c r="AD49" s="159">
        <f>-(AD45-AD45*10%)/8</f>
        <v>-135</v>
      </c>
    </row>
    <row r="50">
      <c r="S50" s="59"/>
      <c r="T50" s="65" t="s">
        <v>379</v>
      </c>
      <c r="U50" s="87">
        <f t="shared" ref="U50:V50" si="36">SUM(U46:U49)+U45</f>
        <v>2512.5</v>
      </c>
      <c r="V50" s="87">
        <f t="shared" si="36"/>
        <v>2675</v>
      </c>
      <c r="X50" s="132" t="s">
        <v>379</v>
      </c>
      <c r="Y50" s="140">
        <f t="shared" ref="Y50:Z50" si="37">SUM(Y46:Y49)+Y45</f>
        <v>3517.5</v>
      </c>
      <c r="Z50" s="140">
        <f t="shared" si="37"/>
        <v>3745</v>
      </c>
      <c r="AB50" s="133" t="s">
        <v>379</v>
      </c>
      <c r="AC50" s="159">
        <f t="shared" ref="AC50:AD50" si="38">SUM(AC46:AC49)+AC45</f>
        <v>1177.5</v>
      </c>
      <c r="AD50" s="159">
        <f t="shared" si="38"/>
        <v>1257</v>
      </c>
    </row>
    <row r="51">
      <c r="S51" s="59"/>
    </row>
    <row r="52">
      <c r="C52" s="23" t="s">
        <v>484</v>
      </c>
      <c r="S52" s="59"/>
      <c r="T52" s="51" t="s">
        <v>485</v>
      </c>
      <c r="U52" s="51" t="s">
        <v>327</v>
      </c>
      <c r="V52" s="51" t="s">
        <v>328</v>
      </c>
      <c r="X52" s="154" t="s">
        <v>486</v>
      </c>
      <c r="Y52" s="132" t="s">
        <v>327</v>
      </c>
      <c r="Z52" s="132" t="s">
        <v>328</v>
      </c>
      <c r="AB52" s="155" t="s">
        <v>487</v>
      </c>
      <c r="AC52" s="133" t="s">
        <v>327</v>
      </c>
      <c r="AD52" s="133" t="s">
        <v>328</v>
      </c>
    </row>
    <row r="53">
      <c r="C53" s="6"/>
      <c r="D53" s="4" t="s">
        <v>389</v>
      </c>
      <c r="E53" s="4" t="s">
        <v>390</v>
      </c>
      <c r="F53" s="4" t="s">
        <v>391</v>
      </c>
      <c r="G53" s="4" t="s">
        <v>392</v>
      </c>
      <c r="S53" s="59"/>
      <c r="T53" s="165" t="s">
        <v>459</v>
      </c>
      <c r="U53" s="166">
        <v>300.0</v>
      </c>
      <c r="V53" s="166">
        <v>300.0</v>
      </c>
      <c r="X53" s="154" t="s">
        <v>459</v>
      </c>
      <c r="Y53" s="137">
        <v>7500.0</v>
      </c>
      <c r="Z53" s="137">
        <v>7500.0</v>
      </c>
      <c r="AB53" s="155" t="s">
        <v>459</v>
      </c>
      <c r="AC53" s="138">
        <v>4500.0</v>
      </c>
      <c r="AD53" s="138">
        <v>4500.0</v>
      </c>
    </row>
    <row r="54" ht="42.0" customHeight="1">
      <c r="C54" s="54" t="s">
        <v>218</v>
      </c>
      <c r="D54" s="17">
        <v>0.0</v>
      </c>
      <c r="E54" s="35">
        <f>D33</f>
        <v>60</v>
      </c>
      <c r="F54" s="35">
        <f>MIN(E54,H49)</f>
        <v>60</v>
      </c>
      <c r="G54" s="109">
        <f t="shared" ref="G54:G61" si="39">D54+E54-F54</f>
        <v>0</v>
      </c>
      <c r="S54" s="59"/>
      <c r="T54" s="51" t="s">
        <v>465</v>
      </c>
      <c r="U54" s="166">
        <f>U53*1%</f>
        <v>3</v>
      </c>
      <c r="V54" s="167">
        <f>V53*2%</f>
        <v>6</v>
      </c>
      <c r="X54" s="132" t="s">
        <v>461</v>
      </c>
      <c r="Y54" s="140">
        <f>Y53*3%</f>
        <v>225</v>
      </c>
      <c r="Z54" s="140">
        <f>Z53*5%</f>
        <v>375</v>
      </c>
      <c r="AB54" s="133" t="s">
        <v>461</v>
      </c>
      <c r="AC54" s="159">
        <f>AC53*3%</f>
        <v>135</v>
      </c>
      <c r="AD54" s="159">
        <f>AD53*5%</f>
        <v>225</v>
      </c>
    </row>
    <row r="55" ht="42.0" customHeight="1">
      <c r="C55" s="54" t="s">
        <v>222</v>
      </c>
      <c r="D55" s="17">
        <v>0.0</v>
      </c>
      <c r="E55" s="35">
        <f>E33</f>
        <v>110</v>
      </c>
      <c r="F55" s="35">
        <f>min(E55,H49-F54)</f>
        <v>107.5</v>
      </c>
      <c r="G55" s="109">
        <f t="shared" si="39"/>
        <v>2.5</v>
      </c>
      <c r="H55" s="110"/>
      <c r="S55" s="59"/>
      <c r="T55" s="165" t="s">
        <v>468</v>
      </c>
      <c r="U55" s="166">
        <f>U53*5%</f>
        <v>15</v>
      </c>
      <c r="V55" s="166">
        <f>V53*8%</f>
        <v>24</v>
      </c>
      <c r="X55" s="132" t="s">
        <v>465</v>
      </c>
      <c r="Y55" s="137">
        <f>Y53*2%</f>
        <v>150</v>
      </c>
      <c r="Z55" s="140">
        <f>Z53*3%</f>
        <v>225</v>
      </c>
      <c r="AB55" s="133" t="s">
        <v>465</v>
      </c>
      <c r="AC55" s="138">
        <f>AC53*2%</f>
        <v>90</v>
      </c>
      <c r="AD55" s="159">
        <f>AD53*3%</f>
        <v>135</v>
      </c>
    </row>
    <row r="56" ht="42.0" customHeight="1">
      <c r="C56" s="54" t="s">
        <v>225</v>
      </c>
      <c r="D56" s="17">
        <v>0.0</v>
      </c>
      <c r="E56" s="35">
        <f>F33</f>
        <v>30</v>
      </c>
      <c r="F56" s="35">
        <f>MIN(E56,H49-F54-F55)</f>
        <v>0</v>
      </c>
      <c r="G56" s="109">
        <f t="shared" si="39"/>
        <v>30</v>
      </c>
      <c r="H56" s="110">
        <f>F56/SUM(F54:F56)</f>
        <v>0</v>
      </c>
      <c r="S56" s="59"/>
      <c r="T56" s="51" t="s">
        <v>469</v>
      </c>
      <c r="U56" s="167">
        <f>-((U53-U53*5%)/5)</f>
        <v>-57</v>
      </c>
      <c r="V56" s="167">
        <f>-((V53-V53*10%)/5)</f>
        <v>-54</v>
      </c>
      <c r="X56" s="154" t="s">
        <v>468</v>
      </c>
      <c r="Y56" s="137">
        <f>Y53*5%</f>
        <v>375</v>
      </c>
      <c r="Z56" s="137">
        <f>Z53*8%</f>
        <v>600</v>
      </c>
      <c r="AB56" s="155" t="s">
        <v>468</v>
      </c>
      <c r="AC56" s="138">
        <f>AC53*5%</f>
        <v>225</v>
      </c>
      <c r="AD56" s="138">
        <f>AD53*8%</f>
        <v>360</v>
      </c>
    </row>
    <row r="57" ht="42.0" customHeight="1">
      <c r="C57" s="56" t="s">
        <v>229</v>
      </c>
      <c r="D57" s="17">
        <v>0.0</v>
      </c>
      <c r="E57" s="35">
        <f>G33</f>
        <v>200</v>
      </c>
      <c r="F57" s="35">
        <f>MIN(E57,I49)</f>
        <v>200</v>
      </c>
      <c r="G57" s="109">
        <f t="shared" si="39"/>
        <v>0</v>
      </c>
      <c r="H57" s="110"/>
      <c r="S57" s="59"/>
      <c r="T57" s="51" t="s">
        <v>379</v>
      </c>
      <c r="U57" s="167">
        <f t="shared" ref="U57:V57" si="40">SUM(U54:U56)+U53</f>
        <v>261</v>
      </c>
      <c r="V57" s="167">
        <f t="shared" si="40"/>
        <v>276</v>
      </c>
      <c r="X57" s="132" t="s">
        <v>469</v>
      </c>
      <c r="Y57" s="140">
        <f>-(Y53-Y53*5%)/10</f>
        <v>-712.5</v>
      </c>
      <c r="Z57" s="140">
        <f>-(Z53-Z53*10%)/10</f>
        <v>-675</v>
      </c>
      <c r="AB57" s="133" t="s">
        <v>469</v>
      </c>
      <c r="AC57" s="159">
        <f>-(AC53-AC53*5%)/8</f>
        <v>-534.375</v>
      </c>
      <c r="AD57" s="159">
        <f>-(AD53-AD53*10%)/8</f>
        <v>-506.25</v>
      </c>
    </row>
    <row r="58" ht="42.0" customHeight="1">
      <c r="C58" s="56" t="s">
        <v>232</v>
      </c>
      <c r="D58" s="17">
        <v>0.0</v>
      </c>
      <c r="E58" s="35">
        <f>H33</f>
        <v>190</v>
      </c>
      <c r="F58" s="35">
        <f>MIN(E58,I49-F57)</f>
        <v>185</v>
      </c>
      <c r="G58" s="109">
        <f t="shared" si="39"/>
        <v>5</v>
      </c>
      <c r="H58" s="110">
        <f>F58/SUM(F57:F58)</f>
        <v>0.4805194805</v>
      </c>
      <c r="S58" s="59"/>
      <c r="X58" s="132" t="s">
        <v>379</v>
      </c>
      <c r="Y58" s="140">
        <f t="shared" ref="Y58:Z58" si="41">SUM(Y54:Y57)+Y53</f>
        <v>7537.5</v>
      </c>
      <c r="Z58" s="140">
        <f t="shared" si="41"/>
        <v>8025</v>
      </c>
      <c r="AB58" s="133" t="s">
        <v>379</v>
      </c>
      <c r="AC58" s="159">
        <f t="shared" ref="AC58:AD58" si="42">SUM(AC54:AC57)+AC53</f>
        <v>4415.625</v>
      </c>
      <c r="AD58" s="159">
        <f t="shared" si="42"/>
        <v>4713.75</v>
      </c>
    </row>
    <row r="59" ht="39.75" customHeight="1">
      <c r="C59" s="58" t="s">
        <v>237</v>
      </c>
      <c r="D59" s="17">
        <v>0.0</v>
      </c>
      <c r="E59" s="35">
        <f>I33</f>
        <v>0</v>
      </c>
      <c r="F59" s="35">
        <f>MIN(E59,J49)</f>
        <v>0</v>
      </c>
      <c r="G59" s="109">
        <f t="shared" si="39"/>
        <v>0</v>
      </c>
      <c r="H59" s="110"/>
      <c r="S59" s="59"/>
      <c r="T59" s="51" t="s">
        <v>491</v>
      </c>
      <c r="U59" s="51" t="s">
        <v>327</v>
      </c>
      <c r="V59" s="51" t="s">
        <v>328</v>
      </c>
    </row>
    <row r="60" ht="27.75" customHeight="1">
      <c r="C60" s="58" t="s">
        <v>240</v>
      </c>
      <c r="D60" s="17">
        <v>0.0</v>
      </c>
      <c r="E60" s="35">
        <f>J33</f>
        <v>1500</v>
      </c>
      <c r="F60" s="35">
        <f>MIN(E60,J49-F59)</f>
        <v>1500</v>
      </c>
      <c r="G60" s="109">
        <f t="shared" si="39"/>
        <v>0</v>
      </c>
      <c r="H60" s="110"/>
      <c r="S60" s="59"/>
      <c r="T60" s="165" t="s">
        <v>459</v>
      </c>
      <c r="U60" s="166">
        <v>1200.0</v>
      </c>
      <c r="V60" s="166">
        <v>1200.0</v>
      </c>
      <c r="X60" s="154" t="s">
        <v>492</v>
      </c>
      <c r="Y60" s="132" t="s">
        <v>327</v>
      </c>
      <c r="Z60" s="132" t="s">
        <v>328</v>
      </c>
      <c r="AB60" s="155" t="s">
        <v>493</v>
      </c>
      <c r="AC60" s="133" t="s">
        <v>327</v>
      </c>
      <c r="AD60" s="133" t="s">
        <v>328</v>
      </c>
    </row>
    <row r="61" ht="42.0" customHeight="1">
      <c r="C61" s="58" t="s">
        <v>244</v>
      </c>
      <c r="D61" s="17">
        <v>0.0</v>
      </c>
      <c r="E61" s="35">
        <f>K33</f>
        <v>1400</v>
      </c>
      <c r="F61" s="35">
        <f>MIN(E61,J49-F59-F60)</f>
        <v>1400</v>
      </c>
      <c r="G61" s="109">
        <f t="shared" si="39"/>
        <v>0</v>
      </c>
      <c r="H61" s="110">
        <f>F61/(SUM(F60:F61))</f>
        <v>0.4827586207</v>
      </c>
      <c r="S61" s="59"/>
      <c r="T61" s="51" t="s">
        <v>465</v>
      </c>
      <c r="U61" s="166">
        <f>U60*1%</f>
        <v>12</v>
      </c>
      <c r="V61" s="167">
        <f>V60*2%</f>
        <v>24</v>
      </c>
      <c r="X61" s="154" t="s">
        <v>459</v>
      </c>
      <c r="Y61" s="137">
        <v>15000.0</v>
      </c>
      <c r="Z61" s="137">
        <v>15000.0</v>
      </c>
      <c r="AB61" s="155" t="s">
        <v>459</v>
      </c>
      <c r="AC61" s="138">
        <v>9500.0</v>
      </c>
      <c r="AD61" s="138">
        <v>9500.0</v>
      </c>
    </row>
    <row r="62">
      <c r="B62" s="23" t="s">
        <v>394</v>
      </c>
      <c r="S62" s="59"/>
      <c r="T62" s="165" t="s">
        <v>468</v>
      </c>
      <c r="U62" s="166">
        <f>U60*5%</f>
        <v>60</v>
      </c>
      <c r="V62" s="166">
        <f>V60*8%</f>
        <v>96</v>
      </c>
      <c r="X62" s="132" t="s">
        <v>461</v>
      </c>
      <c r="Y62" s="140">
        <f>Y61*3%</f>
        <v>450</v>
      </c>
      <c r="Z62" s="140">
        <f>Z61*5%</f>
        <v>750</v>
      </c>
      <c r="AB62" s="133" t="s">
        <v>461</v>
      </c>
      <c r="AC62" s="159">
        <f>AC61*3%</f>
        <v>285</v>
      </c>
      <c r="AD62" s="159">
        <f>AD61*5%</f>
        <v>475</v>
      </c>
    </row>
    <row r="63" ht="30.0" customHeight="1">
      <c r="A63" s="100" t="s">
        <v>395</v>
      </c>
      <c r="B63" s="45">
        <v>3000.0</v>
      </c>
      <c r="S63" s="59"/>
      <c r="T63" s="51" t="s">
        <v>469</v>
      </c>
      <c r="U63" s="167">
        <f>-((U60-U60*5%)/5)</f>
        <v>-228</v>
      </c>
      <c r="V63" s="167">
        <f>-((V60-V60*10%)/5)</f>
        <v>-216</v>
      </c>
      <c r="X63" s="154" t="s">
        <v>465</v>
      </c>
      <c r="Y63" s="172">
        <f>Y61*2%</f>
        <v>300</v>
      </c>
      <c r="Z63" s="173">
        <f>Z61*3%</f>
        <v>450</v>
      </c>
      <c r="AB63" s="133" t="s">
        <v>465</v>
      </c>
      <c r="AC63" s="138">
        <f>AC61*2%</f>
        <v>190</v>
      </c>
      <c r="AD63" s="159">
        <f>AD61*3%</f>
        <v>285</v>
      </c>
    </row>
    <row r="64">
      <c r="A64" s="112"/>
      <c r="S64" s="59"/>
      <c r="T64" s="51" t="s">
        <v>379</v>
      </c>
      <c r="U64" s="167">
        <f t="shared" ref="U64:V64" si="43">SUM(U61:U63)+U60</f>
        <v>1044</v>
      </c>
      <c r="V64" s="167">
        <f t="shared" si="43"/>
        <v>1104</v>
      </c>
      <c r="X64" s="154" t="s">
        <v>468</v>
      </c>
      <c r="Y64" s="137">
        <f>Y61*5%</f>
        <v>750</v>
      </c>
      <c r="Z64" s="137">
        <f>Z61*8%</f>
        <v>1200</v>
      </c>
      <c r="AB64" s="155" t="s">
        <v>468</v>
      </c>
      <c r="AC64" s="138">
        <f>AC61*5%</f>
        <v>475</v>
      </c>
      <c r="AD64" s="138">
        <f>AD61*8%</f>
        <v>760</v>
      </c>
    </row>
    <row r="65">
      <c r="A65" s="112" t="s">
        <v>396</v>
      </c>
      <c r="C65" s="113">
        <f>F48*10</f>
        <v>2.119565217</v>
      </c>
      <c r="D65" s="113">
        <f>M10*10</f>
        <v>2.857142857</v>
      </c>
      <c r="E65" s="113">
        <f>AVERAGE(H56,H58,H61)*10</f>
        <v>3.210927004</v>
      </c>
      <c r="F65" s="37">
        <f>B63/10000*10</f>
        <v>3</v>
      </c>
      <c r="G65" s="114">
        <f>SUM(C65:F65)</f>
        <v>11.18763508</v>
      </c>
      <c r="H65" s="26" t="s">
        <v>397</v>
      </c>
      <c r="S65" s="59"/>
      <c r="X65" s="132" t="s">
        <v>469</v>
      </c>
      <c r="Y65" s="140">
        <f>-(Y61-Y61*5%)/10</f>
        <v>-1425</v>
      </c>
      <c r="Z65" s="140">
        <f>-(Z61-Z61*10%)/10</f>
        <v>-1350</v>
      </c>
      <c r="AB65" s="133" t="s">
        <v>469</v>
      </c>
      <c r="AC65" s="159">
        <f>-(AC61-AC61*5%)/8</f>
        <v>-1128.125</v>
      </c>
      <c r="AD65" s="159">
        <f>-(AD61-AD61*10%)/8</f>
        <v>-1068.75</v>
      </c>
    </row>
    <row r="66" ht="35.25" customHeight="1">
      <c r="C66" s="100" t="s">
        <v>398</v>
      </c>
      <c r="D66" s="100" t="s">
        <v>399</v>
      </c>
      <c r="E66" s="100" t="s">
        <v>400</v>
      </c>
      <c r="F66" s="100" t="s">
        <v>401</v>
      </c>
      <c r="S66" s="59"/>
      <c r="T66" s="51" t="s">
        <v>495</v>
      </c>
      <c r="U66" s="51" t="s">
        <v>327</v>
      </c>
      <c r="V66" s="51" t="s">
        <v>328</v>
      </c>
      <c r="X66" s="132" t="s">
        <v>379</v>
      </c>
      <c r="Y66" s="140">
        <f t="shared" ref="Y66:Z66" si="44">SUM(Y62:Y65)+Y61</f>
        <v>15075</v>
      </c>
      <c r="Z66" s="140">
        <f t="shared" si="44"/>
        <v>16050</v>
      </c>
      <c r="AB66" s="133" t="s">
        <v>379</v>
      </c>
      <c r="AC66" s="159">
        <f t="shared" ref="AC66:AD66" si="45">SUM(AC62:AC65)+AC61</f>
        <v>9321.875</v>
      </c>
      <c r="AD66" s="159">
        <f t="shared" si="45"/>
        <v>9951.25</v>
      </c>
    </row>
    <row r="67">
      <c r="S67" s="59"/>
      <c r="T67" s="165" t="s">
        <v>459</v>
      </c>
      <c r="U67" s="166">
        <v>3500.0</v>
      </c>
      <c r="V67" s="166">
        <v>3500.0</v>
      </c>
    </row>
    <row r="68">
      <c r="S68" s="59"/>
      <c r="T68" s="51" t="s">
        <v>465</v>
      </c>
      <c r="U68" s="166">
        <f>U67*1%</f>
        <v>35</v>
      </c>
      <c r="V68" s="167">
        <f>V67*2%</f>
        <v>70</v>
      </c>
    </row>
    <row r="69">
      <c r="S69" s="59"/>
      <c r="T69" s="165" t="s">
        <v>468</v>
      </c>
      <c r="U69" s="166">
        <f>U67*5%</f>
        <v>175</v>
      </c>
      <c r="V69" s="166">
        <f>V67*8%</f>
        <v>280</v>
      </c>
    </row>
    <row r="70">
      <c r="S70" s="59"/>
      <c r="T70" s="51" t="s">
        <v>469</v>
      </c>
      <c r="U70" s="167">
        <f>-((U67-U67*5%)/5)</f>
        <v>-665</v>
      </c>
      <c r="V70" s="167">
        <f>-((V67-V67*10%)/5)</f>
        <v>-630</v>
      </c>
    </row>
    <row r="71">
      <c r="S71" s="59"/>
      <c r="T71" s="51" t="s">
        <v>379</v>
      </c>
      <c r="U71" s="167">
        <f t="shared" ref="U71:V71" si="46">SUM(U68:U70)+U67</f>
        <v>3045</v>
      </c>
      <c r="V71" s="167">
        <f t="shared" si="46"/>
        <v>3220</v>
      </c>
    </row>
    <row r="72" ht="46.5" customHeight="1">
      <c r="B72" s="30" t="s">
        <v>402</v>
      </c>
      <c r="C72" s="17" t="s">
        <v>403</v>
      </c>
      <c r="D72" s="17" t="s">
        <v>404</v>
      </c>
      <c r="E72" s="17" t="s">
        <v>405</v>
      </c>
      <c r="F72" s="17" t="s">
        <v>406</v>
      </c>
      <c r="G72" s="17" t="s">
        <v>407</v>
      </c>
      <c r="H72" s="17" t="s">
        <v>408</v>
      </c>
      <c r="K72" s="100"/>
      <c r="L72" s="45"/>
      <c r="M72" s="45"/>
      <c r="N72" s="45"/>
      <c r="S72" s="59"/>
    </row>
    <row r="73">
      <c r="B73" s="17" t="s">
        <v>409</v>
      </c>
      <c r="C73" s="17">
        <v>7.0</v>
      </c>
      <c r="D73" s="17">
        <v>40.0</v>
      </c>
      <c r="E73" s="17">
        <f t="shared" ref="E73:E76" si="47">(MAX($D$73:$D$76)*2-D73)/10</f>
        <v>5</v>
      </c>
      <c r="F73" s="115">
        <f t="shared" ref="F73:F76" si="48">SUM(C73,E73)</f>
        <v>12</v>
      </c>
      <c r="G73" s="116">
        <f t="shared" ref="G73:G76" si="49">F73/$F$77</f>
        <v>0.223880597</v>
      </c>
      <c r="H73" s="6">
        <f t="shared" ref="H73:H76" si="50">ROUND(G73*$B$81,0)</f>
        <v>784</v>
      </c>
      <c r="K73" s="45"/>
      <c r="L73" s="45"/>
      <c r="M73" s="45"/>
      <c r="N73" s="37"/>
      <c r="O73" s="105"/>
      <c r="S73" s="59"/>
      <c r="T73" s="42" t="s">
        <v>496</v>
      </c>
    </row>
    <row r="74">
      <c r="B74" s="17" t="s">
        <v>410</v>
      </c>
      <c r="C74" s="17">
        <v>8.3</v>
      </c>
      <c r="D74" s="17">
        <v>45.0</v>
      </c>
      <c r="E74" s="17">
        <f t="shared" si="47"/>
        <v>4.5</v>
      </c>
      <c r="F74" s="115">
        <f t="shared" si="48"/>
        <v>12.8</v>
      </c>
      <c r="G74" s="116">
        <f t="shared" si="49"/>
        <v>0.2388059701</v>
      </c>
      <c r="H74" s="6">
        <f t="shared" si="50"/>
        <v>836</v>
      </c>
      <c r="K74" s="45"/>
      <c r="L74" s="117"/>
      <c r="M74" s="45"/>
      <c r="N74" s="37"/>
      <c r="O74" s="105"/>
      <c r="S74" s="59"/>
      <c r="T74" s="23" t="s">
        <v>497</v>
      </c>
      <c r="Z74" s="23" t="s">
        <v>498</v>
      </c>
    </row>
    <row r="75">
      <c r="B75" s="17" t="s">
        <v>411</v>
      </c>
      <c r="C75" s="118">
        <v>10.2</v>
      </c>
      <c r="D75" s="17">
        <v>43.0</v>
      </c>
      <c r="E75" s="17">
        <f t="shared" si="47"/>
        <v>4.7</v>
      </c>
      <c r="F75" s="115">
        <f t="shared" si="48"/>
        <v>14.9</v>
      </c>
      <c r="G75" s="116">
        <f t="shared" si="49"/>
        <v>0.2779850746</v>
      </c>
      <c r="H75" s="6">
        <f t="shared" si="50"/>
        <v>973</v>
      </c>
      <c r="K75" s="45"/>
      <c r="L75" s="117"/>
      <c r="M75" s="45"/>
      <c r="N75" s="37"/>
      <c r="O75" s="105"/>
      <c r="S75" s="59"/>
      <c r="T75" s="133" t="s">
        <v>499</v>
      </c>
      <c r="U75" s="133" t="s">
        <v>500</v>
      </c>
      <c r="V75" s="133" t="s">
        <v>501</v>
      </c>
      <c r="W75" s="155" t="s">
        <v>502</v>
      </c>
      <c r="X75" s="133" t="s">
        <v>503</v>
      </c>
      <c r="Z75" s="133" t="s">
        <v>499</v>
      </c>
      <c r="AA75" s="133" t="s">
        <v>500</v>
      </c>
      <c r="AB75" s="133" t="s">
        <v>501</v>
      </c>
      <c r="AC75" s="155" t="s">
        <v>502</v>
      </c>
      <c r="AD75" s="133" t="s">
        <v>503</v>
      </c>
    </row>
    <row r="76">
      <c r="B76" s="17" t="s">
        <v>412</v>
      </c>
      <c r="C76" s="17">
        <v>9.0</v>
      </c>
      <c r="D76" s="17">
        <v>41.0</v>
      </c>
      <c r="E76" s="17">
        <f t="shared" si="47"/>
        <v>4.9</v>
      </c>
      <c r="F76" s="115">
        <f t="shared" si="48"/>
        <v>13.9</v>
      </c>
      <c r="G76" s="116">
        <f t="shared" si="49"/>
        <v>0.2593283582</v>
      </c>
      <c r="H76" s="6">
        <f t="shared" si="50"/>
        <v>908</v>
      </c>
      <c r="K76" s="45"/>
      <c r="L76" s="45"/>
      <c r="M76" s="45"/>
      <c r="N76" s="37"/>
      <c r="O76" s="105"/>
      <c r="S76" s="59"/>
      <c r="T76" s="133" t="s">
        <v>217</v>
      </c>
      <c r="U76" s="174" t="s">
        <v>504</v>
      </c>
      <c r="V76" s="175">
        <v>25.0</v>
      </c>
      <c r="W76" s="176">
        <f t="shared" ref="W76:W83" si="51">V76-V76*8%</f>
        <v>23</v>
      </c>
      <c r="X76" s="177" t="s">
        <v>505</v>
      </c>
      <c r="Z76" s="133" t="s">
        <v>217</v>
      </c>
      <c r="AA76" s="174" t="s">
        <v>504</v>
      </c>
      <c r="AB76" s="175">
        <f>25*60</f>
        <v>1500</v>
      </c>
      <c r="AC76" s="176">
        <f t="shared" ref="AC76:AC83" si="52">AB76-AB76*8%</f>
        <v>1380</v>
      </c>
      <c r="AD76" s="177" t="s">
        <v>506</v>
      </c>
    </row>
    <row r="77">
      <c r="B77" s="59"/>
      <c r="E77" s="23" t="s">
        <v>413</v>
      </c>
      <c r="F77" s="119">
        <f>SUM(F73:F76)</f>
        <v>53.6</v>
      </c>
      <c r="H77" s="38">
        <f>SUM(H73:H76)</f>
        <v>3501</v>
      </c>
      <c r="S77" s="59"/>
      <c r="T77" s="133" t="s">
        <v>217</v>
      </c>
      <c r="U77" s="174" t="s">
        <v>507</v>
      </c>
      <c r="V77" s="175">
        <v>45.0</v>
      </c>
      <c r="W77" s="176">
        <f t="shared" si="51"/>
        <v>41.4</v>
      </c>
      <c r="X77" s="177" t="s">
        <v>505</v>
      </c>
      <c r="Z77" s="133" t="s">
        <v>217</v>
      </c>
      <c r="AA77" s="174" t="s">
        <v>507</v>
      </c>
      <c r="AB77" s="175">
        <f>45*55</f>
        <v>2475</v>
      </c>
      <c r="AC77" s="176">
        <f t="shared" si="52"/>
        <v>2277</v>
      </c>
      <c r="AD77" s="177" t="s">
        <v>511</v>
      </c>
    </row>
    <row r="78">
      <c r="B78" s="59"/>
      <c r="F78" s="120"/>
      <c r="S78" s="59"/>
      <c r="T78" s="133" t="s">
        <v>217</v>
      </c>
      <c r="U78" s="174" t="s">
        <v>513</v>
      </c>
      <c r="V78" s="175">
        <v>80.0</v>
      </c>
      <c r="W78" s="176">
        <f t="shared" si="51"/>
        <v>73.6</v>
      </c>
      <c r="X78" s="177" t="s">
        <v>505</v>
      </c>
      <c r="Z78" s="133" t="s">
        <v>217</v>
      </c>
      <c r="AA78" s="174" t="s">
        <v>513</v>
      </c>
      <c r="AB78" s="175">
        <f>80*15</f>
        <v>1200</v>
      </c>
      <c r="AC78" s="176">
        <f t="shared" si="52"/>
        <v>1104</v>
      </c>
      <c r="AD78" s="177" t="s">
        <v>515</v>
      </c>
    </row>
    <row r="79">
      <c r="B79" s="7">
        <v>7000.0</v>
      </c>
      <c r="C79" s="23" t="s">
        <v>417</v>
      </c>
      <c r="F79" s="120"/>
      <c r="K79" s="23"/>
      <c r="S79" s="59"/>
      <c r="T79" s="133" t="s">
        <v>228</v>
      </c>
      <c r="U79" s="174" t="s">
        <v>516</v>
      </c>
      <c r="V79" s="175">
        <v>4.0</v>
      </c>
      <c r="W79" s="176">
        <f t="shared" si="51"/>
        <v>3.68</v>
      </c>
      <c r="X79" s="177" t="s">
        <v>335</v>
      </c>
      <c r="Z79" s="133" t="s">
        <v>228</v>
      </c>
      <c r="AA79" s="174" t="s">
        <v>516</v>
      </c>
      <c r="AB79" s="175">
        <f>4*200</f>
        <v>800</v>
      </c>
      <c r="AC79" s="176">
        <f t="shared" si="52"/>
        <v>736</v>
      </c>
      <c r="AD79" s="177" t="s">
        <v>518</v>
      </c>
    </row>
    <row r="80">
      <c r="B80" s="121">
        <v>0.5</v>
      </c>
      <c r="F80" s="120"/>
      <c r="K80" s="39"/>
      <c r="S80" s="59"/>
      <c r="T80" s="133" t="s">
        <v>228</v>
      </c>
      <c r="U80" s="177" t="s">
        <v>519</v>
      </c>
      <c r="V80" s="175">
        <v>9.0</v>
      </c>
      <c r="W80" s="176">
        <f t="shared" si="51"/>
        <v>8.28</v>
      </c>
      <c r="X80" s="177" t="s">
        <v>335</v>
      </c>
      <c r="Z80" s="133" t="s">
        <v>228</v>
      </c>
      <c r="AA80" s="177" t="s">
        <v>519</v>
      </c>
      <c r="AB80" s="175">
        <f>9*190</f>
        <v>1710</v>
      </c>
      <c r="AC80" s="176">
        <f t="shared" si="52"/>
        <v>1573.2</v>
      </c>
      <c r="AD80" s="177" t="s">
        <v>520</v>
      </c>
    </row>
    <row r="81">
      <c r="B81" s="59">
        <f>B79*B80</f>
        <v>3500</v>
      </c>
      <c r="C81" s="23" t="s">
        <v>418</v>
      </c>
      <c r="F81" s="120"/>
      <c r="S81" s="59"/>
      <c r="T81" s="133" t="s">
        <v>235</v>
      </c>
      <c r="U81" s="174" t="s">
        <v>521</v>
      </c>
      <c r="V81" s="175">
        <v>2.0</v>
      </c>
      <c r="W81" s="176">
        <f t="shared" si="51"/>
        <v>1.84</v>
      </c>
      <c r="X81" s="177" t="s">
        <v>522</v>
      </c>
      <c r="Z81" s="133" t="s">
        <v>235</v>
      </c>
      <c r="AA81" s="174" t="s">
        <v>521</v>
      </c>
      <c r="AB81" s="175">
        <f>2*0</f>
        <v>0</v>
      </c>
      <c r="AC81" s="176">
        <f t="shared" si="52"/>
        <v>0</v>
      </c>
      <c r="AD81" s="177" t="s">
        <v>524</v>
      </c>
    </row>
    <row r="82">
      <c r="B82" s="122"/>
      <c r="C82" s="123"/>
      <c r="D82" s="123"/>
      <c r="E82" s="123"/>
      <c r="F82" s="124"/>
      <c r="S82" s="59"/>
      <c r="T82" s="133" t="s">
        <v>235</v>
      </c>
      <c r="U82" s="174" t="s">
        <v>525</v>
      </c>
      <c r="V82" s="175">
        <v>4.0</v>
      </c>
      <c r="W82" s="176">
        <f t="shared" si="51"/>
        <v>3.68</v>
      </c>
      <c r="X82" s="177" t="s">
        <v>522</v>
      </c>
      <c r="Z82" s="133" t="s">
        <v>235</v>
      </c>
      <c r="AA82" s="174" t="s">
        <v>525</v>
      </c>
      <c r="AB82" s="175">
        <f>4*6</f>
        <v>24</v>
      </c>
      <c r="AC82" s="176">
        <f t="shared" si="52"/>
        <v>22.08</v>
      </c>
      <c r="AD82" s="177" t="s">
        <v>527</v>
      </c>
    </row>
    <row r="83">
      <c r="S83" s="59"/>
      <c r="T83" s="133" t="s">
        <v>235</v>
      </c>
      <c r="U83" s="174" t="s">
        <v>528</v>
      </c>
      <c r="V83" s="175">
        <v>7.0</v>
      </c>
      <c r="W83" s="176">
        <f t="shared" si="51"/>
        <v>6.44</v>
      </c>
      <c r="X83" s="177" t="s">
        <v>522</v>
      </c>
      <c r="Z83" s="133" t="s">
        <v>235</v>
      </c>
      <c r="AA83" s="174" t="s">
        <v>528</v>
      </c>
      <c r="AB83" s="175">
        <f>7*7</f>
        <v>49</v>
      </c>
      <c r="AC83" s="176">
        <f t="shared" si="52"/>
        <v>45.08</v>
      </c>
      <c r="AD83" s="177" t="s">
        <v>529</v>
      </c>
    </row>
    <row r="84">
      <c r="S84" s="59"/>
      <c r="V84" s="179"/>
      <c r="W84" s="179"/>
      <c r="Z84" s="133" t="s">
        <v>413</v>
      </c>
      <c r="AA84" s="180"/>
      <c r="AB84" s="181">
        <f t="shared" ref="AB84:AC84" si="53">SUM(AB76:AB83)</f>
        <v>7758</v>
      </c>
      <c r="AC84" s="181">
        <f t="shared" si="53"/>
        <v>7137.36</v>
      </c>
      <c r="AD84" s="180"/>
    </row>
    <row r="85">
      <c r="S85" s="59"/>
      <c r="T85" s="23" t="s">
        <v>531</v>
      </c>
    </row>
    <row r="86">
      <c r="B86" s="30" t="s">
        <v>419</v>
      </c>
      <c r="C86" s="17" t="s">
        <v>403</v>
      </c>
      <c r="D86" s="17" t="s">
        <v>404</v>
      </c>
      <c r="E86" s="17" t="s">
        <v>405</v>
      </c>
      <c r="F86" s="17" t="s">
        <v>406</v>
      </c>
      <c r="G86" s="17" t="s">
        <v>407</v>
      </c>
      <c r="H86" s="17" t="s">
        <v>408</v>
      </c>
      <c r="S86" s="59"/>
      <c r="T86" s="133" t="s">
        <v>499</v>
      </c>
      <c r="U86" s="133" t="s">
        <v>500</v>
      </c>
      <c r="V86" s="133" t="s">
        <v>501</v>
      </c>
      <c r="W86" s="155" t="s">
        <v>502</v>
      </c>
      <c r="X86" s="155" t="s">
        <v>532</v>
      </c>
      <c r="Z86" s="23" t="s">
        <v>533</v>
      </c>
    </row>
    <row r="87">
      <c r="B87" s="17" t="s">
        <v>409</v>
      </c>
      <c r="C87" s="17">
        <v>7.0</v>
      </c>
      <c r="D87" s="17">
        <v>120.0</v>
      </c>
      <c r="E87" s="35">
        <f t="shared" ref="E87:E90" si="54">(MAX($D$87:$D$90)*2-D87)/10</f>
        <v>28</v>
      </c>
      <c r="F87" s="115">
        <f t="shared" ref="F87:F90" si="55">SUM(C87,E87)</f>
        <v>35</v>
      </c>
      <c r="G87" s="116">
        <f t="shared" ref="G87:G90" si="56">F87/$F$91</f>
        <v>0.2723735409</v>
      </c>
      <c r="H87" s="6">
        <f t="shared" ref="H87:H90" si="57">ROUND(G87*$B$81,0)</f>
        <v>953</v>
      </c>
      <c r="S87" s="59"/>
      <c r="T87" s="133" t="s">
        <v>217</v>
      </c>
      <c r="U87" s="174" t="s">
        <v>504</v>
      </c>
      <c r="V87" s="175">
        <f>25*60</f>
        <v>1500</v>
      </c>
      <c r="W87" s="176">
        <f t="shared" ref="W87:W94" si="58">V87-V87*8%</f>
        <v>1380</v>
      </c>
      <c r="X87" s="177" t="s">
        <v>506</v>
      </c>
      <c r="Z87" s="133" t="s">
        <v>499</v>
      </c>
      <c r="AA87" s="133" t="s">
        <v>500</v>
      </c>
      <c r="AB87" s="133" t="s">
        <v>501</v>
      </c>
      <c r="AC87" s="155" t="s">
        <v>502</v>
      </c>
      <c r="AD87" s="155" t="s">
        <v>532</v>
      </c>
    </row>
    <row r="88">
      <c r="B88" s="17" t="s">
        <v>410</v>
      </c>
      <c r="C88" s="17">
        <v>8.3</v>
      </c>
      <c r="D88" s="17">
        <v>150.0</v>
      </c>
      <c r="E88" s="35">
        <f t="shared" si="54"/>
        <v>25</v>
      </c>
      <c r="F88" s="115">
        <f t="shared" si="55"/>
        <v>33.3</v>
      </c>
      <c r="G88" s="116">
        <f t="shared" si="56"/>
        <v>0.2591439689</v>
      </c>
      <c r="H88" s="6">
        <f t="shared" si="57"/>
        <v>907</v>
      </c>
      <c r="S88" s="59"/>
      <c r="T88" s="133" t="s">
        <v>217</v>
      </c>
      <c r="U88" s="174" t="s">
        <v>507</v>
      </c>
      <c r="V88" s="175">
        <f>45*110</f>
        <v>4950</v>
      </c>
      <c r="W88" s="176">
        <f t="shared" si="58"/>
        <v>4554</v>
      </c>
      <c r="X88" s="177" t="s">
        <v>539</v>
      </c>
      <c r="Z88" s="133" t="s">
        <v>217</v>
      </c>
      <c r="AA88" s="174" t="s">
        <v>504</v>
      </c>
      <c r="AB88" s="175">
        <f>25*60</f>
        <v>1500</v>
      </c>
      <c r="AC88" s="176">
        <f t="shared" ref="AC88:AC95" si="59">AB88-AB88*8%</f>
        <v>1380</v>
      </c>
      <c r="AD88" s="177" t="s">
        <v>506</v>
      </c>
    </row>
    <row r="89">
      <c r="B89" s="17" t="s">
        <v>411</v>
      </c>
      <c r="C89" s="17">
        <v>10.2</v>
      </c>
      <c r="D89" s="17">
        <v>190.0</v>
      </c>
      <c r="E89" s="35">
        <f t="shared" si="54"/>
        <v>21</v>
      </c>
      <c r="F89" s="115">
        <f t="shared" si="55"/>
        <v>31.2</v>
      </c>
      <c r="G89" s="116">
        <f t="shared" si="56"/>
        <v>0.2428015564</v>
      </c>
      <c r="H89" s="6">
        <f t="shared" si="57"/>
        <v>850</v>
      </c>
      <c r="S89" s="59"/>
      <c r="T89" s="133" t="s">
        <v>217</v>
      </c>
      <c r="U89" s="174" t="s">
        <v>513</v>
      </c>
      <c r="V89" s="175">
        <f>80*30</f>
        <v>2400</v>
      </c>
      <c r="W89" s="176">
        <f t="shared" si="58"/>
        <v>2208</v>
      </c>
      <c r="X89" s="177" t="s">
        <v>541</v>
      </c>
      <c r="Z89" s="133" t="s">
        <v>217</v>
      </c>
      <c r="AA89" s="174" t="s">
        <v>507</v>
      </c>
      <c r="AB89" s="175">
        <f>45*107</f>
        <v>4815</v>
      </c>
      <c r="AC89" s="176">
        <f t="shared" si="59"/>
        <v>4429.8</v>
      </c>
      <c r="AD89" s="177" t="s">
        <v>542</v>
      </c>
    </row>
    <row r="90">
      <c r="B90" s="17" t="s">
        <v>412</v>
      </c>
      <c r="C90" s="17">
        <v>9.0</v>
      </c>
      <c r="D90" s="17">
        <v>200.0</v>
      </c>
      <c r="E90" s="35">
        <f t="shared" si="54"/>
        <v>20</v>
      </c>
      <c r="F90" s="115">
        <f t="shared" si="55"/>
        <v>29</v>
      </c>
      <c r="G90" s="116">
        <f t="shared" si="56"/>
        <v>0.2256809339</v>
      </c>
      <c r="H90" s="6">
        <f t="shared" si="57"/>
        <v>790</v>
      </c>
      <c r="S90" s="59"/>
      <c r="T90" s="133" t="s">
        <v>228</v>
      </c>
      <c r="U90" s="174" t="s">
        <v>516</v>
      </c>
      <c r="V90" s="175">
        <f>4*200</f>
        <v>800</v>
      </c>
      <c r="W90" s="176">
        <f t="shared" si="58"/>
        <v>736</v>
      </c>
      <c r="X90" s="177" t="s">
        <v>518</v>
      </c>
      <c r="Z90" s="133" t="s">
        <v>217</v>
      </c>
      <c r="AA90" s="174" t="s">
        <v>513</v>
      </c>
      <c r="AB90" s="175">
        <f>80*0</f>
        <v>0</v>
      </c>
      <c r="AC90" s="176">
        <f t="shared" si="59"/>
        <v>0</v>
      </c>
      <c r="AD90" s="177" t="s">
        <v>543</v>
      </c>
    </row>
    <row r="91">
      <c r="B91" s="59"/>
      <c r="E91" s="23" t="s">
        <v>413</v>
      </c>
      <c r="F91" s="119">
        <f>SUM(F87:F90)</f>
        <v>128.5</v>
      </c>
      <c r="S91" s="59"/>
      <c r="T91" s="133" t="s">
        <v>228</v>
      </c>
      <c r="U91" s="177" t="s">
        <v>519</v>
      </c>
      <c r="V91" s="175">
        <f>9*190</f>
        <v>1710</v>
      </c>
      <c r="W91" s="176">
        <f t="shared" si="58"/>
        <v>1573.2</v>
      </c>
      <c r="X91" s="177" t="s">
        <v>520</v>
      </c>
      <c r="Z91" s="133" t="s">
        <v>228</v>
      </c>
      <c r="AA91" s="174" t="s">
        <v>516</v>
      </c>
      <c r="AB91" s="175">
        <f>4*200</f>
        <v>800</v>
      </c>
      <c r="AC91" s="176">
        <f t="shared" si="59"/>
        <v>736</v>
      </c>
      <c r="AD91" s="177" t="s">
        <v>518</v>
      </c>
    </row>
    <row r="92">
      <c r="B92" s="59"/>
      <c r="F92" s="120"/>
      <c r="S92" s="59"/>
      <c r="T92" s="133" t="s">
        <v>235</v>
      </c>
      <c r="U92" s="174" t="s">
        <v>521</v>
      </c>
      <c r="V92" s="175">
        <f>2*0</f>
        <v>0</v>
      </c>
      <c r="W92" s="176">
        <f t="shared" si="58"/>
        <v>0</v>
      </c>
      <c r="X92" s="177" t="s">
        <v>524</v>
      </c>
      <c r="Z92" s="133" t="s">
        <v>228</v>
      </c>
      <c r="AA92" s="177" t="s">
        <v>519</v>
      </c>
      <c r="AB92" s="175">
        <f>9*185</f>
        <v>1665</v>
      </c>
      <c r="AC92" s="176">
        <f t="shared" si="59"/>
        <v>1531.8</v>
      </c>
      <c r="AD92" s="177" t="s">
        <v>544</v>
      </c>
    </row>
    <row r="93">
      <c r="B93" s="7">
        <v>5000.0</v>
      </c>
      <c r="C93" s="23" t="s">
        <v>417</v>
      </c>
      <c r="F93" s="120"/>
      <c r="S93" s="59"/>
      <c r="T93" s="133" t="s">
        <v>235</v>
      </c>
      <c r="U93" s="174" t="s">
        <v>525</v>
      </c>
      <c r="V93" s="175">
        <f>4*1500</f>
        <v>6000</v>
      </c>
      <c r="W93" s="176">
        <f t="shared" si="58"/>
        <v>5520</v>
      </c>
      <c r="X93" s="177" t="s">
        <v>545</v>
      </c>
      <c r="Z93" s="133" t="s">
        <v>235</v>
      </c>
      <c r="AA93" s="174" t="s">
        <v>521</v>
      </c>
      <c r="AB93" s="175">
        <f>2*0</f>
        <v>0</v>
      </c>
      <c r="AC93" s="176">
        <f t="shared" si="59"/>
        <v>0</v>
      </c>
      <c r="AD93" s="177" t="s">
        <v>524</v>
      </c>
    </row>
    <row r="94">
      <c r="B94" s="121">
        <v>0.7</v>
      </c>
      <c r="F94" s="120"/>
      <c r="S94" s="59"/>
      <c r="T94" s="133" t="s">
        <v>235</v>
      </c>
      <c r="U94" s="174" t="s">
        <v>528</v>
      </c>
      <c r="V94" s="175">
        <f>7*1400</f>
        <v>9800</v>
      </c>
      <c r="W94" s="176">
        <f t="shared" si="58"/>
        <v>9016</v>
      </c>
      <c r="X94" s="177" t="s">
        <v>546</v>
      </c>
      <c r="Z94" s="133" t="s">
        <v>235</v>
      </c>
      <c r="AA94" s="174" t="s">
        <v>525</v>
      </c>
      <c r="AB94" s="175">
        <f>4*1500</f>
        <v>6000</v>
      </c>
      <c r="AC94" s="176">
        <f t="shared" si="59"/>
        <v>5520</v>
      </c>
      <c r="AD94" s="177" t="s">
        <v>545</v>
      </c>
    </row>
    <row r="95">
      <c r="B95" s="59">
        <f>B93*B94</f>
        <v>3500</v>
      </c>
      <c r="C95" s="23" t="s">
        <v>418</v>
      </c>
      <c r="F95" s="120"/>
      <c r="S95" s="59"/>
      <c r="T95" s="133" t="s">
        <v>413</v>
      </c>
      <c r="U95" s="180"/>
      <c r="V95" s="181">
        <f t="shared" ref="V95:W95" si="60">SUM(V87:V94)</f>
        <v>27160</v>
      </c>
      <c r="W95" s="181">
        <f t="shared" si="60"/>
        <v>24987.2</v>
      </c>
      <c r="X95" s="180"/>
      <c r="Z95" s="133" t="s">
        <v>235</v>
      </c>
      <c r="AA95" s="174" t="s">
        <v>528</v>
      </c>
      <c r="AB95" s="175">
        <f>7*1400</f>
        <v>9800</v>
      </c>
      <c r="AC95" s="176">
        <f t="shared" si="59"/>
        <v>9016</v>
      </c>
      <c r="AD95" s="177" t="s">
        <v>546</v>
      </c>
    </row>
    <row r="96">
      <c r="B96" s="122"/>
      <c r="C96" s="123"/>
      <c r="D96" s="123"/>
      <c r="E96" s="123"/>
      <c r="F96" s="124"/>
      <c r="S96" s="59"/>
      <c r="Z96" s="133" t="s">
        <v>413</v>
      </c>
      <c r="AA96" s="180"/>
      <c r="AB96" s="181">
        <f t="shared" ref="AB96:AC96" si="61">SUM(AB88:AB95)</f>
        <v>24580</v>
      </c>
      <c r="AC96" s="181">
        <f t="shared" si="61"/>
        <v>22613.6</v>
      </c>
      <c r="AD96" s="180"/>
    </row>
    <row r="97">
      <c r="S97" s="59"/>
    </row>
    <row r="98">
      <c r="S98" s="59"/>
      <c r="T98" s="23" t="s">
        <v>547</v>
      </c>
    </row>
    <row r="99">
      <c r="S99" s="59"/>
    </row>
    <row r="100">
      <c r="B100" s="30" t="s">
        <v>420</v>
      </c>
      <c r="C100" s="17" t="s">
        <v>403</v>
      </c>
      <c r="D100" s="17" t="s">
        <v>404</v>
      </c>
      <c r="E100" s="17" t="s">
        <v>405</v>
      </c>
      <c r="F100" s="17" t="s">
        <v>406</v>
      </c>
      <c r="G100" s="17" t="s">
        <v>407</v>
      </c>
      <c r="H100" s="17" t="s">
        <v>408</v>
      </c>
      <c r="S100" s="59"/>
      <c r="T100" s="133" t="s">
        <v>413</v>
      </c>
      <c r="U100" s="180"/>
      <c r="V100" s="181">
        <f t="shared" ref="V100:W100" si="62">V95-AB96</f>
        <v>2580</v>
      </c>
      <c r="W100" s="181">
        <f t="shared" si="62"/>
        <v>2373.6</v>
      </c>
      <c r="X100" s="180"/>
    </row>
    <row r="101">
      <c r="B101" s="17" t="s">
        <v>409</v>
      </c>
      <c r="C101" s="17">
        <v>7.0</v>
      </c>
      <c r="D101" s="17">
        <v>250.0</v>
      </c>
      <c r="E101" s="35">
        <f t="shared" ref="E101:E104" si="63">(MAX($D$101:$D$104)*2-D101)/10</f>
        <v>55</v>
      </c>
      <c r="F101" s="115">
        <f t="shared" ref="F101:F104" si="64">SUM(C101,E101)</f>
        <v>62</v>
      </c>
      <c r="G101" s="116">
        <f t="shared" ref="G101:G104" si="65">F101/$F$105</f>
        <v>0.2610526316</v>
      </c>
      <c r="H101" s="6">
        <f t="shared" ref="H101:H104" si="66">ROUND(G101*$B$109,0)</f>
        <v>209</v>
      </c>
      <c r="S101" s="59"/>
    </row>
    <row r="102">
      <c r="B102" s="17" t="s">
        <v>410</v>
      </c>
      <c r="C102" s="17">
        <v>8.3</v>
      </c>
      <c r="D102" s="17">
        <v>300.0</v>
      </c>
      <c r="E102" s="35">
        <f t="shared" si="63"/>
        <v>50</v>
      </c>
      <c r="F102" s="115">
        <f t="shared" si="64"/>
        <v>58.3</v>
      </c>
      <c r="G102" s="116">
        <f t="shared" si="65"/>
        <v>0.2454736842</v>
      </c>
      <c r="H102" s="6">
        <f t="shared" si="66"/>
        <v>196</v>
      </c>
      <c r="S102" s="59"/>
    </row>
    <row r="103">
      <c r="B103" s="17" t="s">
        <v>411</v>
      </c>
      <c r="C103" s="17">
        <v>10.2</v>
      </c>
      <c r="D103" s="17">
        <v>220.0</v>
      </c>
      <c r="E103" s="35">
        <f t="shared" si="63"/>
        <v>58</v>
      </c>
      <c r="F103" s="115">
        <f t="shared" si="64"/>
        <v>68.2</v>
      </c>
      <c r="G103" s="116">
        <f t="shared" si="65"/>
        <v>0.2871578947</v>
      </c>
      <c r="H103" s="6">
        <f t="shared" si="66"/>
        <v>230</v>
      </c>
      <c r="S103" s="59"/>
    </row>
    <row r="104">
      <c r="B104" s="17" t="s">
        <v>412</v>
      </c>
      <c r="C104" s="17">
        <v>9.0</v>
      </c>
      <c r="D104" s="17">
        <v>400.0</v>
      </c>
      <c r="E104" s="35">
        <f t="shared" si="63"/>
        <v>40</v>
      </c>
      <c r="F104" s="115">
        <f t="shared" si="64"/>
        <v>49</v>
      </c>
      <c r="G104" s="116">
        <f t="shared" si="65"/>
        <v>0.2063157895</v>
      </c>
      <c r="H104" s="6">
        <f t="shared" si="66"/>
        <v>165</v>
      </c>
      <c r="S104" s="59"/>
    </row>
    <row r="105">
      <c r="B105" s="59"/>
      <c r="E105" s="23" t="s">
        <v>413</v>
      </c>
      <c r="F105" s="119">
        <f>SUM(F101:F104)</f>
        <v>237.5</v>
      </c>
      <c r="S105" s="59"/>
    </row>
    <row r="106">
      <c r="B106" s="59"/>
      <c r="F106" s="120"/>
      <c r="S106" s="59"/>
    </row>
    <row r="107">
      <c r="B107" s="7">
        <v>2000.0</v>
      </c>
      <c r="C107" s="23" t="s">
        <v>417</v>
      </c>
      <c r="F107" s="120"/>
      <c r="S107" s="59"/>
    </row>
    <row r="108">
      <c r="B108" s="121">
        <v>0.4</v>
      </c>
      <c r="F108" s="120"/>
      <c r="S108" s="59"/>
    </row>
    <row r="109">
      <c r="B109" s="59">
        <f>B107*B108</f>
        <v>800</v>
      </c>
      <c r="C109" s="23" t="s">
        <v>418</v>
      </c>
      <c r="F109" s="120"/>
      <c r="S109" s="59"/>
    </row>
    <row r="110">
      <c r="B110" s="122"/>
      <c r="C110" s="123"/>
      <c r="D110" s="123"/>
      <c r="E110" s="123"/>
      <c r="F110" s="124"/>
      <c r="S110" s="59"/>
    </row>
    <row r="111">
      <c r="S111" s="59"/>
    </row>
    <row r="112">
      <c r="S112" s="59"/>
    </row>
    <row r="113">
      <c r="A113" s="112" t="s">
        <v>396</v>
      </c>
      <c r="C113" s="113">
        <f>F48*10</f>
        <v>2.119565217</v>
      </c>
      <c r="D113" s="113">
        <f>M10*10</f>
        <v>2.857142857</v>
      </c>
      <c r="E113" s="113">
        <f>AVERAGE(H56,H58,H61)*10</f>
        <v>3.210927004</v>
      </c>
      <c r="F113" s="37">
        <f>B63/10000*10</f>
        <v>3</v>
      </c>
      <c r="G113" s="114">
        <f>SUM(C113:F113)</f>
        <v>11.18763508</v>
      </c>
      <c r="H113" s="26" t="s">
        <v>397</v>
      </c>
      <c r="S113" s="59"/>
    </row>
    <row r="114">
      <c r="C114" s="100" t="s">
        <v>398</v>
      </c>
      <c r="D114" s="100" t="s">
        <v>399</v>
      </c>
      <c r="E114" s="100" t="s">
        <v>400</v>
      </c>
      <c r="F114" s="100" t="s">
        <v>401</v>
      </c>
      <c r="L114" s="142" t="s">
        <v>434</v>
      </c>
      <c r="M114" s="143">
        <v>0.7</v>
      </c>
      <c r="S114" s="59"/>
    </row>
    <row r="115">
      <c r="L115" s="142" t="s">
        <v>438</v>
      </c>
      <c r="M115" s="143">
        <v>0.2</v>
      </c>
      <c r="S115" s="59"/>
    </row>
    <row r="116">
      <c r="L116" s="142" t="s">
        <v>441</v>
      </c>
      <c r="M116" s="143">
        <v>0.1</v>
      </c>
      <c r="S116" s="59"/>
    </row>
    <row r="117">
      <c r="B117" s="144" t="s">
        <v>402</v>
      </c>
      <c r="C117" s="144" t="s">
        <v>404</v>
      </c>
      <c r="D117" s="144" t="s">
        <v>442</v>
      </c>
      <c r="E117" s="144" t="s">
        <v>443</v>
      </c>
      <c r="F117" s="144" t="s">
        <v>444</v>
      </c>
      <c r="G117" s="144" t="s">
        <v>445</v>
      </c>
      <c r="H117" s="144" t="s">
        <v>406</v>
      </c>
      <c r="I117" s="144" t="s">
        <v>407</v>
      </c>
      <c r="J117" s="144" t="s">
        <v>408</v>
      </c>
      <c r="K117" s="145"/>
      <c r="S117" s="59"/>
    </row>
    <row r="118">
      <c r="B118" s="146" t="s">
        <v>409</v>
      </c>
      <c r="C118" s="147">
        <v>40.0</v>
      </c>
      <c r="D118" s="148">
        <v>7.0</v>
      </c>
      <c r="E118" s="148">
        <f t="shared" ref="E118:E121" si="67">ROUND((D118/$D$122)*100,0)</f>
        <v>20</v>
      </c>
      <c r="F118" s="150">
        <f t="shared" ref="F118:F121" si="68">100*(MAX($C$118:$C$121)-C118)/(MAX($C$118:$C$121)-MIN($C$118:$C$121))</f>
        <v>100</v>
      </c>
      <c r="G118" s="150">
        <f t="shared" ref="G118:G121" si="69">D118*10</f>
        <v>70</v>
      </c>
      <c r="H118" s="151">
        <f t="shared" ref="H118:H121" si="70">$M$114*F118+$M$115*G118+$M$116*E118</f>
        <v>86</v>
      </c>
      <c r="I118" s="153">
        <f t="shared" ref="I118:I121" si="71">H118/$H$122</f>
        <v>0.3690987124</v>
      </c>
      <c r="J118" s="151">
        <f t="shared" ref="J118:J121" si="72">ROUND(I118*$B$126,0)</f>
        <v>1292</v>
      </c>
      <c r="K118" s="145"/>
      <c r="S118" s="59"/>
    </row>
    <row r="119">
      <c r="B119" s="146" t="s">
        <v>410</v>
      </c>
      <c r="C119" s="147">
        <v>45.0</v>
      </c>
      <c r="D119" s="148">
        <v>8.3</v>
      </c>
      <c r="E119" s="148">
        <f t="shared" si="67"/>
        <v>24</v>
      </c>
      <c r="F119" s="150">
        <f t="shared" si="68"/>
        <v>0</v>
      </c>
      <c r="G119" s="150">
        <f t="shared" si="69"/>
        <v>83</v>
      </c>
      <c r="H119" s="151">
        <f t="shared" si="70"/>
        <v>19</v>
      </c>
      <c r="I119" s="153">
        <f t="shared" si="71"/>
        <v>0.08154506438</v>
      </c>
      <c r="J119" s="151">
        <f t="shared" si="72"/>
        <v>285</v>
      </c>
      <c r="K119" s="145"/>
      <c r="S119" s="59"/>
    </row>
    <row r="120">
      <c r="B120" s="146" t="s">
        <v>411</v>
      </c>
      <c r="C120" s="147">
        <v>43.0</v>
      </c>
      <c r="D120" s="148">
        <v>10.2</v>
      </c>
      <c r="E120" s="148">
        <f t="shared" si="67"/>
        <v>30</v>
      </c>
      <c r="F120" s="150">
        <f t="shared" si="68"/>
        <v>40</v>
      </c>
      <c r="G120" s="150">
        <f t="shared" si="69"/>
        <v>102</v>
      </c>
      <c r="H120" s="151">
        <f t="shared" si="70"/>
        <v>51.4</v>
      </c>
      <c r="I120" s="153">
        <f t="shared" si="71"/>
        <v>0.2206008584</v>
      </c>
      <c r="J120" s="151">
        <f t="shared" si="72"/>
        <v>772</v>
      </c>
      <c r="K120" s="145"/>
      <c r="S120" s="59"/>
    </row>
    <row r="121">
      <c r="B121" s="146" t="s">
        <v>412</v>
      </c>
      <c r="C121" s="147">
        <v>41.0</v>
      </c>
      <c r="D121" s="148">
        <v>9.0</v>
      </c>
      <c r="E121" s="148">
        <f t="shared" si="67"/>
        <v>26</v>
      </c>
      <c r="F121" s="150">
        <f t="shared" si="68"/>
        <v>80</v>
      </c>
      <c r="G121" s="150">
        <f t="shared" si="69"/>
        <v>90</v>
      </c>
      <c r="H121" s="151">
        <f t="shared" si="70"/>
        <v>76.6</v>
      </c>
      <c r="I121" s="153">
        <f t="shared" si="71"/>
        <v>0.3287553648</v>
      </c>
      <c r="J121" s="151">
        <f t="shared" si="72"/>
        <v>1151</v>
      </c>
      <c r="K121" s="145"/>
      <c r="S121" s="59"/>
    </row>
    <row r="122">
      <c r="B122" s="157"/>
      <c r="C122" s="144" t="s">
        <v>460</v>
      </c>
      <c r="D122" s="157">
        <f>SUM(D118:D121)</f>
        <v>34.5</v>
      </c>
      <c r="E122" s="157"/>
      <c r="F122" s="157"/>
      <c r="G122" s="158" t="s">
        <v>462</v>
      </c>
      <c r="H122" s="151">
        <f>SUM(H118:H121)</f>
        <v>233</v>
      </c>
      <c r="I122" s="157"/>
      <c r="J122" s="157">
        <f>SUM(J118:J121)</f>
        <v>3500</v>
      </c>
      <c r="K122" s="145"/>
      <c r="S122" s="59"/>
    </row>
    <row r="123">
      <c r="B123" s="145"/>
      <c r="C123" s="145"/>
      <c r="D123" s="145"/>
      <c r="E123" s="145"/>
      <c r="F123" s="145"/>
      <c r="G123" s="145"/>
      <c r="H123" s="145"/>
      <c r="I123" s="145"/>
      <c r="J123" s="145"/>
      <c r="K123" s="145"/>
      <c r="S123" s="59"/>
    </row>
    <row r="124">
      <c r="B124" s="144">
        <v>7000.0</v>
      </c>
      <c r="C124" s="144" t="s">
        <v>463</v>
      </c>
      <c r="D124" s="145"/>
      <c r="E124" s="145"/>
      <c r="F124" s="145"/>
      <c r="G124" s="145"/>
      <c r="H124" s="145"/>
      <c r="I124" s="145"/>
      <c r="J124" s="145"/>
      <c r="K124" s="145"/>
      <c r="S124" s="59"/>
    </row>
    <row r="125">
      <c r="B125" s="160">
        <v>0.5</v>
      </c>
      <c r="C125" s="157"/>
      <c r="D125" s="145"/>
      <c r="E125" s="145"/>
      <c r="F125" s="145"/>
      <c r="G125" s="145"/>
      <c r="H125" s="145"/>
      <c r="I125" s="145"/>
      <c r="J125" s="145"/>
      <c r="K125" s="145"/>
      <c r="S125" s="59"/>
    </row>
    <row r="126">
      <c r="B126" s="144">
        <v>3500.0</v>
      </c>
      <c r="C126" s="144" t="s">
        <v>464</v>
      </c>
      <c r="D126" s="145"/>
      <c r="E126" s="145"/>
      <c r="F126" s="145"/>
      <c r="G126" s="145"/>
      <c r="H126" s="145"/>
      <c r="I126" s="145"/>
      <c r="J126" s="145"/>
      <c r="K126" s="145"/>
      <c r="S126" s="59"/>
    </row>
    <row r="127">
      <c r="B127" s="145"/>
      <c r="C127" s="145"/>
      <c r="D127" s="145"/>
      <c r="E127" s="145"/>
      <c r="F127" s="145"/>
      <c r="G127" s="145"/>
      <c r="H127" s="145"/>
      <c r="I127" s="145"/>
      <c r="J127" s="145"/>
      <c r="K127" s="145"/>
      <c r="L127" s="142" t="s">
        <v>434</v>
      </c>
      <c r="M127" s="143">
        <v>0.4</v>
      </c>
      <c r="S127" s="59"/>
    </row>
    <row r="128">
      <c r="B128" s="145"/>
      <c r="C128" s="145"/>
      <c r="D128" s="145"/>
      <c r="E128" s="145"/>
      <c r="F128" s="145"/>
      <c r="G128" s="145"/>
      <c r="H128" s="145"/>
      <c r="I128" s="145"/>
      <c r="J128" s="145"/>
      <c r="K128" s="145"/>
      <c r="L128" s="142" t="s">
        <v>438</v>
      </c>
      <c r="M128" s="143">
        <v>0.35</v>
      </c>
      <c r="S128" s="59"/>
    </row>
    <row r="129">
      <c r="B129" s="145"/>
      <c r="C129" s="145"/>
      <c r="D129" s="145"/>
      <c r="E129" s="145"/>
      <c r="F129" s="145"/>
      <c r="G129" s="145"/>
      <c r="H129" s="145"/>
      <c r="I129" s="145"/>
      <c r="J129" s="145"/>
      <c r="K129" s="145"/>
      <c r="L129" s="142" t="s">
        <v>441</v>
      </c>
      <c r="M129" s="143">
        <v>0.25</v>
      </c>
      <c r="S129" s="59"/>
    </row>
    <row r="130">
      <c r="B130" s="144" t="s">
        <v>466</v>
      </c>
      <c r="C130" s="144" t="s">
        <v>404</v>
      </c>
      <c r="D130" s="144" t="s">
        <v>442</v>
      </c>
      <c r="E130" s="144" t="s">
        <v>443</v>
      </c>
      <c r="F130" s="144" t="s">
        <v>444</v>
      </c>
      <c r="G130" s="144" t="s">
        <v>445</v>
      </c>
      <c r="H130" s="144" t="s">
        <v>406</v>
      </c>
      <c r="I130" s="144" t="s">
        <v>407</v>
      </c>
      <c r="J130" s="144" t="s">
        <v>408</v>
      </c>
      <c r="K130" s="145"/>
      <c r="L130" s="142" t="s">
        <v>467</v>
      </c>
      <c r="M130" s="142">
        <v>100.0</v>
      </c>
      <c r="S130" s="59"/>
    </row>
    <row r="131">
      <c r="B131" s="146" t="s">
        <v>409</v>
      </c>
      <c r="C131" s="147">
        <v>120.0</v>
      </c>
      <c r="D131" s="148">
        <v>7.0</v>
      </c>
      <c r="E131" s="148">
        <f t="shared" ref="E131:E134" si="73">ROUND((D131/$D$122)*100,0)</f>
        <v>20</v>
      </c>
      <c r="F131" s="150">
        <f t="shared" ref="F131:F134" si="74">100-(ABS(C131-$M$130)/$M$130*100)</f>
        <v>80</v>
      </c>
      <c r="G131" s="150">
        <f t="shared" ref="G131:G134" si="75">D131*10</f>
        <v>70</v>
      </c>
      <c r="H131" s="151">
        <f t="shared" ref="H131:H134" si="76">$M$127*F131+$M$128*G131+$M$129*E131</f>
        <v>61.5</v>
      </c>
      <c r="I131" s="153">
        <f t="shared" ref="I131:I134" si="77">H131/$H$135</f>
        <v>0.3048327138</v>
      </c>
      <c r="J131" s="151">
        <f t="shared" ref="J131:J134" si="78">ROUND(I131*$B$139,0)</f>
        <v>1067</v>
      </c>
      <c r="K131" s="145"/>
      <c r="S131" s="59"/>
    </row>
    <row r="132">
      <c r="B132" s="146" t="s">
        <v>410</v>
      </c>
      <c r="C132" s="147">
        <v>150.0</v>
      </c>
      <c r="D132" s="148">
        <v>8.3</v>
      </c>
      <c r="E132" s="148">
        <f t="shared" si="73"/>
        <v>24</v>
      </c>
      <c r="F132" s="150">
        <f t="shared" si="74"/>
        <v>50</v>
      </c>
      <c r="G132" s="150">
        <f t="shared" si="75"/>
        <v>83</v>
      </c>
      <c r="H132" s="151">
        <f t="shared" si="76"/>
        <v>55.05</v>
      </c>
      <c r="I132" s="153">
        <f t="shared" si="77"/>
        <v>0.2728624535</v>
      </c>
      <c r="J132" s="151">
        <f t="shared" si="78"/>
        <v>955</v>
      </c>
      <c r="K132" s="145"/>
      <c r="S132" s="59"/>
    </row>
    <row r="133">
      <c r="B133" s="146" t="s">
        <v>411</v>
      </c>
      <c r="C133" s="147">
        <v>190.0</v>
      </c>
      <c r="D133" s="148">
        <v>10.2</v>
      </c>
      <c r="E133" s="148">
        <f t="shared" si="73"/>
        <v>30</v>
      </c>
      <c r="F133" s="150">
        <f t="shared" si="74"/>
        <v>10</v>
      </c>
      <c r="G133" s="150">
        <f t="shared" si="75"/>
        <v>102</v>
      </c>
      <c r="H133" s="151">
        <f t="shared" si="76"/>
        <v>47.2</v>
      </c>
      <c r="I133" s="153">
        <f t="shared" si="77"/>
        <v>0.233952912</v>
      </c>
      <c r="J133" s="151">
        <f t="shared" si="78"/>
        <v>819</v>
      </c>
      <c r="K133" s="145"/>
      <c r="S133" s="59"/>
    </row>
    <row r="134">
      <c r="B134" s="146" t="s">
        <v>412</v>
      </c>
      <c r="C134" s="147">
        <v>200.0</v>
      </c>
      <c r="D134" s="148">
        <v>9.0</v>
      </c>
      <c r="E134" s="148">
        <f t="shared" si="73"/>
        <v>26</v>
      </c>
      <c r="F134" s="150">
        <f t="shared" si="74"/>
        <v>0</v>
      </c>
      <c r="G134" s="150">
        <f t="shared" si="75"/>
        <v>90</v>
      </c>
      <c r="H134" s="151">
        <f t="shared" si="76"/>
        <v>38</v>
      </c>
      <c r="I134" s="153">
        <f t="shared" si="77"/>
        <v>0.1883519207</v>
      </c>
      <c r="J134" s="151">
        <f t="shared" si="78"/>
        <v>659</v>
      </c>
      <c r="K134" s="145"/>
      <c r="S134" s="59"/>
    </row>
    <row r="135">
      <c r="B135" s="157"/>
      <c r="C135" s="144" t="s">
        <v>460</v>
      </c>
      <c r="D135" s="157">
        <f>SUM(D131:D134)</f>
        <v>34.5</v>
      </c>
      <c r="E135" s="157"/>
      <c r="F135" s="157"/>
      <c r="G135" s="161" t="s">
        <v>462</v>
      </c>
      <c r="H135" s="162">
        <f>SUM(H131:H134)</f>
        <v>201.75</v>
      </c>
      <c r="I135" s="157"/>
      <c r="J135" s="157">
        <f>SUM(J131:J134)</f>
        <v>3500</v>
      </c>
      <c r="K135" s="145"/>
      <c r="S135" s="59"/>
    </row>
    <row r="136">
      <c r="B136" s="145"/>
      <c r="C136" s="145"/>
      <c r="D136" s="145"/>
      <c r="E136" s="145"/>
      <c r="F136" s="145"/>
      <c r="G136" s="145"/>
      <c r="H136" s="145"/>
      <c r="I136" s="145"/>
      <c r="J136" s="145"/>
      <c r="K136" s="145"/>
      <c r="S136" s="59"/>
    </row>
    <row r="137">
      <c r="B137" s="144">
        <v>5000.0</v>
      </c>
      <c r="C137" s="144" t="s">
        <v>463</v>
      </c>
      <c r="D137" s="145"/>
      <c r="E137" s="145"/>
      <c r="F137" s="145"/>
      <c r="G137" s="145"/>
      <c r="H137" s="145"/>
      <c r="I137" s="145"/>
      <c r="J137" s="145"/>
      <c r="K137" s="145"/>
      <c r="S137" s="59"/>
    </row>
    <row r="138">
      <c r="B138" s="160">
        <v>0.7</v>
      </c>
      <c r="C138" s="157"/>
      <c r="D138" s="145"/>
      <c r="E138" s="145"/>
      <c r="F138" s="145"/>
      <c r="G138" s="145"/>
      <c r="H138" s="145"/>
      <c r="I138" s="145"/>
      <c r="J138" s="145"/>
      <c r="S138" s="59"/>
    </row>
    <row r="139">
      <c r="B139" s="144">
        <v>3500.0</v>
      </c>
      <c r="C139" s="144" t="s">
        <v>464</v>
      </c>
      <c r="D139" s="145"/>
      <c r="E139" s="145"/>
      <c r="F139" s="145"/>
      <c r="G139" s="145"/>
      <c r="H139" s="145"/>
      <c r="I139" s="145"/>
      <c r="J139" s="145"/>
      <c r="S139" s="59"/>
    </row>
    <row r="140">
      <c r="L140" s="142" t="s">
        <v>434</v>
      </c>
      <c r="M140" s="143">
        <v>0.1</v>
      </c>
      <c r="S140" s="59"/>
    </row>
    <row r="141">
      <c r="L141" s="142" t="s">
        <v>438</v>
      </c>
      <c r="M141" s="143">
        <v>0.5</v>
      </c>
      <c r="S141" s="59"/>
    </row>
    <row r="142">
      <c r="L142" s="142" t="s">
        <v>441</v>
      </c>
      <c r="M142" s="143">
        <v>0.4</v>
      </c>
      <c r="S142" s="59"/>
    </row>
    <row r="143">
      <c r="B143" s="144" t="s">
        <v>483</v>
      </c>
      <c r="C143" s="144" t="s">
        <v>404</v>
      </c>
      <c r="D143" s="144" t="s">
        <v>442</v>
      </c>
      <c r="E143" s="144" t="s">
        <v>443</v>
      </c>
      <c r="F143" s="144" t="s">
        <v>444</v>
      </c>
      <c r="G143" s="144" t="s">
        <v>445</v>
      </c>
      <c r="H143" s="144" t="s">
        <v>406</v>
      </c>
      <c r="I143" s="144" t="s">
        <v>407</v>
      </c>
      <c r="J143" s="144" t="s">
        <v>408</v>
      </c>
      <c r="L143" s="142" t="s">
        <v>467</v>
      </c>
      <c r="M143" s="142">
        <v>250.0</v>
      </c>
      <c r="S143" s="59"/>
    </row>
    <row r="144">
      <c r="B144" s="146" t="s">
        <v>409</v>
      </c>
      <c r="C144" s="147">
        <v>250.0</v>
      </c>
      <c r="D144" s="148">
        <v>7.0</v>
      </c>
      <c r="E144" s="148">
        <f t="shared" ref="E144:E147" si="79">ROUND((D144/$D$122)*100,0)</f>
        <v>20</v>
      </c>
      <c r="F144" s="150">
        <f t="shared" ref="F144:F147" si="80">100-(ABS(C144-$M$143)/$M$143*100)</f>
        <v>100</v>
      </c>
      <c r="G144" s="150">
        <f t="shared" ref="G144:G147" si="81">D144*10</f>
        <v>70</v>
      </c>
      <c r="H144" s="151">
        <f t="shared" ref="H144:H147" si="82">$M$140*F144+$M$141*G144+$M$142*E144</f>
        <v>53</v>
      </c>
      <c r="I144" s="153">
        <f t="shared" ref="I144:I147" si="83">H144/$H$148</f>
        <v>0.21783806</v>
      </c>
      <c r="J144" s="151">
        <f t="shared" ref="J144:J147" si="84">ROUND(I144*$B$152,0)</f>
        <v>174</v>
      </c>
      <c r="S144" s="59"/>
    </row>
    <row r="145">
      <c r="B145" s="146" t="s">
        <v>410</v>
      </c>
      <c r="C145" s="147">
        <v>300.0</v>
      </c>
      <c r="D145" s="148">
        <v>8.3</v>
      </c>
      <c r="E145" s="148">
        <f t="shared" si="79"/>
        <v>24</v>
      </c>
      <c r="F145" s="150">
        <f t="shared" si="80"/>
        <v>80</v>
      </c>
      <c r="G145" s="150">
        <f t="shared" si="81"/>
        <v>83</v>
      </c>
      <c r="H145" s="151">
        <f t="shared" si="82"/>
        <v>59.1</v>
      </c>
      <c r="I145" s="153">
        <f t="shared" si="83"/>
        <v>0.2429099877</v>
      </c>
      <c r="J145" s="151">
        <f t="shared" si="84"/>
        <v>194</v>
      </c>
      <c r="S145" s="59"/>
    </row>
    <row r="146">
      <c r="B146" s="146" t="s">
        <v>411</v>
      </c>
      <c r="C146" s="147">
        <v>220.0</v>
      </c>
      <c r="D146" s="148">
        <v>10.2</v>
      </c>
      <c r="E146" s="148">
        <f t="shared" si="79"/>
        <v>30</v>
      </c>
      <c r="F146" s="150">
        <f t="shared" si="80"/>
        <v>88</v>
      </c>
      <c r="G146" s="150">
        <f t="shared" si="81"/>
        <v>102</v>
      </c>
      <c r="H146" s="151">
        <f t="shared" si="82"/>
        <v>71.8</v>
      </c>
      <c r="I146" s="153">
        <f t="shared" si="83"/>
        <v>0.295108919</v>
      </c>
      <c r="J146" s="151">
        <f t="shared" si="84"/>
        <v>236</v>
      </c>
      <c r="S146" s="59"/>
    </row>
    <row r="147">
      <c r="B147" s="146" t="s">
        <v>412</v>
      </c>
      <c r="C147" s="147">
        <v>400.0</v>
      </c>
      <c r="D147" s="148">
        <v>9.0</v>
      </c>
      <c r="E147" s="148">
        <f t="shared" si="79"/>
        <v>26</v>
      </c>
      <c r="F147" s="150">
        <f t="shared" si="80"/>
        <v>40</v>
      </c>
      <c r="G147" s="150">
        <f t="shared" si="81"/>
        <v>90</v>
      </c>
      <c r="H147" s="151">
        <f t="shared" si="82"/>
        <v>59.4</v>
      </c>
      <c r="I147" s="153">
        <f t="shared" si="83"/>
        <v>0.2441430333</v>
      </c>
      <c r="J147" s="151">
        <f t="shared" si="84"/>
        <v>195</v>
      </c>
      <c r="S147" s="59"/>
    </row>
    <row r="148">
      <c r="B148" s="157"/>
      <c r="C148" s="144" t="s">
        <v>460</v>
      </c>
      <c r="D148" s="157">
        <f>SUM(D144:D147)</f>
        <v>34.5</v>
      </c>
      <c r="E148" s="157"/>
      <c r="F148" s="157"/>
      <c r="G148" s="161" t="s">
        <v>462</v>
      </c>
      <c r="H148" s="162">
        <f>SUM(H144:H147)</f>
        <v>243.3</v>
      </c>
      <c r="I148" s="157"/>
      <c r="J148" s="157">
        <f>SUM(J144:J147)</f>
        <v>799</v>
      </c>
      <c r="S148" s="59"/>
    </row>
    <row r="149">
      <c r="B149" s="145"/>
      <c r="C149" s="145"/>
      <c r="D149" s="145"/>
      <c r="E149" s="145"/>
      <c r="F149" s="145"/>
      <c r="G149" s="145"/>
      <c r="H149" s="145"/>
      <c r="I149" s="145"/>
      <c r="J149" s="145"/>
      <c r="S149" s="59"/>
    </row>
    <row r="150">
      <c r="B150" s="144">
        <v>2000.0</v>
      </c>
      <c r="C150" s="144" t="s">
        <v>463</v>
      </c>
      <c r="D150" s="145"/>
      <c r="E150" s="145"/>
      <c r="F150" s="145"/>
      <c r="G150" s="145"/>
      <c r="H150" s="145"/>
      <c r="I150" s="145"/>
      <c r="J150" s="145"/>
      <c r="S150" s="59"/>
    </row>
    <row r="151">
      <c r="B151" s="160">
        <v>0.4</v>
      </c>
      <c r="C151" s="157"/>
      <c r="D151" s="145"/>
      <c r="E151" s="145"/>
      <c r="F151" s="145"/>
      <c r="G151" s="145"/>
      <c r="H151" s="145"/>
      <c r="I151" s="145"/>
      <c r="J151" s="145"/>
      <c r="S151" s="59"/>
    </row>
    <row r="152">
      <c r="B152" s="144">
        <v>800.0</v>
      </c>
      <c r="C152" s="144" t="s">
        <v>464</v>
      </c>
      <c r="D152" s="145"/>
      <c r="E152" s="145"/>
      <c r="F152" s="145"/>
      <c r="G152" s="145"/>
      <c r="H152" s="145"/>
      <c r="I152" s="145"/>
      <c r="J152" s="145"/>
      <c r="S152" s="59"/>
    </row>
    <row r="153">
      <c r="S153" s="59"/>
    </row>
    <row r="154">
      <c r="S154" s="59"/>
    </row>
    <row r="155">
      <c r="S155" s="59"/>
    </row>
    <row r="156">
      <c r="S156" s="59"/>
    </row>
    <row r="157">
      <c r="S157" s="59"/>
    </row>
    <row r="158">
      <c r="S158" s="59"/>
    </row>
    <row r="159">
      <c r="S159" s="59"/>
    </row>
    <row r="160">
      <c r="S160" s="59"/>
    </row>
    <row r="161">
      <c r="S161" s="59"/>
    </row>
    <row r="162">
      <c r="S162" s="59"/>
    </row>
    <row r="163">
      <c r="S163" s="59"/>
    </row>
    <row r="164">
      <c r="S164" s="59"/>
    </row>
    <row r="165">
      <c r="S165" s="59"/>
    </row>
    <row r="166">
      <c r="S166" s="59"/>
    </row>
    <row r="167">
      <c r="S167" s="59"/>
    </row>
    <row r="168">
      <c r="S168" s="59"/>
    </row>
    <row r="169">
      <c r="S169" s="59"/>
    </row>
    <row r="170">
      <c r="S170" s="59"/>
    </row>
    <row r="171">
      <c r="S171" s="59"/>
    </row>
    <row r="172">
      <c r="S172" s="59"/>
    </row>
    <row r="173">
      <c r="S173" s="59"/>
    </row>
    <row r="174">
      <c r="S174" s="59"/>
    </row>
    <row r="175">
      <c r="S175" s="59"/>
    </row>
    <row r="176">
      <c r="S176" s="59"/>
    </row>
    <row r="177">
      <c r="S177" s="59"/>
    </row>
    <row r="178">
      <c r="S178" s="59"/>
    </row>
    <row r="179">
      <c r="S179" s="59"/>
    </row>
    <row r="180">
      <c r="S180" s="59"/>
    </row>
    <row r="181">
      <c r="S181" s="59"/>
    </row>
    <row r="182">
      <c r="S182" s="59"/>
    </row>
    <row r="183">
      <c r="S183" s="59"/>
    </row>
    <row r="184">
      <c r="S184" s="59"/>
    </row>
    <row r="185">
      <c r="S185" s="59"/>
    </row>
    <row r="186">
      <c r="S186" s="59"/>
    </row>
    <row r="187">
      <c r="S187" s="59"/>
    </row>
    <row r="188">
      <c r="S188" s="59"/>
    </row>
    <row r="189">
      <c r="S189" s="59"/>
    </row>
    <row r="190">
      <c r="S190" s="59"/>
    </row>
    <row r="191">
      <c r="S191" s="59"/>
    </row>
    <row r="192">
      <c r="S192" s="59"/>
    </row>
    <row r="193">
      <c r="S193" s="59"/>
    </row>
    <row r="194">
      <c r="S194" s="59"/>
    </row>
    <row r="195">
      <c r="S195" s="59"/>
    </row>
    <row r="196">
      <c r="S196" s="59"/>
    </row>
    <row r="197">
      <c r="S197" s="59"/>
    </row>
    <row r="198">
      <c r="S198" s="59"/>
    </row>
    <row r="199">
      <c r="S199" s="59"/>
    </row>
    <row r="200">
      <c r="S200" s="59"/>
    </row>
  </sheetData>
  <mergeCells count="1">
    <mergeCell ref="A3:B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7.57"/>
    <col customWidth="1" min="2" max="2" width="20.71"/>
    <col customWidth="1" min="3" max="3" width="26.0"/>
    <col customWidth="1" min="4" max="4" width="18.43"/>
    <col customWidth="1" min="5" max="5" width="16.57"/>
    <col customWidth="1" min="6" max="6" width="18.86"/>
    <col customWidth="1" min="7" max="7" width="17.71"/>
    <col customWidth="1" min="8" max="8" width="16.86"/>
    <col customWidth="1" min="10" max="10" width="10.71"/>
    <col customWidth="1" min="11" max="11" width="20.14"/>
    <col customWidth="1" min="15" max="15" width="17.43"/>
    <col customWidth="1" min="20" max="20" width="18.86"/>
    <col customWidth="1" min="24" max="24" width="16.86"/>
    <col customWidth="1" min="28" max="28" width="17.57"/>
  </cols>
  <sheetData>
    <row r="1">
      <c r="A1" s="12" t="s">
        <v>43</v>
      </c>
      <c r="S1" s="59"/>
    </row>
    <row r="2">
      <c r="A2" s="20"/>
      <c r="B2" s="20"/>
      <c r="S2" s="59"/>
      <c r="T2" s="42" t="s">
        <v>309</v>
      </c>
    </row>
    <row r="3">
      <c r="A3" s="20" t="s">
        <v>50</v>
      </c>
      <c r="S3" s="59"/>
    </row>
    <row r="4">
      <c r="E4" s="24" t="s">
        <v>55</v>
      </c>
      <c r="F4" s="26" t="s">
        <v>61</v>
      </c>
      <c r="G4" s="28"/>
      <c r="H4" s="28"/>
      <c r="K4" s="29" t="s">
        <v>68</v>
      </c>
      <c r="L4" s="23" t="s">
        <v>70</v>
      </c>
      <c r="M4" s="23" t="s">
        <v>71</v>
      </c>
      <c r="N4" s="23" t="s">
        <v>75</v>
      </c>
      <c r="O4" s="32"/>
      <c r="S4" s="59"/>
      <c r="T4" s="65" t="s">
        <v>324</v>
      </c>
      <c r="U4" s="65" t="s">
        <v>327</v>
      </c>
      <c r="V4" s="65" t="s">
        <v>328</v>
      </c>
      <c r="X4" s="67" t="s">
        <v>331</v>
      </c>
      <c r="Y4" s="67" t="s">
        <v>327</v>
      </c>
      <c r="Z4" s="67" t="s">
        <v>328</v>
      </c>
      <c r="AB4" s="68" t="s">
        <v>338</v>
      </c>
      <c r="AC4" s="69" t="s">
        <v>327</v>
      </c>
      <c r="AD4" s="69" t="s">
        <v>328</v>
      </c>
    </row>
    <row r="5">
      <c r="C5" s="32" t="s">
        <v>85</v>
      </c>
      <c r="E5" s="33">
        <v>6.0</v>
      </c>
      <c r="F5" s="34">
        <v>1.0</v>
      </c>
      <c r="G5" s="28"/>
      <c r="H5" s="28"/>
      <c r="I5" s="37">
        <f t="shared" ref="I5:I7" si="1">E5*F5</f>
        <v>6</v>
      </c>
      <c r="K5" s="38">
        <f>MIN(I8,I14,I20)</f>
        <v>14</v>
      </c>
      <c r="L5" s="38">
        <f>K5*30</f>
        <v>420</v>
      </c>
      <c r="M5" s="39">
        <f>K7+(F7+F13+F19)/100+4%*F21</f>
        <v>0.91</v>
      </c>
      <c r="N5" s="40">
        <f>ROUND(L5*M5,0)</f>
        <v>382</v>
      </c>
      <c r="O5" s="23" t="s">
        <v>154</v>
      </c>
      <c r="S5" s="59"/>
      <c r="T5" s="65" t="s">
        <v>369</v>
      </c>
      <c r="U5" s="82">
        <v>1500.0</v>
      </c>
      <c r="V5" s="82">
        <v>1500.0</v>
      </c>
      <c r="X5" s="67" t="s">
        <v>369</v>
      </c>
      <c r="Y5" s="83">
        <v>1500.0</v>
      </c>
      <c r="Z5" s="83">
        <v>1500.0</v>
      </c>
      <c r="AB5" s="69" t="s">
        <v>369</v>
      </c>
      <c r="AC5" s="85">
        <v>1500.0</v>
      </c>
      <c r="AD5" s="85">
        <v>1500.0</v>
      </c>
    </row>
    <row r="6" ht="20.25" customHeight="1">
      <c r="C6" s="32" t="s">
        <v>156</v>
      </c>
      <c r="E6" s="33">
        <v>8.0</v>
      </c>
      <c r="F6" s="34">
        <v>1.0</v>
      </c>
      <c r="G6" s="28"/>
      <c r="H6" s="28"/>
      <c r="I6" s="37">
        <f t="shared" si="1"/>
        <v>8</v>
      </c>
      <c r="K6" s="23" t="s">
        <v>161</v>
      </c>
      <c r="S6" s="59"/>
      <c r="T6" s="65" t="s">
        <v>374</v>
      </c>
      <c r="U6" s="87">
        <f t="shared" ref="U6:V6" si="2">U5*0.09</f>
        <v>135</v>
      </c>
      <c r="V6" s="87">
        <f t="shared" si="2"/>
        <v>135</v>
      </c>
      <c r="X6" s="67" t="s">
        <v>374</v>
      </c>
      <c r="Y6" s="89">
        <f t="shared" ref="Y6:Z6" si="3">Y5*0.09</f>
        <v>135</v>
      </c>
      <c r="Z6" s="89">
        <f t="shared" si="3"/>
        <v>135</v>
      </c>
      <c r="AB6" s="69" t="s">
        <v>374</v>
      </c>
      <c r="AC6" s="91">
        <f t="shared" ref="AC6:AD6" si="4">AC5*0.09</f>
        <v>135</v>
      </c>
      <c r="AD6" s="91">
        <f t="shared" si="4"/>
        <v>135</v>
      </c>
    </row>
    <row r="7">
      <c r="C7" s="32" t="s">
        <v>164</v>
      </c>
      <c r="E7" s="33">
        <v>12.0</v>
      </c>
      <c r="F7" s="34">
        <v>0.0</v>
      </c>
      <c r="G7" s="28"/>
      <c r="H7" s="28"/>
      <c r="I7" s="37">
        <f t="shared" si="1"/>
        <v>0</v>
      </c>
      <c r="K7" s="41">
        <v>0.9</v>
      </c>
      <c r="S7" s="59"/>
      <c r="T7" s="65" t="s">
        <v>375</v>
      </c>
      <c r="U7" s="82">
        <f>U5</f>
        <v>1500</v>
      </c>
      <c r="V7" s="87">
        <f>V5*2</f>
        <v>3000</v>
      </c>
      <c r="X7" s="67" t="s">
        <v>375</v>
      </c>
      <c r="Y7" s="83">
        <f>Y5</f>
        <v>1500</v>
      </c>
      <c r="Z7" s="89">
        <f>Z5*2</f>
        <v>3000</v>
      </c>
      <c r="AB7" s="69" t="s">
        <v>375</v>
      </c>
      <c r="AC7" s="85">
        <f>AC5</f>
        <v>1500</v>
      </c>
      <c r="AD7" s="91">
        <f>AD5*2</f>
        <v>3000</v>
      </c>
    </row>
    <row r="8">
      <c r="A8" s="42" t="s">
        <v>168</v>
      </c>
      <c r="E8" s="37"/>
      <c r="F8" s="28"/>
      <c r="G8" s="43"/>
      <c r="H8" s="43"/>
      <c r="I8" s="44">
        <f>SUM(I5:I7)</f>
        <v>14</v>
      </c>
      <c r="S8" s="59"/>
      <c r="T8" s="65" t="s">
        <v>376</v>
      </c>
      <c r="U8" s="82">
        <v>750.0</v>
      </c>
      <c r="V8" s="82">
        <v>1500.0</v>
      </c>
      <c r="X8" s="67" t="s">
        <v>376</v>
      </c>
      <c r="Y8" s="83">
        <v>750.0</v>
      </c>
      <c r="Z8" s="83">
        <v>1500.0</v>
      </c>
      <c r="AB8" s="69" t="s">
        <v>376</v>
      </c>
      <c r="AC8" s="85">
        <v>750.0</v>
      </c>
      <c r="AD8" s="85">
        <v>1500.0</v>
      </c>
    </row>
    <row r="9">
      <c r="C9" s="23" t="s">
        <v>176</v>
      </c>
      <c r="E9" s="37"/>
      <c r="F9" s="30" t="s">
        <v>178</v>
      </c>
      <c r="G9" s="30" t="s">
        <v>179</v>
      </c>
      <c r="H9" s="30" t="s">
        <v>181</v>
      </c>
      <c r="I9" s="37"/>
      <c r="K9" s="23" t="s">
        <v>183</v>
      </c>
      <c r="L9" s="38">
        <f>SUM(F5:F7,F11:H13,F17:H19)</f>
        <v>7</v>
      </c>
      <c r="S9" s="59"/>
      <c r="T9" s="65" t="s">
        <v>377</v>
      </c>
      <c r="U9" s="87">
        <f>U5/2</f>
        <v>750</v>
      </c>
      <c r="V9" s="87">
        <f>V5</f>
        <v>1500</v>
      </c>
      <c r="X9" s="67" t="s">
        <v>377</v>
      </c>
      <c r="Y9" s="89">
        <f>Y5/2</f>
        <v>750</v>
      </c>
      <c r="Z9" s="89">
        <f>Z5</f>
        <v>1500</v>
      </c>
      <c r="AB9" s="69" t="s">
        <v>377</v>
      </c>
      <c r="AC9" s="91">
        <f>AC5/2</f>
        <v>750</v>
      </c>
      <c r="AD9" s="91">
        <f>AD5</f>
        <v>1500</v>
      </c>
    </row>
    <row r="10">
      <c r="A10" s="32"/>
      <c r="B10" s="23"/>
      <c r="C10" s="23"/>
      <c r="E10" s="45"/>
      <c r="F10" s="46">
        <v>1.0</v>
      </c>
      <c r="G10" s="46">
        <v>1.2</v>
      </c>
      <c r="H10" s="46">
        <v>1.5</v>
      </c>
      <c r="I10" s="37"/>
      <c r="K10" s="23" t="s">
        <v>192</v>
      </c>
      <c r="L10" s="38">
        <f>SUM(F7,F13:H13,F19:H19)</f>
        <v>2</v>
      </c>
      <c r="M10" s="47">
        <f>L10/L9</f>
        <v>0.2857142857</v>
      </c>
      <c r="S10" s="59"/>
      <c r="T10" s="65" t="s">
        <v>379</v>
      </c>
      <c r="U10" s="87">
        <f t="shared" ref="U10:V10" si="5">SUM(U6:U9)+U5*12</f>
        <v>21135</v>
      </c>
      <c r="V10" s="87">
        <f t="shared" si="5"/>
        <v>24135</v>
      </c>
      <c r="X10" s="67" t="s">
        <v>379</v>
      </c>
      <c r="Y10" s="89">
        <f t="shared" ref="Y10:Z10" si="6">SUM(Y6:Y9)+Y5*12</f>
        <v>21135</v>
      </c>
      <c r="Z10" s="89">
        <f t="shared" si="6"/>
        <v>24135</v>
      </c>
      <c r="AB10" s="69" t="s">
        <v>379</v>
      </c>
      <c r="AC10" s="91">
        <f t="shared" ref="AC10:AD10" si="7">SUM(AC6:AC9)+AC5*12</f>
        <v>21135</v>
      </c>
      <c r="AD10" s="91">
        <f t="shared" si="7"/>
        <v>24135</v>
      </c>
    </row>
    <row r="11">
      <c r="A11" s="32"/>
      <c r="C11" s="23" t="s">
        <v>214</v>
      </c>
      <c r="E11" s="33">
        <v>6.0</v>
      </c>
      <c r="F11" s="48"/>
      <c r="G11" s="48"/>
      <c r="H11" s="34">
        <v>1.0</v>
      </c>
      <c r="I11" s="37">
        <f t="shared" ref="I11:I13" si="8">SUM(F11*E11*$F$10,G11*E11*$G$10,H11*E11*$H$10)</f>
        <v>9</v>
      </c>
      <c r="S11" s="59"/>
      <c r="T11" s="65" t="s">
        <v>385</v>
      </c>
      <c r="U11" s="87">
        <f>U10/12.5</f>
        <v>1690.8</v>
      </c>
      <c r="V11" s="87">
        <f>V10/13</f>
        <v>1856.538462</v>
      </c>
      <c r="X11" s="67" t="s">
        <v>385</v>
      </c>
      <c r="Y11" s="89">
        <f>Y10/12.5</f>
        <v>1690.8</v>
      </c>
      <c r="Z11" s="89">
        <f>Z10/13</f>
        <v>1856.538462</v>
      </c>
      <c r="AB11" s="69" t="s">
        <v>385</v>
      </c>
      <c r="AC11" s="91">
        <f>AC10/12.5</f>
        <v>1690.8</v>
      </c>
      <c r="AD11" s="91">
        <f>AD10/13</f>
        <v>1856.538462</v>
      </c>
    </row>
    <row r="12">
      <c r="A12" s="32"/>
      <c r="C12" s="23" t="s">
        <v>236</v>
      </c>
      <c r="E12" s="33">
        <v>8.0</v>
      </c>
      <c r="F12" s="34">
        <v>1.0</v>
      </c>
      <c r="G12" s="48"/>
      <c r="H12" s="48"/>
      <c r="I12" s="37">
        <f t="shared" si="8"/>
        <v>8</v>
      </c>
      <c r="S12" s="59"/>
    </row>
    <row r="13">
      <c r="A13" s="32"/>
      <c r="C13" s="23" t="s">
        <v>243</v>
      </c>
      <c r="E13" s="33">
        <v>12.0</v>
      </c>
      <c r="F13" s="48"/>
      <c r="G13" s="34">
        <v>1.0</v>
      </c>
      <c r="H13" s="48"/>
      <c r="I13" s="37">
        <f t="shared" si="8"/>
        <v>14.4</v>
      </c>
      <c r="S13" s="59"/>
      <c r="T13" s="107" t="s">
        <v>386</v>
      </c>
      <c r="U13" s="65" t="s">
        <v>327</v>
      </c>
      <c r="V13" s="65" t="s">
        <v>328</v>
      </c>
      <c r="X13" s="108" t="s">
        <v>387</v>
      </c>
      <c r="Y13" s="67" t="s">
        <v>327</v>
      </c>
      <c r="Z13" s="67" t="s">
        <v>328</v>
      </c>
      <c r="AB13" s="68" t="s">
        <v>388</v>
      </c>
      <c r="AC13" s="69" t="s">
        <v>327</v>
      </c>
      <c r="AD13" s="69" t="s">
        <v>328</v>
      </c>
    </row>
    <row r="14">
      <c r="A14" s="42" t="s">
        <v>250</v>
      </c>
      <c r="E14" s="37"/>
      <c r="F14" s="28"/>
      <c r="G14" s="43"/>
      <c r="H14" s="43"/>
      <c r="I14" s="44">
        <f>SUM(I11:I13)</f>
        <v>31.4</v>
      </c>
      <c r="S14" s="59"/>
      <c r="T14" s="65" t="s">
        <v>369</v>
      </c>
      <c r="U14" s="82">
        <v>2000.0</v>
      </c>
      <c r="V14" s="82">
        <v>2000.0</v>
      </c>
      <c r="X14" s="67" t="s">
        <v>369</v>
      </c>
      <c r="Y14" s="83">
        <v>2800.0</v>
      </c>
      <c r="Z14" s="83">
        <v>2800.0</v>
      </c>
      <c r="AB14" s="69" t="s">
        <v>369</v>
      </c>
      <c r="AC14" s="85">
        <v>2800.0</v>
      </c>
      <c r="AD14" s="85">
        <v>2800.0</v>
      </c>
    </row>
    <row r="15" ht="18.0" customHeight="1">
      <c r="C15" s="23" t="s">
        <v>176</v>
      </c>
      <c r="E15" s="49"/>
      <c r="F15" s="30" t="s">
        <v>178</v>
      </c>
      <c r="G15" s="30" t="s">
        <v>179</v>
      </c>
      <c r="H15" s="30" t="s">
        <v>181</v>
      </c>
      <c r="I15" s="37"/>
      <c r="S15" s="59"/>
      <c r="T15" s="65" t="s">
        <v>374</v>
      </c>
      <c r="U15" s="87">
        <f t="shared" ref="U15:V15" si="9">U14*0.09</f>
        <v>180</v>
      </c>
      <c r="V15" s="87">
        <f t="shared" si="9"/>
        <v>180</v>
      </c>
      <c r="X15" s="67" t="s">
        <v>374</v>
      </c>
      <c r="Y15" s="89">
        <f t="shared" ref="Y15:Z15" si="10">Y14*0.09</f>
        <v>252</v>
      </c>
      <c r="Z15" s="89">
        <f t="shared" si="10"/>
        <v>252</v>
      </c>
      <c r="AB15" s="69" t="s">
        <v>374</v>
      </c>
      <c r="AC15" s="91">
        <f t="shared" ref="AC15:AD15" si="11">AC14*0.09</f>
        <v>252</v>
      </c>
      <c r="AD15" s="91">
        <f t="shared" si="11"/>
        <v>252</v>
      </c>
    </row>
    <row r="16">
      <c r="A16" s="32"/>
      <c r="C16" s="23"/>
      <c r="E16" s="45"/>
      <c r="F16" s="46">
        <v>1.0</v>
      </c>
      <c r="G16" s="46">
        <v>1.2</v>
      </c>
      <c r="H16" s="46">
        <v>1.5</v>
      </c>
      <c r="I16" s="37"/>
      <c r="S16" s="59"/>
      <c r="T16" s="65" t="s">
        <v>375</v>
      </c>
      <c r="U16" s="82">
        <f>U14</f>
        <v>2000</v>
      </c>
      <c r="V16" s="87">
        <f>V14*2</f>
        <v>4000</v>
      </c>
      <c r="X16" s="67" t="s">
        <v>375</v>
      </c>
      <c r="Y16" s="83">
        <f>Y14</f>
        <v>2800</v>
      </c>
      <c r="Z16" s="89">
        <f>Z14*2</f>
        <v>5600</v>
      </c>
      <c r="AB16" s="69" t="s">
        <v>375</v>
      </c>
      <c r="AC16" s="85">
        <f>AC14</f>
        <v>2800</v>
      </c>
      <c r="AD16" s="91">
        <f>AD14*2</f>
        <v>5600</v>
      </c>
    </row>
    <row r="17">
      <c r="A17" s="32"/>
      <c r="C17" s="23" t="s">
        <v>214</v>
      </c>
      <c r="E17" s="33">
        <v>6.0</v>
      </c>
      <c r="F17" s="48"/>
      <c r="G17" s="48"/>
      <c r="H17" s="48"/>
      <c r="I17" s="37">
        <f t="shared" ref="I17:I19" si="12">SUM(F17*E17*$F$16,G17*E17*$G$16,H17*E17*$H$16)</f>
        <v>0</v>
      </c>
      <c r="S17" s="59"/>
      <c r="T17" s="65" t="s">
        <v>376</v>
      </c>
      <c r="U17" s="82">
        <f>U14/2</f>
        <v>1000</v>
      </c>
      <c r="V17" s="82">
        <f>V14</f>
        <v>2000</v>
      </c>
      <c r="X17" s="67" t="s">
        <v>376</v>
      </c>
      <c r="Y17" s="83">
        <v>750.0</v>
      </c>
      <c r="Z17" s="83">
        <v>1500.0</v>
      </c>
      <c r="AB17" s="69" t="s">
        <v>376</v>
      </c>
      <c r="AC17" s="85">
        <v>750.0</v>
      </c>
      <c r="AD17" s="85">
        <v>1500.0</v>
      </c>
    </row>
    <row r="18">
      <c r="A18" s="32"/>
      <c r="C18" s="23" t="s">
        <v>236</v>
      </c>
      <c r="E18" s="33">
        <v>8.0</v>
      </c>
      <c r="F18" s="48"/>
      <c r="G18" s="48"/>
      <c r="H18" s="34">
        <v>1.0</v>
      </c>
      <c r="I18" s="37">
        <f t="shared" si="12"/>
        <v>12</v>
      </c>
      <c r="S18" s="59"/>
      <c r="T18" s="65" t="s">
        <v>377</v>
      </c>
      <c r="U18" s="87">
        <f>U14/2</f>
        <v>1000</v>
      </c>
      <c r="V18" s="87">
        <f>V14</f>
        <v>2000</v>
      </c>
      <c r="X18" s="67" t="s">
        <v>377</v>
      </c>
      <c r="Y18" s="89">
        <f>Y14/2</f>
        <v>1400</v>
      </c>
      <c r="Z18" s="89">
        <f>Z14</f>
        <v>2800</v>
      </c>
      <c r="AB18" s="69" t="s">
        <v>377</v>
      </c>
      <c r="AC18" s="91">
        <f>AC14/2</f>
        <v>1400</v>
      </c>
      <c r="AD18" s="91">
        <f>AD14</f>
        <v>2800</v>
      </c>
    </row>
    <row r="19">
      <c r="A19" s="32"/>
      <c r="C19" s="23" t="s">
        <v>243</v>
      </c>
      <c r="E19" s="33">
        <v>12.0</v>
      </c>
      <c r="F19" s="34">
        <v>1.0</v>
      </c>
      <c r="G19" s="48"/>
      <c r="H19" s="48"/>
      <c r="I19" s="37">
        <f t="shared" si="12"/>
        <v>12</v>
      </c>
      <c r="S19" s="59"/>
      <c r="T19" s="65" t="s">
        <v>379</v>
      </c>
      <c r="U19" s="87">
        <f t="shared" ref="U19:V19" si="13">SUM(U15:U18)+U14*12</f>
        <v>28180</v>
      </c>
      <c r="V19" s="87">
        <f t="shared" si="13"/>
        <v>32180</v>
      </c>
      <c r="X19" s="67" t="s">
        <v>379</v>
      </c>
      <c r="Y19" s="89">
        <f t="shared" ref="Y19:Z19" si="14">SUM(Y15:Y18)+Y14*12</f>
        <v>38802</v>
      </c>
      <c r="Z19" s="89">
        <f t="shared" si="14"/>
        <v>43752</v>
      </c>
      <c r="AB19" s="69" t="s">
        <v>379</v>
      </c>
      <c r="AC19" s="91">
        <f t="shared" ref="AC19:AD19" si="15">SUM(AC15:AC18)+AC14*12</f>
        <v>38802</v>
      </c>
      <c r="AD19" s="91">
        <f t="shared" si="15"/>
        <v>43752</v>
      </c>
    </row>
    <row r="20">
      <c r="G20" s="50"/>
      <c r="H20" s="50"/>
      <c r="I20" s="44">
        <f>SUM(I17:I19)</f>
        <v>24</v>
      </c>
      <c r="S20" s="59"/>
      <c r="T20" s="65" t="s">
        <v>385</v>
      </c>
      <c r="U20" s="87">
        <f>U19/12.5</f>
        <v>2254.4</v>
      </c>
      <c r="V20" s="87">
        <f>V19/13</f>
        <v>2475.384615</v>
      </c>
      <c r="X20" s="67" t="s">
        <v>385</v>
      </c>
      <c r="Y20" s="89">
        <f>Y19/12.5</f>
        <v>3104.16</v>
      </c>
      <c r="Z20" s="89">
        <f>Z19/13</f>
        <v>3365.538462</v>
      </c>
      <c r="AB20" s="69" t="s">
        <v>385</v>
      </c>
      <c r="AC20" s="91">
        <f>AC19/12.5</f>
        <v>3104.16</v>
      </c>
      <c r="AD20" s="91">
        <f>AD19/13</f>
        <v>3365.538462</v>
      </c>
    </row>
    <row r="21">
      <c r="A21" s="23" t="s">
        <v>288</v>
      </c>
      <c r="F21" s="51">
        <v>0.0</v>
      </c>
      <c r="S21" s="59"/>
    </row>
    <row r="22">
      <c r="S22" s="59"/>
      <c r="T22" s="65" t="s">
        <v>414</v>
      </c>
      <c r="U22" s="65" t="s">
        <v>327</v>
      </c>
      <c r="V22" s="65" t="s">
        <v>328</v>
      </c>
      <c r="X22" s="108" t="s">
        <v>415</v>
      </c>
      <c r="Y22" s="67" t="s">
        <v>327</v>
      </c>
      <c r="Z22" s="67" t="s">
        <v>328</v>
      </c>
      <c r="AB22" s="68" t="s">
        <v>416</v>
      </c>
      <c r="AC22" s="69" t="s">
        <v>327</v>
      </c>
      <c r="AD22" s="69" t="s">
        <v>328</v>
      </c>
    </row>
    <row r="23">
      <c r="B23" s="23" t="s">
        <v>292</v>
      </c>
      <c r="S23" s="59"/>
      <c r="T23" s="65" t="s">
        <v>369</v>
      </c>
      <c r="U23" s="82">
        <v>3800.0</v>
      </c>
      <c r="V23" s="82">
        <v>3800.0</v>
      </c>
      <c r="X23" s="67" t="s">
        <v>369</v>
      </c>
      <c r="Y23" s="83">
        <v>4500.0</v>
      </c>
      <c r="Z23" s="83">
        <v>4500.0</v>
      </c>
      <c r="AB23" s="69" t="s">
        <v>369</v>
      </c>
      <c r="AC23" s="85">
        <v>4500.0</v>
      </c>
      <c r="AD23" s="85">
        <v>4500.0</v>
      </c>
    </row>
    <row r="24">
      <c r="S24" s="59"/>
      <c r="T24" s="65" t="s">
        <v>374</v>
      </c>
      <c r="U24" s="87">
        <f t="shared" ref="U24:V24" si="16">U23*0.09</f>
        <v>342</v>
      </c>
      <c r="V24" s="87">
        <f t="shared" si="16"/>
        <v>342</v>
      </c>
      <c r="X24" s="67" t="s">
        <v>374</v>
      </c>
      <c r="Y24" s="89">
        <f t="shared" ref="Y24:Z24" si="17">Y23*0.09</f>
        <v>405</v>
      </c>
      <c r="Z24" s="89">
        <f t="shared" si="17"/>
        <v>405</v>
      </c>
      <c r="AB24" s="69" t="s">
        <v>374</v>
      </c>
      <c r="AC24" s="91">
        <f t="shared" ref="AC24:AD24" si="18">AC23*0.09</f>
        <v>405</v>
      </c>
      <c r="AD24" s="91">
        <f t="shared" si="18"/>
        <v>405</v>
      </c>
    </row>
    <row r="25">
      <c r="A25" s="52" t="s">
        <v>294</v>
      </c>
      <c r="S25" s="59"/>
      <c r="T25" s="65" t="s">
        <v>375</v>
      </c>
      <c r="U25" s="82">
        <f>U23</f>
        <v>3800</v>
      </c>
      <c r="V25" s="87">
        <f>V23*2</f>
        <v>7600</v>
      </c>
      <c r="X25" s="67" t="s">
        <v>375</v>
      </c>
      <c r="Y25" s="83">
        <f>Y23</f>
        <v>4500</v>
      </c>
      <c r="Z25" s="89">
        <f>Z23*2</f>
        <v>9000</v>
      </c>
      <c r="AB25" s="69" t="s">
        <v>375</v>
      </c>
      <c r="AC25" s="85">
        <f>AC23</f>
        <v>4500</v>
      </c>
      <c r="AD25" s="91">
        <f>AD23*2</f>
        <v>9000</v>
      </c>
    </row>
    <row r="26">
      <c r="S26" s="59"/>
      <c r="T26" s="65" t="s">
        <v>376</v>
      </c>
      <c r="U26" s="82">
        <v>750.0</v>
      </c>
      <c r="V26" s="82">
        <v>1500.0</v>
      </c>
      <c r="X26" s="67" t="s">
        <v>376</v>
      </c>
      <c r="Y26" s="83">
        <v>750.0</v>
      </c>
      <c r="Z26" s="83">
        <v>1500.0</v>
      </c>
      <c r="AB26" s="69" t="s">
        <v>376</v>
      </c>
      <c r="AC26" s="85">
        <v>750.0</v>
      </c>
      <c r="AD26" s="85">
        <v>1500.0</v>
      </c>
    </row>
    <row r="27" ht="24.0" customHeight="1">
      <c r="A27" s="53"/>
      <c r="B27" s="53"/>
      <c r="C27" s="53"/>
      <c r="D27" s="54" t="s">
        <v>217</v>
      </c>
      <c r="E27" s="54" t="s">
        <v>217</v>
      </c>
      <c r="F27" s="54" t="s">
        <v>217</v>
      </c>
      <c r="G27" s="56" t="s">
        <v>228</v>
      </c>
      <c r="H27" s="56" t="s">
        <v>228</v>
      </c>
      <c r="I27" s="58" t="s">
        <v>235</v>
      </c>
      <c r="J27" s="58" t="s">
        <v>235</v>
      </c>
      <c r="K27" s="58" t="s">
        <v>235</v>
      </c>
      <c r="L27" s="53"/>
      <c r="M27" s="53"/>
      <c r="N27" s="53"/>
      <c r="O27" s="53"/>
      <c r="P27" s="53"/>
      <c r="Q27" s="53"/>
      <c r="R27" s="53"/>
      <c r="S27" s="125"/>
      <c r="T27" s="65" t="s">
        <v>377</v>
      </c>
      <c r="U27" s="87">
        <f>U23/2</f>
        <v>1900</v>
      </c>
      <c r="V27" s="87">
        <f>V23</f>
        <v>3800</v>
      </c>
      <c r="W27" s="53"/>
      <c r="X27" s="67" t="s">
        <v>377</v>
      </c>
      <c r="Y27" s="89">
        <f>Y23/2</f>
        <v>2250</v>
      </c>
      <c r="Z27" s="89">
        <f>Z23</f>
        <v>4500</v>
      </c>
      <c r="AA27" s="53"/>
      <c r="AB27" s="69" t="s">
        <v>377</v>
      </c>
      <c r="AC27" s="91">
        <f>AC23/2</f>
        <v>2250</v>
      </c>
      <c r="AD27" s="91">
        <f>AD23</f>
        <v>4500</v>
      </c>
    </row>
    <row r="28" ht="12.75" customHeight="1">
      <c r="A28" s="53"/>
      <c r="B28" s="53"/>
      <c r="C28" s="53"/>
      <c r="D28" s="60" t="s">
        <v>218</v>
      </c>
      <c r="E28" s="60" t="s">
        <v>222</v>
      </c>
      <c r="F28" s="60" t="s">
        <v>225</v>
      </c>
      <c r="G28" s="60" t="s">
        <v>229</v>
      </c>
      <c r="H28" s="60" t="s">
        <v>232</v>
      </c>
      <c r="I28" s="60" t="s">
        <v>237</v>
      </c>
      <c r="J28" s="60" t="s">
        <v>240</v>
      </c>
      <c r="K28" s="60" t="s">
        <v>244</v>
      </c>
      <c r="L28" s="53"/>
      <c r="M28" s="53"/>
      <c r="N28" s="53"/>
      <c r="O28" s="53"/>
      <c r="P28" s="53"/>
      <c r="Q28" s="53"/>
      <c r="R28" s="53"/>
      <c r="S28" s="125"/>
      <c r="T28" s="65" t="s">
        <v>379</v>
      </c>
      <c r="U28" s="87">
        <f t="shared" ref="U28:V28" si="19">SUM(U24:U27)+U23*12</f>
        <v>52392</v>
      </c>
      <c r="V28" s="87">
        <f t="shared" si="19"/>
        <v>58842</v>
      </c>
      <c r="W28" s="53"/>
      <c r="X28" s="67" t="s">
        <v>379</v>
      </c>
      <c r="Y28" s="89">
        <f t="shared" ref="Y28:Z28" si="20">SUM(Y24:Y27)+Y23*12</f>
        <v>61905</v>
      </c>
      <c r="Z28" s="89">
        <f t="shared" si="20"/>
        <v>69405</v>
      </c>
      <c r="AA28" s="53"/>
      <c r="AB28" s="69" t="s">
        <v>379</v>
      </c>
      <c r="AC28" s="91">
        <f t="shared" ref="AC28:AD28" si="21">SUM(AC24:AC27)+AC23*12</f>
        <v>61905</v>
      </c>
      <c r="AD28" s="91">
        <f t="shared" si="21"/>
        <v>69405</v>
      </c>
    </row>
    <row r="29" ht="19.5" customHeight="1">
      <c r="A29" s="53"/>
      <c r="B29" s="53"/>
      <c r="C29" s="30" t="s">
        <v>317</v>
      </c>
      <c r="D29" s="30" t="s">
        <v>320</v>
      </c>
      <c r="E29" s="30" t="s">
        <v>321</v>
      </c>
      <c r="F29" s="30" t="s">
        <v>321</v>
      </c>
      <c r="G29" s="30" t="s">
        <v>322</v>
      </c>
      <c r="H29" s="30" t="s">
        <v>322</v>
      </c>
      <c r="I29" s="30" t="s">
        <v>323</v>
      </c>
      <c r="J29" s="30" t="s">
        <v>323</v>
      </c>
      <c r="K29" s="30" t="s">
        <v>323</v>
      </c>
      <c r="L29" s="53"/>
      <c r="M29" s="64"/>
      <c r="N29" s="66"/>
      <c r="O29" s="53"/>
      <c r="P29" s="53"/>
      <c r="Q29" s="53"/>
      <c r="R29" s="53"/>
      <c r="S29" s="125"/>
      <c r="T29" s="65" t="s">
        <v>385</v>
      </c>
      <c r="U29" s="87">
        <f>U28/12.5</f>
        <v>4191.36</v>
      </c>
      <c r="V29" s="87">
        <f>V28/13</f>
        <v>4526.307692</v>
      </c>
      <c r="W29" s="53"/>
      <c r="X29" s="67" t="s">
        <v>385</v>
      </c>
      <c r="Y29" s="89">
        <f>Y28/12.5</f>
        <v>4952.4</v>
      </c>
      <c r="Z29" s="89">
        <f>Z28/13</f>
        <v>5338.846154</v>
      </c>
      <c r="AA29" s="53"/>
      <c r="AB29" s="69" t="s">
        <v>385</v>
      </c>
      <c r="AC29" s="91">
        <f>AC28/12.5</f>
        <v>4952.4</v>
      </c>
      <c r="AD29" s="91">
        <f>AD28/13</f>
        <v>5338.846154</v>
      </c>
    </row>
    <row r="30" ht="40.5" customHeight="1">
      <c r="C30" s="30" t="s">
        <v>332</v>
      </c>
      <c r="D30" s="17" t="s">
        <v>334</v>
      </c>
      <c r="E30" s="17" t="s">
        <v>334</v>
      </c>
      <c r="F30" s="17" t="s">
        <v>334</v>
      </c>
      <c r="G30" s="17" t="s">
        <v>335</v>
      </c>
      <c r="H30" s="17" t="s">
        <v>335</v>
      </c>
      <c r="I30" s="17" t="s">
        <v>336</v>
      </c>
      <c r="J30" s="17" t="s">
        <v>336</v>
      </c>
      <c r="K30" s="17" t="s">
        <v>336</v>
      </c>
      <c r="S30" s="59"/>
    </row>
    <row r="31">
      <c r="B31" s="23" t="s">
        <v>421</v>
      </c>
      <c r="C31" s="126" t="s">
        <v>422</v>
      </c>
      <c r="D31" s="127">
        <v>60.0</v>
      </c>
      <c r="E31" s="127">
        <v>55.0</v>
      </c>
      <c r="F31" s="127">
        <v>15.0</v>
      </c>
      <c r="G31" s="127">
        <v>200.0</v>
      </c>
      <c r="H31" s="127">
        <v>190.0</v>
      </c>
      <c r="I31" s="127">
        <v>0.0</v>
      </c>
      <c r="J31" s="127">
        <v>6.0</v>
      </c>
      <c r="K31" s="127">
        <v>7.0</v>
      </c>
      <c r="S31" s="59"/>
    </row>
    <row r="32">
      <c r="C32" s="128" t="s">
        <v>423</v>
      </c>
      <c r="D32" s="129">
        <v>1.0</v>
      </c>
      <c r="E32" s="129">
        <v>2.0</v>
      </c>
      <c r="F32" s="129">
        <v>2.0</v>
      </c>
      <c r="G32" s="129">
        <v>1.0</v>
      </c>
      <c r="H32" s="129">
        <v>1.0</v>
      </c>
      <c r="I32" s="129">
        <v>270.0</v>
      </c>
      <c r="J32" s="129">
        <v>250.0</v>
      </c>
      <c r="K32" s="129">
        <v>200.0</v>
      </c>
      <c r="S32" s="59"/>
      <c r="T32" s="130" t="s">
        <v>173</v>
      </c>
      <c r="U32" s="130" t="s">
        <v>327</v>
      </c>
      <c r="V32" s="130" t="s">
        <v>328</v>
      </c>
      <c r="X32" s="132" t="s">
        <v>425</v>
      </c>
      <c r="Y32" s="132" t="s">
        <v>327</v>
      </c>
      <c r="Z32" s="132" t="s">
        <v>328</v>
      </c>
      <c r="AB32" s="133" t="s">
        <v>426</v>
      </c>
      <c r="AC32" s="133" t="s">
        <v>327</v>
      </c>
      <c r="AD32" s="133" t="s">
        <v>328</v>
      </c>
    </row>
    <row r="33">
      <c r="C33" s="135"/>
      <c r="D33" s="73">
        <f t="shared" ref="D33:K33" si="22">D31*D32</f>
        <v>60</v>
      </c>
      <c r="E33" s="73">
        <f t="shared" si="22"/>
        <v>110</v>
      </c>
      <c r="F33" s="73">
        <f t="shared" si="22"/>
        <v>30</v>
      </c>
      <c r="G33" s="73">
        <f t="shared" si="22"/>
        <v>200</v>
      </c>
      <c r="H33" s="73">
        <f t="shared" si="22"/>
        <v>190</v>
      </c>
      <c r="I33" s="73">
        <f t="shared" si="22"/>
        <v>0</v>
      </c>
      <c r="J33" s="73">
        <f t="shared" si="22"/>
        <v>1500</v>
      </c>
      <c r="K33" s="73">
        <f t="shared" si="22"/>
        <v>1400</v>
      </c>
      <c r="S33" s="59"/>
      <c r="T33" s="130" t="s">
        <v>369</v>
      </c>
      <c r="U33" s="136">
        <v>3000.0</v>
      </c>
      <c r="V33" s="136">
        <v>3000.0</v>
      </c>
      <c r="X33" s="132" t="s">
        <v>369</v>
      </c>
      <c r="Y33" s="137">
        <v>600.0</v>
      </c>
      <c r="Z33" s="137">
        <v>600.0</v>
      </c>
      <c r="AB33" s="133" t="s">
        <v>433</v>
      </c>
      <c r="AC33" s="138">
        <v>2000.0</v>
      </c>
      <c r="AD33" s="138">
        <v>2000.0</v>
      </c>
    </row>
    <row r="34">
      <c r="S34" s="59"/>
      <c r="T34" s="130" t="s">
        <v>374</v>
      </c>
      <c r="U34" s="139">
        <f t="shared" ref="U34:V34" si="23">U33*0.09</f>
        <v>270</v>
      </c>
      <c r="V34" s="139">
        <f t="shared" si="23"/>
        <v>270</v>
      </c>
      <c r="X34" s="132" t="s">
        <v>374</v>
      </c>
      <c r="Y34" s="140">
        <f t="shared" ref="Y34:Z34" si="24">Y33*0.09</f>
        <v>54</v>
      </c>
      <c r="Z34" s="140">
        <f t="shared" si="24"/>
        <v>54</v>
      </c>
      <c r="AC34" s="141"/>
      <c r="AD34" s="141"/>
    </row>
    <row r="35">
      <c r="H35" s="23" t="s">
        <v>393</v>
      </c>
      <c r="S35" s="59"/>
      <c r="T35" s="130" t="s">
        <v>375</v>
      </c>
      <c r="U35" s="136">
        <f>U33</f>
        <v>3000</v>
      </c>
      <c r="V35" s="139">
        <f>V33*2</f>
        <v>6000</v>
      </c>
      <c r="X35" s="132" t="s">
        <v>375</v>
      </c>
      <c r="Y35" s="137">
        <f>Y33</f>
        <v>600</v>
      </c>
      <c r="Z35" s="140">
        <f>Z33*2</f>
        <v>1200</v>
      </c>
      <c r="AC35" s="141"/>
      <c r="AD35" s="141"/>
    </row>
    <row r="36">
      <c r="D36" s="17" t="s">
        <v>334</v>
      </c>
      <c r="E36" s="17" t="s">
        <v>335</v>
      </c>
      <c r="F36" s="17" t="s">
        <v>336</v>
      </c>
      <c r="H36" s="23" t="s">
        <v>435</v>
      </c>
      <c r="S36" s="59"/>
      <c r="T36" s="130" t="s">
        <v>376</v>
      </c>
      <c r="U36" s="136">
        <v>750.0</v>
      </c>
      <c r="V36" s="136">
        <v>1500.0</v>
      </c>
      <c r="X36" s="132" t="s">
        <v>376</v>
      </c>
      <c r="Y36" s="137">
        <v>750.0</v>
      </c>
      <c r="Z36" s="137">
        <v>1500.0</v>
      </c>
      <c r="AC36" s="141"/>
      <c r="AD36" s="141"/>
    </row>
    <row r="37">
      <c r="C37" s="23" t="s">
        <v>436</v>
      </c>
      <c r="D37" s="16" t="s">
        <v>437</v>
      </c>
      <c r="E37" s="16" t="s">
        <v>439</v>
      </c>
      <c r="F37" s="16" t="s">
        <v>440</v>
      </c>
      <c r="H37" s="16" t="s">
        <v>437</v>
      </c>
      <c r="I37" s="16" t="s">
        <v>439</v>
      </c>
      <c r="J37" s="16" t="s">
        <v>440</v>
      </c>
      <c r="S37" s="59"/>
      <c r="T37" s="130" t="s">
        <v>377</v>
      </c>
      <c r="U37" s="139">
        <f>U33/2</f>
        <v>1500</v>
      </c>
      <c r="V37" s="139">
        <f>V33</f>
        <v>3000</v>
      </c>
      <c r="X37" s="132" t="s">
        <v>377</v>
      </c>
      <c r="Y37" s="140">
        <f>Y33/2</f>
        <v>300</v>
      </c>
      <c r="Z37" s="140">
        <f>Z33</f>
        <v>600</v>
      </c>
      <c r="AC37" s="141"/>
      <c r="AD37" s="141"/>
    </row>
    <row r="38">
      <c r="C38" s="70" t="s">
        <v>124</v>
      </c>
      <c r="D38" s="71">
        <v>0.3</v>
      </c>
      <c r="E38" s="71">
        <v>1.0</v>
      </c>
      <c r="F38" s="71">
        <v>6.0</v>
      </c>
      <c r="H38" s="149">
        <f>SUM(D33:F33)</f>
        <v>200</v>
      </c>
      <c r="I38" s="149">
        <f>SUM(G33:H33)</f>
        <v>390</v>
      </c>
      <c r="J38" s="149">
        <f>SUM(I33:K33)</f>
        <v>2900</v>
      </c>
      <c r="S38" s="59"/>
      <c r="T38" s="130" t="s">
        <v>379</v>
      </c>
      <c r="U38" s="139">
        <f t="shared" ref="U38:V38" si="25">SUM(U34:U37)+U33*12</f>
        <v>41520</v>
      </c>
      <c r="V38" s="139">
        <f t="shared" si="25"/>
        <v>46770</v>
      </c>
      <c r="X38" s="132" t="s">
        <v>379</v>
      </c>
      <c r="Y38" s="140">
        <f t="shared" ref="Y38:Z38" si="26">SUM(Y34:Y37)+Y33*12</f>
        <v>8904</v>
      </c>
      <c r="Z38" s="140">
        <f t="shared" si="26"/>
        <v>10554</v>
      </c>
      <c r="AC38" s="141"/>
      <c r="AD38" s="141"/>
    </row>
    <row r="39">
      <c r="C39" s="70" t="s">
        <v>128</v>
      </c>
      <c r="D39" s="71">
        <v>0.4</v>
      </c>
      <c r="E39" s="71">
        <v>1.0</v>
      </c>
      <c r="F39" s="71">
        <v>7.0</v>
      </c>
      <c r="S39" s="59"/>
      <c r="T39" s="130" t="s">
        <v>385</v>
      </c>
      <c r="U39" s="139">
        <f>U38/12.5</f>
        <v>3321.6</v>
      </c>
      <c r="V39" s="139">
        <f>V38/13</f>
        <v>3597.692308</v>
      </c>
      <c r="X39" s="132" t="s">
        <v>385</v>
      </c>
      <c r="Y39" s="140">
        <f>Y38/12.5</f>
        <v>712.32</v>
      </c>
      <c r="Z39" s="140">
        <f>Z38/13</f>
        <v>811.8461538</v>
      </c>
      <c r="AC39" s="141"/>
      <c r="AD39" s="141"/>
    </row>
    <row r="40">
      <c r="C40" s="70" t="s">
        <v>132</v>
      </c>
      <c r="D40" s="71">
        <v>0.7</v>
      </c>
      <c r="E40" s="71">
        <v>1.0</v>
      </c>
      <c r="F40" s="71">
        <v>13.0</v>
      </c>
      <c r="S40" s="59"/>
    </row>
    <row r="41">
      <c r="C41" s="152"/>
      <c r="S41" s="59"/>
    </row>
    <row r="42">
      <c r="B42" s="23" t="s">
        <v>446</v>
      </c>
      <c r="C42" s="152"/>
      <c r="S42" s="59"/>
      <c r="T42" s="42" t="s">
        <v>447</v>
      </c>
    </row>
    <row r="43">
      <c r="B43" s="23" t="s">
        <v>448</v>
      </c>
      <c r="C43" s="152"/>
      <c r="S43" s="59"/>
    </row>
    <row r="44">
      <c r="S44" s="59"/>
      <c r="T44" s="65" t="s">
        <v>61</v>
      </c>
      <c r="U44" s="65" t="s">
        <v>327</v>
      </c>
      <c r="V44" s="65" t="s">
        <v>328</v>
      </c>
      <c r="X44" s="154" t="s">
        <v>449</v>
      </c>
      <c r="Y44" s="132" t="s">
        <v>327</v>
      </c>
      <c r="Z44" s="132" t="s">
        <v>328</v>
      </c>
      <c r="AB44" s="155" t="s">
        <v>450</v>
      </c>
      <c r="AC44" s="133" t="s">
        <v>327</v>
      </c>
      <c r="AD44" s="133" t="s">
        <v>328</v>
      </c>
    </row>
    <row r="45" ht="43.5" customHeight="1">
      <c r="C45" s="23" t="s">
        <v>451</v>
      </c>
      <c r="E45" s="32" t="s">
        <v>452</v>
      </c>
      <c r="H45" s="100" t="s">
        <v>453</v>
      </c>
      <c r="I45" s="100" t="s">
        <v>454</v>
      </c>
      <c r="J45" s="100" t="s">
        <v>455</v>
      </c>
      <c r="L45" s="100" t="s">
        <v>456</v>
      </c>
      <c r="M45" s="100" t="s">
        <v>457</v>
      </c>
      <c r="N45" s="100" t="s">
        <v>458</v>
      </c>
      <c r="S45" s="59"/>
      <c r="T45" s="107" t="s">
        <v>459</v>
      </c>
      <c r="U45" s="82">
        <v>2500.0</v>
      </c>
      <c r="V45" s="82">
        <v>2500.0</v>
      </c>
      <c r="X45" s="154" t="s">
        <v>459</v>
      </c>
      <c r="Y45" s="137">
        <v>3500.0</v>
      </c>
      <c r="Z45" s="137">
        <v>3500.0</v>
      </c>
      <c r="AB45" s="155" t="s">
        <v>459</v>
      </c>
      <c r="AC45" s="138">
        <v>1200.0</v>
      </c>
      <c r="AD45" s="138">
        <v>1200.0</v>
      </c>
    </row>
    <row r="46">
      <c r="C46" s="70" t="s">
        <v>124</v>
      </c>
      <c r="D46" s="34">
        <v>150.0</v>
      </c>
      <c r="E46" s="156">
        <v>150.0</v>
      </c>
      <c r="F46" s="104">
        <f>E46/E49</f>
        <v>0.4076086957</v>
      </c>
      <c r="H46" s="101">
        <f t="shared" ref="H46:H48" si="27">D38*D46</f>
        <v>45</v>
      </c>
      <c r="I46" s="101">
        <f t="shared" ref="I46:I48" si="28">D46*E38</f>
        <v>150</v>
      </c>
      <c r="J46" s="101">
        <f t="shared" ref="J46:J48" si="29">F38*D46</f>
        <v>900</v>
      </c>
      <c r="L46" s="101">
        <f t="shared" ref="L46:L47" si="30">E46*D38</f>
        <v>45</v>
      </c>
      <c r="M46" s="101">
        <f t="shared" ref="M46:M48" si="31">E46*E38</f>
        <v>150</v>
      </c>
      <c r="N46" s="101">
        <f t="shared" ref="N46:N48" si="32">F38*E46</f>
        <v>900</v>
      </c>
      <c r="S46" s="59"/>
      <c r="T46" s="65" t="s">
        <v>461</v>
      </c>
      <c r="U46" s="87">
        <f>U45*3%</f>
        <v>75</v>
      </c>
      <c r="V46" s="87">
        <f>V45*5%</f>
        <v>125</v>
      </c>
      <c r="X46" s="132" t="s">
        <v>461</v>
      </c>
      <c r="Y46" s="140">
        <f>Y45*3%</f>
        <v>105</v>
      </c>
      <c r="Z46" s="140">
        <f>Z45*5%</f>
        <v>175</v>
      </c>
      <c r="AB46" s="133" t="s">
        <v>461</v>
      </c>
      <c r="AC46" s="159">
        <f>AC45*3%</f>
        <v>36</v>
      </c>
      <c r="AD46" s="159">
        <f>AD45*5%</f>
        <v>60</v>
      </c>
    </row>
    <row r="47">
      <c r="C47" s="70" t="s">
        <v>128</v>
      </c>
      <c r="D47" s="34">
        <v>140.0</v>
      </c>
      <c r="E47" s="156">
        <v>140.0</v>
      </c>
      <c r="F47" s="104">
        <f>E47/E49</f>
        <v>0.3804347826</v>
      </c>
      <c r="H47" s="101">
        <f t="shared" si="27"/>
        <v>56</v>
      </c>
      <c r="I47" s="101">
        <f t="shared" si="28"/>
        <v>140</v>
      </c>
      <c r="J47" s="101">
        <f t="shared" si="29"/>
        <v>980</v>
      </c>
      <c r="L47" s="101">
        <f t="shared" si="30"/>
        <v>56</v>
      </c>
      <c r="M47" s="101">
        <f t="shared" si="31"/>
        <v>140</v>
      </c>
      <c r="N47" s="101">
        <f t="shared" si="32"/>
        <v>980</v>
      </c>
      <c r="S47" s="59"/>
      <c r="T47" s="65" t="s">
        <v>465</v>
      </c>
      <c r="U47" s="82">
        <f>U45*2%</f>
        <v>50</v>
      </c>
      <c r="V47" s="87">
        <f>V45*3%</f>
        <v>75</v>
      </c>
      <c r="X47" s="132" t="s">
        <v>465</v>
      </c>
      <c r="Y47" s="137">
        <f>Y45*2%</f>
        <v>70</v>
      </c>
      <c r="Z47" s="140">
        <f>Z45*3%</f>
        <v>105</v>
      </c>
      <c r="AB47" s="133" t="s">
        <v>465</v>
      </c>
      <c r="AC47" s="138">
        <f>AC45*2%</f>
        <v>24</v>
      </c>
      <c r="AD47" s="159">
        <f>AD45*3%</f>
        <v>36</v>
      </c>
    </row>
    <row r="48" ht="33.0" customHeight="1">
      <c r="C48" s="70" t="s">
        <v>132</v>
      </c>
      <c r="D48" s="34">
        <v>95.0</v>
      </c>
      <c r="E48" s="156">
        <v>78.0</v>
      </c>
      <c r="F48" s="104">
        <f>E48/E49</f>
        <v>0.2119565217</v>
      </c>
      <c r="H48" s="101">
        <f t="shared" si="27"/>
        <v>66.5</v>
      </c>
      <c r="I48" s="101">
        <f t="shared" si="28"/>
        <v>95</v>
      </c>
      <c r="J48" s="101">
        <f t="shared" si="29"/>
        <v>1235</v>
      </c>
      <c r="L48" s="101">
        <f>D40*E48</f>
        <v>54.6</v>
      </c>
      <c r="M48" s="101">
        <f t="shared" si="31"/>
        <v>78</v>
      </c>
      <c r="N48" s="101">
        <f t="shared" si="32"/>
        <v>1014</v>
      </c>
      <c r="S48" s="59"/>
      <c r="T48" s="107" t="s">
        <v>468</v>
      </c>
      <c r="U48" s="82">
        <f>U45*5%</f>
        <v>125</v>
      </c>
      <c r="V48" s="82">
        <f>V45*8%</f>
        <v>200</v>
      </c>
      <c r="X48" s="154" t="s">
        <v>468</v>
      </c>
      <c r="Y48" s="137">
        <f>Y45*5%</f>
        <v>175</v>
      </c>
      <c r="Z48" s="137">
        <f>Z45*8%</f>
        <v>280</v>
      </c>
      <c r="AB48" s="155" t="s">
        <v>468</v>
      </c>
      <c r="AC48" s="138">
        <f>AC45*5%</f>
        <v>60</v>
      </c>
      <c r="AD48" s="138">
        <f>AD45*8%</f>
        <v>96</v>
      </c>
    </row>
    <row r="49">
      <c r="D49" s="103">
        <f t="shared" ref="D49:F49" si="33">SUM(D46:D48)</f>
        <v>385</v>
      </c>
      <c r="E49" s="103">
        <f t="shared" si="33"/>
        <v>368</v>
      </c>
      <c r="F49" s="104">
        <f t="shared" si="33"/>
        <v>1</v>
      </c>
      <c r="H49" s="103">
        <f t="shared" ref="H49:J49" si="34">SUM(H46:H48)</f>
        <v>167.5</v>
      </c>
      <c r="I49" s="103">
        <f t="shared" si="34"/>
        <v>385</v>
      </c>
      <c r="J49" s="103">
        <f t="shared" si="34"/>
        <v>3115</v>
      </c>
      <c r="L49" s="103">
        <f t="shared" ref="L49:N49" si="35">SUM(L46:L48)</f>
        <v>155.6</v>
      </c>
      <c r="M49" s="103">
        <f t="shared" si="35"/>
        <v>368</v>
      </c>
      <c r="N49" s="103">
        <f t="shared" si="35"/>
        <v>2894</v>
      </c>
      <c r="S49" s="59"/>
      <c r="T49" s="65" t="s">
        <v>469</v>
      </c>
      <c r="U49" s="87">
        <f>-((U45-U45*5%)/10)</f>
        <v>-237.5</v>
      </c>
      <c r="V49" s="87">
        <f>-((V45-V45*10%)/10)</f>
        <v>-225</v>
      </c>
      <c r="X49" s="132" t="s">
        <v>469</v>
      </c>
      <c r="Y49" s="140">
        <f>-(Y45-Y45*5%)/10</f>
        <v>-332.5</v>
      </c>
      <c r="Z49" s="140">
        <f>-(Z45-Z45*10%)/10</f>
        <v>-315</v>
      </c>
      <c r="AB49" s="133" t="s">
        <v>469</v>
      </c>
      <c r="AC49" s="159">
        <f>-(AC45-AC45*5%)/8</f>
        <v>-142.5</v>
      </c>
      <c r="AD49" s="159">
        <f>-(AD45-AD45*10%)/8</f>
        <v>-135</v>
      </c>
    </row>
    <row r="50">
      <c r="S50" s="59"/>
      <c r="T50" s="65" t="s">
        <v>379</v>
      </c>
      <c r="U50" s="87">
        <f t="shared" ref="U50:V50" si="36">SUM(U46:U49)+U45</f>
        <v>2512.5</v>
      </c>
      <c r="V50" s="87">
        <f t="shared" si="36"/>
        <v>2675</v>
      </c>
      <c r="X50" s="132" t="s">
        <v>379</v>
      </c>
      <c r="Y50" s="140">
        <f t="shared" ref="Y50:Z50" si="37">SUM(Y46:Y49)+Y45</f>
        <v>3517.5</v>
      </c>
      <c r="Z50" s="140">
        <f t="shared" si="37"/>
        <v>3745</v>
      </c>
      <c r="AB50" s="133" t="s">
        <v>379</v>
      </c>
      <c r="AC50" s="159">
        <f t="shared" ref="AC50:AD50" si="38">SUM(AC46:AC49)+AC45</f>
        <v>1177.5</v>
      </c>
      <c r="AD50" s="159">
        <f t="shared" si="38"/>
        <v>1257</v>
      </c>
    </row>
    <row r="51">
      <c r="S51" s="59"/>
    </row>
    <row r="52">
      <c r="C52" s="23" t="s">
        <v>484</v>
      </c>
      <c r="S52" s="59"/>
      <c r="T52" s="51" t="s">
        <v>485</v>
      </c>
      <c r="U52" s="51" t="s">
        <v>327</v>
      </c>
      <c r="V52" s="51" t="s">
        <v>328</v>
      </c>
      <c r="X52" s="154" t="s">
        <v>486</v>
      </c>
      <c r="Y52" s="132" t="s">
        <v>327</v>
      </c>
      <c r="Z52" s="132" t="s">
        <v>328</v>
      </c>
      <c r="AB52" s="155" t="s">
        <v>487</v>
      </c>
      <c r="AC52" s="133" t="s">
        <v>327</v>
      </c>
      <c r="AD52" s="133" t="s">
        <v>328</v>
      </c>
    </row>
    <row r="53">
      <c r="C53" s="6"/>
      <c r="D53" s="4" t="s">
        <v>389</v>
      </c>
      <c r="E53" s="4" t="s">
        <v>390</v>
      </c>
      <c r="F53" s="4" t="s">
        <v>391</v>
      </c>
      <c r="G53" s="4" t="s">
        <v>392</v>
      </c>
      <c r="S53" s="59"/>
      <c r="T53" s="165" t="s">
        <v>459</v>
      </c>
      <c r="U53" s="166">
        <v>300.0</v>
      </c>
      <c r="V53" s="166">
        <v>300.0</v>
      </c>
      <c r="X53" s="154" t="s">
        <v>459</v>
      </c>
      <c r="Y53" s="137">
        <v>7500.0</v>
      </c>
      <c r="Z53" s="137">
        <v>7500.0</v>
      </c>
      <c r="AB53" s="155" t="s">
        <v>459</v>
      </c>
      <c r="AC53" s="138">
        <v>4500.0</v>
      </c>
      <c r="AD53" s="138">
        <v>4500.0</v>
      </c>
    </row>
    <row r="54" ht="42.0" customHeight="1">
      <c r="C54" s="54" t="s">
        <v>218</v>
      </c>
      <c r="D54" s="17">
        <v>0.0</v>
      </c>
      <c r="E54" s="35">
        <f>D33</f>
        <v>60</v>
      </c>
      <c r="F54" s="35">
        <f>MIN(E54,H49)</f>
        <v>60</v>
      </c>
      <c r="G54" s="109">
        <f t="shared" ref="G54:G61" si="39">D54+E54-F54</f>
        <v>0</v>
      </c>
      <c r="S54" s="59"/>
      <c r="T54" s="51" t="s">
        <v>465</v>
      </c>
      <c r="U54" s="166">
        <f>U53*1%</f>
        <v>3</v>
      </c>
      <c r="V54" s="167">
        <f>V53*2%</f>
        <v>6</v>
      </c>
      <c r="X54" s="132" t="s">
        <v>461</v>
      </c>
      <c r="Y54" s="140">
        <f>Y53*3%</f>
        <v>225</v>
      </c>
      <c r="Z54" s="140">
        <f>Z53*5%</f>
        <v>375</v>
      </c>
      <c r="AB54" s="133" t="s">
        <v>461</v>
      </c>
      <c r="AC54" s="159">
        <f>AC53*3%</f>
        <v>135</v>
      </c>
      <c r="AD54" s="159">
        <f>AD53*5%</f>
        <v>225</v>
      </c>
    </row>
    <row r="55" ht="42.0" customHeight="1">
      <c r="C55" s="54" t="s">
        <v>222</v>
      </c>
      <c r="D55" s="17">
        <v>0.0</v>
      </c>
      <c r="E55" s="35">
        <f>E33</f>
        <v>110</v>
      </c>
      <c r="F55" s="35">
        <f>min(E55,H49-F54)</f>
        <v>107.5</v>
      </c>
      <c r="G55" s="109">
        <f t="shared" si="39"/>
        <v>2.5</v>
      </c>
      <c r="H55" s="110"/>
      <c r="S55" s="59"/>
      <c r="T55" s="165" t="s">
        <v>468</v>
      </c>
      <c r="U55" s="166">
        <f>U53*5%</f>
        <v>15</v>
      </c>
      <c r="V55" s="166">
        <f>V53*8%</f>
        <v>24</v>
      </c>
      <c r="X55" s="132" t="s">
        <v>465</v>
      </c>
      <c r="Y55" s="137">
        <f>Y53*2%</f>
        <v>150</v>
      </c>
      <c r="Z55" s="140">
        <f>Z53*3%</f>
        <v>225</v>
      </c>
      <c r="AB55" s="133" t="s">
        <v>465</v>
      </c>
      <c r="AC55" s="138">
        <f>AC53*2%</f>
        <v>90</v>
      </c>
      <c r="AD55" s="159">
        <f>AD53*3%</f>
        <v>135</v>
      </c>
    </row>
    <row r="56" ht="42.0" customHeight="1">
      <c r="C56" s="54" t="s">
        <v>225</v>
      </c>
      <c r="D56" s="17">
        <v>0.0</v>
      </c>
      <c r="E56" s="35">
        <f>F33</f>
        <v>30</v>
      </c>
      <c r="F56" s="35">
        <f>MIN(E56,H49-F54-F55)</f>
        <v>0</v>
      </c>
      <c r="G56" s="109">
        <f t="shared" si="39"/>
        <v>30</v>
      </c>
      <c r="H56" s="110">
        <f>F56/SUM(F54:F56)</f>
        <v>0</v>
      </c>
      <c r="S56" s="59"/>
      <c r="T56" s="51" t="s">
        <v>469</v>
      </c>
      <c r="U56" s="167">
        <f>-((U53-U53*5%)/5)</f>
        <v>-57</v>
      </c>
      <c r="V56" s="167">
        <f>-((V53-V53*10%)/5)</f>
        <v>-54</v>
      </c>
      <c r="X56" s="154" t="s">
        <v>468</v>
      </c>
      <c r="Y56" s="137">
        <f>Y53*5%</f>
        <v>375</v>
      </c>
      <c r="Z56" s="137">
        <f>Z53*8%</f>
        <v>600</v>
      </c>
      <c r="AB56" s="155" t="s">
        <v>468</v>
      </c>
      <c r="AC56" s="138">
        <f>AC53*5%</f>
        <v>225</v>
      </c>
      <c r="AD56" s="138">
        <f>AD53*8%</f>
        <v>360</v>
      </c>
    </row>
    <row r="57" ht="42.0" customHeight="1">
      <c r="C57" s="56" t="s">
        <v>229</v>
      </c>
      <c r="D57" s="17">
        <v>0.0</v>
      </c>
      <c r="E57" s="35">
        <f>G33</f>
        <v>200</v>
      </c>
      <c r="F57" s="35">
        <f>MIN(E57,I49)</f>
        <v>200</v>
      </c>
      <c r="G57" s="109">
        <f t="shared" si="39"/>
        <v>0</v>
      </c>
      <c r="H57" s="110"/>
      <c r="S57" s="59"/>
      <c r="T57" s="51" t="s">
        <v>379</v>
      </c>
      <c r="U57" s="167">
        <f t="shared" ref="U57:V57" si="40">SUM(U54:U56)+U53</f>
        <v>261</v>
      </c>
      <c r="V57" s="167">
        <f t="shared" si="40"/>
        <v>276</v>
      </c>
      <c r="X57" s="132" t="s">
        <v>469</v>
      </c>
      <c r="Y57" s="140">
        <f>-(Y53-Y53*5%)/10</f>
        <v>-712.5</v>
      </c>
      <c r="Z57" s="140">
        <f>-(Z53-Z53*10%)/10</f>
        <v>-675</v>
      </c>
      <c r="AB57" s="133" t="s">
        <v>469</v>
      </c>
      <c r="AC57" s="159">
        <f>-(AC53-AC53*5%)/8</f>
        <v>-534.375</v>
      </c>
      <c r="AD57" s="159">
        <f>-(AD53-AD53*10%)/8</f>
        <v>-506.25</v>
      </c>
    </row>
    <row r="58" ht="42.0" customHeight="1">
      <c r="C58" s="56" t="s">
        <v>232</v>
      </c>
      <c r="D58" s="17">
        <v>0.0</v>
      </c>
      <c r="E58" s="35">
        <f>H33</f>
        <v>190</v>
      </c>
      <c r="F58" s="35">
        <f>MIN(E58,I49-F57)</f>
        <v>185</v>
      </c>
      <c r="G58" s="109">
        <f t="shared" si="39"/>
        <v>5</v>
      </c>
      <c r="H58" s="110">
        <f>F58/SUM(F57:F58)</f>
        <v>0.4805194805</v>
      </c>
      <c r="S58" s="59"/>
      <c r="X58" s="132" t="s">
        <v>379</v>
      </c>
      <c r="Y58" s="140">
        <f t="shared" ref="Y58:Z58" si="41">SUM(Y54:Y57)+Y53</f>
        <v>7537.5</v>
      </c>
      <c r="Z58" s="140">
        <f t="shared" si="41"/>
        <v>8025</v>
      </c>
      <c r="AB58" s="133" t="s">
        <v>379</v>
      </c>
      <c r="AC58" s="159">
        <f t="shared" ref="AC58:AD58" si="42">SUM(AC54:AC57)+AC53</f>
        <v>4415.625</v>
      </c>
      <c r="AD58" s="159">
        <f t="shared" si="42"/>
        <v>4713.75</v>
      </c>
    </row>
    <row r="59" ht="39.75" customHeight="1">
      <c r="C59" s="58" t="s">
        <v>237</v>
      </c>
      <c r="D59" s="17">
        <v>0.0</v>
      </c>
      <c r="E59" s="35">
        <f>I33</f>
        <v>0</v>
      </c>
      <c r="F59" s="35">
        <f>MIN(E59,J49)</f>
        <v>0</v>
      </c>
      <c r="G59" s="109">
        <f t="shared" si="39"/>
        <v>0</v>
      </c>
      <c r="H59" s="110"/>
      <c r="S59" s="59"/>
      <c r="T59" s="51" t="s">
        <v>491</v>
      </c>
      <c r="U59" s="51" t="s">
        <v>327</v>
      </c>
      <c r="V59" s="51" t="s">
        <v>328</v>
      </c>
    </row>
    <row r="60" ht="27.75" customHeight="1">
      <c r="C60" s="58" t="s">
        <v>240</v>
      </c>
      <c r="D60" s="17">
        <v>0.0</v>
      </c>
      <c r="E60" s="35">
        <f>J33</f>
        <v>1500</v>
      </c>
      <c r="F60" s="35">
        <f>MIN(E60,J49-F59)</f>
        <v>1500</v>
      </c>
      <c r="G60" s="109">
        <f t="shared" si="39"/>
        <v>0</v>
      </c>
      <c r="H60" s="110"/>
      <c r="S60" s="59"/>
      <c r="T60" s="165" t="s">
        <v>459</v>
      </c>
      <c r="U60" s="166">
        <v>1200.0</v>
      </c>
      <c r="V60" s="166">
        <v>1200.0</v>
      </c>
      <c r="X60" s="154" t="s">
        <v>492</v>
      </c>
      <c r="Y60" s="132" t="s">
        <v>327</v>
      </c>
      <c r="Z60" s="132" t="s">
        <v>328</v>
      </c>
      <c r="AB60" s="155" t="s">
        <v>493</v>
      </c>
      <c r="AC60" s="133" t="s">
        <v>327</v>
      </c>
      <c r="AD60" s="133" t="s">
        <v>328</v>
      </c>
    </row>
    <row r="61" ht="42.0" customHeight="1">
      <c r="C61" s="58" t="s">
        <v>244</v>
      </c>
      <c r="D61" s="17">
        <v>0.0</v>
      </c>
      <c r="E61" s="35">
        <f>K33</f>
        <v>1400</v>
      </c>
      <c r="F61" s="35">
        <f>MIN(E61,J49-F59-F60)</f>
        <v>1400</v>
      </c>
      <c r="G61" s="109">
        <f t="shared" si="39"/>
        <v>0</v>
      </c>
      <c r="H61" s="110">
        <f>F61/(SUM(F60:F61))</f>
        <v>0.4827586207</v>
      </c>
      <c r="S61" s="59"/>
      <c r="T61" s="51" t="s">
        <v>465</v>
      </c>
      <c r="U61" s="166">
        <f>U60*1%</f>
        <v>12</v>
      </c>
      <c r="V61" s="167">
        <f>V60*2%</f>
        <v>24</v>
      </c>
      <c r="X61" s="154" t="s">
        <v>459</v>
      </c>
      <c r="Y61" s="137">
        <v>15000.0</v>
      </c>
      <c r="Z61" s="137">
        <v>15000.0</v>
      </c>
      <c r="AB61" s="155" t="s">
        <v>459</v>
      </c>
      <c r="AC61" s="138">
        <v>9500.0</v>
      </c>
      <c r="AD61" s="138">
        <v>9500.0</v>
      </c>
    </row>
    <row r="62">
      <c r="B62" s="23" t="s">
        <v>394</v>
      </c>
      <c r="S62" s="59"/>
      <c r="T62" s="165" t="s">
        <v>468</v>
      </c>
      <c r="U62" s="166">
        <f>U60*5%</f>
        <v>60</v>
      </c>
      <c r="V62" s="166">
        <f>V60*8%</f>
        <v>96</v>
      </c>
      <c r="X62" s="132" t="s">
        <v>461</v>
      </c>
      <c r="Y62" s="140">
        <f>Y61*3%</f>
        <v>450</v>
      </c>
      <c r="Z62" s="140">
        <f>Z61*5%</f>
        <v>750</v>
      </c>
      <c r="AB62" s="133" t="s">
        <v>461</v>
      </c>
      <c r="AC62" s="159">
        <f>AC61*3%</f>
        <v>285</v>
      </c>
      <c r="AD62" s="159">
        <f>AD61*5%</f>
        <v>475</v>
      </c>
    </row>
    <row r="63" ht="30.0" customHeight="1">
      <c r="A63" s="100" t="s">
        <v>395</v>
      </c>
      <c r="B63" s="45">
        <v>3000.0</v>
      </c>
      <c r="S63" s="59"/>
      <c r="T63" s="51" t="s">
        <v>469</v>
      </c>
      <c r="U63" s="167">
        <f>-((U60-U60*5%)/5)</f>
        <v>-228</v>
      </c>
      <c r="V63" s="167">
        <f>-((V60-V60*10%)/5)</f>
        <v>-216</v>
      </c>
      <c r="X63" s="154" t="s">
        <v>465</v>
      </c>
      <c r="Y63" s="172">
        <f>Y61*2%</f>
        <v>300</v>
      </c>
      <c r="Z63" s="173">
        <f>Z61*3%</f>
        <v>450</v>
      </c>
      <c r="AB63" s="133" t="s">
        <v>465</v>
      </c>
      <c r="AC63" s="138">
        <f>AC61*2%</f>
        <v>190</v>
      </c>
      <c r="AD63" s="159">
        <f>AD61*3%</f>
        <v>285</v>
      </c>
    </row>
    <row r="64">
      <c r="A64" s="112"/>
      <c r="S64" s="59"/>
      <c r="T64" s="51" t="s">
        <v>379</v>
      </c>
      <c r="U64" s="167">
        <f t="shared" ref="U64:V64" si="43">SUM(U61:U63)+U60</f>
        <v>1044</v>
      </c>
      <c r="V64" s="167">
        <f t="shared" si="43"/>
        <v>1104</v>
      </c>
      <c r="X64" s="154" t="s">
        <v>468</v>
      </c>
      <c r="Y64" s="137">
        <f>Y61*5%</f>
        <v>750</v>
      </c>
      <c r="Z64" s="137">
        <f>Z61*8%</f>
        <v>1200</v>
      </c>
      <c r="AB64" s="155" t="s">
        <v>468</v>
      </c>
      <c r="AC64" s="138">
        <f>AC61*5%</f>
        <v>475</v>
      </c>
      <c r="AD64" s="138">
        <f>AD61*8%</f>
        <v>760</v>
      </c>
    </row>
    <row r="65">
      <c r="A65" s="112" t="s">
        <v>396</v>
      </c>
      <c r="C65" s="113">
        <f>F48*10</f>
        <v>2.119565217</v>
      </c>
      <c r="D65" s="113">
        <f>M10*10</f>
        <v>2.857142857</v>
      </c>
      <c r="E65" s="113">
        <f>AVERAGE(H56,H58,H61)*10</f>
        <v>3.210927004</v>
      </c>
      <c r="F65" s="37">
        <f>B63/10000*10</f>
        <v>3</v>
      </c>
      <c r="G65" s="114">
        <f>SUM(C65:F65)</f>
        <v>11.18763508</v>
      </c>
      <c r="H65" s="26" t="s">
        <v>397</v>
      </c>
      <c r="S65" s="59"/>
      <c r="X65" s="132" t="s">
        <v>469</v>
      </c>
      <c r="Y65" s="140">
        <f>-(Y61-Y61*5%)/10</f>
        <v>-1425</v>
      </c>
      <c r="Z65" s="140">
        <f>-(Z61-Z61*10%)/10</f>
        <v>-1350</v>
      </c>
      <c r="AB65" s="133" t="s">
        <v>469</v>
      </c>
      <c r="AC65" s="159">
        <f>-(AC61-AC61*5%)/8</f>
        <v>-1128.125</v>
      </c>
      <c r="AD65" s="159">
        <f>-(AD61-AD61*10%)/8</f>
        <v>-1068.75</v>
      </c>
    </row>
    <row r="66" ht="35.25" customHeight="1">
      <c r="C66" s="100" t="s">
        <v>398</v>
      </c>
      <c r="D66" s="100" t="s">
        <v>399</v>
      </c>
      <c r="E66" s="100" t="s">
        <v>400</v>
      </c>
      <c r="F66" s="100" t="s">
        <v>401</v>
      </c>
      <c r="S66" s="59"/>
      <c r="T66" s="51" t="s">
        <v>495</v>
      </c>
      <c r="U66" s="51" t="s">
        <v>327</v>
      </c>
      <c r="V66" s="51" t="s">
        <v>328</v>
      </c>
      <c r="X66" s="132" t="s">
        <v>379</v>
      </c>
      <c r="Y66" s="140">
        <f t="shared" ref="Y66:Z66" si="44">SUM(Y62:Y65)+Y61</f>
        <v>15075</v>
      </c>
      <c r="Z66" s="140">
        <f t="shared" si="44"/>
        <v>16050</v>
      </c>
      <c r="AB66" s="133" t="s">
        <v>379</v>
      </c>
      <c r="AC66" s="159">
        <f t="shared" ref="AC66:AD66" si="45">SUM(AC62:AC65)+AC61</f>
        <v>9321.875</v>
      </c>
      <c r="AD66" s="159">
        <f t="shared" si="45"/>
        <v>9951.25</v>
      </c>
    </row>
    <row r="67">
      <c r="S67" s="59"/>
      <c r="T67" s="165" t="s">
        <v>459</v>
      </c>
      <c r="U67" s="166">
        <v>3500.0</v>
      </c>
      <c r="V67" s="166">
        <v>3500.0</v>
      </c>
    </row>
    <row r="68">
      <c r="S68" s="59"/>
      <c r="T68" s="51" t="s">
        <v>465</v>
      </c>
      <c r="U68" s="166">
        <f>U67*1%</f>
        <v>35</v>
      </c>
      <c r="V68" s="167">
        <f>V67*2%</f>
        <v>70</v>
      </c>
    </row>
    <row r="69">
      <c r="S69" s="59"/>
      <c r="T69" s="165" t="s">
        <v>468</v>
      </c>
      <c r="U69" s="166">
        <f>U67*5%</f>
        <v>175</v>
      </c>
      <c r="V69" s="166">
        <f>V67*8%</f>
        <v>280</v>
      </c>
    </row>
    <row r="70">
      <c r="S70" s="59"/>
      <c r="T70" s="51" t="s">
        <v>469</v>
      </c>
      <c r="U70" s="167">
        <f>-((U67-U67*5%)/5)</f>
        <v>-665</v>
      </c>
      <c r="V70" s="167">
        <f>-((V67-V67*10%)/5)</f>
        <v>-630</v>
      </c>
    </row>
    <row r="71">
      <c r="S71" s="59"/>
      <c r="T71" s="51" t="s">
        <v>379</v>
      </c>
      <c r="U71" s="167">
        <f t="shared" ref="U71:V71" si="46">SUM(U68:U70)+U67</f>
        <v>3045</v>
      </c>
      <c r="V71" s="167">
        <f t="shared" si="46"/>
        <v>3220</v>
      </c>
    </row>
    <row r="72" ht="46.5" customHeight="1">
      <c r="B72" s="30" t="s">
        <v>402</v>
      </c>
      <c r="C72" s="17" t="s">
        <v>403</v>
      </c>
      <c r="D72" s="17" t="s">
        <v>404</v>
      </c>
      <c r="E72" s="17" t="s">
        <v>405</v>
      </c>
      <c r="F72" s="17" t="s">
        <v>406</v>
      </c>
      <c r="G72" s="17" t="s">
        <v>407</v>
      </c>
      <c r="H72" s="17" t="s">
        <v>408</v>
      </c>
      <c r="K72" s="100"/>
      <c r="L72" s="45"/>
      <c r="M72" s="45"/>
      <c r="N72" s="45"/>
      <c r="S72" s="59"/>
    </row>
    <row r="73">
      <c r="B73" s="17" t="s">
        <v>409</v>
      </c>
      <c r="C73" s="17">
        <v>7.0</v>
      </c>
      <c r="D73" s="17">
        <v>40.0</v>
      </c>
      <c r="E73" s="17">
        <f t="shared" ref="E73:E76" si="47">(MAX($D$73:$D$76)*2-D73)/10</f>
        <v>5</v>
      </c>
      <c r="F73" s="115">
        <f t="shared" ref="F73:F76" si="48">SUM(C73,E73)</f>
        <v>12</v>
      </c>
      <c r="G73" s="116">
        <f t="shared" ref="G73:G76" si="49">F73/$F$77</f>
        <v>0.223880597</v>
      </c>
      <c r="H73" s="6">
        <f t="shared" ref="H73:H76" si="50">ROUND(G73*$B$81,0)</f>
        <v>784</v>
      </c>
      <c r="K73" s="45"/>
      <c r="L73" s="45"/>
      <c r="M73" s="45"/>
      <c r="N73" s="37"/>
      <c r="O73" s="105"/>
      <c r="S73" s="59"/>
      <c r="T73" s="42" t="s">
        <v>496</v>
      </c>
    </row>
    <row r="74">
      <c r="B74" s="17" t="s">
        <v>410</v>
      </c>
      <c r="C74" s="17">
        <v>8.3</v>
      </c>
      <c r="D74" s="17">
        <v>45.0</v>
      </c>
      <c r="E74" s="17">
        <f t="shared" si="47"/>
        <v>4.5</v>
      </c>
      <c r="F74" s="115">
        <f t="shared" si="48"/>
        <v>12.8</v>
      </c>
      <c r="G74" s="116">
        <f t="shared" si="49"/>
        <v>0.2388059701</v>
      </c>
      <c r="H74" s="6">
        <f t="shared" si="50"/>
        <v>836</v>
      </c>
      <c r="K74" s="45"/>
      <c r="L74" s="117"/>
      <c r="M74" s="45"/>
      <c r="N74" s="37"/>
      <c r="O74" s="105"/>
      <c r="S74" s="59"/>
      <c r="T74" s="23" t="s">
        <v>497</v>
      </c>
      <c r="Z74" s="23" t="s">
        <v>498</v>
      </c>
    </row>
    <row r="75">
      <c r="B75" s="17" t="s">
        <v>411</v>
      </c>
      <c r="C75" s="118">
        <v>10.2</v>
      </c>
      <c r="D75" s="17">
        <v>43.0</v>
      </c>
      <c r="E75" s="17">
        <f t="shared" si="47"/>
        <v>4.7</v>
      </c>
      <c r="F75" s="115">
        <f t="shared" si="48"/>
        <v>14.9</v>
      </c>
      <c r="G75" s="116">
        <f t="shared" si="49"/>
        <v>0.2779850746</v>
      </c>
      <c r="H75" s="6">
        <f t="shared" si="50"/>
        <v>973</v>
      </c>
      <c r="K75" s="45"/>
      <c r="L75" s="117"/>
      <c r="M75" s="45"/>
      <c r="N75" s="37"/>
      <c r="O75" s="105"/>
      <c r="S75" s="59"/>
      <c r="T75" s="133" t="s">
        <v>499</v>
      </c>
      <c r="U75" s="133" t="s">
        <v>500</v>
      </c>
      <c r="V75" s="133" t="s">
        <v>501</v>
      </c>
      <c r="W75" s="155" t="s">
        <v>502</v>
      </c>
      <c r="X75" s="133" t="s">
        <v>503</v>
      </c>
      <c r="Z75" s="133" t="s">
        <v>499</v>
      </c>
      <c r="AA75" s="133" t="s">
        <v>500</v>
      </c>
      <c r="AB75" s="133" t="s">
        <v>501</v>
      </c>
      <c r="AC75" s="155" t="s">
        <v>502</v>
      </c>
      <c r="AD75" s="133" t="s">
        <v>503</v>
      </c>
    </row>
    <row r="76">
      <c r="B76" s="17" t="s">
        <v>412</v>
      </c>
      <c r="C76" s="17">
        <v>9.0</v>
      </c>
      <c r="D76" s="17">
        <v>41.0</v>
      </c>
      <c r="E76" s="17">
        <f t="shared" si="47"/>
        <v>4.9</v>
      </c>
      <c r="F76" s="115">
        <f t="shared" si="48"/>
        <v>13.9</v>
      </c>
      <c r="G76" s="116">
        <f t="shared" si="49"/>
        <v>0.2593283582</v>
      </c>
      <c r="H76" s="6">
        <f t="shared" si="50"/>
        <v>908</v>
      </c>
      <c r="K76" s="45"/>
      <c r="L76" s="45"/>
      <c r="M76" s="45"/>
      <c r="N76" s="37"/>
      <c r="O76" s="105"/>
      <c r="S76" s="59"/>
      <c r="T76" s="133" t="s">
        <v>217</v>
      </c>
      <c r="U76" s="174" t="s">
        <v>504</v>
      </c>
      <c r="V76" s="175">
        <v>25.0</v>
      </c>
      <c r="W76" s="176">
        <f t="shared" ref="W76:W83" si="51">V76-V76*8%</f>
        <v>23</v>
      </c>
      <c r="X76" s="177" t="s">
        <v>505</v>
      </c>
      <c r="Z76" s="133" t="s">
        <v>217</v>
      </c>
      <c r="AA76" s="174" t="s">
        <v>504</v>
      </c>
      <c r="AB76" s="175">
        <f>25*60</f>
        <v>1500</v>
      </c>
      <c r="AC76" s="176">
        <f t="shared" ref="AC76:AC83" si="52">AB76-AB76*8%</f>
        <v>1380</v>
      </c>
      <c r="AD76" s="177" t="s">
        <v>506</v>
      </c>
    </row>
    <row r="77">
      <c r="B77" s="59"/>
      <c r="E77" s="23" t="s">
        <v>413</v>
      </c>
      <c r="F77" s="119">
        <f>SUM(F73:F76)</f>
        <v>53.6</v>
      </c>
      <c r="H77" s="38">
        <f>SUM(H73:H76)</f>
        <v>3501</v>
      </c>
      <c r="S77" s="59"/>
      <c r="T77" s="133" t="s">
        <v>217</v>
      </c>
      <c r="U77" s="174" t="s">
        <v>507</v>
      </c>
      <c r="V77" s="175">
        <v>45.0</v>
      </c>
      <c r="W77" s="176">
        <f t="shared" si="51"/>
        <v>41.4</v>
      </c>
      <c r="X77" s="177" t="s">
        <v>505</v>
      </c>
      <c r="Z77" s="133" t="s">
        <v>217</v>
      </c>
      <c r="AA77" s="174" t="s">
        <v>507</v>
      </c>
      <c r="AB77" s="175">
        <f>45*55</f>
        <v>2475</v>
      </c>
      <c r="AC77" s="176">
        <f t="shared" si="52"/>
        <v>2277</v>
      </c>
      <c r="AD77" s="177" t="s">
        <v>511</v>
      </c>
    </row>
    <row r="78">
      <c r="B78" s="59"/>
      <c r="F78" s="120"/>
      <c r="S78" s="59"/>
      <c r="T78" s="133" t="s">
        <v>217</v>
      </c>
      <c r="U78" s="174" t="s">
        <v>513</v>
      </c>
      <c r="V78" s="175">
        <v>80.0</v>
      </c>
      <c r="W78" s="176">
        <f t="shared" si="51"/>
        <v>73.6</v>
      </c>
      <c r="X78" s="177" t="s">
        <v>505</v>
      </c>
      <c r="Z78" s="133" t="s">
        <v>217</v>
      </c>
      <c r="AA78" s="174" t="s">
        <v>513</v>
      </c>
      <c r="AB78" s="175">
        <f>80*15</f>
        <v>1200</v>
      </c>
      <c r="AC78" s="176">
        <f t="shared" si="52"/>
        <v>1104</v>
      </c>
      <c r="AD78" s="177" t="s">
        <v>515</v>
      </c>
    </row>
    <row r="79">
      <c r="B79" s="7">
        <v>7000.0</v>
      </c>
      <c r="C79" s="23" t="s">
        <v>417</v>
      </c>
      <c r="F79" s="120"/>
      <c r="K79" s="23"/>
      <c r="S79" s="59"/>
      <c r="T79" s="133" t="s">
        <v>228</v>
      </c>
      <c r="U79" s="174" t="s">
        <v>516</v>
      </c>
      <c r="V79" s="175">
        <v>4.0</v>
      </c>
      <c r="W79" s="176">
        <f t="shared" si="51"/>
        <v>3.68</v>
      </c>
      <c r="X79" s="177" t="s">
        <v>335</v>
      </c>
      <c r="Z79" s="133" t="s">
        <v>228</v>
      </c>
      <c r="AA79" s="174" t="s">
        <v>516</v>
      </c>
      <c r="AB79" s="175">
        <f>4*200</f>
        <v>800</v>
      </c>
      <c r="AC79" s="176">
        <f t="shared" si="52"/>
        <v>736</v>
      </c>
      <c r="AD79" s="177" t="s">
        <v>518</v>
      </c>
    </row>
    <row r="80">
      <c r="B80" s="121">
        <v>0.5</v>
      </c>
      <c r="F80" s="120"/>
      <c r="K80" s="39"/>
      <c r="S80" s="59"/>
      <c r="T80" s="133" t="s">
        <v>228</v>
      </c>
      <c r="U80" s="177" t="s">
        <v>519</v>
      </c>
      <c r="V80" s="175">
        <v>9.0</v>
      </c>
      <c r="W80" s="176">
        <f t="shared" si="51"/>
        <v>8.28</v>
      </c>
      <c r="X80" s="177" t="s">
        <v>335</v>
      </c>
      <c r="Z80" s="133" t="s">
        <v>228</v>
      </c>
      <c r="AA80" s="177" t="s">
        <v>519</v>
      </c>
      <c r="AB80" s="175">
        <f>9*190</f>
        <v>1710</v>
      </c>
      <c r="AC80" s="176">
        <f t="shared" si="52"/>
        <v>1573.2</v>
      </c>
      <c r="AD80" s="177" t="s">
        <v>520</v>
      </c>
    </row>
    <row r="81">
      <c r="B81" s="59">
        <f>B79*B80</f>
        <v>3500</v>
      </c>
      <c r="C81" s="23" t="s">
        <v>418</v>
      </c>
      <c r="F81" s="120"/>
      <c r="S81" s="59"/>
      <c r="T81" s="133" t="s">
        <v>235</v>
      </c>
      <c r="U81" s="174" t="s">
        <v>521</v>
      </c>
      <c r="V81" s="175">
        <v>2.0</v>
      </c>
      <c r="W81" s="176">
        <f t="shared" si="51"/>
        <v>1.84</v>
      </c>
      <c r="X81" s="177" t="s">
        <v>522</v>
      </c>
      <c r="Z81" s="133" t="s">
        <v>235</v>
      </c>
      <c r="AA81" s="174" t="s">
        <v>521</v>
      </c>
      <c r="AB81" s="175">
        <f>2*0</f>
        <v>0</v>
      </c>
      <c r="AC81" s="176">
        <f t="shared" si="52"/>
        <v>0</v>
      </c>
      <c r="AD81" s="177" t="s">
        <v>524</v>
      </c>
    </row>
    <row r="82">
      <c r="B82" s="122"/>
      <c r="C82" s="123"/>
      <c r="D82" s="123"/>
      <c r="E82" s="123"/>
      <c r="F82" s="124"/>
      <c r="S82" s="59"/>
      <c r="T82" s="133" t="s">
        <v>235</v>
      </c>
      <c r="U82" s="174" t="s">
        <v>525</v>
      </c>
      <c r="V82" s="175">
        <v>4.0</v>
      </c>
      <c r="W82" s="176">
        <f t="shared" si="51"/>
        <v>3.68</v>
      </c>
      <c r="X82" s="177" t="s">
        <v>522</v>
      </c>
      <c r="Z82" s="133" t="s">
        <v>235</v>
      </c>
      <c r="AA82" s="174" t="s">
        <v>525</v>
      </c>
      <c r="AB82" s="175">
        <f>4*6</f>
        <v>24</v>
      </c>
      <c r="AC82" s="176">
        <f t="shared" si="52"/>
        <v>22.08</v>
      </c>
      <c r="AD82" s="177" t="s">
        <v>527</v>
      </c>
    </row>
    <row r="83">
      <c r="S83" s="59"/>
      <c r="T83" s="133" t="s">
        <v>235</v>
      </c>
      <c r="U83" s="174" t="s">
        <v>528</v>
      </c>
      <c r="V83" s="175">
        <v>7.0</v>
      </c>
      <c r="W83" s="176">
        <f t="shared" si="51"/>
        <v>6.44</v>
      </c>
      <c r="X83" s="177" t="s">
        <v>522</v>
      </c>
      <c r="Z83" s="133" t="s">
        <v>235</v>
      </c>
      <c r="AA83" s="174" t="s">
        <v>528</v>
      </c>
      <c r="AB83" s="175">
        <f>7*7</f>
        <v>49</v>
      </c>
      <c r="AC83" s="176">
        <f t="shared" si="52"/>
        <v>45.08</v>
      </c>
      <c r="AD83" s="177" t="s">
        <v>529</v>
      </c>
    </row>
    <row r="84">
      <c r="S84" s="59"/>
      <c r="V84" s="179"/>
      <c r="W84" s="179"/>
      <c r="Z84" s="133" t="s">
        <v>413</v>
      </c>
      <c r="AA84" s="180"/>
      <c r="AB84" s="181">
        <f t="shared" ref="AB84:AC84" si="53">SUM(AB76:AB83)</f>
        <v>7758</v>
      </c>
      <c r="AC84" s="181">
        <f t="shared" si="53"/>
        <v>7137.36</v>
      </c>
      <c r="AD84" s="180"/>
    </row>
    <row r="85">
      <c r="S85" s="59"/>
      <c r="T85" s="23" t="s">
        <v>531</v>
      </c>
    </row>
    <row r="86">
      <c r="B86" s="30" t="s">
        <v>419</v>
      </c>
      <c r="C86" s="17" t="s">
        <v>403</v>
      </c>
      <c r="D86" s="17" t="s">
        <v>404</v>
      </c>
      <c r="E86" s="17" t="s">
        <v>405</v>
      </c>
      <c r="F86" s="17" t="s">
        <v>406</v>
      </c>
      <c r="G86" s="17" t="s">
        <v>407</v>
      </c>
      <c r="H86" s="17" t="s">
        <v>408</v>
      </c>
      <c r="S86" s="59"/>
      <c r="T86" s="133" t="s">
        <v>499</v>
      </c>
      <c r="U86" s="133" t="s">
        <v>500</v>
      </c>
      <c r="V86" s="133" t="s">
        <v>501</v>
      </c>
      <c r="W86" s="155" t="s">
        <v>502</v>
      </c>
      <c r="X86" s="155" t="s">
        <v>532</v>
      </c>
      <c r="Z86" s="23" t="s">
        <v>533</v>
      </c>
    </row>
    <row r="87">
      <c r="B87" s="17" t="s">
        <v>409</v>
      </c>
      <c r="C87" s="17">
        <v>7.0</v>
      </c>
      <c r="D87" s="17">
        <v>120.0</v>
      </c>
      <c r="E87" s="35">
        <f t="shared" ref="E87:E90" si="54">(MAX($D$87:$D$90)*2-D87)/10</f>
        <v>28</v>
      </c>
      <c r="F87" s="115">
        <f t="shared" ref="F87:F90" si="55">SUM(C87,E87)</f>
        <v>35</v>
      </c>
      <c r="G87" s="116">
        <f t="shared" ref="G87:G90" si="56">F87/$F$91</f>
        <v>0.2723735409</v>
      </c>
      <c r="H87" s="6">
        <f t="shared" ref="H87:H90" si="57">ROUND(G87*$B$81,0)</f>
        <v>953</v>
      </c>
      <c r="S87" s="59"/>
      <c r="T87" s="133" t="s">
        <v>217</v>
      </c>
      <c r="U87" s="174" t="s">
        <v>504</v>
      </c>
      <c r="V87" s="175">
        <f>25*60</f>
        <v>1500</v>
      </c>
      <c r="W87" s="176">
        <f t="shared" ref="W87:W94" si="58">V87-V87*8%</f>
        <v>1380</v>
      </c>
      <c r="X87" s="177" t="s">
        <v>506</v>
      </c>
      <c r="Z87" s="133" t="s">
        <v>499</v>
      </c>
      <c r="AA87" s="133" t="s">
        <v>500</v>
      </c>
      <c r="AB87" s="133" t="s">
        <v>501</v>
      </c>
      <c r="AC87" s="155" t="s">
        <v>502</v>
      </c>
      <c r="AD87" s="155" t="s">
        <v>532</v>
      </c>
    </row>
    <row r="88">
      <c r="B88" s="17" t="s">
        <v>410</v>
      </c>
      <c r="C88" s="17">
        <v>8.3</v>
      </c>
      <c r="D88" s="17">
        <v>150.0</v>
      </c>
      <c r="E88" s="35">
        <f t="shared" si="54"/>
        <v>25</v>
      </c>
      <c r="F88" s="115">
        <f t="shared" si="55"/>
        <v>33.3</v>
      </c>
      <c r="G88" s="116">
        <f t="shared" si="56"/>
        <v>0.2591439689</v>
      </c>
      <c r="H88" s="6">
        <f t="shared" si="57"/>
        <v>907</v>
      </c>
      <c r="S88" s="59"/>
      <c r="T88" s="133" t="s">
        <v>217</v>
      </c>
      <c r="U88" s="174" t="s">
        <v>507</v>
      </c>
      <c r="V88" s="175">
        <f>45*110</f>
        <v>4950</v>
      </c>
      <c r="W88" s="176">
        <f t="shared" si="58"/>
        <v>4554</v>
      </c>
      <c r="X88" s="177" t="s">
        <v>539</v>
      </c>
      <c r="Z88" s="133" t="s">
        <v>217</v>
      </c>
      <c r="AA88" s="174" t="s">
        <v>504</v>
      </c>
      <c r="AB88" s="175">
        <f>25*60</f>
        <v>1500</v>
      </c>
      <c r="AC88" s="176">
        <f t="shared" ref="AC88:AC95" si="59">AB88-AB88*8%</f>
        <v>1380</v>
      </c>
      <c r="AD88" s="177" t="s">
        <v>506</v>
      </c>
    </row>
    <row r="89">
      <c r="B89" s="17" t="s">
        <v>411</v>
      </c>
      <c r="C89" s="17">
        <v>10.2</v>
      </c>
      <c r="D89" s="17">
        <v>190.0</v>
      </c>
      <c r="E89" s="35">
        <f t="shared" si="54"/>
        <v>21</v>
      </c>
      <c r="F89" s="115">
        <f t="shared" si="55"/>
        <v>31.2</v>
      </c>
      <c r="G89" s="116">
        <f t="shared" si="56"/>
        <v>0.2428015564</v>
      </c>
      <c r="H89" s="6">
        <f t="shared" si="57"/>
        <v>850</v>
      </c>
      <c r="S89" s="59"/>
      <c r="T89" s="133" t="s">
        <v>217</v>
      </c>
      <c r="U89" s="174" t="s">
        <v>513</v>
      </c>
      <c r="V89" s="175">
        <f>80*30</f>
        <v>2400</v>
      </c>
      <c r="W89" s="176">
        <f t="shared" si="58"/>
        <v>2208</v>
      </c>
      <c r="X89" s="177" t="s">
        <v>541</v>
      </c>
      <c r="Z89" s="133" t="s">
        <v>217</v>
      </c>
      <c r="AA89" s="174" t="s">
        <v>507</v>
      </c>
      <c r="AB89" s="175">
        <f>45*107</f>
        <v>4815</v>
      </c>
      <c r="AC89" s="176">
        <f t="shared" si="59"/>
        <v>4429.8</v>
      </c>
      <c r="AD89" s="177" t="s">
        <v>542</v>
      </c>
    </row>
    <row r="90">
      <c r="B90" s="17" t="s">
        <v>412</v>
      </c>
      <c r="C90" s="17">
        <v>9.0</v>
      </c>
      <c r="D90" s="17">
        <v>200.0</v>
      </c>
      <c r="E90" s="35">
        <f t="shared" si="54"/>
        <v>20</v>
      </c>
      <c r="F90" s="115">
        <f t="shared" si="55"/>
        <v>29</v>
      </c>
      <c r="G90" s="116">
        <f t="shared" si="56"/>
        <v>0.2256809339</v>
      </c>
      <c r="H90" s="6">
        <f t="shared" si="57"/>
        <v>790</v>
      </c>
      <c r="S90" s="59"/>
      <c r="T90" s="133" t="s">
        <v>228</v>
      </c>
      <c r="U90" s="174" t="s">
        <v>516</v>
      </c>
      <c r="V90" s="175">
        <f>4*200</f>
        <v>800</v>
      </c>
      <c r="W90" s="176">
        <f t="shared" si="58"/>
        <v>736</v>
      </c>
      <c r="X90" s="177" t="s">
        <v>518</v>
      </c>
      <c r="Z90" s="133" t="s">
        <v>217</v>
      </c>
      <c r="AA90" s="174" t="s">
        <v>513</v>
      </c>
      <c r="AB90" s="175">
        <f>80*0</f>
        <v>0</v>
      </c>
      <c r="AC90" s="176">
        <f t="shared" si="59"/>
        <v>0</v>
      </c>
      <c r="AD90" s="177" t="s">
        <v>543</v>
      </c>
    </row>
    <row r="91">
      <c r="B91" s="59"/>
      <c r="E91" s="23" t="s">
        <v>413</v>
      </c>
      <c r="F91" s="119">
        <f>SUM(F87:F90)</f>
        <v>128.5</v>
      </c>
      <c r="S91" s="59"/>
      <c r="T91" s="133" t="s">
        <v>228</v>
      </c>
      <c r="U91" s="177" t="s">
        <v>519</v>
      </c>
      <c r="V91" s="175">
        <f>9*190</f>
        <v>1710</v>
      </c>
      <c r="W91" s="176">
        <f t="shared" si="58"/>
        <v>1573.2</v>
      </c>
      <c r="X91" s="177" t="s">
        <v>520</v>
      </c>
      <c r="Z91" s="133" t="s">
        <v>228</v>
      </c>
      <c r="AA91" s="174" t="s">
        <v>516</v>
      </c>
      <c r="AB91" s="175">
        <f>4*200</f>
        <v>800</v>
      </c>
      <c r="AC91" s="176">
        <f t="shared" si="59"/>
        <v>736</v>
      </c>
      <c r="AD91" s="177" t="s">
        <v>518</v>
      </c>
    </row>
    <row r="92">
      <c r="B92" s="59"/>
      <c r="F92" s="120"/>
      <c r="S92" s="59"/>
      <c r="T92" s="133" t="s">
        <v>235</v>
      </c>
      <c r="U92" s="174" t="s">
        <v>521</v>
      </c>
      <c r="V92" s="175">
        <f>2*0</f>
        <v>0</v>
      </c>
      <c r="W92" s="176">
        <f t="shared" si="58"/>
        <v>0</v>
      </c>
      <c r="X92" s="177" t="s">
        <v>524</v>
      </c>
      <c r="Z92" s="133" t="s">
        <v>228</v>
      </c>
      <c r="AA92" s="177" t="s">
        <v>519</v>
      </c>
      <c r="AB92" s="175">
        <f>9*185</f>
        <v>1665</v>
      </c>
      <c r="AC92" s="176">
        <f t="shared" si="59"/>
        <v>1531.8</v>
      </c>
      <c r="AD92" s="177" t="s">
        <v>544</v>
      </c>
    </row>
    <row r="93">
      <c r="B93" s="7">
        <v>5000.0</v>
      </c>
      <c r="C93" s="23" t="s">
        <v>417</v>
      </c>
      <c r="F93" s="120"/>
      <c r="S93" s="59"/>
      <c r="T93" s="133" t="s">
        <v>235</v>
      </c>
      <c r="U93" s="174" t="s">
        <v>525</v>
      </c>
      <c r="V93" s="175">
        <f>4*1500</f>
        <v>6000</v>
      </c>
      <c r="W93" s="176">
        <f t="shared" si="58"/>
        <v>5520</v>
      </c>
      <c r="X93" s="177" t="s">
        <v>545</v>
      </c>
      <c r="Z93" s="133" t="s">
        <v>235</v>
      </c>
      <c r="AA93" s="174" t="s">
        <v>521</v>
      </c>
      <c r="AB93" s="175">
        <f>2*0</f>
        <v>0</v>
      </c>
      <c r="AC93" s="176">
        <f t="shared" si="59"/>
        <v>0</v>
      </c>
      <c r="AD93" s="177" t="s">
        <v>524</v>
      </c>
    </row>
    <row r="94">
      <c r="B94" s="121">
        <v>0.7</v>
      </c>
      <c r="F94" s="120"/>
      <c r="S94" s="59"/>
      <c r="T94" s="133" t="s">
        <v>235</v>
      </c>
      <c r="U94" s="174" t="s">
        <v>528</v>
      </c>
      <c r="V94" s="175">
        <f>7*1400</f>
        <v>9800</v>
      </c>
      <c r="W94" s="176">
        <f t="shared" si="58"/>
        <v>9016</v>
      </c>
      <c r="X94" s="177" t="s">
        <v>546</v>
      </c>
      <c r="Z94" s="133" t="s">
        <v>235</v>
      </c>
      <c r="AA94" s="174" t="s">
        <v>525</v>
      </c>
      <c r="AB94" s="175">
        <f>4*1500</f>
        <v>6000</v>
      </c>
      <c r="AC94" s="176">
        <f t="shared" si="59"/>
        <v>5520</v>
      </c>
      <c r="AD94" s="177" t="s">
        <v>545</v>
      </c>
    </row>
    <row r="95">
      <c r="B95" s="59">
        <f>B93*B94</f>
        <v>3500</v>
      </c>
      <c r="C95" s="23" t="s">
        <v>418</v>
      </c>
      <c r="F95" s="120"/>
      <c r="S95" s="59"/>
      <c r="T95" s="133" t="s">
        <v>413</v>
      </c>
      <c r="U95" s="180"/>
      <c r="V95" s="181">
        <f t="shared" ref="V95:W95" si="60">SUM(V87:V94)</f>
        <v>27160</v>
      </c>
      <c r="W95" s="181">
        <f t="shared" si="60"/>
        <v>24987.2</v>
      </c>
      <c r="X95" s="180"/>
      <c r="Z95" s="133" t="s">
        <v>235</v>
      </c>
      <c r="AA95" s="174" t="s">
        <v>528</v>
      </c>
      <c r="AB95" s="175">
        <f>7*1400</f>
        <v>9800</v>
      </c>
      <c r="AC95" s="176">
        <f t="shared" si="59"/>
        <v>9016</v>
      </c>
      <c r="AD95" s="177" t="s">
        <v>546</v>
      </c>
    </row>
    <row r="96">
      <c r="B96" s="122"/>
      <c r="C96" s="123"/>
      <c r="D96" s="123"/>
      <c r="E96" s="123"/>
      <c r="F96" s="124"/>
      <c r="S96" s="59"/>
      <c r="Z96" s="133" t="s">
        <v>413</v>
      </c>
      <c r="AA96" s="180"/>
      <c r="AB96" s="181">
        <f t="shared" ref="AB96:AC96" si="61">SUM(AB88:AB95)</f>
        <v>24580</v>
      </c>
      <c r="AC96" s="181">
        <f t="shared" si="61"/>
        <v>22613.6</v>
      </c>
      <c r="AD96" s="180"/>
    </row>
    <row r="97">
      <c r="S97" s="59"/>
    </row>
    <row r="98">
      <c r="S98" s="59"/>
      <c r="T98" s="23" t="s">
        <v>547</v>
      </c>
    </row>
    <row r="99">
      <c r="S99" s="59"/>
    </row>
    <row r="100">
      <c r="B100" s="30" t="s">
        <v>420</v>
      </c>
      <c r="C100" s="17" t="s">
        <v>403</v>
      </c>
      <c r="D100" s="17" t="s">
        <v>404</v>
      </c>
      <c r="E100" s="17" t="s">
        <v>405</v>
      </c>
      <c r="F100" s="17" t="s">
        <v>406</v>
      </c>
      <c r="G100" s="17" t="s">
        <v>407</v>
      </c>
      <c r="H100" s="17" t="s">
        <v>408</v>
      </c>
      <c r="S100" s="59"/>
      <c r="T100" s="133" t="s">
        <v>413</v>
      </c>
      <c r="U100" s="180"/>
      <c r="V100" s="181">
        <f t="shared" ref="V100:W100" si="62">V95-AB96</f>
        <v>2580</v>
      </c>
      <c r="W100" s="181">
        <f t="shared" si="62"/>
        <v>2373.6</v>
      </c>
      <c r="X100" s="180"/>
    </row>
    <row r="101">
      <c r="B101" s="17" t="s">
        <v>409</v>
      </c>
      <c r="C101" s="17">
        <v>7.0</v>
      </c>
      <c r="D101" s="17">
        <v>250.0</v>
      </c>
      <c r="E101" s="35">
        <f t="shared" ref="E101:E104" si="63">(MAX($D$101:$D$104)*2-D101)/10</f>
        <v>55</v>
      </c>
      <c r="F101" s="115">
        <f t="shared" ref="F101:F104" si="64">SUM(C101,E101)</f>
        <v>62</v>
      </c>
      <c r="G101" s="116">
        <f t="shared" ref="G101:G104" si="65">F101/$F$105</f>
        <v>0.2610526316</v>
      </c>
      <c r="H101" s="6">
        <f t="shared" ref="H101:H104" si="66">ROUND(G101*$B$109,0)</f>
        <v>209</v>
      </c>
      <c r="S101" s="59"/>
    </row>
    <row r="102">
      <c r="B102" s="17" t="s">
        <v>410</v>
      </c>
      <c r="C102" s="17">
        <v>8.3</v>
      </c>
      <c r="D102" s="17">
        <v>300.0</v>
      </c>
      <c r="E102" s="35">
        <f t="shared" si="63"/>
        <v>50</v>
      </c>
      <c r="F102" s="115">
        <f t="shared" si="64"/>
        <v>58.3</v>
      </c>
      <c r="G102" s="116">
        <f t="shared" si="65"/>
        <v>0.2454736842</v>
      </c>
      <c r="H102" s="6">
        <f t="shared" si="66"/>
        <v>196</v>
      </c>
      <c r="S102" s="59"/>
    </row>
    <row r="103">
      <c r="B103" s="17" t="s">
        <v>411</v>
      </c>
      <c r="C103" s="17">
        <v>10.2</v>
      </c>
      <c r="D103" s="17">
        <v>220.0</v>
      </c>
      <c r="E103" s="35">
        <f t="shared" si="63"/>
        <v>58</v>
      </c>
      <c r="F103" s="115">
        <f t="shared" si="64"/>
        <v>68.2</v>
      </c>
      <c r="G103" s="116">
        <f t="shared" si="65"/>
        <v>0.2871578947</v>
      </c>
      <c r="H103" s="6">
        <f t="shared" si="66"/>
        <v>230</v>
      </c>
      <c r="S103" s="59"/>
    </row>
    <row r="104">
      <c r="B104" s="17" t="s">
        <v>412</v>
      </c>
      <c r="C104" s="17">
        <v>9.0</v>
      </c>
      <c r="D104" s="17">
        <v>400.0</v>
      </c>
      <c r="E104" s="35">
        <f t="shared" si="63"/>
        <v>40</v>
      </c>
      <c r="F104" s="115">
        <f t="shared" si="64"/>
        <v>49</v>
      </c>
      <c r="G104" s="116">
        <f t="shared" si="65"/>
        <v>0.2063157895</v>
      </c>
      <c r="H104" s="6">
        <f t="shared" si="66"/>
        <v>165</v>
      </c>
      <c r="S104" s="59"/>
    </row>
    <row r="105">
      <c r="B105" s="59"/>
      <c r="E105" s="23" t="s">
        <v>413</v>
      </c>
      <c r="F105" s="119">
        <f>SUM(F101:F104)</f>
        <v>237.5</v>
      </c>
      <c r="S105" s="59"/>
    </row>
    <row r="106">
      <c r="B106" s="59"/>
      <c r="F106" s="120"/>
      <c r="S106" s="59"/>
    </row>
    <row r="107">
      <c r="B107" s="7">
        <v>2000.0</v>
      </c>
      <c r="C107" s="23" t="s">
        <v>417</v>
      </c>
      <c r="F107" s="120"/>
      <c r="S107" s="59"/>
    </row>
    <row r="108">
      <c r="B108" s="121">
        <v>0.4</v>
      </c>
      <c r="F108" s="120"/>
      <c r="S108" s="59"/>
    </row>
    <row r="109">
      <c r="B109" s="59">
        <f>B107*B108</f>
        <v>800</v>
      </c>
      <c r="C109" s="23" t="s">
        <v>418</v>
      </c>
      <c r="F109" s="120"/>
      <c r="S109" s="59"/>
    </row>
    <row r="110">
      <c r="B110" s="122"/>
      <c r="C110" s="123"/>
      <c r="D110" s="123"/>
      <c r="E110" s="123"/>
      <c r="F110" s="124"/>
      <c r="S110" s="59"/>
    </row>
    <row r="111">
      <c r="S111" s="59"/>
    </row>
    <row r="112">
      <c r="S112" s="59"/>
    </row>
    <row r="113">
      <c r="A113" s="112" t="s">
        <v>396</v>
      </c>
      <c r="C113" s="113">
        <f>F48*10</f>
        <v>2.119565217</v>
      </c>
      <c r="D113" s="113">
        <f>M10*10</f>
        <v>2.857142857</v>
      </c>
      <c r="E113" s="113">
        <f>AVERAGE(H56,H58,H61)*10</f>
        <v>3.210927004</v>
      </c>
      <c r="F113" s="37">
        <f>B63/10000*10</f>
        <v>3</v>
      </c>
      <c r="G113" s="114">
        <f>SUM(C113:F113)</f>
        <v>11.18763508</v>
      </c>
      <c r="H113" s="26" t="s">
        <v>397</v>
      </c>
      <c r="S113" s="59"/>
    </row>
    <row r="114">
      <c r="C114" s="100" t="s">
        <v>398</v>
      </c>
      <c r="D114" s="100" t="s">
        <v>399</v>
      </c>
      <c r="E114" s="100" t="s">
        <v>400</v>
      </c>
      <c r="F114" s="100" t="s">
        <v>401</v>
      </c>
      <c r="L114" s="142" t="s">
        <v>434</v>
      </c>
      <c r="M114" s="143">
        <v>0.7</v>
      </c>
      <c r="S114" s="59"/>
    </row>
    <row r="115">
      <c r="L115" s="142" t="s">
        <v>438</v>
      </c>
      <c r="M115" s="143">
        <v>0.2</v>
      </c>
      <c r="S115" s="59"/>
    </row>
    <row r="116">
      <c r="L116" s="142" t="s">
        <v>441</v>
      </c>
      <c r="M116" s="143">
        <v>0.1</v>
      </c>
      <c r="S116" s="59"/>
    </row>
    <row r="117">
      <c r="B117" s="144" t="s">
        <v>402</v>
      </c>
      <c r="C117" s="144" t="s">
        <v>404</v>
      </c>
      <c r="D117" s="144" t="s">
        <v>442</v>
      </c>
      <c r="E117" s="144" t="s">
        <v>443</v>
      </c>
      <c r="F117" s="144" t="s">
        <v>444</v>
      </c>
      <c r="G117" s="144" t="s">
        <v>445</v>
      </c>
      <c r="H117" s="144" t="s">
        <v>406</v>
      </c>
      <c r="I117" s="144" t="s">
        <v>407</v>
      </c>
      <c r="J117" s="144" t="s">
        <v>408</v>
      </c>
      <c r="K117" s="145"/>
      <c r="S117" s="59"/>
    </row>
    <row r="118">
      <c r="B118" s="146" t="s">
        <v>409</v>
      </c>
      <c r="C118" s="147">
        <v>40.0</v>
      </c>
      <c r="D118" s="148">
        <v>7.0</v>
      </c>
      <c r="E118" s="148">
        <f t="shared" ref="E118:E121" si="67">ROUND((D118/$D$122)*100,0)</f>
        <v>20</v>
      </c>
      <c r="F118" s="150">
        <f t="shared" ref="F118:F121" si="68">100*(MAX($C$118:$C$121)-C118)/(MAX($C$118:$C$121)-MIN($C$118:$C$121))</f>
        <v>100</v>
      </c>
      <c r="G118" s="150">
        <f t="shared" ref="G118:G121" si="69">D118*10</f>
        <v>70</v>
      </c>
      <c r="H118" s="151">
        <f t="shared" ref="H118:H121" si="70">$M$114*F118+$M$115*G118+$M$116*E118</f>
        <v>86</v>
      </c>
      <c r="I118" s="153">
        <f t="shared" ref="I118:I121" si="71">H118/$H$122</f>
        <v>0.3690987124</v>
      </c>
      <c r="J118" s="151">
        <f t="shared" ref="J118:J121" si="72">ROUND(I118*$B$126,0)</f>
        <v>1292</v>
      </c>
      <c r="K118" s="145"/>
      <c r="S118" s="59"/>
    </row>
    <row r="119">
      <c r="B119" s="146" t="s">
        <v>410</v>
      </c>
      <c r="C119" s="147">
        <v>45.0</v>
      </c>
      <c r="D119" s="148">
        <v>8.3</v>
      </c>
      <c r="E119" s="148">
        <f t="shared" si="67"/>
        <v>24</v>
      </c>
      <c r="F119" s="150">
        <f t="shared" si="68"/>
        <v>0</v>
      </c>
      <c r="G119" s="150">
        <f t="shared" si="69"/>
        <v>83</v>
      </c>
      <c r="H119" s="151">
        <f t="shared" si="70"/>
        <v>19</v>
      </c>
      <c r="I119" s="153">
        <f t="shared" si="71"/>
        <v>0.08154506438</v>
      </c>
      <c r="J119" s="151">
        <f t="shared" si="72"/>
        <v>285</v>
      </c>
      <c r="K119" s="145"/>
      <c r="S119" s="59"/>
    </row>
    <row r="120">
      <c r="B120" s="146" t="s">
        <v>411</v>
      </c>
      <c r="C120" s="147">
        <v>43.0</v>
      </c>
      <c r="D120" s="148">
        <v>10.2</v>
      </c>
      <c r="E120" s="148">
        <f t="shared" si="67"/>
        <v>30</v>
      </c>
      <c r="F120" s="150">
        <f t="shared" si="68"/>
        <v>40</v>
      </c>
      <c r="G120" s="150">
        <f t="shared" si="69"/>
        <v>102</v>
      </c>
      <c r="H120" s="151">
        <f t="shared" si="70"/>
        <v>51.4</v>
      </c>
      <c r="I120" s="153">
        <f t="shared" si="71"/>
        <v>0.2206008584</v>
      </c>
      <c r="J120" s="151">
        <f t="shared" si="72"/>
        <v>772</v>
      </c>
      <c r="K120" s="145"/>
      <c r="S120" s="59"/>
    </row>
    <row r="121">
      <c r="B121" s="146" t="s">
        <v>412</v>
      </c>
      <c r="C121" s="147">
        <v>41.0</v>
      </c>
      <c r="D121" s="148">
        <v>9.0</v>
      </c>
      <c r="E121" s="148">
        <f t="shared" si="67"/>
        <v>26</v>
      </c>
      <c r="F121" s="150">
        <f t="shared" si="68"/>
        <v>80</v>
      </c>
      <c r="G121" s="150">
        <f t="shared" si="69"/>
        <v>90</v>
      </c>
      <c r="H121" s="151">
        <f t="shared" si="70"/>
        <v>76.6</v>
      </c>
      <c r="I121" s="153">
        <f t="shared" si="71"/>
        <v>0.3287553648</v>
      </c>
      <c r="J121" s="151">
        <f t="shared" si="72"/>
        <v>1151</v>
      </c>
      <c r="K121" s="145"/>
      <c r="S121" s="59"/>
    </row>
    <row r="122">
      <c r="B122" s="157"/>
      <c r="C122" s="144" t="s">
        <v>460</v>
      </c>
      <c r="D122" s="157">
        <f>SUM(D118:D121)</f>
        <v>34.5</v>
      </c>
      <c r="E122" s="157"/>
      <c r="F122" s="157"/>
      <c r="G122" s="158" t="s">
        <v>462</v>
      </c>
      <c r="H122" s="151">
        <f>SUM(H118:H121)</f>
        <v>233</v>
      </c>
      <c r="I122" s="157"/>
      <c r="J122" s="157">
        <f>SUM(J118:J121)</f>
        <v>3500</v>
      </c>
      <c r="K122" s="145"/>
      <c r="S122" s="59"/>
    </row>
    <row r="123">
      <c r="B123" s="145"/>
      <c r="C123" s="145"/>
      <c r="D123" s="145"/>
      <c r="E123" s="145"/>
      <c r="F123" s="145"/>
      <c r="G123" s="145"/>
      <c r="H123" s="145"/>
      <c r="I123" s="145"/>
      <c r="J123" s="145"/>
      <c r="K123" s="145"/>
      <c r="S123" s="59"/>
    </row>
    <row r="124">
      <c r="B124" s="144">
        <v>7000.0</v>
      </c>
      <c r="C124" s="144" t="s">
        <v>463</v>
      </c>
      <c r="D124" s="145"/>
      <c r="E124" s="145"/>
      <c r="F124" s="145"/>
      <c r="G124" s="145"/>
      <c r="H124" s="145"/>
      <c r="I124" s="145"/>
      <c r="J124" s="145"/>
      <c r="K124" s="145"/>
      <c r="S124" s="59"/>
    </row>
    <row r="125">
      <c r="B125" s="160">
        <v>0.5</v>
      </c>
      <c r="C125" s="157"/>
      <c r="D125" s="145"/>
      <c r="E125" s="145"/>
      <c r="F125" s="145"/>
      <c r="G125" s="145"/>
      <c r="H125" s="145"/>
      <c r="I125" s="145"/>
      <c r="J125" s="145"/>
      <c r="K125" s="145"/>
      <c r="S125" s="59"/>
    </row>
    <row r="126">
      <c r="B126" s="144">
        <v>3500.0</v>
      </c>
      <c r="C126" s="144" t="s">
        <v>464</v>
      </c>
      <c r="D126" s="145"/>
      <c r="E126" s="145"/>
      <c r="F126" s="145"/>
      <c r="G126" s="145"/>
      <c r="H126" s="145"/>
      <c r="I126" s="145"/>
      <c r="J126" s="145"/>
      <c r="K126" s="145"/>
      <c r="S126" s="59"/>
    </row>
    <row r="127">
      <c r="B127" s="145"/>
      <c r="C127" s="145"/>
      <c r="D127" s="145"/>
      <c r="E127" s="145"/>
      <c r="F127" s="145"/>
      <c r="G127" s="145"/>
      <c r="H127" s="145"/>
      <c r="I127" s="145"/>
      <c r="J127" s="145"/>
      <c r="K127" s="145"/>
      <c r="L127" s="142" t="s">
        <v>434</v>
      </c>
      <c r="M127" s="143">
        <v>0.4</v>
      </c>
      <c r="S127" s="59"/>
    </row>
    <row r="128">
      <c r="B128" s="145"/>
      <c r="C128" s="145"/>
      <c r="D128" s="145"/>
      <c r="E128" s="145"/>
      <c r="F128" s="145"/>
      <c r="G128" s="145"/>
      <c r="H128" s="145"/>
      <c r="I128" s="145"/>
      <c r="J128" s="145"/>
      <c r="K128" s="145"/>
      <c r="L128" s="142" t="s">
        <v>438</v>
      </c>
      <c r="M128" s="143">
        <v>0.35</v>
      </c>
      <c r="S128" s="59"/>
    </row>
    <row r="129">
      <c r="B129" s="145"/>
      <c r="C129" s="145"/>
      <c r="D129" s="145"/>
      <c r="E129" s="145"/>
      <c r="F129" s="145"/>
      <c r="G129" s="145"/>
      <c r="H129" s="145"/>
      <c r="I129" s="145"/>
      <c r="J129" s="145"/>
      <c r="K129" s="145"/>
      <c r="L129" s="142" t="s">
        <v>441</v>
      </c>
      <c r="M129" s="143">
        <v>0.25</v>
      </c>
      <c r="S129" s="59"/>
    </row>
    <row r="130">
      <c r="B130" s="144" t="s">
        <v>466</v>
      </c>
      <c r="C130" s="144" t="s">
        <v>404</v>
      </c>
      <c r="D130" s="144" t="s">
        <v>442</v>
      </c>
      <c r="E130" s="144" t="s">
        <v>443</v>
      </c>
      <c r="F130" s="144" t="s">
        <v>444</v>
      </c>
      <c r="G130" s="144" t="s">
        <v>445</v>
      </c>
      <c r="H130" s="144" t="s">
        <v>406</v>
      </c>
      <c r="I130" s="144" t="s">
        <v>407</v>
      </c>
      <c r="J130" s="144" t="s">
        <v>408</v>
      </c>
      <c r="K130" s="145"/>
      <c r="L130" s="142" t="s">
        <v>467</v>
      </c>
      <c r="M130" s="142">
        <v>100.0</v>
      </c>
      <c r="S130" s="59"/>
    </row>
    <row r="131">
      <c r="B131" s="146" t="s">
        <v>409</v>
      </c>
      <c r="C131" s="147">
        <v>120.0</v>
      </c>
      <c r="D131" s="148">
        <v>7.0</v>
      </c>
      <c r="E131" s="148">
        <f t="shared" ref="E131:E134" si="73">ROUND((D131/$D$122)*100,0)</f>
        <v>20</v>
      </c>
      <c r="F131" s="150">
        <f t="shared" ref="F131:F134" si="74">100-(ABS(C131-$M$130)/$M$130*100)</f>
        <v>80</v>
      </c>
      <c r="G131" s="150">
        <f t="shared" ref="G131:G134" si="75">D131*10</f>
        <v>70</v>
      </c>
      <c r="H131" s="151">
        <f t="shared" ref="H131:H134" si="76">$M$127*F131+$M$128*G131+$M$129*E131</f>
        <v>61.5</v>
      </c>
      <c r="I131" s="153">
        <f t="shared" ref="I131:I134" si="77">H131/$H$135</f>
        <v>0.3048327138</v>
      </c>
      <c r="J131" s="151">
        <f t="shared" ref="J131:J134" si="78">ROUND(I131*$B$139,0)</f>
        <v>1067</v>
      </c>
      <c r="K131" s="145"/>
      <c r="S131" s="59"/>
    </row>
    <row r="132">
      <c r="B132" s="146" t="s">
        <v>410</v>
      </c>
      <c r="C132" s="147">
        <v>150.0</v>
      </c>
      <c r="D132" s="148">
        <v>8.3</v>
      </c>
      <c r="E132" s="148">
        <f t="shared" si="73"/>
        <v>24</v>
      </c>
      <c r="F132" s="150">
        <f t="shared" si="74"/>
        <v>50</v>
      </c>
      <c r="G132" s="150">
        <f t="shared" si="75"/>
        <v>83</v>
      </c>
      <c r="H132" s="151">
        <f t="shared" si="76"/>
        <v>55.05</v>
      </c>
      <c r="I132" s="153">
        <f t="shared" si="77"/>
        <v>0.2728624535</v>
      </c>
      <c r="J132" s="151">
        <f t="shared" si="78"/>
        <v>955</v>
      </c>
      <c r="K132" s="145"/>
      <c r="S132" s="59"/>
    </row>
    <row r="133">
      <c r="B133" s="146" t="s">
        <v>411</v>
      </c>
      <c r="C133" s="147">
        <v>190.0</v>
      </c>
      <c r="D133" s="148">
        <v>10.2</v>
      </c>
      <c r="E133" s="148">
        <f t="shared" si="73"/>
        <v>30</v>
      </c>
      <c r="F133" s="150">
        <f t="shared" si="74"/>
        <v>10</v>
      </c>
      <c r="G133" s="150">
        <f t="shared" si="75"/>
        <v>102</v>
      </c>
      <c r="H133" s="151">
        <f t="shared" si="76"/>
        <v>47.2</v>
      </c>
      <c r="I133" s="153">
        <f t="shared" si="77"/>
        <v>0.233952912</v>
      </c>
      <c r="J133" s="151">
        <f t="shared" si="78"/>
        <v>819</v>
      </c>
      <c r="K133" s="145"/>
      <c r="S133" s="59"/>
    </row>
    <row r="134">
      <c r="B134" s="146" t="s">
        <v>412</v>
      </c>
      <c r="C134" s="147">
        <v>200.0</v>
      </c>
      <c r="D134" s="148">
        <v>9.0</v>
      </c>
      <c r="E134" s="148">
        <f t="shared" si="73"/>
        <v>26</v>
      </c>
      <c r="F134" s="150">
        <f t="shared" si="74"/>
        <v>0</v>
      </c>
      <c r="G134" s="150">
        <f t="shared" si="75"/>
        <v>90</v>
      </c>
      <c r="H134" s="151">
        <f t="shared" si="76"/>
        <v>38</v>
      </c>
      <c r="I134" s="153">
        <f t="shared" si="77"/>
        <v>0.1883519207</v>
      </c>
      <c r="J134" s="151">
        <f t="shared" si="78"/>
        <v>659</v>
      </c>
      <c r="K134" s="145"/>
      <c r="S134" s="59"/>
    </row>
    <row r="135">
      <c r="B135" s="157"/>
      <c r="C135" s="144" t="s">
        <v>460</v>
      </c>
      <c r="D135" s="157">
        <f>SUM(D131:D134)</f>
        <v>34.5</v>
      </c>
      <c r="E135" s="157"/>
      <c r="F135" s="157"/>
      <c r="G135" s="161" t="s">
        <v>462</v>
      </c>
      <c r="H135" s="162">
        <f>SUM(H131:H134)</f>
        <v>201.75</v>
      </c>
      <c r="I135" s="157"/>
      <c r="J135" s="157">
        <f>SUM(J131:J134)</f>
        <v>3500</v>
      </c>
      <c r="K135" s="145"/>
      <c r="S135" s="59"/>
    </row>
    <row r="136">
      <c r="B136" s="145"/>
      <c r="C136" s="145"/>
      <c r="D136" s="145"/>
      <c r="E136" s="145"/>
      <c r="F136" s="145"/>
      <c r="G136" s="145"/>
      <c r="H136" s="145"/>
      <c r="I136" s="145"/>
      <c r="J136" s="145"/>
      <c r="K136" s="145"/>
      <c r="S136" s="59"/>
    </row>
    <row r="137">
      <c r="B137" s="144">
        <v>5000.0</v>
      </c>
      <c r="C137" s="144" t="s">
        <v>463</v>
      </c>
      <c r="D137" s="145"/>
      <c r="E137" s="145"/>
      <c r="F137" s="145"/>
      <c r="G137" s="145"/>
      <c r="H137" s="145"/>
      <c r="I137" s="145"/>
      <c r="J137" s="145"/>
      <c r="K137" s="145"/>
      <c r="S137" s="59"/>
    </row>
    <row r="138">
      <c r="B138" s="160">
        <v>0.7</v>
      </c>
      <c r="C138" s="157"/>
      <c r="D138" s="145"/>
      <c r="E138" s="145"/>
      <c r="F138" s="145"/>
      <c r="G138" s="145"/>
      <c r="H138" s="145"/>
      <c r="I138" s="145"/>
      <c r="J138" s="145"/>
      <c r="S138" s="59"/>
    </row>
    <row r="139">
      <c r="B139" s="144">
        <v>3500.0</v>
      </c>
      <c r="C139" s="144" t="s">
        <v>464</v>
      </c>
      <c r="D139" s="145"/>
      <c r="E139" s="145"/>
      <c r="F139" s="145"/>
      <c r="G139" s="145"/>
      <c r="H139" s="145"/>
      <c r="I139" s="145"/>
      <c r="J139" s="145"/>
      <c r="S139" s="59"/>
    </row>
    <row r="140">
      <c r="L140" s="142" t="s">
        <v>434</v>
      </c>
      <c r="M140" s="143">
        <v>0.1</v>
      </c>
      <c r="S140" s="59"/>
    </row>
    <row r="141">
      <c r="L141" s="142" t="s">
        <v>438</v>
      </c>
      <c r="M141" s="143">
        <v>0.5</v>
      </c>
      <c r="S141" s="59"/>
    </row>
    <row r="142">
      <c r="L142" s="142" t="s">
        <v>441</v>
      </c>
      <c r="M142" s="143">
        <v>0.4</v>
      </c>
      <c r="S142" s="59"/>
    </row>
    <row r="143">
      <c r="B143" s="144" t="s">
        <v>483</v>
      </c>
      <c r="C143" s="144" t="s">
        <v>404</v>
      </c>
      <c r="D143" s="144" t="s">
        <v>442</v>
      </c>
      <c r="E143" s="144" t="s">
        <v>443</v>
      </c>
      <c r="F143" s="144" t="s">
        <v>444</v>
      </c>
      <c r="G143" s="144" t="s">
        <v>445</v>
      </c>
      <c r="H143" s="144" t="s">
        <v>406</v>
      </c>
      <c r="I143" s="144" t="s">
        <v>407</v>
      </c>
      <c r="J143" s="144" t="s">
        <v>408</v>
      </c>
      <c r="L143" s="142" t="s">
        <v>467</v>
      </c>
      <c r="M143" s="142">
        <v>250.0</v>
      </c>
      <c r="S143" s="59"/>
    </row>
    <row r="144">
      <c r="B144" s="146" t="s">
        <v>409</v>
      </c>
      <c r="C144" s="147">
        <v>250.0</v>
      </c>
      <c r="D144" s="148">
        <v>7.0</v>
      </c>
      <c r="E144" s="148">
        <f t="shared" ref="E144:E147" si="79">ROUND((D144/$D$122)*100,0)</f>
        <v>20</v>
      </c>
      <c r="F144" s="150">
        <f t="shared" ref="F144:F147" si="80">100-(ABS(C144-$M$143)/$M$143*100)</f>
        <v>100</v>
      </c>
      <c r="G144" s="150">
        <f t="shared" ref="G144:G147" si="81">D144*10</f>
        <v>70</v>
      </c>
      <c r="H144" s="151">
        <f t="shared" ref="H144:H147" si="82">$M$140*F144+$M$141*G144+$M$142*E144</f>
        <v>53</v>
      </c>
      <c r="I144" s="153">
        <f t="shared" ref="I144:I147" si="83">H144/$H$148</f>
        <v>0.21783806</v>
      </c>
      <c r="J144" s="151">
        <f t="shared" ref="J144:J147" si="84">ROUND(I144*$B$152,0)</f>
        <v>174</v>
      </c>
      <c r="S144" s="59"/>
    </row>
    <row r="145">
      <c r="B145" s="146" t="s">
        <v>410</v>
      </c>
      <c r="C145" s="147">
        <v>300.0</v>
      </c>
      <c r="D145" s="148">
        <v>8.3</v>
      </c>
      <c r="E145" s="148">
        <f t="shared" si="79"/>
        <v>24</v>
      </c>
      <c r="F145" s="150">
        <f t="shared" si="80"/>
        <v>80</v>
      </c>
      <c r="G145" s="150">
        <f t="shared" si="81"/>
        <v>83</v>
      </c>
      <c r="H145" s="151">
        <f t="shared" si="82"/>
        <v>59.1</v>
      </c>
      <c r="I145" s="153">
        <f t="shared" si="83"/>
        <v>0.2429099877</v>
      </c>
      <c r="J145" s="151">
        <f t="shared" si="84"/>
        <v>194</v>
      </c>
      <c r="S145" s="59"/>
    </row>
    <row r="146">
      <c r="B146" s="146" t="s">
        <v>411</v>
      </c>
      <c r="C146" s="147">
        <v>220.0</v>
      </c>
      <c r="D146" s="148">
        <v>10.2</v>
      </c>
      <c r="E146" s="148">
        <f t="shared" si="79"/>
        <v>30</v>
      </c>
      <c r="F146" s="150">
        <f t="shared" si="80"/>
        <v>88</v>
      </c>
      <c r="G146" s="150">
        <f t="shared" si="81"/>
        <v>102</v>
      </c>
      <c r="H146" s="151">
        <f t="shared" si="82"/>
        <v>71.8</v>
      </c>
      <c r="I146" s="153">
        <f t="shared" si="83"/>
        <v>0.295108919</v>
      </c>
      <c r="J146" s="151">
        <f t="shared" si="84"/>
        <v>236</v>
      </c>
      <c r="S146" s="59"/>
    </row>
    <row r="147">
      <c r="B147" s="146" t="s">
        <v>412</v>
      </c>
      <c r="C147" s="147">
        <v>400.0</v>
      </c>
      <c r="D147" s="148">
        <v>9.0</v>
      </c>
      <c r="E147" s="148">
        <f t="shared" si="79"/>
        <v>26</v>
      </c>
      <c r="F147" s="150">
        <f t="shared" si="80"/>
        <v>40</v>
      </c>
      <c r="G147" s="150">
        <f t="shared" si="81"/>
        <v>90</v>
      </c>
      <c r="H147" s="151">
        <f t="shared" si="82"/>
        <v>59.4</v>
      </c>
      <c r="I147" s="153">
        <f t="shared" si="83"/>
        <v>0.2441430333</v>
      </c>
      <c r="J147" s="151">
        <f t="shared" si="84"/>
        <v>195</v>
      </c>
      <c r="S147" s="59"/>
    </row>
    <row r="148">
      <c r="B148" s="157"/>
      <c r="C148" s="144" t="s">
        <v>460</v>
      </c>
      <c r="D148" s="157">
        <f>SUM(D144:D147)</f>
        <v>34.5</v>
      </c>
      <c r="E148" s="157"/>
      <c r="F148" s="157"/>
      <c r="G148" s="161" t="s">
        <v>462</v>
      </c>
      <c r="H148" s="162">
        <f>SUM(H144:H147)</f>
        <v>243.3</v>
      </c>
      <c r="I148" s="157"/>
      <c r="J148" s="157">
        <f>SUM(J144:J147)</f>
        <v>799</v>
      </c>
      <c r="S148" s="59"/>
    </row>
    <row r="149">
      <c r="B149" s="145"/>
      <c r="C149" s="145"/>
      <c r="D149" s="145"/>
      <c r="E149" s="145"/>
      <c r="F149" s="145"/>
      <c r="G149" s="145"/>
      <c r="H149" s="145"/>
      <c r="I149" s="145"/>
      <c r="J149" s="145"/>
      <c r="S149" s="59"/>
    </row>
    <row r="150">
      <c r="B150" s="144">
        <v>2000.0</v>
      </c>
      <c r="C150" s="144" t="s">
        <v>463</v>
      </c>
      <c r="D150" s="145"/>
      <c r="E150" s="145"/>
      <c r="F150" s="145"/>
      <c r="G150" s="145"/>
      <c r="H150" s="145"/>
      <c r="I150" s="145"/>
      <c r="J150" s="145"/>
      <c r="S150" s="59"/>
    </row>
    <row r="151">
      <c r="B151" s="160">
        <v>0.4</v>
      </c>
      <c r="C151" s="157"/>
      <c r="D151" s="145"/>
      <c r="E151" s="145"/>
      <c r="F151" s="145"/>
      <c r="G151" s="145"/>
      <c r="H151" s="145"/>
      <c r="I151" s="145"/>
      <c r="J151" s="145"/>
      <c r="S151" s="59"/>
    </row>
    <row r="152">
      <c r="B152" s="144">
        <v>800.0</v>
      </c>
      <c r="C152" s="144" t="s">
        <v>464</v>
      </c>
      <c r="D152" s="145"/>
      <c r="E152" s="145"/>
      <c r="F152" s="145"/>
      <c r="G152" s="145"/>
      <c r="H152" s="145"/>
      <c r="I152" s="145"/>
      <c r="J152" s="145"/>
      <c r="S152" s="59"/>
    </row>
    <row r="153">
      <c r="S153" s="59"/>
    </row>
    <row r="154">
      <c r="S154" s="59"/>
    </row>
    <row r="155">
      <c r="S155" s="59"/>
    </row>
    <row r="156">
      <c r="S156" s="59"/>
    </row>
    <row r="157">
      <c r="S157" s="59"/>
    </row>
    <row r="158">
      <c r="S158" s="59"/>
    </row>
    <row r="159">
      <c r="S159" s="59"/>
    </row>
    <row r="160">
      <c r="S160" s="59"/>
    </row>
    <row r="161">
      <c r="S161" s="59"/>
    </row>
    <row r="162">
      <c r="S162" s="59"/>
    </row>
    <row r="163">
      <c r="S163" s="59"/>
    </row>
    <row r="164">
      <c r="S164" s="59"/>
    </row>
    <row r="165">
      <c r="S165" s="59"/>
    </row>
    <row r="166">
      <c r="S166" s="59"/>
    </row>
    <row r="167">
      <c r="S167" s="59"/>
    </row>
    <row r="168">
      <c r="S168" s="59"/>
    </row>
    <row r="169">
      <c r="S169" s="59"/>
    </row>
    <row r="170">
      <c r="S170" s="59"/>
    </row>
    <row r="171">
      <c r="S171" s="59"/>
    </row>
    <row r="172">
      <c r="S172" s="59"/>
    </row>
    <row r="173">
      <c r="S173" s="59"/>
    </row>
    <row r="174">
      <c r="S174" s="59"/>
    </row>
    <row r="175">
      <c r="S175" s="59"/>
    </row>
    <row r="176">
      <c r="S176" s="59"/>
    </row>
    <row r="177">
      <c r="S177" s="59"/>
    </row>
    <row r="178">
      <c r="S178" s="59"/>
    </row>
    <row r="179">
      <c r="S179" s="59"/>
    </row>
    <row r="180">
      <c r="S180" s="59"/>
    </row>
    <row r="181">
      <c r="S181" s="59"/>
    </row>
    <row r="182">
      <c r="S182" s="59"/>
    </row>
    <row r="183">
      <c r="S183" s="59"/>
    </row>
    <row r="184">
      <c r="S184" s="59"/>
    </row>
    <row r="185">
      <c r="S185" s="59"/>
    </row>
    <row r="186">
      <c r="S186" s="59"/>
    </row>
    <row r="187">
      <c r="S187" s="59"/>
    </row>
    <row r="188">
      <c r="S188" s="59"/>
    </row>
    <row r="189">
      <c r="S189" s="59"/>
    </row>
    <row r="190">
      <c r="S190" s="59"/>
    </row>
    <row r="191">
      <c r="S191" s="59"/>
    </row>
    <row r="192">
      <c r="S192" s="59"/>
    </row>
    <row r="193">
      <c r="S193" s="59"/>
    </row>
    <row r="194">
      <c r="S194" s="59"/>
    </row>
    <row r="195">
      <c r="S195" s="59"/>
    </row>
    <row r="196">
      <c r="S196" s="59"/>
    </row>
    <row r="197">
      <c r="S197" s="59"/>
    </row>
    <row r="198">
      <c r="S198" s="59"/>
    </row>
    <row r="199">
      <c r="S199" s="59"/>
    </row>
    <row r="200">
      <c r="S200" s="59"/>
    </row>
  </sheetData>
  <mergeCells count="1">
    <mergeCell ref="A3:B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0.0"/>
    <col customWidth="1" min="3" max="3" width="18.0"/>
    <col customWidth="1" min="4" max="4" width="16.0"/>
    <col customWidth="1" min="5" max="5" width="18.0"/>
    <col customWidth="1" min="6" max="6" width="14.0"/>
    <col customWidth="1" min="7" max="7" width="16.0"/>
    <col customWidth="1" min="8" max="8" width="18.0"/>
    <col customWidth="1" min="9" max="10" width="16.0"/>
    <col customWidth="1" min="11" max="11" width="20.0"/>
    <col customWidth="1" min="12" max="12" width="46.0"/>
    <col customWidth="1" min="13" max="26" width="8.71"/>
  </cols>
  <sheetData>
    <row r="1">
      <c r="A1" s="8" t="s">
        <v>470</v>
      </c>
      <c r="B1" s="8" t="s">
        <v>471</v>
      </c>
      <c r="C1" s="8" t="s">
        <v>472</v>
      </c>
      <c r="D1" s="8" t="s">
        <v>473</v>
      </c>
      <c r="E1" s="8" t="s">
        <v>474</v>
      </c>
      <c r="F1" s="8" t="s">
        <v>475</v>
      </c>
      <c r="G1" s="8" t="s">
        <v>476</v>
      </c>
      <c r="H1" s="8" t="s">
        <v>477</v>
      </c>
      <c r="I1" s="8" t="s">
        <v>478</v>
      </c>
      <c r="J1" s="8" t="s">
        <v>479</v>
      </c>
      <c r="K1" s="8" t="s">
        <v>480</v>
      </c>
      <c r="L1" s="8" t="s">
        <v>481</v>
      </c>
    </row>
    <row r="2">
      <c r="A2" s="9" t="s">
        <v>482</v>
      </c>
      <c r="B2" s="163"/>
      <c r="C2" s="163">
        <v>0.0</v>
      </c>
      <c r="D2" s="163"/>
      <c r="E2" s="163"/>
      <c r="F2" s="163"/>
      <c r="G2" s="163"/>
      <c r="H2" s="164">
        <f t="array" ref="H2">IFERROR(INDEX(Catalogo_Decisiones!$G$2:$G$57,MATCH($D2,Catalogo_Decisiones!$A$2:$A$57,0)),0)+IFERROR(INDEX(Catalogo_Decisiones!$G$2:$G$57,MATCH($E2,Catalogo_Decisiones!$A$2:$A$57,0)),0)+IFERROR(INDEX(Catalogo_Decisiones!$G$2:$G$57,MATCH($F2,Catalogo_Decisiones!$A$2:$A$57,0)),0)</f>
        <v>0</v>
      </c>
      <c r="I2" s="164">
        <f t="array" ref="I2">IFERROR(INDEX(Catalogo_Decisiones!$H$2:$H$57,MATCH($D2,Catalogo_Decisiones!$A$2:$A$57,0)),0)+IFERROR(INDEX(Catalogo_Decisiones!$H$2:$H$57,MATCH($E2,Catalogo_Decisiones!$A$2:$A$57,0)),0)+IFERROR(INDEX(Catalogo_Decisiones!$H$2:$H$57,MATCH($F2,Catalogo_Decisiones!$A$2:$A$57,0)),0)+IFERROR(INDEX(Catalogo_Decisiones!$H$2:$H$57,MATCH($G2,Catalogo_Decisiones!$A$2:$A$57,0)),0)</f>
        <v>0</v>
      </c>
      <c r="J2" s="164">
        <f t="shared" ref="J2:J4" si="1">IFS($B2="SEG-01",0,$B2="SEG-02",4,$B2="SEG-03",7,TRUE(),0)</f>
        <v>0</v>
      </c>
      <c r="K2" s="168" t="str">
        <f t="shared" ref="K2:K4" si="2">IF(B2="","",IF(I2&gt;=J2,"Coherente","No alcanza el segmento"))</f>
        <v/>
      </c>
      <c r="L2" s="168" t="str">
        <f t="shared" ref="L2:L4" si="3">IF(B2="","Elige un segmento y los insumos del lote",IF(K2="Coherente","Este lote cumple con la calidad esperada para su segmento. Los clientes perciben el valor y el precio se sostiene.","Este lote no alcanza la calidad que su segmento promete. Los clientes se sienten enganados: baja el precio efectivo y la reputacion."))</f>
        <v>Elige un segmento y los insumos del lote</v>
      </c>
    </row>
    <row r="3">
      <c r="A3" s="9" t="s">
        <v>488</v>
      </c>
      <c r="B3" s="163"/>
      <c r="C3" s="163">
        <v>0.0</v>
      </c>
      <c r="D3" s="163"/>
      <c r="E3" s="163"/>
      <c r="F3" s="163"/>
      <c r="G3" s="163"/>
      <c r="H3" s="164">
        <f t="array" ref="H3">IFERROR(INDEX(Catalogo_Decisiones!$G$2:$G$57,MATCH($D3,Catalogo_Decisiones!$A$2:$A$57,0)),0)+IFERROR(INDEX(Catalogo_Decisiones!$G$2:$G$57,MATCH($E3,Catalogo_Decisiones!$A$2:$A$57,0)),0)+IFERROR(INDEX(Catalogo_Decisiones!$G$2:$G$57,MATCH($F3,Catalogo_Decisiones!$A$2:$A$57,0)),0)</f>
        <v>0</v>
      </c>
      <c r="I3" s="164">
        <f t="array" ref="I3">IFERROR(INDEX(Catalogo_Decisiones!$H$2:$H$57,MATCH($D3,Catalogo_Decisiones!$A$2:$A$57,0)),0)+IFERROR(INDEX(Catalogo_Decisiones!$H$2:$H$57,MATCH($E3,Catalogo_Decisiones!$A$2:$A$57,0)),0)+IFERROR(INDEX(Catalogo_Decisiones!$H$2:$H$57,MATCH($F3,Catalogo_Decisiones!$A$2:$A$57,0)),0)+IFERROR(INDEX(Catalogo_Decisiones!$H$2:$H$57,MATCH($G3,Catalogo_Decisiones!$A$2:$A$57,0)),0)</f>
        <v>0</v>
      </c>
      <c r="J3" s="164">
        <f t="shared" si="1"/>
        <v>0</v>
      </c>
      <c r="K3" s="168" t="str">
        <f t="shared" si="2"/>
        <v/>
      </c>
      <c r="L3" s="168" t="str">
        <f t="shared" si="3"/>
        <v>Elige un segmento y los insumos del lote</v>
      </c>
    </row>
    <row r="4">
      <c r="A4" s="9" t="s">
        <v>489</v>
      </c>
      <c r="B4" s="163"/>
      <c r="C4" s="163">
        <v>0.0</v>
      </c>
      <c r="D4" s="163"/>
      <c r="E4" s="163"/>
      <c r="F4" s="163"/>
      <c r="G4" s="163"/>
      <c r="H4" s="164">
        <f t="array" ref="H4">IFERROR(INDEX(Catalogo_Decisiones!$G$2:$G$57,MATCH($D4,Catalogo_Decisiones!$A$2:$A$57,0)),0)+IFERROR(INDEX(Catalogo_Decisiones!$G$2:$G$57,MATCH($E4,Catalogo_Decisiones!$A$2:$A$57,0)),0)+IFERROR(INDEX(Catalogo_Decisiones!$G$2:$G$57,MATCH($F4,Catalogo_Decisiones!$A$2:$A$57,0)),0)</f>
        <v>0</v>
      </c>
      <c r="I4" s="164">
        <f t="array" ref="I4">IFERROR(INDEX(Catalogo_Decisiones!$H$2:$H$57,MATCH($D4,Catalogo_Decisiones!$A$2:$A$57,0)),0)+IFERROR(INDEX(Catalogo_Decisiones!$H$2:$H$57,MATCH($E4,Catalogo_Decisiones!$A$2:$A$57,0)),0)+IFERROR(INDEX(Catalogo_Decisiones!$H$2:$H$57,MATCH($F4,Catalogo_Decisiones!$A$2:$A$57,0)),0)+IFERROR(INDEX(Catalogo_Decisiones!$H$2:$H$57,MATCH($G4,Catalogo_Decisiones!$A$2:$A$57,0)),0)</f>
        <v>0</v>
      </c>
      <c r="J4" s="164">
        <f t="shared" si="1"/>
        <v>0</v>
      </c>
      <c r="K4" s="168" t="str">
        <f t="shared" si="2"/>
        <v/>
      </c>
      <c r="L4" s="168" t="str">
        <f t="shared" si="3"/>
        <v>Elige un segmento y los insumos del lote</v>
      </c>
    </row>
    <row r="5">
      <c r="A5" s="9" t="s">
        <v>490</v>
      </c>
      <c r="B5" s="169"/>
      <c r="C5" s="170">
        <f>SUM(C2:C4)</f>
        <v>0</v>
      </c>
      <c r="D5" s="169"/>
      <c r="E5" s="169"/>
      <c r="F5" s="169"/>
      <c r="G5" s="169"/>
      <c r="H5" s="170">
        <f>SUMPRODUCT(C2:C4,H2:H4)</f>
        <v>0</v>
      </c>
      <c r="I5" s="169"/>
      <c r="J5" s="169"/>
      <c r="K5" s="169"/>
      <c r="L5" s="169"/>
    </row>
    <row r="7">
      <c r="A7" s="171" t="s">
        <v>494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G4">
      <formula1>"INF-08,INF-09,INF-10"</formula1>
    </dataValidation>
    <dataValidation type="list" allowBlank="1" sqref="F2:F4">
      <formula1>"INS-06,INS-07,INS-08"</formula1>
    </dataValidation>
    <dataValidation type="list" allowBlank="1" sqref="B2:B4">
      <formula1>"SEG-01,SEG-02,SEG-03"</formula1>
    </dataValidation>
    <dataValidation type="list" allowBlank="1" sqref="E2:E4">
      <formula1>"INS-04,INS-05"</formula1>
    </dataValidation>
    <dataValidation type="list" allowBlank="1" sqref="D2:D4">
      <formula1>"INS-01,INS-02,INS-03"</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22.0"/>
    <col customWidth="1" min="3" max="3" width="24.0"/>
    <col customWidth="1" min="4" max="4" width="18.0"/>
    <col customWidth="1" min="5" max="26" width="8.71"/>
  </cols>
  <sheetData>
    <row r="1">
      <c r="A1" s="8" t="s">
        <v>508</v>
      </c>
      <c r="B1" s="8" t="s">
        <v>509</v>
      </c>
      <c r="C1" s="8" t="s">
        <v>510</v>
      </c>
      <c r="D1" s="8" t="s">
        <v>512</v>
      </c>
    </row>
    <row r="2">
      <c r="A2" s="178" t="s">
        <v>514</v>
      </c>
    </row>
    <row r="3">
      <c r="A3" s="11" t="s">
        <v>517</v>
      </c>
      <c r="B3" s="15">
        <f>Lotes_Produccion!I2</f>
        <v>0</v>
      </c>
      <c r="C3" s="11" t="str">
        <f>IF(Lotes_Produccion!B2="","","Segmento: "&amp;Lotes_Produccion!B2)</f>
        <v/>
      </c>
      <c r="D3" s="11" t="str">
        <f>Lotes_Produccion!K2</f>
        <v/>
      </c>
    </row>
    <row r="4">
      <c r="A4" s="11" t="s">
        <v>523</v>
      </c>
      <c r="B4" s="15">
        <f>Lotes_Produccion!I3</f>
        <v>0</v>
      </c>
      <c r="C4" s="11" t="str">
        <f>IF(Lotes_Produccion!B3="","","Segmento: "&amp;Lotes_Produccion!B3)</f>
        <v/>
      </c>
      <c r="D4" s="11" t="str">
        <f>Lotes_Produccion!K3</f>
        <v/>
      </c>
    </row>
    <row r="5">
      <c r="A5" s="11" t="s">
        <v>526</v>
      </c>
      <c r="B5" s="15">
        <f>Lotes_Produccion!I4</f>
        <v>0</v>
      </c>
      <c r="C5" s="11" t="str">
        <f>IF(Lotes_Produccion!B4="","","Segmento: "&amp;Lotes_Produccion!B4)</f>
        <v/>
      </c>
      <c r="D5" s="11" t="str">
        <f>Lotes_Produccion!K4</f>
        <v/>
      </c>
    </row>
    <row r="6">
      <c r="A6" s="9" t="s">
        <v>530</v>
      </c>
      <c r="B6" s="170">
        <f>IFERROR(SUMPRODUCT(Lotes_Produccion!C2:C4,Lotes_Produccion!I2:I4)/SUM(Lotes_Produccion!C2:C4),0)</f>
        <v>0</v>
      </c>
      <c r="C6" s="9" t="s">
        <v>534</v>
      </c>
      <c r="D6" s="9" t="str">
        <f>IF(B6&gt;=7,"Alto",IF(B6&gt;=4,"Medio","Bajo"))</f>
        <v>Bajo</v>
      </c>
    </row>
    <row r="8">
      <c r="A8" s="178" t="s">
        <v>535</v>
      </c>
    </row>
    <row r="9">
      <c r="A9" s="9" t="s">
        <v>536</v>
      </c>
      <c r="B9" s="15">
        <f>SUM(Seleccion_Ciclo0!G2:G15)</f>
        <v>0</v>
      </c>
      <c r="C9" s="11" t="s">
        <v>534</v>
      </c>
      <c r="D9" s="11" t="str">
        <f t="shared" ref="D9:D11" si="1">IF(B9&gt;=7,"Alto",IF(B9&gt;=4,"Medio","Bajo"))</f>
        <v>Bajo</v>
      </c>
    </row>
    <row r="10">
      <c r="A10" s="9" t="s">
        <v>537</v>
      </c>
      <c r="B10" s="15">
        <f>SUM(Seleccion_Ciclo0!H2:H15)</f>
        <v>0</v>
      </c>
      <c r="C10" s="11" t="s">
        <v>534</v>
      </c>
      <c r="D10" s="11" t="str">
        <f t="shared" si="1"/>
        <v>Bajo</v>
      </c>
    </row>
    <row r="11">
      <c r="A11" s="9" t="s">
        <v>538</v>
      </c>
      <c r="B11" s="15">
        <f>SUM(Seleccion_Ciclo0!I2:I15)</f>
        <v>0</v>
      </c>
      <c r="C11" s="11" t="s">
        <v>534</v>
      </c>
      <c r="D11" s="11" t="str">
        <f t="shared" si="1"/>
        <v>Bajo</v>
      </c>
    </row>
    <row r="13">
      <c r="A13" s="171" t="s">
        <v>540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0.0"/>
    <col customWidth="1" min="3" max="3" width="34.0"/>
    <col customWidth="1" min="4" max="4" width="38.0"/>
    <col customWidth="1" min="5" max="5" width="55.0"/>
    <col customWidth="1" min="6" max="26" width="8.71"/>
  </cols>
  <sheetData>
    <row r="1">
      <c r="A1" s="8" t="s">
        <v>548</v>
      </c>
      <c r="B1" s="8" t="s">
        <v>549</v>
      </c>
      <c r="C1" s="8" t="s">
        <v>550</v>
      </c>
      <c r="D1" s="8" t="s">
        <v>551</v>
      </c>
      <c r="E1" s="8" t="s">
        <v>552</v>
      </c>
    </row>
    <row r="2">
      <c r="A2" s="182" t="s">
        <v>553</v>
      </c>
      <c r="B2" s="182" t="s">
        <v>554</v>
      </c>
      <c r="C2" s="182" t="s">
        <v>555</v>
      </c>
      <c r="D2" s="182" t="s">
        <v>556</v>
      </c>
      <c r="E2" s="182" t="s">
        <v>557</v>
      </c>
    </row>
    <row r="3">
      <c r="A3" s="182" t="s">
        <v>558</v>
      </c>
      <c r="B3" s="182" t="s">
        <v>554</v>
      </c>
      <c r="C3" s="182" t="s">
        <v>559</v>
      </c>
      <c r="D3" s="182" t="s">
        <v>560</v>
      </c>
      <c r="E3" s="182" t="s">
        <v>561</v>
      </c>
    </row>
    <row r="4">
      <c r="A4" s="182" t="s">
        <v>562</v>
      </c>
      <c r="B4" s="182" t="s">
        <v>71</v>
      </c>
      <c r="C4" s="182" t="s">
        <v>563</v>
      </c>
      <c r="D4" s="182" t="s">
        <v>564</v>
      </c>
      <c r="E4" s="182" t="s">
        <v>565</v>
      </c>
    </row>
    <row r="5">
      <c r="A5" s="182" t="s">
        <v>566</v>
      </c>
      <c r="B5" s="182" t="s">
        <v>403</v>
      </c>
      <c r="C5" s="182" t="s">
        <v>567</v>
      </c>
      <c r="D5" s="182" t="s">
        <v>568</v>
      </c>
      <c r="E5" s="182" t="s">
        <v>569</v>
      </c>
    </row>
    <row r="6">
      <c r="A6" s="182" t="s">
        <v>570</v>
      </c>
      <c r="B6" s="182" t="s">
        <v>571</v>
      </c>
      <c r="C6" s="182" t="s">
        <v>572</v>
      </c>
      <c r="D6" s="182" t="s">
        <v>573</v>
      </c>
      <c r="E6" s="182" t="s">
        <v>574</v>
      </c>
    </row>
    <row r="7">
      <c r="A7" s="182" t="s">
        <v>575</v>
      </c>
      <c r="B7" s="182" t="s">
        <v>576</v>
      </c>
      <c r="C7" s="182" t="s">
        <v>577</v>
      </c>
      <c r="D7" s="182" t="s">
        <v>578</v>
      </c>
      <c r="E7" s="182" t="s">
        <v>579</v>
      </c>
    </row>
    <row r="8">
      <c r="A8" s="182" t="s">
        <v>580</v>
      </c>
      <c r="B8" s="182" t="s">
        <v>581</v>
      </c>
      <c r="C8" s="182" t="s">
        <v>582</v>
      </c>
      <c r="D8" s="182" t="s">
        <v>583</v>
      </c>
      <c r="E8" s="182" t="s">
        <v>584</v>
      </c>
    </row>
    <row r="9">
      <c r="A9" s="182" t="s">
        <v>585</v>
      </c>
      <c r="B9" s="182" t="s">
        <v>71</v>
      </c>
      <c r="C9" s="182" t="s">
        <v>586</v>
      </c>
      <c r="D9" s="182" t="s">
        <v>587</v>
      </c>
      <c r="E9" s="182" t="s">
        <v>588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