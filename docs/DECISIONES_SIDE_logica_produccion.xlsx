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54eedf8ae240f4" /></Relationships>
</file>

<file path=xl/workbook.xml><?xml version="1.0" encoding="utf-8"?>
<x:workbook xmlns:x="http://schemas.openxmlformats.org/spreadsheetml/2006/main">
  <x:sheets>
    <x:sheet xmlns:r="http://schemas.openxmlformats.org/officeDocument/2006/relationships" name="Instrucciones" sheetId="1" r:id="Re5dbebccbb584119"/>
    <x:sheet xmlns:r="http://schemas.openxmlformats.org/officeDocument/2006/relationships" name="DECISIONES" sheetId="2" r:id="Rd5654e7a571e4444"/>
    <x:sheet xmlns:r="http://schemas.openxmlformats.org/officeDocument/2006/relationships" name="Seleccion_Ciclo0" sheetId="3" r:id="Rd15fa489e5914768"/>
    <x:sheet xmlns:r="http://schemas.openxmlformats.org/officeDocument/2006/relationships" name="Catalogo_Decisiones" sheetId="4" r:id="Ra2dbe1818313435e"/>
    <x:sheet xmlns:r="http://schemas.openxmlformats.org/officeDocument/2006/relationships" name="FlujoWeb" sheetId="5" r:id="R82a4230ce85048b2"/>
    <x:sheet xmlns:r="http://schemas.openxmlformats.org/officeDocument/2006/relationships" name="CANTIDAD DE PRODUCCIÓN" sheetId="6" r:id="R2f16f8e94a1e4b71"/>
    <x:sheet xmlns:r="http://schemas.openxmlformats.org/officeDocument/2006/relationships" name="Costos De Producción" sheetId="7" r:id="R685f1561d5cb42f4"/>
    <x:sheet xmlns:r="http://schemas.openxmlformats.org/officeDocument/2006/relationships" name="Lotes_Produccion" sheetId="8" r:id="R6f34683c7f794740"/>
    <x:sheet xmlns:r="http://schemas.openxmlformats.org/officeDocument/2006/relationships" name="Motor_Puntajes" sheetId="9" r:id="R1f27205c937f4a4c"/>
    <x:sheet xmlns:r="http://schemas.openxmlformats.org/officeDocument/2006/relationships" name="Matriz_Consecuencias" sheetId="10" r:id="R1ce4b8834a724f36"/>
  </x:sheets>
  <x:calcPr/>
</x:workbook>
</file>

<file path=xl/sharedStrings.xml><?xml version="1.0" encoding="utf-8"?>
<x:sst xmlns:x="http://schemas.openxmlformats.org/spreadsheetml/2006/main">
  <x:si>
    <x:t xml:space="preserve">Simulador de empresa de bolsos de cuero — Catalogo maestro de decisiones</x:t>
  </x:si>
  <x:si>
    <x:t xml:space="preserve">Como esta organizado este archivo:</x:t>
  </x:si>
  <x:si>
    <x:t xml:space="preserve">1) Catalogo_Decisiones: TODAS las opciones posibles del juego. Cada opcion es una fila y cada dato (costo, aporte a cada puntaje) tiene su propia celda — nada esta combinado en una sola celda.</x:t>
  </x:si>
  <x:si>
    <x:t xml:space="preserve">2) Seleccion_Ciclo0: aqui el jugador elige, por cada grupo de decision (maquinas, personal, canal, etc.), el codigo de la opcion que quiere (lista desplegable en la columna B). Las demas columnas se completan solas con formulas.</x:t>
  </x:si>
  <x:si>
    <x:t xml:space="preserve">2b) Lotes_Produccion: aqui se decide la calidad POR LOTE, no como promedio de toda la empresa. Cada lote (hasta 3 por ciclo) tiene su propia cantidad de unidades, su propio cuero/accesorios/hilo/molde y su propio segmento de venta. El sistema calcula el Puntaje de Calidad de CADA lote y lo compara contra el segmento elegido (si vendes 'Premium' con insumos bajos, el lote sale 'No alcanza el segmento').</x:t>
  </x:si>
  <x:si>
    <x:t xml:space="preserve">3) Motor_Puntajes: el Puntaje de Calidad de la empresa es el promedio de los lotes PONDERADO por las unidades de cada uno (un lote de 500 unidades pesa mas que uno de 50). Los otros 3 puntajes (Eficiencia, Reputacion, Salud Financiera) suman los aportes de Seleccion_Ciclo0.</x:t>
  </x:si>
  <x:si>
    <x:t xml:space="preserve">4) Matriz_Consecuencias: reglas de negocio — que pasa (efecto numerico) y que mensaje ve el jugador segun el valor de cada puntaje.</x:t>
  </x:si>
  <x:si>
    <x:t xml:space="preserve">Celdas amarillas = donde se elige/edita (inputs). Celdas verdes = puntajes/aportes calculados. Celdas grises = fijas u obligatorias.</x:t>
  </x:si>
  <x:si>
    <x:t xml:space="preserve">Para agregar una opcion nueva: agrega una fila en Catalogo_Decisiones con su Codigo unico y sus aportes, y aparecera disponible para elegir en Seleccion_Ciclo0 (agregando el codigo a la lista desplegable del grupo correspondiente).</x:t>
  </x:si>
  <x:si>
    <x:t xml:space="preserve">DECISIONES </x:t>
  </x:si>
  <x:si>
    <x:t xml:space="preserve">Puntaje</x:t>
  </x:si>
  <x:si>
    <x:t xml:space="preserve">Depreciación</x:t>
  </x:si>
  <x:si>
    <x:t xml:space="preserve">Garantía del producto</x:t>
  </x:si>
  <x:si>
    <x:t xml:space="preserve">Mantenimiento de maquinaria</x:t>
  </x:si>
  <x:si>
    <x:t xml:space="preserve">Política de inventarios</x:t>
  </x:si>
  <x:si>
    <x:t xml:space="preserve">Grupo de decision</x:t>
  </x:si>
  <x:si>
    <x:t xml:space="preserve">Codigo elegido (elige de la lista)</x:t>
  </x:si>
  <x:si>
    <x:t xml:space="preserve">Opcion / Nivel (auto)</x:t>
  </x:si>
  <x:si>
    <x:t xml:space="preserve">Descripcion (auto)</x:t>
  </x:si>
  <x:si>
    <x:t xml:space="preserve">Costo referencial (auto)</x:t>
  </x:si>
  <x:si>
    <x:t xml:space="preserve">Aporte Calidad (auto)</x:t>
  </x:si>
  <x:si>
    <x:t xml:space="preserve">Aporte Eficiencia (auto)</x:t>
  </x:si>
  <x:si>
    <x:t xml:space="preserve">Aporte Reputacion (auto)</x:t>
  </x:si>
  <x:si>
    <x:t xml:space="preserve">Aporte Financiero (auto)</x:t>
  </x:si>
  <x:si>
    <x:t xml:space="preserve">Maquina de ensamblado</x:t>
  </x:si>
  <x:si>
    <x:t xml:space="preserve">Maquina de acabados</x:t>
  </x:si>
  <x:si>
    <x:t xml:space="preserve">Molde</x:t>
  </x:si>
  <x:si>
    <x:t xml:space="preserve">Personal de corte</x:t>
  </x:si>
  <x:si>
    <x:t xml:space="preserve">Personal de ensamble</x:t>
  </x:si>
  <x:si>
    <x:t xml:space="preserve">Personal de acabados</x:t>
  </x:si>
  <x:si>
    <x:t xml:space="preserve">Jefatura</x:t>
  </x:si>
  <x:si>
    <x:t xml:space="preserve">Canal de venta</x:t>
  </x:si>
  <x:si>
    <x:t xml:space="preserve">Acceso a prestamo bancario</x:t>
  </x:si>
  <x:si>
    <x:t xml:space="preserve">Numero de proveedores</x:t>
  </x:si>
  <x:si>
    <x:t xml:space="preserve">Politica de pago a proveedores</x:t>
  </x:si>
  <x:si>
    <x:t xml:space="preserve">Lead time</x:t>
  </x:si>
  <x:si>
    <x:t xml:space="preserve">Inversion en RR.HH.</x:t>
  </x:si>
  <x:si>
    <x:t xml:space="preserve">Inversion en marketing</x:t>
  </x:si>
  <x:si>
    <x:t xml:space="preserve">--- Otras decisiones numericas ---</x:t>
  </x:si>
  <x:si>
    <x:t xml:space="preserve">PRO-01 - Cantidad inicial a producir (unidades)</x:t>
  </x:si>
  <x:si>
    <x:t xml:space="preserve">COM-02 - N° de tiendas en zona alta (Miraflores)</x:t>
  </x:si>
  <x:si>
    <x:t xml:space="preserve">COM-03 - N° de tiendas en zona media (Los Olivos / San Miguel)</x:t>
  </x:si>
  <x:si>
    <x:t xml:space="preserve">COM-04 - N° de tiendas en zona baja (SJL / SMP)</x:t>
  </x:si>
  <x:si>
    <x:t xml:space="preserve">COM-05N - % de ventas a credito (0-100)</x:t>
  </x:si>
  <x:si>
    <x:t xml:space="preserve">FIN-01M - Monto de prestamo solicitado (S/)</x:t>
  </x:si>
  <x:si>
    <x:t xml:space="preserve">Codigo</x:t>
  </x:si>
  <x:si>
    <x:t xml:space="preserve">Bloque</x:t>
  </x:si>
  <x:si>
    <x:t xml:space="preserve">Opcion / Nivel</x:t>
  </x:si>
  <x:si>
    <x:t xml:space="preserve">Permanencia</x:t>
  </x:si>
  <x:si>
    <x:t xml:space="preserve">Descripcion</x:t>
  </x:si>
  <x:si>
    <x:t xml:space="preserve">Costo referencial (S/)</x:t>
  </x:si>
  <x:si>
    <x:t xml:space="preserve">Aporte Calidad</x:t>
  </x:si>
  <x:si>
    <x:t xml:space="preserve">Aporte Eficiencia</x:t>
  </x:si>
  <x:si>
    <x:t xml:space="preserve">Aporte Reputacion</x:t>
  </x:si>
  <x:si>
    <x:t xml:space="preserve">Aporte Financiero</x:t>
  </x:si>
  <x:si>
    <x:t xml:space="preserve">Notas</x:t>
  </x:si>
  <x:si>
    <x:t xml:space="preserve">GEN-01</x:t>
  </x:si>
  <x:si>
    <x:t xml:space="preserve">A. Empresa</x:t>
  </x:si>
  <x:si>
    <x:t xml:space="preserve">Razon social</x:t>
  </x:si>
  <x:si>
    <x:t xml:space="preserve">Texto libre</x:t>
  </x:si>
  <x:si>
    <x:t xml:space="preserve">Fija</x:t>
  </x:si>
  <x:si>
    <x:t xml:space="preserve">Nombre legal de la empresa (texto)</x:t>
  </x:si>
  <x:si>
    <x:t xml:space="preserve">Sin efecto en puntajes</x:t>
  </x:si>
  <x:si>
    <x:t xml:space="preserve">GEN-02</x:t>
  </x:si>
  <x:si>
    <x:t xml:space="preserve">Nombre comercial / marca</x:t>
  </x:si>
  <x:si>
    <x:t xml:space="preserve">Marca comercial (texto)</x:t>
  </x:si>
  <x:si>
    <x:t xml:space="preserve">GEN-04</x:t>
  </x:si>
  <x:si>
    <x:t xml:space="preserve">Tipos de bolsos</x:t>
  </x:si>
  <x:si>
    <x:t xml:space="preserve">Linea de productos que fabrica (tote, cartera, mochila, etc.)</x:t>
  </x:si>
  <x:si>
    <x:t xml:space="preserve">SEG-01</x:t>
  </x:si>
  <x:si>
    <x:t xml:space="preserve">Segmento / linea</x:t>
  </x:si>
  <x:si>
    <x:t xml:space="preserve">Economico</x:t>
  </x:si>
  <x:si>
    <x:t xml:space="preserve">Precio bajo, prioriza volumen y costo</x:t>
  </x:si>
  <x:si>
    <x:t xml:space="preserve">Exige coherencia con Calidad real</x:t>
  </x:si>
  <x:si>
    <x:t xml:space="preserve">SEG-02</x:t>
  </x:si>
  <x:si>
    <x:t xml:space="preserve">Estandar</x:t>
  </x:si>
  <x:si>
    <x:t xml:space="preserve">Equilibra costo, calidad, demanda y margen</x:t>
  </x:si>
  <x:si>
    <x:t xml:space="preserve">SEG-03</x:t>
  </x:si>
  <x:si>
    <x:t xml:space="preserve">Premium</x:t>
  </x:si>
  <x:si>
    <x:t xml:space="preserve">Precio alto; requiere Calidad&gt;=7 para sostenerse</x:t>
  </x:si>
  <x:si>
    <x:t xml:space="preserve">Riesgo si Calidad interna es baja (ver Matriz)</x:t>
  </x:si>
  <x:si>
    <x:t xml:space="preserve">INF-01</x:t>
  </x:si>
  <x:si>
    <x:t xml:space="preserve">B. Infraestructura</x:t>
  </x:si>
  <x:si>
    <x:t xml:space="preserve">Mesa de corte</x:t>
  </x:si>
  <x:si>
    <x:t xml:space="preserve">Unica (obligatoria)</x:t>
  </x:si>
  <x:si>
    <x:t xml:space="preserve">Inversion fija para todos; habilita la etapa de corte</x:t>
  </x:si>
  <x:si>
    <x:t xml:space="preserve">Obligatoria, no otorga niveles</x:t>
  </x:si>
  <x:si>
    <x:t xml:space="preserve">INF-02</x:t>
  </x:si>
  <x:si>
    <x:t xml:space="preserve">Nivel 1: manual/basica</x:t>
  </x:si>
  <x:si>
    <x:t xml:space="preserve">Costura Singer 4423 Heavy Duty; desbastadora a mano con cuchilla o lija</x:t>
  </x:si>
  <x:si>
    <x:t xml:space="preserve">INF-03</x:t>
  </x:si>
  <x:si>
    <x:t xml:space="preserve">Nivel 2: semi-industrial</x:t>
  </x:si>
  <x:si>
    <x:t xml:space="preserve">Maquina de coser de columna/brazo (poste) Typical TB-801</x:t>
  </x:si>
  <x:si>
    <x:t xml:space="preserve">INF-04</x:t>
  </x:si>
  <x:si>
    <x:t xml:space="preserve">Nivel 3: industrial</x:t>
  </x:si>
  <x:si>
    <x:t xml:space="preserve">Juki de triple accionamiento; desbastadora automatica de alta precision, servomotor</x:t>
  </x:si>
  <x:si>
    <x:t xml:space="preserve">INF-05</x:t>
  </x:si>
  <x:si>
    <x:t xml:space="preserve">Acabado a mano con cera/tinte de bordes, bruñido manual. Lento, variable en calidad</x:t>
  </x:si>
  <x:si>
    <x:t xml:space="preserve">INF-06</x:t>
  </x:si>
  <x:si>
    <x:t xml:space="preserve">Maquina de pulido de bordes (edge burnisher) electrica, tinte con pincel/aerografo</x:t>
  </x:si>
  <x:si>
    <x:t xml:space="preserve">INF-07</x:t>
  </x:si>
  <x:si>
    <x:t xml:space="preserve">Linea de acabado con teñido automatico + pulido, control de temperatura y velocidad</x:t>
  </x:si>
  <x:si>
    <x:t xml:space="preserve">INF-08</x:t>
  </x:si>
  <x:si>
    <x:t xml:space="preserve">Nivel 1 - Generico basico</x:t>
  </x:si>
  <x:si>
    <x:t xml:space="preserve">Patrones simples, tipo plantilla estandar de internet o catalogo generico</x:t>
  </x:si>
  <x:si>
    <x:t xml:space="preserve">Bajo aprovechamiento de cuero</x:t>
  </x:si>
  <x:si>
    <x:t xml:space="preserve">INF-09</x:t>
  </x:si>
  <x:si>
    <x:t xml:space="preserve">Nivel 2 - Generico mejorado</x:t>
  </x:si>
  <x:si>
    <x:t xml:space="preserve">Patron tecnico mas elaborado, con lineas de corte, marcado y perforaciones bien definidas</x:t>
  </x:si>
  <x:si>
    <x:t xml:space="preserve">Aprovechamiento medio-alto</x:t>
  </x:si>
  <x:si>
    <x:t xml:space="preserve">INF-10</x:t>
  </x:si>
  <x:si>
    <x:t xml:space="preserve">Nivel 3 - Premium</x:t>
  </x:si>
  <x:si>
    <x:t xml:space="preserve">La empresa desarrolla su propio patron desde cero, adaptado a su propuesta de marca</x:t>
  </x:si>
  <x:si>
    <x:t xml:space="preserve">Maximo aprovechamiento y diferenciacion</x:t>
  </x:si>
  <x:si>
    <x:t xml:space="preserve">RH-01</x:t>
  </x:si>
  <x:si>
    <x:t xml:space="preserve">C. RRHH</x:t>
  </x:si>
  <x:si>
    <x:t xml:space="preserve">Nivel 1 - Operario basico</x:t>
  </x:si>
  <x:si>
    <x:t xml:space="preserve">Revisable con costo</x:t>
  </x:si>
  <x:si>
    <x:t xml:space="preserve">Corta con plantilla simple, sin experiencia previa. Mas lento, mas margen de error</x:t>
  </x:si>
  <x:si>
    <x:t xml:space="preserve">RH-02</x:t>
  </x:si>
  <x:si>
    <x:t xml:space="preserve">Nivel 2 - Cortador con experiencia</x:t>
  </x:si>
  <x:si>
    <x:t xml:space="preserve">Optimiza el aprovechamiento del cuero, reduce desperdicio, mas rapido</x:t>
  </x:si>
  <x:si>
    <x:t xml:space="preserve">RH-03</x:t>
  </x:si>
  <x:si>
    <x:t xml:space="preserve">Nivel 3 - Maestro cortador</x:t>
  </x:si>
  <x:si>
    <x:t xml:space="preserve">Trabaja cueros irregulares/premium, maximo aprovechamiento, minimo desperdicio</x:t>
  </x:si>
  <x:si>
    <x:t xml:space="preserve">RH-04</x:t>
  </x:si>
  <x:si>
    <x:t xml:space="preserve">Nivel 1 - Costurero basico</x:t>
  </x:si>
  <x:si>
    <x:t xml:space="preserve">Maquina domestica, puntadas rectas simples, funciona con diseños sencillos</x:t>
  </x:si>
  <x:si>
    <x:t xml:space="preserve">RH-05</x:t>
  </x:si>
  <x:si>
    <x:t xml:space="preserve">Nivel 2 - Maquinista industrial</x:t>
  </x:si>
  <x:si>
    <x:t xml:space="preserve">Maquina semi-industrial/industrial, costuras reforzadas, mayor velocidad</x:t>
  </x:si>
  <x:si>
    <x:t xml:space="preserve">RH-06</x:t>
  </x:si>
  <x:si>
    <x:t xml:space="preserve">Nivel 3 - Marroquinero especializado</x:t>
  </x:si>
  <x:si>
    <x:t xml:space="preserve">Costura a mano de alta gama, ejecuta moldes exclusivos complejos, ideal linea premium</x:t>
  </x:si>
  <x:si>
    <x:t xml:space="preserve">RH-07</x:t>
  </x:si>
  <x:si>
    <x:t xml:space="preserve">Nivel 1 - Operario de acabado basico</x:t>
  </x:si>
  <x:si>
    <x:t xml:space="preserve">Aplica tinte y cera de forma simple, resultado variable</x:t>
  </x:si>
  <x:si>
    <x:t xml:space="preserve">RH-08</x:t>
  </x:si>
  <x:si>
    <x:t xml:space="preserve">Nivel 2 - Tecnico en acabados</x:t>
  </x:si>
  <x:si>
    <x:t xml:space="preserve">Maneja maquina de pulido de bordes, tinte con aerografo, resultado consistente</x:t>
  </x:si>
  <x:si>
    <x:t xml:space="preserve">RH-09</x:t>
  </x:si>
  <x:si>
    <x:t xml:space="preserve">Nivel 3 - Artesano acabador</x:t>
  </x:si>
  <x:si>
    <x:t xml:space="preserve">Bruñido fino, dorado, decoracion compleja (pedreria, herrajes especiales)</x:t>
  </x:si>
  <x:si>
    <x:t xml:space="preserve">RH-10A</x:t>
  </x:si>
  <x:si>
    <x:t xml:space="preserve">Contratar jefatura</x:t>
  </x:si>
  <x:si>
    <x:t xml:space="preserve">Coordina el equipo, reduce riesgo de descoordinacion</x:t>
  </x:si>
  <x:si>
    <x:t xml:space="preserve">RH-10B</x:t>
  </x:si>
  <x:si>
    <x:t xml:space="preserve">No contratar jefatura</x:t>
  </x:si>
  <x:si>
    <x:t xml:space="preserve">Ahorra costo fijo, pero aumenta el riesgo de descoordinacion</x:t>
  </x:si>
  <x:si>
    <x:t xml:space="preserve">Ahorro de caja pero baja Eficiencia</x:t>
  </x:si>
  <x:si>
    <x:t xml:space="preserve">RH-11</x:t>
  </x:si>
  <x:si>
    <x:t xml:space="preserve">Limpieza y servicios generales</x:t>
  </x:si>
  <x:si>
    <x:t xml:space="preserve">Monto fijo obligatorio para mantener la operacion</x:t>
  </x:si>
  <x:si>
    <x:t xml:space="preserve">RH-12</x:t>
  </x:si>
  <x:si>
    <x:t xml:space="preserve">Local de produccion</x:t>
  </x:si>
  <x:si>
    <x:t xml:space="preserve">Estandar (unico)</x:t>
  </x:si>
  <x:si>
    <x:t xml:space="preserve">Local de produccion estandar; alquiler fijo igual para todos los equipos</x:t>
  </x:si>
  <x:si>
    <x:t xml:space="preserve">COM-01A</x:t>
  </x:si>
  <x:si>
    <x:t xml:space="preserve">D. Canales</x:t>
  </x:si>
  <x:si>
    <x:t xml:space="preserve">Solo tienda fisica</x:t>
  </x:si>
  <x:si>
    <x:t xml:space="preserve">Revisable cada ciclo</x:t>
  </x:si>
  <x:si>
    <x:t xml:space="preserve">Menor cobertura y demanda; menor complejidad y costo</x:t>
  </x:si>
  <x:si>
    <x:t xml:space="preserve">COM-01B</x:t>
  </x:si>
  <x:si>
    <x:t xml:space="preserve">Solo web</x:t>
  </x:si>
  <x:si>
    <x:t xml:space="preserve">Cobertura amplia con menor costo fijo; depende de marketing digital</x:t>
  </x:si>
  <x:si>
    <x:t xml:space="preserve">COM-01C</x:t>
  </x:si>
  <x:si>
    <x:t xml:space="preserve">Web y fisico</x:t>
  </x:si>
  <x:si>
    <x:t xml:space="preserve">Mayor cobertura y demanda; incrementa complejidad y costo</x:t>
  </x:si>
  <x:si>
    <x:t xml:space="preserve">FIN-01A</x:t>
  </x:si>
  <x:si>
    <x:t xml:space="preserve">Solicitar prestamo</x:t>
  </x:si>
  <x:si>
    <x:t xml:space="preserve">Fija: habilita</x:t>
  </x:si>
  <x:si>
    <x:t xml:space="preserve">Habilita apalancamiento; permite invertir mas rapido</x:t>
  </x:si>
  <x:si>
    <x:t xml:space="preserve">Aumenta apalancamiento</x:t>
  </x:si>
  <x:si>
    <x:t xml:space="preserve">FIN-01B</x:t>
  </x:si>
  <x:si>
    <x:t xml:space="preserve">No solicitar prestamo</x:t>
  </x:si>
  <x:si>
    <x:t xml:space="preserve">Evita intereses; la expansion depende del capital propio</x:t>
  </x:si>
  <x:si>
    <x:t xml:space="preserve">INS-01</x:t>
  </x:si>
  <x:si>
    <x:t xml:space="preserve">E. Insumos</x:t>
  </x:si>
  <x:si>
    <x:t xml:space="preserve">Calidad del cuero</x:t>
  </x:si>
  <x:si>
    <x:t xml:space="preserve">Nivel 1 - Cuero sintetico</x:t>
  </x:si>
  <x:si>
    <x:t xml:space="preserve">Bajo costo, menor durabilidad, acabado menos premium</x:t>
  </x:si>
  <x:si>
    <x:t xml:space="preserve">por unidad, referencial</x:t>
  </x:si>
  <x:si>
    <x:t xml:space="preserve">INS-02</x:t>
  </x:si>
  <x:si>
    <x:t xml:space="preserve">Nivel 2 - Cuero genuino estandar</x:t>
  </x:si>
  <x:si>
    <x:t xml:space="preserve">Costo medio, durabilidad media</x:t>
  </x:si>
  <x:si>
    <x:t xml:space="preserve">INS-03</x:t>
  </x:si>
  <x:si>
    <x:t xml:space="preserve">Nivel 3 - Cuero genuino premium</x:t>
  </x:si>
  <x:si>
    <x:t xml:space="preserve">Full grain / curtido vegetal: alto costo, alta durabilidad, mejor acabado</x:t>
  </x:si>
  <x:si>
    <x:t xml:space="preserve">INS-04</x:t>
  </x:si>
  <x:si>
    <x:t xml:space="preserve">Calidad de accesorios</x:t>
  </x:si>
  <x:si>
    <x:t xml:space="preserve">Nivel 1 - Aleacion economica</x:t>
  </x:si>
  <x:si>
    <x:t xml:space="preserve">Bajo costo, se oxida/desgasta mas rapido</x:t>
  </x:si>
  <x:si>
    <x:t xml:space="preserve">INS-05</x:t>
  </x:si>
  <x:si>
    <x:t xml:space="preserve">Nivel 2 - Metal premium</x:t>
  </x:si>
  <x:si>
    <x:t xml:space="preserve">Laton macizo o acero inoxidable, alto costo, mayor durabilidad y brillo</x:t>
  </x:si>
  <x:si>
    <x:t xml:space="preserve">INS-06</x:t>
  </x:si>
  <x:si>
    <x:t xml:space="preserve">Calidad del hilo</x:t>
  </x:si>
  <x:si>
    <x:t xml:space="preserve">Nivel 1 - Poliester estandar</x:t>
  </x:si>
  <x:si>
    <x:t xml:space="preserve">Economico, resistencia media</x:t>
  </x:si>
  <x:si>
    <x:t xml:space="preserve">INS-07</x:t>
  </x:si>
  <x:si>
    <x:t xml:space="preserve">Nivel 2 - Encerado reforzado</x:t>
  </x:si>
  <x:si>
    <x:t xml:space="preserve">Costo medio, mayor resistencia a tension</x:t>
  </x:si>
  <x:si>
    <x:t xml:space="preserve">INS-08</x:t>
  </x:si>
  <x:si>
    <x:t xml:space="preserve">Nivel 3 - Alta tenacidad (nylon trenzado)</x:t>
  </x:si>
  <x:si>
    <x:t xml:space="preserve">Costoso, maxima durabilidad, ideal para costura visible/detalle</x:t>
  </x:si>
  <x:si>
    <x:t xml:space="preserve">INS-09A</x:t>
  </x:si>
  <x:si>
    <x:t xml:space="preserve">Proveedor unico</x:t>
  </x:si>
  <x:si>
    <x:t xml:space="preserve">Obtiene 2% adicional de descuento, pero concentra el riesgo de abastecimiento</x:t>
  </x:si>
  <x:si>
    <x:t xml:space="preserve">Riesgo de desabastecimiento</x:t>
  </x:si>
  <x:si>
    <x:t xml:space="preserve">INS-09B</x:t>
  </x:si>
  <x:si>
    <x:t xml:space="preserve">Varios proveedores</x:t>
  </x:si>
  <x:si>
    <x:t xml:space="preserve">Menor descuento, pero reduce el riesgo de desabastecimiento</x:t>
  </x:si>
  <x:si>
    <x:t xml:space="preserve">INS-10A</x:t>
  </x:si>
  <x:si>
    <x:t xml:space="preserve">Contado</x:t>
  </x:si>
  <x:si>
    <x:t xml:space="preserve">Obtiene 3% de descuento; reduce la caja inmediatamente</x:t>
  </x:si>
  <x:si>
    <x:t xml:space="preserve">INS-10B</x:t>
  </x:si>
  <x:si>
    <x:t xml:space="preserve">Credito</x:t>
  </x:si>
  <x:si>
    <x:t xml:space="preserve">Sin descuento; conserva liquidez en el ciclo</x:t>
  </x:si>
  <x:si>
    <x:t xml:space="preserve">INS-11A</x:t>
  </x:si>
  <x:si>
    <x:t xml:space="preserve">Rapido (urgente, con sobrecosto)</x:t>
  </x:si>
  <x:si>
    <x:t xml:space="preserve">Entrega en menos dias, pero con sobrecosto</x:t>
  </x:si>
  <x:si>
    <x:t xml:space="preserve">INS-11B</x:t>
  </x:si>
  <x:si>
    <x:t xml:space="preserve">Normal - 7 dias</x:t>
  </x:si>
  <x:si>
    <x:t xml:space="preserve">Equilibrio entre costo y disponibilidad</x:t>
  </x:si>
  <x:si>
    <x:t xml:space="preserve">INS-11C</x:t>
  </x:si>
  <x:si>
    <x:t xml:space="preserve">Lento (economico)</x:t>
  </x:si>
  <x:si>
    <x:t xml:space="preserve">Menor costo, mayor riesgo de quiebre de stock</x:t>
  </x:si>
  <x:si>
    <x:t xml:space="preserve">COM-05</x:t>
  </x:si>
  <x:si>
    <x:t xml:space="preserve">% de ventas a credito</x:t>
  </x:si>
  <x:si>
    <x:t xml:space="preserve">20% a credito (referencia)</x:t>
  </x:si>
  <x:si>
    <x:t xml:space="preserve">Balancea liquidez y ventas; riesgo de cobranza bajo</x:t>
  </x:si>
  <x:si>
    <x:t xml:space="preserve">Valor ingresado por el jugador en hoja Seleccion</x:t>
  </x:si>
  <x:si>
    <x:t xml:space="preserve">INV-01A</x:t>
  </x:si>
  <x:si>
    <x:t xml:space="preserve">F. Inversiones</x:t>
  </x:si>
  <x:si>
    <x:t xml:space="preserve">Baja</x:t>
  </x:si>
  <x:si>
    <x:t xml:space="preserve">Poca capacitacion tecnica</x:t>
  </x:si>
  <x:si>
    <x:t xml:space="preserve">INV-01B</x:t>
  </x:si>
  <x:si>
    <x:t xml:space="preserve">Media</x:t>
  </x:si>
  <x:si>
    <x:t xml:space="preserve">Capacitacion tecnica: +8% de capacidad y mejor reputacion</x:t>
  </x:si>
  <x:si>
    <x:t xml:space="preserve">INV-01C</x:t>
  </x:si>
  <x:si>
    <x:t xml:space="preserve">Alta</x:t>
  </x:si>
  <x:si>
    <x:t xml:space="preserve">Capacitacion avanzada: mayor capacidad y reputacion, alto costo</x:t>
  </x:si>
  <x:si>
    <x:t xml:space="preserve">INV-02A</x:t>
  </x:si>
  <x:si>
    <x:t xml:space="preserve">Poca visibilidad de marca</x:t>
  </x:si>
  <x:si>
    <x:t xml:space="preserve">INV-02B</x:t>
  </x:si>
  <x:si>
    <x:t xml:space="preserve">S/ 6,000 por ciclo; aumenta demanda estimada 12% y reputacion</x:t>
  </x:si>
  <x:si>
    <x:t xml:space="preserve">INV-02C</x:t>
  </x:si>
  <x:si>
    <x:t xml:space="preserve">Alto costo; mayor aumento de demanda y reputacion</x:t>
  </x:si>
  <x:si>
    <x:t xml:space="preserve">FIN-02A</x:t>
  </x:si>
  <x:si>
    <x:t xml:space="preserve">G. Finanzas</x:t>
  </x:si>
  <x:si>
    <x:t xml:space="preserve">Método de depreciación</x:t>
  </x:si>
  <x:si>
    <x:t xml:space="preserve">Línea recta</x:t>
  </x:si>
  <x:si>
    <x:t xml:space="preserve">Fija en Ciclo 0</x:t>
  </x:si>
  <x:si>
    <x:t xml:space="preserve">Distribuye el valor depreciable de la maquinaria en cuotas iguales durante su vida útil</x:t>
  </x:si>
  <x:si>
    <x:t xml:space="preserve">S/0</x:t>
  </x:si>
  <x:si>
    <x:t xml:space="preserve">Gasto contable constante; no representa una salida de efectivo</x:t>
  </x:si>
  <x:si>
    <x:t xml:space="preserve">FIN-02B</x:t>
  </x:si>
  <x:si>
    <x:t xml:space="preserve">Unidades producidas</x:t>
  </x:si>
  <x:si>
    <x:t xml:space="preserve">Calcula la depreciación según el uso real de la maquinaria y las unidades fabricadas</x:t>
  </x:si>
  <x:si>
    <x:t xml:space="preserve">Mejora la asignación del costo por unidad; no representa una salida de efectivo</x:t>
  </x:si>
  <x:si>
    <x:t xml:space="preserve">FIN-02C</x:t>
  </x:si>
  <x:si>
    <x:t xml:space="preserve">Acelerada</x:t>
  </x:si>
  <x:si>
    <x:t xml:space="preserve">Reconoce una mayor depreciación durante los primeros ciclos y una menor depreciación después</x:t>
  </x:si>
  <x:si>
    <x:t xml:space="preserve">Reduce la utilidad contable inicial; no representa una salida de efectivo</x:t>
  </x:si>
  <x:si>
    <x:t xml:space="preserve">COM-06A</x:t>
  </x:si>
  <x:si>
    <x:t xml:space="preserve">Sin garantía</x:t>
  </x:si>
  <x:si>
    <x:t xml:space="preserve">No cubre fallas posteriores a la venta; reduce el costo inmediato, pero genera desconfianza</x:t>
  </x:si>
  <x:si>
    <x:t xml:space="preserve">Mayor riesgo de reclamos y pérdida de clientes</x:t>
  </x:si>
  <x:si>
    <x:t xml:space="preserve">COM-06B</x:t>
  </x:si>
  <x:si>
    <x:t xml:space="preserve">Garantía de 30 días</x:t>
  </x:si>
  <x:si>
    <x:t xml:space="preserve">Cubre defectos de fabricación durante 30 días y brinda seguridad básica al cliente</x:t>
  </x:si>
  <x:si>
    <x:t xml:space="preserve">S/5</x:t>
  </x:si>
  <x:si>
    <x:t xml:space="preserve">Costo referencial por unidad vendida para atender cambios o reparaciones</x:t>
  </x:si>
  <x:si>
    <x:t xml:space="preserve">COM-06C</x:t>
  </x:si>
  <x:si>
    <x:t xml:space="preserve">Garantía de 90 días</x:t>
  </x:si>
  <x:si>
    <x:t xml:space="preserve">Cubre defectos durante 90 días; aumenta la confianza, pero exige una mayor provisión</x:t>
  </x:si>
  <x:si>
    <x:t xml:space="preserve">S/10</x:t>
  </x:si>
  <x:si>
    <x:t xml:space="preserve">Costo referencial por unidad vendida; mayor exposición a devoluciones</x:t>
  </x:si>
  <x:si>
    <x:t xml:space="preserve">INF-11A</x:t>
  </x:si>
  <x:si>
    <x:t xml:space="preserve">Solo correctivo</x:t>
  </x:si>
  <x:si>
    <x:t xml:space="preserve">La empresa repara las máquinas únicamente cuando presentan una falla</x:t>
  </x:si>
  <x:si>
    <x:t xml:space="preserve">Ahorra al inicio, pero aumenta el riesgo de paradas y retrasos</x:t>
  </x:si>
  <x:si>
    <x:t xml:space="preserve">INF-11B</x:t>
  </x:si>
  <x:si>
    <x:t xml:space="preserve">Preventivo básico</x:t>
  </x:si>
  <x:si>
    <x:t xml:space="preserve">Incluye revisión, limpieza, lubricación y ajustes básicos para prevenir fallas</x:t>
  </x:si>
  <x:si>
    <x:t xml:space="preserve">S/1,500</x:t>
  </x:si>
  <x:si>
    <x:t xml:space="preserve">Costo referencial por ciclo; reduce parcialmente las averías</x:t>
  </x:si>
  <x:si>
    <x:t xml:space="preserve">INF-11C</x:t>
  </x:si>
  <x:si>
    <x:t xml:space="preserve">Preventivo integral</x:t>
  </x:si>
  <x:si>
    <x:t xml:space="preserve">Incluye mantenimiento programado, cambio de piezas críticas y calibración de equipos</x:t>
  </x:si>
  <x:si>
    <x:t xml:space="preserve">S/3,000</x:t>
  </x:si>
  <x:si>
    <x:t xml:space="preserve">Costo referencial por ciclo; minimiza paradas y defectos de fabricación</x:t>
  </x:si>
  <x:si>
    <x:t xml:space="preserve">INS-12A</x:t>
  </x:si>
  <x:si>
    <x:t xml:space="preserve">Justo a tiempo</x:t>
  </x:si>
  <x:si>
    <x:t xml:space="preserve">Mantiene inventario mínimo y compra cerca de la fecha de producción</x:t>
  </x:si>
  <x:si>
    <x:t xml:space="preserve">Menor dinero inmovilizado, pero mayor riesgo de quedarse sin insumos</x:t>
  </x:si>
  <x:si>
    <x:t xml:space="preserve">INS-12B</x:t>
  </x:si>
  <x:si>
    <x:t xml:space="preserve">Stock de seguridad medio</x:t>
  </x:si>
  <x:si>
    <x:t xml:space="preserve">Mantiene una reserva moderada para cubrir retrasos del proveedor o cambios de demanda</x:t>
  </x:si>
  <x:si>
    <x:t xml:space="preserve">S/1,000</x:t>
  </x:si>
  <x:si>
    <x:t xml:space="preserve">Costo referencial de almacenamiento por ciclo; alternativa equilibrada</x:t>
  </x:si>
  <x:si>
    <x:t xml:space="preserve">INS-12C</x:t>
  </x:si>
  <x:si>
    <x:t xml:space="preserve">Stock de seguridad alto</x:t>
  </x:si>
  <x:si>
    <x:t xml:space="preserve">Mantiene una reserva amplia de materiales para evitar interrupciones de producción</x:t>
  </x:si>
  <x:si>
    <x:t xml:space="preserve">S/2,500</x:t>
  </x:si>
  <x:si>
    <x:t xml:space="preserve">Reduce quiebres de stock, pero inmoviliza más efectivo y aumenta el almacenaje</x:t>
  </x:si>
  <x:si>
    <x:t xml:space="preserve">Flujo</x:t>
  </x:si>
  <x:si>
    <x:t xml:space="preserve">Steps</x:t>
  </x:si>
  <x:si>
    <x:t xml:space="preserve">Docente</x:t>
  </x:si>
  <x:si>
    <x:t xml:space="preserve">Jugadores</x:t>
  </x:si>
  <x:si>
    <x:t xml:space="preserve">Valeria y Gonzalo</x:t>
  </x:si>
  <x:si>
    <x:t xml:space="preserve">Launcher</x:t>
  </x:si>
  <x:si>
    <x:t xml:space="preserve">Erick y Miguel</x:t>
  </x:si>
  <x:si>
    <x:t xml:space="preserve">Login</x:t>
  </x:si>
  <x:si>
    <x:t xml:space="preserve">Se valida el codigo de sala y el nombre empresa(usuario)</x:t>
  </x:si>
  <x:si>
    <x:t xml:space="preserve">Configuracion del juego (incluye Creacion de Sala)</x:t>
  </x:si>
  <x:si>
    <x:t xml:space="preserve">Tutorial</x:t>
  </x:si>
  <x:si>
    <x:t xml:space="preserve">Indicaciones en un carrusel.</x:t>
  </x:si>
  <x:si>
    <x:t xml:space="preserve">Ciclo 1</x:t>
  </x:si>
  <x:si>
    <x:t xml:space="preserve">Decisiones</x:t>
  </x:si>
  <x:si>
    <x:t xml:space="preserve">Espera (Fin de ciclo)</x:t>
  </x:si>
  <x:si>
    <x:t xml:space="preserve">El docente define si se hace automatico o manual</x:t>
  </x:si>
  <x:si>
    <x:t xml:space="preserve">Información en vivo de las decisiones de los jugadores (Manual: Cierra el ciclo)</x:t>
  </x:si>
  <x:si>
    <x:t xml:space="preserve">Estados financieros Generales</x:t>
  </x:si>
  <x:si>
    <x:t xml:space="preserve">Estados financieros Individuales e Informacion del mercado</x:t>
  </x:si>
  <x:si>
    <x:t xml:space="preserve">Descargables en pdf</x:t>
  </x:si>
  <x:si>
    <x:t xml:space="preserve">Ciclo 2</x:t>
  </x:si>
  <x:si>
    <x:t xml:space="preserve">  </x:t>
  </x:si>
  <x:si>
    <x:t xml:space="preserve">Ciclo 3</x:t>
  </x:si>
  <x:si>
    <x:t xml:space="preserve">Ciclo N</x:t>
  </x:si>
  <x:si>
    <x:t xml:space="preserve">Resumen General - Indicar podio</x:t>
  </x:si>
  <x:si>
    <x:t xml:space="preserve">Estados financieros Individuales y Consolidado Final</x:t>
  </x:si>
  <x:si>
    <x:t xml:space="preserve">Mostrar Podio</x:t>
  </x:si>
  <x:si>
    <x:t xml:space="preserve">Agregar disclaimer indicando que los datos se guardaran un maximo de 24 horas</x:t>
  </x:si>
  <x:si>
    <x:t xml:space="preserve">Si el jugador no tomo decision dentro del tiempo establecido y es la primera decisión se le elimina del juego</x:t>
  </x:si>
  <x:si>
    <x:t xml:space="preserve">El Docente tiene la opcion de eliminar jugadores en cualquier momento. Sin importar si es manual o automatico</x:t>
  </x:si>
  <x:si>
    <x:t xml:space="preserve">Si el jugador no tomo decisiones dentro del tiempo establecido y no es la primera decisión el sistema replica las decisiones del ciclo anterior.</x:t>
  </x:si>
  <x:si>
    <x:t xml:space="preserve">Calculo de MO</x:t>
  </x:si>
  <x:si>
    <x:t xml:space="preserve">AREA DE CORTE </x:t>
  </x:si>
  <x:si>
    <x:t xml:space="preserve">Bolsas por día </x:t>
  </x:si>
  <x:si>
    <x:t xml:space="preserve">Producción por día </x:t>
  </x:si>
  <x:si>
    <x:t xml:space="preserve">AL MES</x:t>
  </x:si>
  <x:si>
    <x:t xml:space="preserve">Eficiencia</x:t>
  </x:si>
  <x:si>
    <x:t xml:space="preserve">Nivel 1 - Operario basico </x:t>
  </x:si>
  <x:si>
    <x:t xml:space="preserve">Nivel 2 - Cortador con experiencia </x:t>
  </x:si>
  <x:si>
    <x:t xml:space="preserve">Eficiencia BASE</x:t>
  </x:si>
  <x:si>
    <x:t xml:space="preserve">Nivel 3 - Maestro cortador </x:t>
  </x:si>
  <x:si>
    <x:t xml:space="preserve">AREA DE ENSAMBLADO</x:t>
  </x:si>
  <x:si>
    <x:t xml:space="preserve">Operarios</x:t>
  </x:si>
  <x:si>
    <x:t xml:space="preserve">MAQUINARIA MANUAL</x:t>
  </x:si>
  <x:si>
    <x:t xml:space="preserve">MAQUINARIA SEMIINDUSTRIAL </x:t>
  </x:si>
  <x:si>
    <x:t xml:space="preserve">MAQUINARIA INDUSTRIAL </x:t>
  </x:si>
  <x:si>
    <x:t xml:space="preserve">Total de trabajadores</x:t>
  </x:si>
  <x:si>
    <x:t xml:space="preserve">total de trabajadores N3</x:t>
  </x:si>
  <x:si>
    <x:t xml:space="preserve">Nivel 1</x:t>
  </x:si>
  <x:si>
    <x:t xml:space="preserve">Nivel 2</x:t>
  </x:si>
  <x:si>
    <x:t xml:space="preserve">Nivel 3</x:t>
  </x:si>
  <x:si>
    <x:t xml:space="preserve">AREA DE ACABADO </x:t>
  </x:si>
  <x:si>
    <x:t xml:space="preserve">Jefe de Produccion</x:t>
  </x:si>
  <x:si>
    <x:t xml:space="preserve">Calculo de MP</x:t>
  </x:si>
  <x:si>
    <x:t xml:space="preserve">Nivel 3 - Metal Deluxe</x:t>
  </x:si>
  <x:si>
    <x:t xml:space="preserve">UM Compra</x:t>
  </x:si>
  <x:si>
    <x:t xml:space="preserve">rollo</x:t>
  </x:si>
  <x:si>
    <x:t xml:space="preserve">Piel completa</x:t>
  </x:si>
  <x:si>
    <x:t xml:space="preserve">Juego</x:t>
  </x:si>
  <x:si>
    <x:t xml:space="preserve">Carrete</x:t>
  </x:si>
  <x:si>
    <x:t xml:space="preserve">UM Produccion</x:t>
  </x:si>
  <x:si>
    <x:t xml:space="preserve">m2</x:t>
  </x:si>
  <x:si>
    <x:t xml:space="preserve">unidad</x:t>
  </x:si>
  <x:si>
    <x:t xml:space="preserve">metro</x:t>
  </x:si>
  <x:si>
    <x:t xml:space="preserve">Cantidad que desea producir</x:t>
  </x:si>
  <x:si>
    <x:t xml:space="preserve">TOTAL PRODUCIDO REAL</x:t>
  </x:si>
  <x:si>
    <x:t xml:space="preserve">Cuero empleado</x:t>
  </x:si>
  <x:si>
    <x:t xml:space="preserve">Accesorios empleados</x:t>
  </x:si>
  <x:si>
    <x:t xml:space="preserve">Hilo empleado</x:t>
  </x:si>
  <x:si>
    <x:t xml:space="preserve">Inventario Inicial</x:t>
  </x:si>
  <x:si>
    <x:t xml:space="preserve">Compras</x:t>
  </x:si>
  <x:si>
    <x:t xml:space="preserve">Inventario Final</x:t>
  </x:si>
  <x:si>
    <x:t xml:space="preserve">0 - 10,000(rango en soles)</x:t>
  </x:si>
  <x:si>
    <x:t xml:space="preserve">Gastos del ciclo en publicidad</x:t>
  </x:si>
  <x:si>
    <x:t xml:space="preserve">EJEMPLO de distribución de Ventas (Bolsos Economicos)</x:t>
  </x:si>
  <x:si>
    <x:t xml:space="preserve">Reputacion</x:t>
  </x:si>
  <x:si>
    <x:t xml:space="preserve">Precio</x:t>
  </x:si>
  <x:si>
    <x:t xml:space="preserve">Puntaje del precio</x:t>
  </x:si>
  <x:si>
    <x:t xml:space="preserve">Puntaje total</x:t>
  </x:si>
  <x:si>
    <x:t xml:space="preserve">Porcentaje parcial</x:t>
  </x:si>
  <x:si>
    <x:t xml:space="preserve">Unidades Vendidas</x:t>
  </x:si>
  <x:si>
    <x:t xml:space="preserve">Empresa A</x:t>
  </x:si>
  <x:si>
    <x:t xml:space="preserve">Empresa B</x:t>
  </x:si>
  <x:si>
    <x:t xml:space="preserve">Empresa C</x:t>
  </x:si>
  <x:si>
    <x:t xml:space="preserve">Empresa D</x:t>
  </x:si>
  <x:si>
    <x:t xml:space="preserve">Total</x:t>
  </x:si>
  <x:si>
    <x:t xml:space="preserve">unidades mercado</x:t>
  </x:si>
  <x:si>
    <x:t xml:space="preserve">unidades mercado real</x:t>
  </x:si>
  <x:si>
    <x:t xml:space="preserve">EJEMPLO de distribución de Ventas (Bolsos promedio)</x:t>
  </x:si>
  <x:si>
    <x:t xml:space="preserve">EJEMPLO de distribución de Ventas (Bolsos Premium)</x:t>
  </x:si>
  <x:si>
    <x:t xml:space="preserve">Peso precio</x:t>
  </x:si>
  <x:si>
    <x:t xml:space="preserve">peso reputación</x:t>
  </x:si>
  <x:si>
    <x:t xml:space="preserve">Peso calidad</x:t>
  </x:si>
  <x:si>
    <x:t xml:space="preserve">Reputación (0-10)</x:t>
  </x:si>
  <x:si>
    <x:t xml:space="preserve">Calidad (0-100)</x:t>
  </x:si>
  <x:si>
    <x:t xml:space="preserve">Precio Económico (0-100)</x:t>
  </x:si>
  <x:si>
    <x:t xml:space="preserve">Reputación (0-100)</x:t>
  </x:si>
  <x:si>
    <x:t xml:space="preserve">SUMA</x:t>
  </x:si>
  <x:si>
    <x:t xml:space="preserve">TOTAL</x:t>
  </x:si>
  <x:si>
    <x:t xml:space="preserve">Unidades mercado </x:t>
  </x:si>
  <x:si>
    <x:t xml:space="preserve">Unidades mercado real </x:t>
  </x:si>
  <x:si>
    <x:t xml:space="preserve">EJEMPLO de distribución de Ventas (Bolsos Medio)</x:t>
  </x:si>
  <x:si>
    <x:t xml:space="preserve">Precio ideal</x:t>
  </x:si>
  <x:si>
    <x:t xml:space="preserve">EJEMPLO de distribución de Ventas (Bolsos Caros)</x:t>
  </x:si>
  <x:si>
    <x:t xml:space="preserve">Costos: MO</x:t>
  </x:si>
  <x:si>
    <x:t xml:space="preserve">Produccion Real</x:t>
  </x:si>
  <x:si>
    <x:t xml:space="preserve">O.Basico</x:t>
  </x:si>
  <x:si>
    <x:t xml:space="preserve">MYPE</x:t>
  </x:si>
  <x:si>
    <x:t xml:space="preserve">NoMype</x:t>
  </x:si>
  <x:si>
    <x:t xml:space="preserve">Costurero básico</x:t>
  </x:si>
  <x:si>
    <x:t xml:space="preserve">Operario de acabado clásico</x:t>
  </x:si>
  <x:si>
    <x:t xml:space="preserve">Esta produccion no puede ser superior a lo que permite el material</x:t>
  </x:si>
  <x:si>
    <x:t xml:space="preserve">Sueldo base</x:t>
  </x:si>
  <x:si>
    <x:t xml:space="preserve">Essalud</x:t>
  </x:si>
  <x:si>
    <x:t xml:space="preserve">Grati</x:t>
  </x:si>
  <x:si>
    <x:t xml:space="preserve">CTS</x:t>
  </x:si>
  <x:si>
    <x:t xml:space="preserve">vacaciones</x:t>
  </x:si>
  <x:si>
    <x:t xml:space="preserve">Suma anual</x:t>
  </x:si>
  <x:si>
    <x:t xml:space="preserve">Pago mensual</x:t>
  </x:si>
  <x:si>
    <x:t xml:space="preserve">Cortador con experiencia</x:t>
  </x:si>
  <x:si>
    <x:t xml:space="preserve">Maquinista industrial</x:t>
  </x:si>
  <x:si>
    <x:t xml:space="preserve">Técnico de acabado</x:t>
  </x:si>
  <x:si>
    <x:t xml:space="preserve">Maestro cortador</x:t>
  </x:si>
  <x:si>
    <x:t xml:space="preserve">Marroquinero especializado</x:t>
  </x:si>
  <x:si>
    <x:t xml:space="preserve">Artesano acabador</x:t>
  </x:si>
  <x:si>
    <x:t xml:space="preserve">NOTA: EL PROCETANJE DE TRABAJADORES DE NIVEL 3 AFECTA POSITIVAMENTE A LA EFICIENCIA </x:t>
  </x:si>
  <x:si>
    <x:t xml:space="preserve">Cantidad necesaria</x:t>
  </x:si>
  <x:si>
    <x:t xml:space="preserve">Compra Jugador</x:t>
  </x:si>
  <x:si>
    <x:t xml:space="preserve">Cantidad Produccion</x:t>
  </x:si>
  <x:si>
    <x:t xml:space="preserve">Limpieza</x:t>
  </x:si>
  <x:si>
    <x:t xml:space="preserve">Local de producción</x:t>
  </x:si>
  <x:si>
    <x:t xml:space="preserve">Costo fijo</x:t>
  </x:si>
  <x:si>
    <x:t xml:space="preserve">InventarioFinal = InventarioInicial + compras - produccido</x:t>
  </x:si>
  <x:si>
    <x:t xml:space="preserve">Almacen</x:t>
  </x:si>
  <x:si>
    <x:t xml:space="preserve">Moldes (siempre debe comprar al menos uno)</x:t>
  </x:si>
  <x:si>
    <x:t xml:space="preserve">Cuero</x:t>
  </x:si>
  <x:si>
    <x:t xml:space="preserve">Accesorios</x:t>
  </x:si>
  <x:si>
    <x:t xml:space="preserve">Hilos</x:t>
  </x:si>
  <x:si>
    <x:t xml:space="preserve">Costos: Maquinaria</x:t>
  </x:si>
  <x:si>
    <x:t xml:space="preserve">Maquina de Ensamblado N1</x:t>
  </x:si>
  <x:si>
    <x:t xml:space="preserve">Maquina de acabado N1</x:t>
  </x:si>
  <x:si>
    <x:t xml:space="preserve">Cuantos Bolso deseas producir ?</x:t>
  </x:si>
  <x:si>
    <x:t xml:space="preserve">Producido luego del termino del ciclo</x:t>
  </x:si>
  <x:si>
    <x:t xml:space="preserve">Total Cuero Necesario</x:t>
  </x:si>
  <x:si>
    <x:t xml:space="preserve">Total Accesorios Necesario</x:t>
  </x:si>
  <x:si>
    <x:t xml:space="preserve">Total Hilo Necesario</x:t>
  </x:si>
  <x:si>
    <x:t xml:space="preserve">Total Cuero Utilizado</x:t>
  </x:si>
  <x:si>
    <x:t xml:space="preserve">Total Accesorios Utilizado</x:t>
  </x:si>
  <x:si>
    <x:t xml:space="preserve">Total Hilo Utilizado</x:t>
  </x:si>
  <x:si>
    <x:t xml:space="preserve">Costo de adquisición</x:t>
  </x:si>
  <x:si>
    <x:t xml:space="preserve">Instalación </x:t>
  </x:si>
  <x:si>
    <x:t xml:space="preserve">Capacitación</x:t>
  </x:si>
  <x:si>
    <x:t xml:space="preserve">Mantenimiento anual</x:t>
  </x:si>
  <x:si>
    <x:t xml:space="preserve">Depreciación anual</x:t>
  </x:si>
  <x:si>
    <x:t xml:space="preserve">ALMACEN</x:t>
  </x:si>
  <x:si>
    <x:t xml:space="preserve">Molde 1</x:t>
  </x:si>
  <x:si>
    <x:t xml:space="preserve">Maquina de Ensamblado N2</x:t>
  </x:si>
  <x:si>
    <x:t xml:space="preserve">Maquina de acabado N2</x:t>
  </x:si>
  <x:si>
    <x:t xml:space="preserve">Produccion</x:t>
  </x:si>
  <x:si>
    <x:t xml:space="preserve">Molde 2</x:t>
  </x:si>
  <x:si>
    <x:t xml:space="preserve">Maquina de Ensamblado N3</x:t>
  </x:si>
  <x:si>
    <x:t xml:space="preserve">Maquina de acabado N3</x:t>
  </x:si>
  <x:si>
    <x:t xml:space="preserve">Calculo de Reputacion</x:t>
  </x:si>
  <x:si>
    <x:t xml:space="preserve">ptos de reputación</x:t>
  </x:si>
  <x:si>
    <x:t xml:space="preserve">Factor de producción</x:t>
  </x:si>
  <x:si>
    <x:t xml:space="preserve">Factor de MO</x:t>
  </x:si>
  <x:si>
    <x:t xml:space="preserve">Factor de MP (utilizacion)</x:t>
  </x:si>
  <x:si>
    <x:t xml:space="preserve">Factor de Publicidad</x:t>
  </x:si>
  <x:si>
    <x:t xml:space="preserve">Moldes 3</x:t>
  </x:si>
  <x:si>
    <x:t xml:space="preserve">Costos: MP</x:t>
  </x:si>
  <x:si>
    <x:t xml:space="preserve">Tabla de materia base.</x:t>
  </x:si>
  <x:si>
    <x:t xml:space="preserve">Lo que sea comprado por un equipo:</x:t>
  </x:si>
  <x:si>
    <x:t xml:space="preserve">Grupo de decisión</x:t>
  </x:si>
  <x:si>
    <x:t xml:space="preserve">Opción/Nivel</x:t>
  </x:si>
  <x:si>
    <x:t xml:space="preserve">Precio de lista</x:t>
  </x:si>
  <x:si>
    <x:t xml:space="preserve">Descontado por cantidad</x:t>
  </x:si>
  <x:si>
    <x:t xml:space="preserve">Unidad</x:t>
  </x:si>
  <x:si>
    <x:t xml:space="preserve">1- Cuero sintético</x:t>
  </x:si>
  <x:si>
    <x:t xml:space="preserve">m²</x:t>
  </x:si>
  <x:si>
    <x:t xml:space="preserve">60m²</x:t>
  </x:si>
  <x:si>
    <x:t xml:space="preserve">2- Cuero genuino estándar</x:t>
  </x:si>
  <x:si>
    <x:t xml:space="preserve">55m²</x:t>
  </x:si>
  <x:si>
    <x:t xml:space="preserve">3-Cuero genuino premium</x:t>
  </x:si>
  <x:si>
    <x:t xml:space="preserve">15m²</x:t>
  </x:si>
  <x:si>
    <x:t xml:space="preserve">1- Aleación económica</x:t>
  </x:si>
  <x:si>
    <x:t xml:space="preserve">200 unidad</x:t>
  </x:si>
  <x:si>
    <x:t xml:space="preserve">2- Metal premium</x:t>
  </x:si>
  <x:si>
    <x:t xml:space="preserve">190 unidad</x:t>
  </x:si>
  <x:si>
    <x:t xml:space="preserve">1- Poliéster estándar</x:t>
  </x:si>
  <x:si>
    <x:t xml:space="preserve">m</x:t>
  </x:si>
  <x:si>
    <x:t xml:space="preserve">0 m</x:t>
  </x:si>
  <x:si>
    <x:t xml:space="preserve">2- Encerado reforzado</x:t>
  </x:si>
  <x:si>
    <x:t xml:space="preserve">6 m</x:t>
  </x:si>
  <x:si>
    <x:t xml:space="preserve">3- Alta tenacidad</x:t>
  </x:si>
  <x:si>
    <x:t xml:space="preserve">7 m</x:t>
  </x:si>
  <x:si>
    <x:t xml:space="preserve">Inventario Inicial:</x:t>
  </x:si>
  <x:si>
    <x:t xml:space="preserve">Unidad*cant. producida</x:t>
  </x:si>
  <x:si>
    <x:t xml:space="preserve">Producción:</x:t>
  </x:si>
  <x:si>
    <x:t xml:space="preserve">110m²</x:t>
  </x:si>
  <x:si>
    <x:t xml:space="preserve">30m²</x:t>
  </x:si>
  <x:si>
    <x:t xml:space="preserve">107m²</x:t>
  </x:si>
  <x:si>
    <x:t xml:space="preserve">0m²</x:t>
  </x:si>
  <x:si>
    <x:t xml:space="preserve">185 unidad</x:t>
  </x:si>
  <x:si>
    <x:t xml:space="preserve">1500 m</x:t>
  </x:si>
  <x:si>
    <x:t xml:space="preserve">1400 m</x:t>
  </x:si>
  <x:si>
    <x:t xml:space="preserve">Inventario final: Inventario inicial - Producción</x:t>
  </x:si>
  <x:si>
    <x:t xml:space="preserve">Lote</x:t>
  </x:si>
  <x:si>
    <x:t xml:space="preserve">Segmento de venta (elige)</x:t>
  </x:si>
  <x:si>
    <x:t xml:space="preserve">Cantidad de unidades (input)</x:t>
  </x:si>
  <x:si>
    <x:t xml:space="preserve">Codigo Cuero (elige)</x:t>
  </x:si>
  <x:si>
    <x:t xml:space="preserve">Codigo Accesorios (elige)</x:t>
  </x:si>
  <x:si>
    <x:t xml:space="preserve">Codigo Hilo (elige)</x:t>
  </x:si>
  <x:si>
    <x:t xml:space="preserve">Codigo Molde (elige)</x:t>
  </x:si>
  <x:si>
    <x:t xml:space="preserve">Costo unitario insumos (auto)</x:t>
  </x:si>
  <x:si>
    <x:t xml:space="preserve">Puntaje Calidad del lote (auto)</x:t>
  </x:si>
  <x:si>
    <x:t xml:space="preserve">Umbral requerido por segmento (auto)</x:t>
  </x:si>
  <x:si>
    <x:t xml:space="preserve">Resultado (auto)</x:t>
  </x:si>
  <x:si>
    <x:t xml:space="preserve">Mensaje para el jugador (auto)</x:t>
  </x:si>
  <x:si>
    <x:t xml:space="preserve">Lote 1</x:t>
  </x:si>
  <x:si>
    <x:t xml:space="preserve">Lote 2</x:t>
  </x:si>
  <x:si>
    <x:t xml:space="preserve">Lote 3</x:t>
  </x:si>
  <x:si>
    <x:t xml:space="preserve">TOTAL CICLO</x:t>
  </x:si>
  <x:si>
    <x:t xml:space="preserve">Nota: cada lote se evalua por separado. El costo unitario de insumos (col H) NO incluye el molde (es inversion fija de Ciclo 0), solo cuero+accesorios+hilo por unidad.</x:t>
  </x:si>
  <x:si>
    <x:t xml:space="preserve">Puntaje interno</x:t>
  </x:si>
  <x:si>
    <x:t xml:space="preserve">Valor (suma de aportes)</x:t>
  </x:si>
  <x:si>
    <x:t xml:space="preserve">Escala</x:t>
  </x:si>
  <x:si>
    <x:t xml:space="preserve">Nivel resultante</x:t>
  </x:si>
  <x:si>
    <x:t xml:space="preserve">CALIDAD POR LOTE (detalle)</x:t>
  </x:si>
  <x:si>
    <x:t xml:space="preserve">Puntaje Calidad - Lote 1</x:t>
  </x:si>
  <x:si>
    <x:t xml:space="preserve">Puntaje Calidad - Lote 2</x:t>
  </x:si>
  <x:si>
    <x:t xml:space="preserve">Puntaje Calidad - Lote 3</x:t>
  </x:si>
  <x:si>
    <x:t xml:space="preserve">Puntaje Calidad EMPRESA (promedio ponderado por unidades)</x:t>
  </x:si>
  <x:si>
    <x:t xml:space="preserve">0 - 10 (referencial)</x:t>
  </x:si>
  <x:si>
    <x:t xml:space="preserve">OTROS PUNTAJES DE EMPRESA</x:t>
  </x:si>
  <x:si>
    <x:t xml:space="preserve">Puntaje de Eficiencia</x:t>
  </x:si>
  <x:si>
    <x:t xml:space="preserve">Puntaje de Reputacion</x:t>
  </x:si>
  <x:si>
    <x:t xml:space="preserve">Puntaje de Salud Financiera</x:t>
  </x:si>
  <x:si>
    <x:t xml:space="preserve">Nota: cada 'Aporte' se define en la hoja Catalogo_Decisiones (columnas H-K) y se suma automaticamente segun lo elegido en Seleccion_Ciclo0.</x:t>
  </x:si>
  <x:si>
    <x:t xml:space="preserve">ID</x:t>
  </x:si>
  <x:si>
    <x:t xml:space="preserve">Puntaje evaluado</x:t>
  </x:si>
  <x:si>
    <x:t xml:space="preserve">Condicion</x:t>
  </x:si>
  <x:si>
    <x:t xml:space="preserve">Efecto numerico en el juego</x:t>
  </x:si>
  <x:si>
    <x:t xml:space="preserve">Mensaje textual para el jugador</x:t>
  </x:si>
  <x:si>
    <x:t xml:space="preserve">CONS-01</x:t>
  </x:si>
  <x:si>
    <x:t xml:space="preserve">Calidad</x:t>
  </x:si>
  <x:si>
    <x:t xml:space="preserve">&lt; 4 y Segmento = Premium</x:t>
  </x:si>
  <x:si>
    <x:t xml:space="preserve">Precio de venta -35%, Reputacion -2</x:t>
  </x:si>
  <x:si>
    <x:t xml:space="preserve">Posicionaste tu marca como premium, pero tus materiales e insumos no lo respaldan. Los clientes se sienten enganados y las devoluciones aumentan.</x:t>
  </x:si>
  <x:si>
    <x:t xml:space="preserve">CONS-02</x:t>
  </x:si>
  <x:si>
    <x:t xml:space="preserve">&gt;= 7 y Segmento = Premium</x:t>
  </x:si>
  <x:si>
    <x:t xml:space="preserve">Precio de venta +40%, Reputacion +2</x:t>
  </x:si>
  <x:si>
    <x:t xml:space="preserve">Tu producto cumple con los estandares premium. Los clientes perciben el valor y pagan sin problema el precio elevado.</x:t>
  </x:si>
  <x:si>
    <x:t xml:space="preserve">CONS-03</x:t>
  </x:si>
  <x:si>
    <x:t xml:space="preserve">&lt; 4</x:t>
  </x:si>
  <x:si>
    <x:t xml:space="preserve">Produccion real = 70% de lo planeado (retrasos)</x:t>
  </x:si>
  <x:si>
    <x:t xml:space="preserve">Tu equipo no dio abasto con el volumen que planeaste. Hubo retrasos y entregaste menos de lo prometido.</x:t>
  </x:si>
  <x:si>
    <x:t xml:space="preserve">CONS-04</x:t>
  </x:si>
  <x:si>
    <x:t xml:space="preserve">&lt; 3 durante 2 ciclos seguidos</x:t>
  </x:si>
  <x:si>
    <x:t xml:space="preserve">Demanda -20%</x:t>
  </x:si>
  <x:si>
    <x:t xml:space="preserve">Tu marca empieza a perder terreno. Los clientes prefieren a la competencia.</x:t>
  </x:si>
  <x:si>
    <x:t xml:space="preserve">CONS-05</x:t>
  </x:si>
  <x:si>
    <x:t xml:space="preserve">Salud Financiera</x:t>
  </x:si>
  <x:si>
    <x:t xml:space="preserve">&lt; 3</x:t>
  </x:si>
  <x:si>
    <x:t xml:space="preserve">El banco sube la tasa de interes del proximo prestamo</x:t>
  </x:si>
  <x:si>
    <x:t xml:space="preserve">Tu situacion financiera es riesgosa. El banco te ofrece condiciones menos favorables la proxima vez.</x:t>
  </x:si>
  <x:si>
    <x:t xml:space="preserve">CONS-06</x:t>
  </x:si>
  <x:si>
    <x:t xml:space="preserve">Produccion vs Capacidad</x:t>
  </x:si>
  <x:si>
    <x:t xml:space="preserve">Cantidad producida &gt; capacidad instalada</x:t>
  </x:si>
  <x:si>
    <x:t xml:space="preserve">Retraso de entrega, costo extra por horas extra</x:t>
  </x:si>
  <x:si>
    <x:t xml:space="preserve">Intentaste producir mas de lo que tu planta soporta. Hubo cuellos de botella y tuviste que pagar horas extra para cumplir.</x:t>
  </x:si>
  <x:si>
    <x:t xml:space="preserve">CONS-07</x:t>
  </x:si>
  <x:si>
    <x:t xml:space="preserve">Produccion vs Demanda</x:t>
  </x:si>
  <x:si>
    <x:t xml:space="preserve">Cantidad producida &gt; demanda real del mercado</x:t>
  </x:si>
  <x:si>
    <x:t xml:space="preserve">Inventario sin vender, costo de almacenaje</x:t>
  </x:si>
  <x:si>
    <x:t xml:space="preserve">Produjiste mas de lo que el mercado te pidio. Te quedaste con inventario sin vender.</x:t>
  </x:si>
  <x:si>
    <x:t xml:space="preserve">CONS-08</x:t>
  </x:si>
  <x:si>
    <x:t xml:space="preserve">Jefatura = No y Eficiencia &lt; 5</x:t>
  </x:si>
  <x:si>
    <x:t xml:space="preserve">Riesgo de descoordinacion: -5% produccion adicional</x:t>
  </x:si>
  <x:si>
    <x:t xml:space="preserve">Sin jefatura que coordine, tu equipo perdio tiempo resolviendo conflictos de tareas.</x:t>
  </x:si>
</x:sst>
</file>

<file path=xl/styles.xml><?xml version="1.0" encoding="utf-8"?>
<x:styleSheet xmlns:x="http://schemas.openxmlformats.org/spreadsheetml/2006/main">
  <x:numFmts count="9">
    <x:numFmt numFmtId="164" formatCode="0.0"/>
    <x:numFmt numFmtId="165" formatCode="[$S/.]#,##0.00"/>
    <x:numFmt numFmtId="166" formatCode="d.m"/>
    <x:numFmt numFmtId="200" formatCode="0.00%"/>
    <x:numFmt numFmtId="201" formatCode="#,##0.00"/>
    <x:numFmt numFmtId="202" formatCode="#,##0"/>
    <x:numFmt numFmtId="203" formatCode="0.0%"/>
    <x:numFmt numFmtId="204" formatCode="0%"/>
    <x:numFmt numFmtId="205" formatCode="0.00"/>
  </x:numFmts>
  <x:fonts count="22">
    <x:font>
      <x:sz val="11"/>
      <x:color theme="1"/>
      <x:name val="Calibri"/>
    </x:font>
    <x:font>
      <x:b/>
      <x:sz val="14"/>
      <x:color rgb="FF1F3864"/>
      <x:name val="Arial"/>
    </x:font>
    <x:font>
      <x:b/>
      <x:color rgb="FFFFFFFF"/>
      <x:name val="Calibri"/>
    </x:font>
    <x:font>
      <x:color theme="1"/>
      <x:name val="Calibri"/>
    </x:font>
    <x:font>
      <x:sz val="10"/>
      <x:color theme="1"/>
      <x:name val="Arial"/>
    </x:font>
    <x:font>
      <x:b/>
      <x:sz val="10"/>
      <x:color theme="1"/>
      <x:name val="Arial"/>
    </x:font>
    <x:font>
      <x:b/>
      <x:sz val="11"/>
      <x:color rgb="FFFFFFFF"/>
      <x:name val="Arial"/>
    </x:font>
    <x:font>
      <x:sz val="18"/>
      <x:color theme="1"/>
      <x:name val="Calibri"/>
    </x:font>
    <x:font>
      <x:b/>
      <x:color theme="1"/>
      <x:name val="Calibri"/>
    </x:font>
    <x:font>
      <x:sz val="19"/>
      <x:color theme="1"/>
      <x:name val="Calibri"/>
    </x:font>
    <x:font>
      <x:sz val="11"/>
      <x:color rgb="FF000000"/>
      <x:name val="Calibri"/>
    </x:font>
    <x:font>
      <x:sz val="15"/>
      <x:color theme="1"/>
      <x:name val="Calibri"/>
    </x:font>
    <x:font>
      <x:sz val="17"/>
      <x:color theme="1"/>
      <x:name val="Calibri"/>
    </x:font>
    <x:font>
      <x:sz val="16"/>
      <x:color theme="1"/>
      <x:name val="Calibri"/>
    </x:font>
    <x:font>
      <x:b/>
      <x:i/>
      <x:color theme="1"/>
      <x:name val="Calibri"/>
    </x:font>
    <x:font>
      <x:sz val="11"/>
      <x:color theme="1"/>
      <x:name val="Calibri"/>
    </x:font>
    <x:font>
      <x:i/>
      <x:sz val="9"/>
      <x:color rgb="FF666666"/>
      <x:name val="Arial"/>
    </x:font>
    <x:font>
      <x:b/>
      <x:i/>
      <x:sz val="10"/>
      <x:color rgb="FF1F3864"/>
      <x:name val="Arial"/>
    </x:font>
    <x:font>
      <x:sz val="11"/>
      <x:color rgb="FF000000"/>
      <x:name val="Arial"/>
    </x:font>
    <x:font>
      <x:b/>
      <x:sz val="11"/>
      <x:color rgb="FF000000"/>
      <x:name val="Arial"/>
    </x:font>
    <x:font>
      <x:sz val="11"/>
      <x:color theme="1"/>
      <x:name val="Arial"/>
    </x:font>
    <x:font>
      <x:b/>
      <x:sz val="11"/>
      <x:color theme="1"/>
      <x:name val="Arial"/>
    </x:font>
  </x:fonts>
  <x:fills count="27">
    <x:fill>
      <x:patternFill patternType="none"/>
    </x:fill>
    <x:fill>
      <x:patternFill patternType="lightGray"/>
    </x:fill>
    <x:fill>
      <x:patternFill patternType="solid">
        <x:fgColor rgb="FF134F5C"/>
      </x:patternFill>
    </x:fill>
    <x:fill>
      <x:patternFill patternType="solid">
        <x:fgColor rgb="FF1F3864"/>
      </x:patternFill>
    </x:fill>
    <x:fill>
      <x:patternFill patternType="solid">
        <x:fgColor rgb="FFFFF2CC"/>
      </x:patternFill>
    </x:fill>
    <x:fill>
      <x:patternFill patternType="solid">
        <x:fgColor rgb="FF93C47D"/>
      </x:patternFill>
    </x:fill>
    <x:fill>
      <x:patternFill patternType="solid">
        <x:fgColor rgb="FFE2EFDA"/>
      </x:patternFill>
    </x:fill>
    <x:fill>
      <x:patternFill patternType="solid">
        <x:fgColor rgb="FFFFFF00"/>
      </x:patternFill>
    </x:fill>
    <x:fill>
      <x:patternFill patternType="solid">
        <x:fgColor rgb="FF999999"/>
      </x:patternFill>
    </x:fill>
    <x:fill>
      <x:patternFill patternType="solid">
        <x:fgColor rgb="FFC9DAF8"/>
      </x:patternFill>
    </x:fill>
    <x:fill>
      <x:patternFill patternType="solid">
        <x:fgColor rgb="FFB7B7B7"/>
      </x:patternFill>
    </x:fill>
    <x:fill>
      <x:patternFill patternType="solid">
        <x:fgColor rgb="FFB6D7A8"/>
      </x:patternFill>
    </x:fill>
    <x:fill>
      <x:patternFill patternType="solid">
        <x:fgColor rgb="FFD0E0E3"/>
      </x:patternFill>
    </x:fill>
    <x:fill>
      <x:patternFill patternType="solid">
        <x:fgColor rgb="FFA2C4C9"/>
      </x:patternFill>
    </x:fill>
    <x:fill>
      <x:patternFill patternType="solid">
        <x:fgColor rgb="FF6D9EEB"/>
      </x:patternFill>
    </x:fill>
    <x:fill>
      <x:patternFill patternType="solid">
        <x:fgColor rgb="FF6AA84F"/>
      </x:patternFill>
    </x:fill>
    <x:fill>
      <x:patternFill patternType="solid">
        <x:fgColor rgb="FF3D85C6"/>
      </x:patternFill>
    </x:fill>
    <x:fill>
      <x:patternFill patternType="solid">
        <x:fgColor rgb="FFF1C232"/>
      </x:patternFill>
    </x:fill>
    <x:fill>
      <x:patternFill patternType="solid">
        <x:fgColor theme="9"/>
      </x:patternFill>
    </x:fill>
    <x:fill>
      <x:patternFill patternType="solid">
        <x:fgColor rgb="FFD5A6BD"/>
      </x:patternFill>
    </x:fill>
    <x:fill>
      <x:patternFill patternType="solid">
        <x:fgColor theme="0"/>
      </x:patternFill>
    </x:fill>
    <x:fill>
      <x:patternFill patternType="solid">
        <x:fgColor rgb="FFD9D9D9"/>
      </x:patternFill>
    </x:fill>
    <x:fill>
      <x:patternFill patternType="solid">
        <x:fgColor rgb="FFE06666"/>
      </x:patternFill>
    </x:fill>
    <x:fill>
      <x:patternFill patternType="solid">
        <x:fgColor rgb="FFF6B26B"/>
      </x:patternFill>
    </x:fill>
    <x:fill>
      <x:patternFill patternType="solid">
        <x:fgColor rgb="FFD9EAD3"/>
      </x:patternFill>
    </x:fill>
    <x:fill>
      <x:patternFill patternType="solid">
        <x:fgColor rgb="FFFFF2CC"/>
      </x:patternFill>
    </x:fill>
    <x:fill>
      <x:patternFill patternType="solid">
        <x:fgColor rgb="FF9FC5CD"/>
      </x:patternFill>
    </x:fill>
  </x:fills>
  <x:borders count="24">
    <x:border/>
    <x:border>
      <x:left style="thin">
        <x:color rgb="FF000000"/>
      </x:left>
      <x:right style="thin">
        <x:color rgb="FF000000"/>
      </x:right>
      <x:top style="thin">
        <x:color rgb="FF000000"/>
      </x:top>
      <x:bottom style="thin">
        <x:color rgb="FF000000"/>
      </x:bottom>
    </x:border>
    <x:border>
      <x:left style="thin">
        <x:color rgb="FF000000"/>
      </x:left>
    </x:border>
    <x:border>
      <x:left style="thin">
        <x:color rgb="FFBFBFBF"/>
      </x:left>
      <x:right style="thin">
        <x:color rgb="FFBFBFBF"/>
      </x:right>
      <x:top style="thin">
        <x:color rgb="FFBFBFBF"/>
      </x:top>
      <x:bottom style="thin">
        <x:color rgb="FFBFBFBF"/>
      </x:bottom>
    </x:border>
    <x:border>
      <x:left style="thin">
        <x:color rgb="FFBFBFBF"/>
      </x:left>
      <x:right style="thin">
        <x:color rgb="FFBFBFBF"/>
      </x:right>
      <x:top style="thin">
        <x:color rgb="FFBFBFBF"/>
      </x:top>
    </x:border>
    <x:border>
      <x:left style="thin">
        <x:color rgb="FFBFBFBF"/>
      </x:left>
      <x:top style="thin">
        <x:color rgb="FFBFBFBF"/>
      </x:top>
      <x:bottom style="thin">
        <x:color rgb="FFBFBFBF"/>
      </x:bottom>
    </x:border>
    <x:border>
      <x:left style="thick">
        <x:color rgb="FFFF9900"/>
      </x:left>
      <x:top style="thick">
        <x:color rgb="FFFF9900"/>
      </x:top>
    </x:border>
    <x:border>
      <x:top style="thick">
        <x:color rgb="FFFF9900"/>
      </x:top>
    </x:border>
    <x:border>
      <x:right style="thick">
        <x:color rgb="FFFF9900"/>
      </x:right>
      <x:top style="thick">
        <x:color rgb="FFFF9900"/>
      </x:top>
    </x:border>
    <x:border>
      <x:left style="thick">
        <x:color rgb="FFFF9900"/>
      </x:left>
      <x:top style="thin">
        <x:color rgb="FFBFBFBF"/>
      </x:top>
      <x:bottom style="thin">
        <x:color rgb="FFBFBFBF"/>
      </x:bottom>
    </x:border>
    <x:border>
      <x:right style="thick">
        <x:color rgb="FFFF9900"/>
      </x:right>
    </x:border>
    <x:border>
      <x:left style="thick">
        <x:color rgb="FFFF9900"/>
      </x:left>
    </x:border>
    <x:border>
      <x:left style="thin">
        <x:color rgb="FFBFBFBF"/>
      </x:left>
      <x:right style="thick">
        <x:color rgb="FFFF9900"/>
      </x:right>
      <x:top style="thin">
        <x:color rgb="FFBFBFBF"/>
      </x:top>
      <x:bottom style="thin">
        <x:color rgb="FFBFBFBF"/>
      </x:bottom>
    </x:border>
    <x:border>
      <x:left style="thin">
        <x:color rgb="FFBFBFBF"/>
      </x:left>
      <x:right style="thick">
        <x:color rgb="FFFF9900"/>
      </x:right>
      <x:top style="thin">
        <x:color rgb="FFBFBFBF"/>
      </x:top>
    </x:border>
    <x:border>
      <x:left style="thin">
        <x:color rgb="FF000000"/>
      </x:left>
      <x:right style="thick">
        <x:color rgb="FFFF9900"/>
      </x:right>
      <x:top style="thin">
        <x:color rgb="FF000000"/>
      </x:top>
      <x:bottom style="thin">
        <x:color rgb="FF000000"/>
      </x:bottom>
    </x:border>
    <x:border>
      <x:left style="thick">
        <x:color rgb="FFFF9900"/>
      </x:left>
      <x:bottom style="thick">
        <x:color rgb="FFFF9900"/>
      </x:bottom>
    </x:border>
    <x:border>
      <x:bottom style="thick">
        <x:color rgb="FFFF9900"/>
      </x:bottom>
    </x:border>
    <x:border>
      <x:right style="thick">
        <x:color rgb="FFFF9900"/>
      </x:right>
      <x:bottom style="thick">
        <x:color rgb="FFFF9900"/>
      </x:bottom>
    </x:border>
    <x:border>
      <x:right style="thin">
        <x:color rgb="FF000000"/>
      </x:right>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thin">
        <x:color rgb="FFBFBFBF"/>
      </x:left>
      <x:right style="thin">
        <x:color rgb="FFBFBFBF"/>
      </x:right>
    </x:border>
    <x:border>
      <x:left style="thin">
        <x:color rgb="FFBFBFBF"/>
      </x:left>
      <x:top style="thin">
        <x:color rgb="FFBFBFBF"/>
      </x:top>
    </x:border>
  </x:borders>
  <x:cellStyleXfs count="1">
    <x:xf numFmtId="0" fontId="0" fillId="0" borderId="0" applyFont="1" applyAlignment="1"/>
  </x:cellStyleXfs>
  <x:cellXfs count="236">
    <x:xf numFmtId="0" fontId="0" fillId="0" borderId="0" xfId="0" applyFont="1" applyAlignment="1">
      <x:alignment vertical="bottom" wrapText="0"/>
    </x:xf>
    <x:xf numFmtId="0" fontId="1" fillId="0" borderId="0" xfId="0" applyFont="1" applyAlignment="1">
      <x:alignment vertical="bottom" wrapText="0"/>
    </x:xf>
    <x:xf numFmtId="0" fontId="2" fillId="2" borderId="1" xfId="0" applyFont="1" applyFill="1" applyBorder="1" applyAlignment="1"/>
    <x:xf numFmtId="0" fontId="3" fillId="0" borderId="1" xfId="0" applyFont="1" applyBorder="1" applyAlignment="1"/>
    <x:xf numFmtId="0" fontId="4" fillId="0" borderId="0" xfId="0" applyFont="1" applyAlignment="1">
      <x:alignment vertical="bottom" wrapText="1"/>
    </x:xf>
    <x:xf numFmtId="0" fontId="3" fillId="0" borderId="1" xfId="0" applyFont="1" applyBorder="1"/>
    <x:xf numFmtId="0" fontId="5" fillId="0" borderId="0" xfId="0" applyFont="1" applyAlignment="1">
      <x:alignment vertical="bottom" wrapText="1"/>
    </x:xf>
    <x:xf numFmtId="0" fontId="3" fillId="0" borderId="2" xfId="0" applyFont="1" applyBorder="1" applyAlignment="1"/>
    <x:xf numFmtId="0" fontId="6" fillId="3" borderId="3" xfId="0" applyFont="1" applyFill="1" applyBorder="1" applyAlignment="1">
      <x:alignment vertical="center" wrapText="1"/>
    </x:xf>
    <x:xf numFmtId="0" fontId="5" fillId="0" borderId="3" xfId="0" applyFont="1" applyBorder="1" applyAlignment="1">
      <x:alignment vertical="bottom" wrapText="0"/>
    </x:xf>
    <x:xf numFmtId="0" fontId="4" fillId="0" borderId="3" xfId="0" applyFont="1" applyBorder="1" applyAlignment="1">
      <x:alignment vertical="bottom" wrapText="0"/>
    </x:xf>
    <x:xf numFmtId="0" fontId="4" fillId="4" borderId="3" xfId="0" applyFont="1" applyFill="1" applyBorder="1" applyAlignment="1">
      <x:alignment vertical="bottom" wrapText="0"/>
    </x:xf>
    <x:xf numFmtId="0" fontId="4" fillId="5" borderId="3" xfId="0" applyFont="1" applyFill="1" applyBorder="1" applyAlignment="1">
      <x:alignment vertical="bottom" wrapText="0"/>
    </x:xf>
    <x:xf numFmtId="0" fontId="4" fillId="6" borderId="3" xfId="0" applyFont="1" applyFill="1" applyBorder="1" applyAlignment="1">
      <x:alignment horizontal="center" vertical="bottom" wrapText="0"/>
    </x:xf>
    <x:xf numFmtId="0" fontId="4" fillId="7" borderId="3" xfId="0" applyFont="1" applyFill="1" applyBorder="1" applyAlignment="1">
      <x:alignment vertical="bottom" wrapText="0"/>
    </x:xf>
    <x:xf numFmtId="0" fontId="4" fillId="8" borderId="3" xfId="0" applyFont="1" applyFill="1" applyBorder="1" applyAlignment="1">
      <x:alignment vertical="bottom" wrapText="0"/>
    </x:xf>
    <x:xf numFmtId="0" fontId="7" fillId="0" borderId="0" xfId="0" applyFont="1" applyAlignment="1"/>
    <x:xf numFmtId="0" fontId="8" fillId="0" borderId="1" xfId="0" applyFont="1" applyBorder="1" applyAlignment="1">
      <x:alignment horizontal="center"/>
    </x:xf>
    <x:xf numFmtId="0" fontId="3" fillId="9" borderId="1" xfId="0" applyFont="1" applyFill="1" applyBorder="1" applyAlignment="1">
      <x:alignment horizontal="center" vertical="center"/>
    </x:xf>
    <x:xf numFmtId="0" fontId="4" fillId="6" borderId="3" xfId="0" applyFont="1" applyFill="1" applyBorder="1" applyAlignment="1">
      <x:alignment vertical="bottom" wrapText="0"/>
    </x:xf>
    <x:xf numFmtId="0" fontId="3" fillId="0" borderId="1" xfId="0" applyFont="1" applyBorder="1" applyAlignment="1">
      <x:alignment horizontal="center"/>
    </x:xf>
    <x:xf numFmtId="0" fontId="3" fillId="0" borderId="1" xfId="0" applyFont="1" applyBorder="1" applyAlignment="1">
      <x:alignment horizontal="center" vertical="center"/>
    </x:xf>
    <x:xf numFmtId="0" fontId="3" fillId="10" borderId="1" xfId="0" applyFont="1" applyFill="1" applyBorder="1" applyAlignment="1">
      <x:alignment horizontal="center" vertical="center"/>
    </x:xf>
    <x:xf numFmtId="0" fontId="3" fillId="11" borderId="1" xfId="0" applyFont="1" applyFill="1" applyBorder="1" applyAlignment="1">
      <x:alignment horizontal="center" vertical="center"/>
    </x:xf>
    <x:xf numFmtId="0" fontId="3" fillId="0" borderId="0" xfId="0" applyFont="1" applyAlignment="1"/>
    <x:xf numFmtId="0" fontId="8" fillId="0" borderId="0" xfId="0" applyFont="1" applyAlignment="1">
      <x:alignment wrapText="1"/>
    </x:xf>
    <x:xf numFmtId="0" fontId="3" fillId="12" borderId="0" xfId="0" applyFont="1" applyFill="1" applyAlignment="1">
      <x:alignment horizontal="center" vertical="center"/>
    </x:xf>
    <x:xf numFmtId="0" fontId="9" fillId="0" borderId="0" xfId="0" applyFont="1" applyAlignment="1">
      <x:alignment horizontal="center" vertical="center" wrapText="1"/>
    </x:xf>
    <x:xf numFmtId="0" fontId="3" fillId="0" borderId="0" xfId="0" applyFont="1" applyAlignment="1">
      <x:alignment vertical="center"/>
    </x:xf>
    <x:xf numFmtId="0" fontId="3" fillId="0" borderId="0" xfId="0" applyFont="1" applyAlignment="1">
      <x:alignment vertical="center"/>
    </x:xf>
    <x:xf numFmtId="0" fontId="3" fillId="13" borderId="0" xfId="0" applyFont="1" applyFill="1" applyAlignment="1">
      <x:alignment wrapText="1"/>
    </x:xf>
    <x:xf numFmtId="0" fontId="3" fillId="0" borderId="1" xfId="0" applyFont="1" applyBorder="1" applyAlignment="1">
      <x:alignment horizontal="center" vertical="center" wrapText="1"/>
    </x:xf>
    <x:xf numFmtId="0" fontId="3" fillId="0" borderId="0" xfId="0" applyFont="1" applyAlignment="1">
      <x:alignment wrapText="1"/>
    </x:xf>
    <x:xf numFmtId="0" fontId="3" fillId="14" borderId="0" xfId="0" applyFont="1" applyFill="1" applyAlignment="1">
      <x:alignment horizontal="center" vertical="center"/>
    </x:xf>
    <x:xf numFmtId="0" fontId="3" fillId="5" borderId="1" xfId="0" applyFont="1" applyFill="1" applyBorder="1" applyAlignment="1">
      <x:alignment horizontal="center" vertical="center"/>
    </x:xf>
    <x:xf numFmtId="0" fontId="3" fillId="0" borderId="1" xfId="0" applyFont="1" applyBorder="1" applyAlignment="1">
      <x:alignment horizontal="center" vertical="center"/>
    </x:xf>
    <x:xf numFmtId="0" fontId="3" fillId="0" borderId="0" xfId="0" applyFont="1" applyAlignment="1">
      <x:alignment horizontal="center" vertical="center"/>
    </x:xf>
    <x:xf numFmtId="0" fontId="3" fillId="0" borderId="1" xfId="0" applyFont="1" applyBorder="1" applyAlignment="1">
      <x:alignment horizontal="center"/>
    </x:xf>
    <x:xf numFmtId="0" fontId="3" fillId="0" borderId="0" xfId="0" applyFont="1"/>
    <x:xf numFmtId="9" fontId="3" fillId="0" borderId="0" xfId="0" applyNumberFormat="1" applyFont="1" applyAlignment="1"/>
    <x:xf numFmtId="164" fontId="3" fillId="7" borderId="0" xfId="0" applyNumberFormat="1" applyFont="1" applyFill="1"/>
    <x:xf numFmtId="9" fontId="3" fillId="14" borderId="0" xfId="0" applyNumberFormat="1" applyFont="1" applyFill="1" applyAlignment="1"/>
    <x:xf numFmtId="0" fontId="8" fillId="0" borderId="0" xfId="0" applyFont="1" applyAlignment="1"/>
    <x:xf numFmtId="0" fontId="3" fillId="7" borderId="0" xfId="0" applyFont="1" applyFill="1" applyAlignment="1">
      <x:alignment vertical="center"/>
    </x:xf>
    <x:xf numFmtId="0" fontId="3" fillId="7" borderId="0" xfId="0" applyFont="1" applyFill="1" applyAlignment="1">
      <x:alignment horizontal="center" vertical="center"/>
    </x:xf>
    <x:xf numFmtId="0" fontId="10" fillId="0" borderId="0" xfId="0" applyFont="1" applyAlignment="1">
      <x:alignment vertical="bottom"/>
    </x:xf>
    <x:xf numFmtId="0" fontId="3" fillId="0" borderId="0" xfId="0" applyFont="1" applyAlignment="1">
      <x:alignment horizontal="center" vertical="center"/>
    </x:xf>
    <x:xf numFmtId="0" fontId="3" fillId="14" borderId="1" xfId="0" applyFont="1" applyFill="1" applyBorder="1" applyAlignment="1">
      <x:alignment horizontal="center" vertical="center"/>
    </x:xf>
    <x:xf numFmtId="0" fontId="10" fillId="0" borderId="0" xfId="0" applyFont="1" applyAlignment="1">
      <x:alignment horizontal="right" vertical="bottom"/>
    </x:xf>
    <x:xf numFmtId="10" fontId="3" fillId="0" borderId="0" xfId="0" applyNumberFormat="1" applyFont="1"/>
    <x:xf numFmtId="0" fontId="10" fillId="0" borderId="0" xfId="0" applyFont="1" applyAlignment="1">
      <x:alignment horizontal="right" vertical="bottom"/>
    </x:xf>
    <x:xf numFmtId="0" fontId="3" fillId="5" borderId="1" xfId="0" applyFont="1" applyFill="1" applyBorder="1" applyAlignment="1">
      <x:alignment horizontal="center" vertical="center"/>
    </x:xf>
    <x:xf numFmtId="0" fontId="3" fillId="0" borderId="2" xfId="0" applyFont="1" applyBorder="1"/>
    <x:xf numFmtId="0" fontId="3" fillId="7" borderId="0" xfId="0" applyFont="1" applyFill="1" applyAlignment="1"/>
    <x:xf numFmtId="0" fontId="3" fillId="15" borderId="0" xfId="0" applyFont="1" applyFill="1" applyAlignment="1"/>
    <x:xf numFmtId="0" fontId="3" fillId="16" borderId="0" xfId="0" applyFont="1" applyFill="1" applyAlignment="1">
      <x:alignment wrapText="1"/>
    </x:xf>
    <x:xf numFmtId="0" fontId="11" fillId="0" borderId="0" xfId="0" applyFont="1" applyAlignment="1">
      <x:alignment horizontal="center" vertical="center"/>
    </x:xf>
    <x:xf numFmtId="0" fontId="3" fillId="16" borderId="0" xfId="0" applyFont="1" applyFill="1" applyAlignment="1"/>
    <x:xf numFmtId="0" fontId="3" fillId="7" borderId="0" xfId="0" applyFont="1" applyFill="1"/>
    <x:xf numFmtId="0" fontId="3" fillId="5" borderId="0" xfId="0" applyFont="1" applyFill="1" applyAlignment="1"/>
    <x:xf numFmtId="0" fontId="12" fillId="0" borderId="0" xfId="0" applyFont="1" applyAlignment="1"/>
    <x:xf numFmtId="0" fontId="3" fillId="0" borderId="0" xfId="0" applyFont="1" applyAlignment="1">
      <x:alignment horizontal="center" vertical="center" wrapText="1"/>
    </x:xf>
    <x:xf numFmtId="165" fontId="3" fillId="7" borderId="0" xfId="0" applyNumberFormat="1" applyFont="1" applyFill="1" applyAlignment="1"/>
    <x:xf numFmtId="0" fontId="4" fillId="17" borderId="3" xfId="0" applyFont="1" applyFill="1" applyBorder="1" applyAlignment="1">
      <x:alignment horizontal="center" vertical="center" wrapText="1"/>
    </x:xf>
    <x:xf numFmtId="165" fontId="3" fillId="15" borderId="0" xfId="0" applyNumberFormat="1" applyFont="1" applyFill="1" applyAlignment="1"/>
    <x:xf numFmtId="165" fontId="3" fillId="16" borderId="0" xfId="0" applyNumberFormat="1" applyFont="1" applyFill="1" applyAlignment="1"/>
    <x:xf numFmtId="0" fontId="4" fillId="18" borderId="3" xfId="0" applyFont="1" applyFill="1" applyBorder="1" applyAlignment="1">
      <x:alignment horizontal="center" vertical="center" wrapText="1"/>
    </x:xf>
    <x:xf numFmtId="0" fontId="4" fillId="19" borderId="3" xfId="0" applyFont="1" applyFill="1" applyBorder="1" applyAlignment="1">
      <x:alignment horizontal="center" vertical="center" wrapText="1"/>
    </x:xf>
    <x:xf numFmtId="165" fontId="3" fillId="7" borderId="0" xfId="0" applyNumberFormat="1" applyFont="1" applyFill="1"/>
    <x:xf numFmtId="0" fontId="4" fillId="0" borderId="4" xfId="0" applyFont="1" applyBorder="1" applyAlignment="1">
      <x:alignment horizontal="center" vertical="center" wrapText="1"/>
    </x:xf>
    <x:xf numFmtId="0" fontId="4" fillId="0" borderId="4" xfId="0" applyFont="1" applyBorder="1" applyAlignment="1">
      <x:alignment horizontal="center" vertical="center" wrapText="1"/>
    </x:xf>
    <x:xf numFmtId="165" fontId="3" fillId="15" borderId="0" xfId="0" applyNumberFormat="1" applyFont="1" applyFill="1"/>
    <x:xf numFmtId="0" fontId="3" fillId="8" borderId="1" xfId="0" applyFont="1" applyFill="1" applyBorder="1" applyAlignment="1">
      <x:alignment horizontal="center" vertical="center" wrapText="1"/>
    </x:xf>
    <x:xf numFmtId="165" fontId="3" fillId="16" borderId="0" xfId="0" applyNumberFormat="1" applyFont="1" applyFill="1"/>
    <x:xf numFmtId="9" fontId="3" fillId="0" borderId="0" xfId="0" applyNumberFormat="1" applyFont="1" applyAlignment="1">
      <x:alignment horizontal="center" vertical="center" wrapText="1"/>
    </x:xf>
    <x:xf numFmtId="164" fontId="3" fillId="0" borderId="0" xfId="0" applyNumberFormat="1" applyFont="1" applyAlignment="1">
      <x:alignment horizontal="center" vertical="center" wrapText="1"/>
    </x:xf>
    <x:xf numFmtId="0" fontId="4" fillId="0" borderId="5" xfId="0" applyFont="1" applyBorder="1" applyAlignment="1">
      <x:alignment vertical="bottom" wrapText="0"/>
    </x:xf>
    <x:xf numFmtId="0" fontId="3" fillId="14" borderId="1" xfId="0" applyFont="1" applyFill="1" applyBorder="1" applyAlignment="1">
      <x:alignment horizontal="center"/>
    </x:xf>
    <x:xf numFmtId="0" fontId="3" fillId="20" borderId="1" xfId="0" applyFont="1" applyFill="1" applyBorder="1" applyAlignment="1">
      <x:alignment horizontal="center" vertical="center" wrapText="1"/>
    </x:xf>
    <x:xf numFmtId="0" fontId="3" fillId="20" borderId="1" xfId="0" applyFont="1" applyFill="1" applyBorder="1" applyAlignment="1">
      <x:alignment horizontal="center" vertical="center" wrapText="1"/>
    </x:xf>
    <x:xf numFmtId="164" fontId="3" fillId="21" borderId="0" xfId="0" applyNumberFormat="1" applyFont="1" applyFill="1"/>
    <x:xf numFmtId="0" fontId="3" fillId="0" borderId="6" xfId="0" applyFont="1" applyBorder="1" applyAlignment="1"/>
    <x:xf numFmtId="0" fontId="8" fillId="0" borderId="7" xfId="0" applyFont="1" applyBorder="1"/>
    <x:xf numFmtId="0" fontId="8" fillId="21" borderId="7" xfId="0" applyFont="1" applyFill="1" applyBorder="1"/>
    <x:xf numFmtId="0" fontId="3" fillId="0" borderId="7" xfId="0" applyFont="1" applyBorder="1"/>
    <x:xf numFmtId="0" fontId="3" fillId="0" borderId="8" xfId="0" applyFont="1" applyBorder="1"/>
    <x:xf numFmtId="0" fontId="4" fillId="0" borderId="9" xfId="0" applyFont="1" applyBorder="1" applyAlignment="1">
      <x:alignment vertical="bottom" wrapText="0"/>
    </x:xf>
    <x:xf numFmtId="0" fontId="8" fillId="5" borderId="0" xfId="0" applyFont="1" applyFill="1" applyAlignment="1">
      <x:alignment horizontal="center" vertical="center" wrapText="1"/>
    </x:xf>
    <x:xf numFmtId="0" fontId="3" fillId="21" borderId="0" xfId="0" applyFont="1" applyFill="1"/>
    <x:xf numFmtId="0" fontId="3" fillId="0" borderId="10" xfId="0" applyFont="1" applyBorder="1"/>
    <x:xf numFmtId="0" fontId="3" fillId="0" borderId="11" xfId="0" applyFont="1" applyBorder="1"/>
    <x:xf numFmtId="0" fontId="4" fillId="19" borderId="12" xfId="0" applyFont="1" applyFill="1" applyBorder="1" applyAlignment="1">
      <x:alignment horizontal="center" vertical="center" wrapText="1"/>
    </x:xf>
    <x:xf numFmtId="0" fontId="4" fillId="0" borderId="13" xfId="0" applyFont="1" applyBorder="1" applyAlignment="1">
      <x:alignment horizontal="center" vertical="center" wrapText="1"/>
    </x:xf>
    <x:xf numFmtId="0" fontId="3" fillId="0" borderId="14" xfId="0" applyFont="1" applyBorder="1" applyAlignment="1">
      <x:alignment horizontal="center" vertical="center"/>
    </x:xf>
    <x:xf numFmtId="0" fontId="3" fillId="20" borderId="0" xfId="0" applyFont="1" applyFill="1"/>
    <x:xf numFmtId="0" fontId="3" fillId="20" borderId="15" xfId="0" applyFont="1" applyFill="1" applyBorder="1"/>
    <x:xf numFmtId="0" fontId="4" fillId="20" borderId="16" xfId="0" applyFont="1" applyFill="1" applyBorder="1" applyAlignment="1">
      <x:alignment horizontal="center" vertical="center" wrapText="1"/>
    </x:xf>
    <x:xf numFmtId="0" fontId="4" fillId="20" borderId="17" xfId="0" applyFont="1" applyFill="1" applyBorder="1" applyAlignment="1">
      <x:alignment horizontal="center" vertical="center" wrapText="1"/>
    </x:xf>
    <x:xf numFmtId="0" fontId="4" fillId="20" borderId="0" xfId="0" applyFont="1" applyFill="1" applyAlignment="1">
      <x:alignment horizontal="center" vertical="center" wrapText="1"/>
    </x:xf>
    <x:xf numFmtId="0" fontId="3" fillId="7" borderId="0" xfId="0" applyFont="1" applyFill="1" applyAlignment="1">
      <x:alignment wrapText="1"/>
    </x:xf>
    <x:xf numFmtId="0" fontId="3" fillId="15" borderId="0" xfId="0" applyFont="1" applyFill="1" applyAlignment="1">
      <x:alignment wrapText="1"/>
    </x:xf>
    <x:xf numFmtId="0" fontId="8" fillId="0" borderId="0" xfId="0" applyFont="1" applyAlignment="1">
      <x:alignment horizontal="center" vertical="center" wrapText="1"/>
    </x:xf>
    <x:xf numFmtId="0" fontId="3" fillId="0" borderId="0" xfId="0" applyFont="1" applyAlignment="1">
      <x:alignment horizontal="center" vertical="center" wrapText="1"/>
    </x:xf>
    <x:xf numFmtId="0" fontId="3" fillId="0" borderId="0" xfId="0" applyFont="1" applyAlignment="1">
      <x:alignment horizontal="center"/>
    </x:xf>
    <x:xf numFmtId="0" fontId="3" fillId="0" borderId="14" xfId="0" applyFont="1" applyBorder="1" applyAlignment="1">
      <x:alignment horizontal="center" vertical="center"/>
    </x:xf>
    <x:xf numFmtId="0" fontId="8" fillId="0" borderId="0" xfId="0" applyFont="1" applyAlignment="1">
      <x:alignment horizontal="center"/>
    </x:xf>
    <x:xf numFmtId="10" fontId="3" fillId="0" borderId="0" xfId="0" applyNumberFormat="1" applyFont="1" applyAlignment="1">
      <x:alignment horizontal="center" vertical="center"/>
    </x:xf>
    <x:xf numFmtId="2" fontId="3" fillId="0" borderId="0" xfId="0" applyNumberFormat="1" applyFont="1"/>
    <x:xf numFmtId="0" fontId="4" fillId="4" borderId="3" xfId="0" applyFont="1" applyFill="1" applyBorder="1" applyAlignment="1">
      <x:alignment vertical="center" wrapText="1"/>
    </x:xf>
    <x:xf numFmtId="166" fontId="3" fillId="0" borderId="0" xfId="0" applyNumberFormat="1" applyFont="1" applyAlignment="1"/>
    <x:xf numFmtId="0" fontId="4" fillId="6" borderId="3" xfId="0" applyFont="1" applyFill="1" applyBorder="1" applyAlignment="1">
      <x:alignment vertical="center" wrapText="1"/>
    </x:xf>
    <x:xf numFmtId="0" fontId="8" fillId="0" borderId="1" xfId="0" applyFont="1" applyBorder="1" applyAlignment="1">
      <x:alignment horizontal="center" vertical="center"/>
    </x:xf>
    <x:xf numFmtId="10" fontId="8" fillId="0" borderId="0" xfId="0" applyNumberFormat="1" applyFont="1" applyAlignment="1">
      <x:alignment horizontal="center" vertical="center"/>
    </x:xf>
    <x:xf numFmtId="0" fontId="4" fillId="0" borderId="3" xfId="0" applyFont="1" applyBorder="1" applyAlignment="1">
      <x:alignment vertical="center" wrapText="1"/>
    </x:xf>
    <x:xf numFmtId="0" fontId="4" fillId="18" borderId="3" xfId="0" applyFont="1" applyFill="1" applyBorder="1" applyAlignment="1">
      <x:alignment horizontal="center" vertical="center" wrapText="1"/>
    </x:xf>
    <x:xf numFmtId="0" fontId="13" fillId="0" borderId="0" xfId="0" applyFont="1" applyAlignment="1"/>
    <x:xf numFmtId="2" fontId="3" fillId="0" borderId="0" xfId="0" applyNumberFormat="1" applyFont="1" applyAlignment="1">
      <x:alignment horizontal="center" vertical="center"/>
    </x:xf>
    <x:xf numFmtId="0" fontId="14" fillId="0" borderId="0" xfId="0" applyFont="1" applyAlignment="1">
      <x:alignment horizontal="right" vertical="center"/>
    </x:xf>
    <x:xf numFmtId="2" fontId="3" fillId="0" borderId="1" xfId="0" applyNumberFormat="1" applyFont="1" applyBorder="1"/>
    <x:xf numFmtId="10" fontId="3" fillId="0" borderId="1" xfId="0" applyNumberFormat="1" applyFont="1" applyBorder="1"/>
    <x:xf numFmtId="0" fontId="3" fillId="0" borderId="2" xfId="0" applyFont="1" applyBorder="1" applyAlignment="1">
      <x:alignment horizontal="center" vertical="center" wrapText="1"/>
    </x:xf>
    <x:xf numFmtId="166" fontId="3" fillId="0" borderId="0" xfId="0" applyNumberFormat="1" applyFont="1" applyAlignment="1">
      <x:alignment horizontal="center" vertical="center"/>
    </x:xf>
    <x:xf numFmtId="4" fontId="3" fillId="0" borderId="1" xfId="0" applyNumberFormat="1" applyFont="1" applyBorder="1" applyAlignment="1">
      <x:alignment horizontal="center" vertical="center"/>
    </x:xf>
    <x:xf numFmtId="2" fontId="3" fillId="0" borderId="18" xfId="0" applyNumberFormat="1" applyFont="1" applyBorder="1"/>
    <x:xf numFmtId="0" fontId="3" fillId="0" borderId="18" xfId="0" applyFont="1" applyBorder="1"/>
    <x:xf numFmtId="9" fontId="3" fillId="0" borderId="2" xfId="0" applyNumberFormat="1" applyFont="1" applyBorder="1" applyAlignment="1"/>
    <x:xf numFmtId="0" fontId="3" fillId="0" borderId="19" xfId="0" applyFont="1" applyBorder="1"/>
    <x:xf numFmtId="0" fontId="15" fillId="0" borderId="3" xfId="0" applyFont="1" applyBorder="1" applyAlignment="1">
      <x:alignment vertical="bottom" wrapText="0"/>
    </x:xf>
    <x:xf numFmtId="0" fontId="3" fillId="0" borderId="20" xfId="0" applyFont="1" applyBorder="1"/>
    <x:xf numFmtId="0" fontId="3" fillId="0" borderId="21" xfId="0" applyFont="1" applyBorder="1"/>
    <x:xf numFmtId="0" fontId="5" fillId="6" borderId="3" xfId="0" applyFont="1" applyFill="1" applyBorder="1" applyAlignment="1">
      <x:alignment vertical="bottom" wrapText="0"/>
    </x:xf>
    <x:xf numFmtId="0" fontId="16" fillId="0" borderId="0" xfId="0" applyFont="1" applyAlignment="1">
      <x:alignment vertical="bottom" wrapText="0"/>
    </x:xf>
    <x:xf numFmtId="0" fontId="4" fillId="0" borderId="22" xfId="0" applyFont="1" applyBorder="1" applyAlignment="1">
      <x:alignment vertical="center" wrapText="1"/>
    </x:xf>
    <x:xf numFmtId="0" fontId="3" fillId="5" borderId="1" xfId="0" applyFont="1" applyFill="1" applyBorder="1" applyAlignment="1">
      <x:alignment horizontal="center" vertical="center" wrapText="1"/>
    </x:xf>
    <x:xf numFmtId="0" fontId="4" fillId="0" borderId="23" xfId="0" applyFont="1" applyBorder="1" applyAlignment="1">
      <x:alignment vertical="center" wrapText="1"/>
    </x:xf>
    <x:xf numFmtId="0" fontId="3" fillId="14" borderId="1" xfId="0" applyFont="1" applyFill="1" applyBorder="1" applyAlignment="1">
      <x:alignment horizontal="center" vertical="center" wrapText="1"/>
    </x:xf>
    <x:xf numFmtId="0" fontId="3" fillId="22" borderId="0" xfId="0" applyFont="1" applyFill="1" applyAlignment="1"/>
    <x:xf numFmtId="0" fontId="3" fillId="23" borderId="0" xfId="0" applyFont="1" applyFill="1" applyAlignment="1"/>
    <x:xf numFmtId="0" fontId="3" fillId="8" borderId="0" xfId="0" applyFont="1" applyFill="1" applyAlignment="1"/>
    <x:xf numFmtId="0" fontId="4" fillId="0" borderId="23" xfId="0" applyFont="1" applyBorder="1" applyAlignment="1">
      <x:alignment vertical="center" wrapText="1"/>
    </x:xf>
    <x:xf numFmtId="165" fontId="3" fillId="22" borderId="0" xfId="0" applyNumberFormat="1" applyFont="1" applyFill="1" applyAlignment="1"/>
    <x:xf numFmtId="165" fontId="3" fillId="23" borderId="0" xfId="0" applyNumberFormat="1" applyFont="1" applyFill="1" applyAlignment="1"/>
    <x:xf numFmtId="165" fontId="3" fillId="8" borderId="0" xfId="0" applyNumberFormat="1" applyFont="1" applyFill="1" applyAlignment="1"/>
    <x:xf numFmtId="165" fontId="3" fillId="22" borderId="0" xfId="0" applyNumberFormat="1" applyFont="1" applyFill="1"/>
    <x:xf numFmtId="165" fontId="3" fillId="23" borderId="0" xfId="0" applyNumberFormat="1" applyFont="1" applyFill="1"/>
    <x:xf numFmtId="165" fontId="3" fillId="0" borderId="0" xfId="0" applyNumberFormat="1" applyFont="1"/>
    <x:xf numFmtId="0" fontId="5" fillId="0" borderId="0" xfId="0" applyFont="1" applyAlignment="1">
      <x:alignment vertical="bottom" wrapText="0"/>
    </x:xf>
    <x:xf numFmtId="0" fontId="4" fillId="0" borderId="3" xfId="0" applyFont="1" applyBorder="1" applyAlignment="1">
      <x:alignment vertical="bottom" wrapText="1"/>
    </x:xf>
    <x:xf numFmtId="0" fontId="8" fillId="7" borderId="0" xfId="0" applyFont="1" applyFill="1" applyAlignment="1">
      <x:alignment horizontal="center" wrapText="1"/>
    </x:xf>
    <x:xf numFmtId="0" fontId="3" fillId="7" borderId="1" xfId="0" applyFont="1" applyFill="1" applyBorder="1" applyAlignment="1"/>
    <x:xf numFmtId="9" fontId="3" fillId="7" borderId="1" xfId="0" applyNumberFormat="1" applyFont="1" applyFill="1" applyBorder="1" applyAlignment="1"/>
    <x:xf numFmtId="0" fontId="3" fillId="0" borderId="1" xfId="0" applyFont="1" applyBorder="1" applyAlignment="1">
      <x:alignment vertical="center" wrapText="1"/>
    </x:xf>
    <x:xf numFmtId="0" fontId="3" fillId="0" borderId="0" xfId="0" applyFont="1" applyAlignment="1">
      <x:alignment vertical="center" wrapText="1"/>
    </x:xf>
    <x:xf numFmtId="0" fontId="10" fillId="0" borderId="1" xfId="0" applyFont="1" applyBorder="1" applyAlignment="1">
      <x:alignment horizontal="center" wrapText="0"/>
    </x:xf>
    <x:xf numFmtId="165" fontId="3" fillId="4" borderId="1" xfId="0" applyNumberFormat="1" applyFont="1" applyFill="1" applyBorder="1" applyAlignment="1">
      <x:alignment vertical="center" wrapText="1"/>
    </x:xf>
    <x:xf numFmtId="0" fontId="3" fillId="0" borderId="0" xfId="0" applyFont="1"/>
    <x:xf numFmtId="0" fontId="3" fillId="4" borderId="1" xfId="0" applyFont="1" applyFill="1" applyBorder="1" applyAlignment="1">
      <x:alignment vertical="center" wrapText="1"/>
    </x:xf>
    <x:xf numFmtId="0" fontId="3" fillId="23" borderId="0" xfId="0" applyFont="1" applyFill="1" applyAlignment="1">
      <x:alignment wrapText="1"/>
    </x:xf>
    <x:xf numFmtId="0" fontId="3" fillId="8" borderId="0" xfId="0" applyFont="1" applyFill="1" applyAlignment="1">
      <x:alignment wrapText="1"/>
    </x:xf>
    <x:xf numFmtId="0" fontId="14" fillId="0" borderId="0" xfId="0" applyFont="1" applyAlignment="1">
      <x:alignment horizontal="center" vertical="center"/>
    </x:xf>
    <x:xf numFmtId="0" fontId="3" fillId="24" borderId="1" xfId="0" applyFont="1" applyFill="1" applyBorder="1" applyAlignment="1">
      <x:alignment vertical="center" wrapText="1"/>
    </x:xf>
    <x:xf numFmtId="0" fontId="3" fillId="24" borderId="1" xfId="0" applyFont="1" applyFill="1" applyBorder="1" applyAlignment="1">
      <x:alignment vertical="center" wrapText="1"/>
    </x:xf>
    <x:xf numFmtId="10" fontId="3" fillId="24" borderId="1" xfId="0" applyNumberFormat="1" applyFont="1" applyFill="1" applyBorder="1" applyAlignment="1">
      <x:alignment vertical="center" wrapText="1"/>
    </x:xf>
    <x:xf numFmtId="165" fontId="3" fillId="8" borderId="0" xfId="0" applyNumberFormat="1" applyFont="1" applyFill="1"/>
    <x:xf numFmtId="0" fontId="3" fillId="0" borderId="1" xfId="0" applyFont="1" applyBorder="1" applyAlignment="1">
      <x:alignment vertical="center" wrapText="1"/>
    </x:xf>
    <x:xf numFmtId="0" fontId="3" fillId="24" borderId="1" xfId="0" applyFont="1" applyFill="1" applyBorder="1" applyAlignment="1">
      <x:alignment horizontal="right" vertical="center" wrapText="1"/>
    </x:xf>
    <x:xf numFmtId="9" fontId="3" fillId="0" borderId="1" xfId="0" applyNumberFormat="1" applyFont="1" applyBorder="1" applyAlignment="1">
      <x:alignment vertical="center" wrapText="1"/>
    </x:xf>
    <x:xf numFmtId="0" fontId="17" fillId="0" borderId="3" xfId="0" applyFont="1" applyBorder="1" applyAlignment="1">
      <x:alignment vertical="bottom" wrapText="0"/>
    </x:xf>
    <x:xf numFmtId="0" fontId="3" fillId="11" borderId="1" xfId="0" applyFont="1" applyFill="1" applyBorder="1" applyAlignment="1">
      <x:alignment horizontal="right" vertical="center" wrapText="1"/>
    </x:xf>
    <x:xf numFmtId="0" fontId="3" fillId="11" borderId="1" xfId="0" applyFont="1" applyFill="1" applyBorder="1" applyAlignment="1">
      <x:alignment vertical="center" wrapText="1"/>
    </x:xf>
    <x:xf numFmtId="0" fontId="3" fillId="5" borderId="0" xfId="0" applyFont="1" applyFill="1" applyAlignment="1">
      <x:alignment wrapText="1"/>
    </x:xf>
    <x:xf numFmtId="165" fontId="3" fillId="5" borderId="0" xfId="0" applyNumberFormat="1" applyFont="1" applyFill="1" applyAlignment="1"/>
    <x:xf numFmtId="0" fontId="4" fillId="0" borderId="3" xfId="0" applyFont="1" applyBorder="1" applyAlignment="1">
      <x:alignment vertical="top" wrapText="1"/>
    </x:xf>
    <x:xf numFmtId="165" fontId="3" fillId="5" borderId="0" xfId="0" applyNumberFormat="1" applyFont="1" applyFill="1"/>
    <x:xf numFmtId="165" fontId="3" fillId="23" borderId="0" xfId="0" applyNumberFormat="1" applyFont="1" applyFill="1" applyAlignment="1">
      <x:alignment wrapText="1"/>
    </x:xf>
    <x:xf numFmtId="165" fontId="3" fillId="23" borderId="0" xfId="0" applyNumberFormat="1" applyFont="1" applyFill="1" applyAlignment="1">
      <x:alignment wrapText="1"/>
    </x:xf>
    <x:xf numFmtId="2" fontId="14" fillId="0" borderId="0" xfId="0" applyNumberFormat="1" applyFont="1" applyAlignment="1">
      <x:alignment horizontal="right" vertical="center"/>
    </x:xf>
    <x:xf numFmtId="0" fontId="3" fillId="8" borderId="0" xfId="0" applyFont="1" applyFill="1" applyAlignment="1">
      <x:alignment horizontal="center" wrapText="1"/>
    </x:xf>
    <x:xf numFmtId="165" fontId="3" fillId="8" borderId="0" xfId="0" applyNumberFormat="1" applyFont="1" applyFill="1" applyAlignment="1">
      <x:alignment horizontal="center"/>
    </x:xf>
    <x:xf numFmtId="165" fontId="3" fillId="8" borderId="0" xfId="0" applyNumberFormat="1" applyFont="1" applyFill="1" applyAlignment="1">
      <x:alignment horizontal="center"/>
    </x:xf>
    <x:xf numFmtId="0" fontId="3" fillId="8" borderId="0" xfId="0" applyFont="1" applyFill="1" applyAlignment="1">
      <x:alignment horizontal="center"/>
    </x:xf>
    <x:xf numFmtId="165" fontId="3" fillId="0" borderId="0" xfId="0" applyNumberFormat="1" applyFont="1"/>
    <x:xf numFmtId="0" fontId="3" fillId="8" borderId="0" xfId="0" applyFont="1" applyFill="1"/>
    <x:xf numFmtId="165" fontId="3" fillId="8" borderId="0" xfId="0" applyNumberFormat="1" applyFont="1" applyFill="1"/>
    <x:xf numFmtId="0" fontId="18" fillId="0" borderId="0" xfId="0" applyNumberFormat="1" applyFont="1" applyFill="1" applyBorder="1" applyAlignment="1">
      <x:alignment vertical="bottom" wrapText="0"/>
    </x:xf>
    <x:xf numFmtId="0" fontId="18" fillId="0" borderId="0" xfId="0" applyNumberFormat="1" applyFont="1" applyFill="1" applyBorder="1" applyAlignment="1">
      <x:alignment vertical="center"/>
    </x:xf>
    <x:xf numFmtId="0" fontId="18" fillId="0" borderId="0" xfId="0" applyNumberFormat="1" applyFont="1" applyFill="1" applyBorder="1"/>
    <x:xf numFmtId="0" fontId="18" fillId="0" borderId="7" xfId="0" applyNumberFormat="1" applyFont="1" applyFill="1" applyBorder="1"/>
    <x:xf numFmtId="0" fontId="19" fillId="0" borderId="0" xfId="0" applyNumberFormat="1" applyFont="1" applyFill="1" applyBorder="1" applyAlignment="1">
      <x:alignment horizontal="center" vertical="center" wrapText="1"/>
    </x:xf>
    <x:xf numFmtId="0" fontId="18" fillId="0" borderId="0" xfId="0" applyNumberFormat="1" applyFont="1" applyFill="1" applyBorder="1" applyAlignment="1">
      <x:alignment horizontal="center" vertical="center" wrapText="1"/>
    </x:xf>
    <x:xf numFmtId="0" fontId="18" fillId="0" borderId="1" xfId="0" applyNumberFormat="1" applyFont="1" applyFill="1" applyBorder="1"/>
    <x:xf numFmtId="0" fontId="18" fillId="20" borderId="0" xfId="0" applyNumberFormat="1" applyFont="1" applyFill="1" applyBorder="1"/>
    <x:xf numFmtId="0" fontId="20" fillId="0" borderId="0" xfId="0" applyNumberFormat="1" applyFont="1" applyFill="1" applyBorder="1" applyAlignment="1">
      <x:alignment vertical="bottom" wrapText="0"/>
    </x:xf>
    <x:xf numFmtId="0" fontId="20" fillId="0" borderId="0" xfId="0" applyNumberFormat="1" applyFont="1" applyFill="1" applyBorder="1" applyAlignment="1">
      <x:alignment horizontal="center" vertical="center" wrapText="1"/>
    </x:xf>
    <x:xf numFmtId="0" fontId="20" fillId="20" borderId="0" xfId="0" applyNumberFormat="1" applyFont="1" applyFill="1" applyBorder="1"/>
    <x:xf numFmtId="0" fontId="20" fillId="25" borderId="0" xfId="0" applyNumberFormat="1" applyFont="1" applyFill="1" applyBorder="1" applyAlignment="1">
      <x:alignment vertical="bottom" wrapText="0"/>
    </x:xf>
    <x:xf numFmtId="0" fontId="18" fillId="26" borderId="0" xfId="0" applyNumberFormat="1" applyFont="1" applyFill="1" applyBorder="1" applyAlignment="1">
      <x:alignment vertical="bottom" wrapText="0"/>
    </x:xf>
    <x:xf numFmtId="0" fontId="20" fillId="26" borderId="0" xfId="0" applyNumberFormat="1" applyFont="1" applyFill="1" applyBorder="1" applyAlignment="1">
      <x:alignment vertical="bottom" wrapText="0"/>
    </x:xf>
    <x:xf numFmtId="0" fontId="19" fillId="26" borderId="0" xfId="0" applyNumberFormat="1" applyFont="1" applyFill="1" applyBorder="1" applyAlignment="1">
      <x:alignment vertical="bottom" wrapText="0"/>
    </x:xf>
    <x:xf numFmtId="0" fontId="21" fillId="26" borderId="0" xfId="0" applyNumberFormat="1" applyFont="1" applyFill="1" applyBorder="1" applyAlignment="1">
      <x:alignment vertical="bottom" wrapText="0"/>
    </x:xf>
    <x:xf numFmtId="0" fontId="18" fillId="26" borderId="0" xfId="0" applyNumberFormat="1" applyFont="1" applyFill="1" applyBorder="1" applyAlignment="1">
      <x:alignment horizontal="center" vertical="center" wrapText="1"/>
    </x:xf>
    <x:xf numFmtId="0" fontId="20" fillId="26" borderId="0" xfId="0" applyNumberFormat="1" applyFont="1" applyFill="1" applyBorder="1" applyAlignment="1">
      <x:alignment horizontal="center" vertical="center" wrapText="1"/>
    </x:xf>
    <x:xf numFmtId="0" fontId="19" fillId="26" borderId="0" xfId="0" applyNumberFormat="1" applyFont="1" applyFill="1" applyBorder="1" applyAlignment="1">
      <x:alignment horizontal="center" vertical="center" wrapText="1"/>
    </x:xf>
    <x:xf numFmtId="0" fontId="21" fillId="26" borderId="0" xfId="0" applyNumberFormat="1" applyFont="1" applyFill="1" applyBorder="1" applyAlignment="1">
      <x:alignment horizontal="center" vertical="center" wrapText="1"/>
    </x:xf>
    <x:xf numFmtId="0" fontId="18" fillId="26" borderId="0" xfId="0" applyNumberFormat="1" applyFont="1" applyFill="1" applyBorder="1"/>
    <x:xf numFmtId="0" fontId="20" fillId="26" borderId="0" xfId="0" applyNumberFormat="1" applyFont="1" applyFill="1" applyBorder="1"/>
    <x:xf numFmtId="0" fontId="19" fillId="26" borderId="0" xfId="0" applyNumberFormat="1" applyFont="1" applyFill="1" applyBorder="1"/>
    <x:xf numFmtId="0" fontId="21" fillId="26" borderId="0" xfId="0" applyNumberFormat="1" applyFont="1" applyFill="1" applyBorder="1"/>
    <x:xf numFmtId="200" fontId="3" fillId="0" borderId="0" xfId="0" applyNumberFormat="1" applyFont="1" applyFill="1" applyBorder="1"/>
    <x:xf numFmtId="201" fontId="20" fillId="0" borderId="0" xfId="0" applyNumberFormat="1" applyFont="1" applyFill="1" applyBorder="1" applyAlignment="1">
      <x:alignment vertical="bottom" wrapText="0"/>
    </x:xf>
    <x:xf numFmtId="201" fontId="21" fillId="26" borderId="0" xfId="0" applyNumberFormat="1" applyFont="1" applyFill="1" applyBorder="1" applyAlignment="1">
      <x:alignment vertical="bottom" wrapText="0"/>
    </x:xf>
    <x:xf numFmtId="202" fontId="20" fillId="0" borderId="0" xfId="0" applyNumberFormat="1" applyFont="1" applyFill="1" applyBorder="1" applyAlignment="1">
      <x:alignment vertical="bottom" wrapText="0"/>
    </x:xf>
    <x:xf numFmtId="203" fontId="20" fillId="25" borderId="0" xfId="0" applyNumberFormat="1" applyFont="1" applyFill="1" applyBorder="1" applyAlignment="1">
      <x:alignment vertical="bottom" wrapText="0"/>
    </x:xf>
    <x:xf numFmtId="204" fontId="20" fillId="25" borderId="0" xfId="0" applyNumberFormat="1" applyFont="1" applyFill="1" applyBorder="1" applyAlignment="1">
      <x:alignment vertical="bottom" wrapText="0"/>
    </x:xf>
    <x:xf numFmtId="204" fontId="20" fillId="0" borderId="0" xfId="0" applyNumberFormat="1" applyFont="1" applyFill="1" applyBorder="1" applyAlignment="1">
      <x:alignment vertical="bottom" wrapText="0"/>
    </x:xf>
    <x:xf numFmtId="164" fontId="20" fillId="25" borderId="0" xfId="0" applyNumberFormat="1" applyFont="1" applyFill="1" applyBorder="1" applyAlignment="1">
      <x:alignment vertical="bottom" wrapText="0"/>
    </x:xf>
    <x:xf numFmtId="164" fontId="20" fillId="0" borderId="0" xfId="0" applyNumberFormat="1" applyFont="1" applyFill="1" applyBorder="1" applyAlignment="1">
      <x:alignment vertical="bottom" wrapText="0"/>
    </x:xf>
    <x:xf numFmtId="164" fontId="3" fillId="0" borderId="0" xfId="0" applyNumberFormat="1" applyFont="1" applyFill="1" applyBorder="1"/>
    <x:xf numFmtId="203" fontId="0" fillId="0" borderId="0" xfId="0" applyNumberFormat="1" applyFont="1" applyFill="1" applyBorder="1" applyAlignment="1">
      <x:alignment vertical="bottom" wrapText="0"/>
    </x:xf>
    <x:xf numFmtId="205" fontId="0" fillId="0" borderId="0" xfId="0" applyNumberFormat="1" applyFont="1" applyFill="1" applyBorder="1" applyAlignment="1">
      <x:alignment vertical="bottom" wrapText="0"/>
    </x:xf>
    <x:xf numFmtId="202" fontId="0" fillId="0" borderId="0" xfId="0" applyNumberFormat="1" applyFont="1" applyFill="1" applyBorder="1" applyAlignment="1">
      <x:alignment vertical="bottom" wrapText="0"/>
    </x:xf>
    <x:xf numFmtId="202" fontId="3" fillId="7" borderId="0" xfId="0" applyNumberFormat="1" applyFont="1" applyFill="1" applyBorder="1"/>
    <x:xf numFmtId="0" fontId="18" fillId="0" borderId="0" xfId="0" applyNumberFormat="1" applyFont="1" applyFill="1" applyBorder="1" applyAlignment="1">
      <x:alignment vertical="bottom" wrapText="1"/>
    </x:xf>
    <x:xf numFmtId="0" fontId="0" fillId="0" borderId="0" xfId="0" applyNumberFormat="1" applyFont="1" applyFill="1" applyBorder="1" applyAlignment="1">
      <x:alignment vertical="bottom" wrapText="1"/>
    </x:xf>
    <x:xf numFmtId="0" fontId="3" fillId="0" borderId="0" xfId="0" applyNumberFormat="1" applyFont="1" applyFill="1" applyBorder="1" applyAlignment="1">
      <x:alignment wrapText="1"/>
    </x:xf>
    <x:xf numFmtId="0" fontId="18" fillId="0" borderId="0" xfId="0" applyNumberFormat="1" applyFont="1" applyFill="1" applyBorder="1" applyAlignment="1">
      <x:alignment wrapText="1"/>
    </x:xf>
    <x:xf numFmtId="205" fontId="3" fillId="0" borderId="0" xfId="0" applyNumberFormat="1" applyFont="1" applyFill="1" applyBorder="1" applyAlignment="1">
      <x:alignment horizontal="center" vertical="center"/>
    </x:xf>
    <x:xf numFmtId="205" fontId="14" fillId="0" borderId="0" xfId="0" applyNumberFormat="1" applyFont="1" applyFill="1" applyBorder="1" applyAlignment="1">
      <x:alignment horizontal="right" vertical="center"/>
    </x:xf>
    <x:xf numFmtId="0" fontId="3" fillId="13" borderId="0" xfId="0" applyNumberFormat="1" applyFont="1" applyFill="1" applyBorder="1" applyAlignment="1">
      <x:alignment wrapText="1"/>
    </x:xf>
    <x:xf numFmtId="202" fontId="18" fillId="0" borderId="0" xfId="0" applyNumberFormat="1" applyFont="1" applyFill="1" applyBorder="1" applyAlignment="1">
      <x:alignment vertical="bottom" wrapText="0"/>
    </x:xf>
    <x:xf numFmtId="202" fontId="3" fillId="21" borderId="0" xfId="0" applyNumberFormat="1" applyFont="1" applyFill="1" applyBorder="1"/>
    <x:xf numFmtId="202" fontId="8" fillId="0" borderId="7" xfId="0" applyNumberFormat="1" applyFont="1" applyFill="1" applyBorder="1"/>
    <x:xf numFmtId="202" fontId="8" fillId="21" borderId="7" xfId="0" applyNumberFormat="1" applyFont="1" applyFill="1" applyBorder="1"/>
    <x:xf numFmtId="202" fontId="8" fillId="5" borderId="0" xfId="0" applyNumberFormat="1" applyFont="1" applyFill="1" applyBorder="1" applyAlignment="1">
      <x:alignment horizontal="center" vertical="center" wrapText="1"/>
    </x:xf>
    <x:xf numFmtId="201" fontId="3" fillId="0" borderId="1" xfId="0" applyNumberFormat="1" applyFont="1" applyFill="1" applyBorder="1" applyAlignment="1">
      <x:alignment horizontal="center" vertical="center"/>
    </x:xf>
    <x:xf numFmtId="201" fontId="8" fillId="0" borderId="1" xfId="0" applyNumberFormat="1" applyFont="1" applyFill="1" applyBorder="1" applyAlignment="1">
      <x:alignment horizontal="center" vertical="center"/>
    </x:xf>
  </x:cellXfs>
  <x:cellStyles count="1">
    <x:cellStyle name="Normal" xfId="0"/>
  </x:cellStyles>
  <x:dxfs count="2">
    <x:dxf>
      <x:font>
        <x:color rgb="FF9C0006"/>
      </x:font>
      <x:fill>
        <x:patternFill patternType="solid">
          <x:bgColor rgb="FFFCE4D6"/>
        </x:patternFill>
      </x:fill>
    </x:dxf>
    <x:dxf>
      <x:font>
        <x:color rgb="FF9C0006"/>
      </x:font>
      <x:fill>
        <x:patternFill patternType="solid">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b185c3766d47d5" /><Relationship Type="http://schemas.openxmlformats.org/officeDocument/2006/relationships/theme" Target="/xl/theme/theme1.xml" Id="R7807713812ab4413" /><Relationship Type="http://schemas.openxmlformats.org/officeDocument/2006/relationships/sharedStrings" Target="/xl/sharedStrings.xml" Id="Rd9fc715ff2bf4507" /><Relationship Type="http://schemas.openxmlformats.org/officeDocument/2006/relationships/worksheet" Target="/xl/worksheets/sheet1.xml" Id="Re5dbebccbb584119" /><Relationship Type="http://schemas.openxmlformats.org/officeDocument/2006/relationships/worksheet" Target="/xl/worksheets/sheet2.xml" Id="Rd5654e7a571e4444" /><Relationship Type="http://schemas.openxmlformats.org/officeDocument/2006/relationships/worksheet" Target="/xl/worksheets/sheet3.xml" Id="Rd15fa489e5914768" /><Relationship Type="http://schemas.openxmlformats.org/officeDocument/2006/relationships/worksheet" Target="/xl/worksheets/sheet4.xml" Id="Ra2dbe1818313435e" /><Relationship Type="http://schemas.openxmlformats.org/officeDocument/2006/relationships/worksheet" Target="/xl/worksheets/sheet5.xml" Id="R82a4230ce85048b2" /><Relationship Type="http://schemas.openxmlformats.org/officeDocument/2006/relationships/worksheet" Target="/xl/worksheets/sheet6.xml" Id="R2f16f8e94a1e4b71" /><Relationship Type="http://schemas.openxmlformats.org/officeDocument/2006/relationships/worksheet" Target="/xl/worksheets/sheet7.xml" Id="R685f1561d5cb42f4" /><Relationship Type="http://schemas.openxmlformats.org/officeDocument/2006/relationships/worksheet" Target="/xl/worksheets/sheet8.xml" Id="R6f34683c7f794740" /><Relationship Type="http://schemas.openxmlformats.org/officeDocument/2006/relationships/worksheet" Target="/xl/worksheets/sheet9.xml" Id="R1f27205c937f4a4c" /><Relationship Type="http://schemas.openxmlformats.org/officeDocument/2006/relationships/worksheet" Target="/xl/worksheets/sheet10.xml" Id="R1ce4b8834a724f3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14.430000305175781" defaultRowHeight="15"/>
  <x:cols>
    <x:col min="1" max="1" width="3" customWidth="1"/>
    <x:col min="2" max="2" width="110" customWidth="1"/>
    <x:col min="3" max="26" width="8.710000038146973" customWidth="1"/>
  </x:cols>
  <x:sheetData>
    <x:row r="2">
      <x:c r="B2" s="1" t="s">
        <x:v>0</x:v>
      </x:c>
    </x:row>
    <x:row r="3">
      <x:c r="B3" s="4"/>
    </x:row>
    <x:row r="4">
      <x:c r="B4" s="4" t="s">
        <x:v>1</x:v>
      </x:c>
    </x:row>
    <x:row r="5">
      <x:c r="B5" s="4"/>
    </x:row>
    <x:row r="6">
      <x:c r="B6" s="6" t="s">
        <x:v>2</x:v>
      </x:c>
    </x:row>
    <x:row r="7">
      <x:c r="B7" s="6" t="s">
        <x:v>3</x:v>
      </x:c>
    </x:row>
    <x:row r="8">
      <x:c r="B8" s="6" t="s">
        <x:v>4</x:v>
      </x:c>
    </x:row>
    <x:row r="9">
      <x:c r="B9" s="6" t="s">
        <x:v>5</x:v>
      </x:c>
    </x:row>
    <x:row r="10">
      <x:c r="B10" s="6" t="s">
        <x:v>6</x:v>
      </x:c>
    </x:row>
    <x:row r="11">
      <x:c r="B11" s="4"/>
    </x:row>
    <x:row r="12">
      <x:c r="B12" s="4" t="s">
        <x:v>7</x:v>
      </x:c>
    </x:row>
    <x:row r="13">
      <x:c r="B13" s="4"/>
    </x:row>
    <x:row r="14">
      <x:c r="B14" s="4" t="s">
        <x:v>8</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2" max="2" width="39.290000915527344" customWidth="1"/>
  </x:cols>
  <x:sheetData>
    <x:row r="2">
      <x:c r="B2" s="2" t="s">
        <x:v>9</x:v>
      </x:c>
      <x:c r="C2" s="2" t="s">
        <x:v>10</x:v>
      </x:c>
    </x:row>
    <x:row r="3">
      <x:c r="B3" s="3" t="s">
        <x:v>11</x:v>
      </x:c>
      <x:c r="C3" s="5"/>
    </x:row>
    <x:row r="4">
      <x:c r="B4" s="3" t="s">
        <x:v>12</x:v>
      </x:c>
      <x:c r="C4" s="5"/>
    </x:row>
    <x:row r="5">
      <x:c r="B5" s="7" t="s">
        <x:v>13</x:v>
      </x:c>
      <x:c r="C5" s="5"/>
    </x:row>
    <x:row r="6">
      <x:c r="B6" s="3" t="s">
        <x:v>14</x:v>
      </x:c>
      <x:c r="C6" s="5"/>
    </x:row>
    <x:row r="7">
      <x:c r="B7" s="3"/>
      <x:c r="C7" s="5"/>
    </x:row>
    <x:row r="8">
      <x:c r="B8" s="5"/>
      <x:c r="C8" s="5"/>
    </x:row>
    <x:row r="9">
      <x:c r="B9" s="5"/>
      <x:c r="C9" s="5"/>
    </x:row>
    <x:row r="10">
      <x:c r="B10" s="5"/>
      <x:c r="C10" s="5"/>
    </x:row>
    <x:row r="11">
      <x:c r="B11" s="5"/>
      <x:c r="C11" s="5"/>
    </x:row>
    <x:row r="12">
      <x:c r="B12" s="5"/>
      <x:c r="C12" s="5"/>
    </x:row>
    <x:row r="13">
      <x:c r="B13" s="5"/>
      <x:c r="C13" s="5"/>
    </x:row>
    <x:row r="14">
      <x:c r="B14" s="5"/>
      <x:c r="C14" s="5"/>
    </x:row>
    <x:row r="15">
      <x:c r="B15" s="5"/>
      <x:c r="C15" s="5"/>
    </x:row>
    <x:row r="16">
      <x:c r="B16" s="5"/>
      <x:c r="C16" s="5"/>
    </x:row>
    <x:row r="17">
      <x:c r="B17" s="5"/>
      <x:c r="C17" s="5"/>
    </x:row>
    <x:row r="18">
      <x:c r="B18" s="5"/>
      <x:c r="C18" s="5"/>
    </x:row>
    <x:row r="19">
      <x:c r="B19" s="5"/>
      <x:c r="C19" s="5"/>
    </x:row>
    <x:row r="20">
      <x:c r="B20" s="5"/>
      <x:c r="C20" s="5"/>
    </x:row>
    <x:row r="21">
      <x:c r="B21" s="5"/>
      <x:c r="C21" s="5"/>
    </x:row>
    <x:row r="22">
      <x:c r="B22" s="5"/>
      <x:c r="C22" s="5"/>
    </x:row>
    <x:row r="23">
      <x:c r="B23" s="5"/>
      <x:c r="C23" s="5"/>
    </x:row>
    <x:row r="24">
      <x:c r="B24" s="5"/>
      <x:c r="C24" s="5"/>
    </x:row>
    <x:row r="25">
      <x:c r="B25" s="5"/>
      <x:c r="C25" s="5"/>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ColWidth="14.430000305175781" defaultRowHeight="15"/>
  <x:cols>
    <x:col min="1" max="1" width="31.860000610351562" customWidth="1"/>
    <x:col min="2" max="2" width="22" customWidth="1"/>
    <x:col min="3" max="3" width="26" customWidth="1"/>
    <x:col min="4" max="4" width="40" customWidth="1"/>
    <x:col min="5" max="5" width="14" customWidth="1"/>
    <x:col min="6" max="9" width="12" customWidth="1"/>
    <x:col min="10" max="26" width="8.710000038146973" customWidth="1"/>
  </x:cols>
  <x:sheetData>
    <x:row r="1">
      <x:c r="A1" s="8" t="s">
        <x:v>15</x:v>
      </x:c>
      <x:c r="B1" s="8" t="s">
        <x:v>16</x:v>
      </x:c>
      <x:c r="C1" s="8" t="s">
        <x:v>17</x:v>
      </x:c>
      <x:c r="D1" s="8" t="s">
        <x:v>18</x:v>
      </x:c>
      <x:c r="E1" s="8" t="s">
        <x:v>19</x:v>
      </x:c>
      <x:c r="F1" s="8" t="s">
        <x:v>20</x:v>
      </x:c>
      <x:c r="G1" s="8" t="s">
        <x:v>21</x:v>
      </x:c>
      <x:c r="H1" s="8" t="s">
        <x:v>22</x:v>
      </x:c>
      <x:c r="I1" s="8" t="s">
        <x:v>23</x:v>
      </x:c>
    </x:row>
    <x:row r="2">
      <x:c r="A2" s="9" t="s">
        <x:v>24</x:v>
      </x:c>
      <x:c r="B2" s="11"/>
      <x:c r="C2" s="10" t="str">
        <x:f t="array" ref="C2">IFERROR(INDEX(Catalogo_Decisiones!$D$2:$D$57,MATCH($B2,Catalogo_Decisiones!$A$2:$A$57,0)),"")</x:f>
      </x:c>
      <x:c r="D2" s="10" t="str">
        <x:f t="array" ref="D2">IFERROR(INDEX(Catalogo_Decisiones!$F$2:$F$57,MATCH($B2,Catalogo_Decisiones!$A$2:$A$57,0)),"")</x:f>
      </x:c>
      <x:c r="E2" s="10" t="n">
        <x:f t="array" ref="E2">IFERROR(INDEX(Catalogo_Decisiones!$G$2:$G$57,MATCH($B2,Catalogo_Decisiones!$A$2:$A$57,0)),0)</x:f>
        <x:v>0</x:v>
      </x:c>
      <x:c r="F2" s="19" t="n">
        <x:f t="array" ref="F2">IFERROR(INDEX(Catalogo_Decisiones!$H$2:$H$57,MATCH($B2,Catalogo_Decisiones!$A$2:$A$57,0)),0)</x:f>
        <x:v>0</x:v>
      </x:c>
      <x:c r="G2" s="19" t="n">
        <x:f t="array" ref="G2">IFERROR(INDEX(Catalogo_Decisiones!$I$2:$I$57,MATCH($B2,Catalogo_Decisiones!$A$2:$A$57,0)),0)</x:f>
        <x:v>0</x:v>
      </x:c>
      <x:c r="H2" s="19" t="n">
        <x:f t="array" ref="H2">IFERROR(INDEX(Catalogo_Decisiones!$J$2:$J$57,MATCH($B2,Catalogo_Decisiones!$A$2:$A$57,0)),0)</x:f>
        <x:v>0</x:v>
      </x:c>
      <x:c r="I2" s="19" t="n">
        <x:f t="array" ref="I2">IFERROR(INDEX(Catalogo_Decisiones!$K$2:$K$57,MATCH($B2,Catalogo_Decisiones!$A$2:$A$57,0)),0)</x:f>
        <x:v>0</x:v>
      </x:c>
    </x:row>
    <x:row r="3">
      <x:c r="A3" s="9" t="s">
        <x:v>25</x:v>
      </x:c>
      <x:c r="B3" s="11"/>
      <x:c r="C3" s="10" t="str">
        <x:f t="array" ref="C3">IFERROR(INDEX(Catalogo_Decisiones!$D$2:$D$57,MATCH($B3,Catalogo_Decisiones!$A$2:$A$57,0)),"")</x:f>
      </x:c>
      <x:c r="D3" s="10" t="str">
        <x:f t="array" ref="D3">IFERROR(INDEX(Catalogo_Decisiones!$F$2:$F$57,MATCH($B3,Catalogo_Decisiones!$A$2:$A$57,0)),"")</x:f>
      </x:c>
      <x:c r="E3" s="10" t="n">
        <x:f t="array" ref="E3">IFERROR(INDEX(Catalogo_Decisiones!$G$2:$G$57,MATCH($B3,Catalogo_Decisiones!$A$2:$A$57,0)),0)</x:f>
        <x:v>0</x:v>
      </x:c>
      <x:c r="F3" s="19" t="n">
        <x:f t="array" ref="F3">IFERROR(INDEX(Catalogo_Decisiones!$H$2:$H$57,MATCH($B3,Catalogo_Decisiones!$A$2:$A$57,0)),0)</x:f>
        <x:v>0</x:v>
      </x:c>
      <x:c r="G3" s="19" t="n">
        <x:f t="array" ref="G3">IFERROR(INDEX(Catalogo_Decisiones!$I$2:$I$57,MATCH($B3,Catalogo_Decisiones!$A$2:$A$57,0)),0)</x:f>
        <x:v>0</x:v>
      </x:c>
      <x:c r="H3" s="19" t="n">
        <x:f t="array" ref="H3">IFERROR(INDEX(Catalogo_Decisiones!$J$2:$J$57,MATCH($B3,Catalogo_Decisiones!$A$2:$A$57,0)),0)</x:f>
        <x:v>0</x:v>
      </x:c>
      <x:c r="I3" s="19" t="n">
        <x:f t="array" ref="I3">IFERROR(INDEX(Catalogo_Decisiones!$K$2:$K$57,MATCH($B3,Catalogo_Decisiones!$A$2:$A$57,0)),0)</x:f>
        <x:v>0</x:v>
      </x:c>
    </x:row>
    <x:row r="4">
      <x:c r="A4" s="9" t="s">
        <x:v>26</x:v>
      </x:c>
      <x:c r="B4" s="11"/>
      <x:c r="C4" s="10" t="str">
        <x:f t="array" ref="C4">IFERROR(INDEX(Catalogo_Decisiones!$D$2:$D$57,MATCH($B4,Catalogo_Decisiones!$A$2:$A$57,0)),"")</x:f>
      </x:c>
      <x:c r="D4" s="10" t="str">
        <x:f t="array" ref="D4">IFERROR(INDEX(Catalogo_Decisiones!$F$2:$F$57,MATCH($B4,Catalogo_Decisiones!$A$2:$A$57,0)),"")</x:f>
      </x:c>
      <x:c r="E4" s="10" t="n">
        <x:f t="array" ref="E4">IFERROR(INDEX(Catalogo_Decisiones!$G$2:$G$57,MATCH($B4,Catalogo_Decisiones!$A$2:$A$57,0)),0)</x:f>
        <x:v>0</x:v>
      </x:c>
      <x:c r="F4" s="19" t="n">
        <x:f t="array" ref="F4">IFERROR(INDEX(Catalogo_Decisiones!$H$2:$H$57,MATCH($B4,Catalogo_Decisiones!$A$2:$A$57,0)),0)</x:f>
        <x:v>0</x:v>
      </x:c>
      <x:c r="G4" s="19" t="n">
        <x:f t="array" ref="G4">IFERROR(INDEX(Catalogo_Decisiones!$I$2:$I$57,MATCH($B4,Catalogo_Decisiones!$A$2:$A$57,0)),0)</x:f>
        <x:v>0</x:v>
      </x:c>
      <x:c r="H4" s="19" t="n">
        <x:f t="array" ref="H4">IFERROR(INDEX(Catalogo_Decisiones!$J$2:$J$57,MATCH($B4,Catalogo_Decisiones!$A$2:$A$57,0)),0)</x:f>
        <x:v>0</x:v>
      </x:c>
      <x:c r="I4" s="19" t="n">
        <x:f t="array" ref="I4">IFERROR(INDEX(Catalogo_Decisiones!$K$2:$K$57,MATCH($B4,Catalogo_Decisiones!$A$2:$A$57,0)),0)</x:f>
        <x:v>0</x:v>
      </x:c>
    </x:row>
    <x:row r="5">
      <x:c r="A5" s="9" t="s">
        <x:v>27</x:v>
      </x:c>
      <x:c r="B5" s="11"/>
      <x:c r="C5" s="10" t="str">
        <x:f t="array" ref="C5">IFERROR(INDEX(Catalogo_Decisiones!$D$2:$D$57,MATCH($B5,Catalogo_Decisiones!$A$2:$A$57,0)),"")</x:f>
      </x:c>
      <x:c r="D5" s="10" t="str">
        <x:f t="array" ref="D5">IFERROR(INDEX(Catalogo_Decisiones!$F$2:$F$57,MATCH($B5,Catalogo_Decisiones!$A$2:$A$57,0)),"")</x:f>
      </x:c>
      <x:c r="E5" s="10" t="n">
        <x:f t="array" ref="E5">IFERROR(INDEX(Catalogo_Decisiones!$G$2:$G$57,MATCH($B5,Catalogo_Decisiones!$A$2:$A$57,0)),0)</x:f>
        <x:v>0</x:v>
      </x:c>
      <x:c r="F5" s="19" t="n">
        <x:f t="array" ref="F5">IFERROR(INDEX(Catalogo_Decisiones!$H$2:$H$57,MATCH($B5,Catalogo_Decisiones!$A$2:$A$57,0)),0)</x:f>
        <x:v>0</x:v>
      </x:c>
      <x:c r="G5" s="19" t="n">
        <x:f t="array" ref="G5">IFERROR(INDEX(Catalogo_Decisiones!$I$2:$I$57,MATCH($B5,Catalogo_Decisiones!$A$2:$A$57,0)),0)</x:f>
        <x:v>0</x:v>
      </x:c>
      <x:c r="H5" s="19" t="n">
        <x:f t="array" ref="H5">IFERROR(INDEX(Catalogo_Decisiones!$J$2:$J$57,MATCH($B5,Catalogo_Decisiones!$A$2:$A$57,0)),0)</x:f>
        <x:v>0</x:v>
      </x:c>
      <x:c r="I5" s="19" t="n">
        <x:f t="array" ref="I5">IFERROR(INDEX(Catalogo_Decisiones!$K$2:$K$57,MATCH($B5,Catalogo_Decisiones!$A$2:$A$57,0)),0)</x:f>
        <x:v>0</x:v>
      </x:c>
    </x:row>
    <x:row r="6">
      <x:c r="A6" s="9" t="s">
        <x:v>28</x:v>
      </x:c>
      <x:c r="B6" s="11"/>
      <x:c r="C6" s="10" t="str">
        <x:f t="array" ref="C6">IFERROR(INDEX(Catalogo_Decisiones!$D$2:$D$57,MATCH($B6,Catalogo_Decisiones!$A$2:$A$57,0)),"")</x:f>
      </x:c>
      <x:c r="D6" s="10" t="str">
        <x:f t="array" ref="D6">IFERROR(INDEX(Catalogo_Decisiones!$F$2:$F$57,MATCH($B6,Catalogo_Decisiones!$A$2:$A$57,0)),"")</x:f>
      </x:c>
      <x:c r="E6" s="10" t="n">
        <x:f t="array" ref="E6">IFERROR(INDEX(Catalogo_Decisiones!$G$2:$G$57,MATCH($B6,Catalogo_Decisiones!$A$2:$A$57,0)),0)</x:f>
        <x:v>0</x:v>
      </x:c>
      <x:c r="F6" s="19" t="n">
        <x:f t="array" ref="F6">IFERROR(INDEX(Catalogo_Decisiones!$H$2:$H$57,MATCH($B6,Catalogo_Decisiones!$A$2:$A$57,0)),0)</x:f>
        <x:v>0</x:v>
      </x:c>
      <x:c r="G6" s="19" t="n">
        <x:f t="array" ref="G6">IFERROR(INDEX(Catalogo_Decisiones!$I$2:$I$57,MATCH($B6,Catalogo_Decisiones!$A$2:$A$57,0)),0)</x:f>
        <x:v>0</x:v>
      </x:c>
      <x:c r="H6" s="19" t="n">
        <x:f t="array" ref="H6">IFERROR(INDEX(Catalogo_Decisiones!$J$2:$J$57,MATCH($B6,Catalogo_Decisiones!$A$2:$A$57,0)),0)</x:f>
        <x:v>0</x:v>
      </x:c>
      <x:c r="I6" s="19" t="n">
        <x:f t="array" ref="I6">IFERROR(INDEX(Catalogo_Decisiones!$K$2:$K$57,MATCH($B6,Catalogo_Decisiones!$A$2:$A$57,0)),0)</x:f>
        <x:v>0</x:v>
      </x:c>
    </x:row>
    <x:row r="7">
      <x:c r="A7" s="9" t="s">
        <x:v>29</x:v>
      </x:c>
      <x:c r="B7" s="11"/>
      <x:c r="C7" s="10" t="str">
        <x:f t="array" ref="C7">IFERROR(INDEX(Catalogo_Decisiones!$D$2:$D$57,MATCH($B7,Catalogo_Decisiones!$A$2:$A$57,0)),"")</x:f>
      </x:c>
      <x:c r="D7" s="10" t="str">
        <x:f t="array" ref="D7">IFERROR(INDEX(Catalogo_Decisiones!$F$2:$F$57,MATCH($B7,Catalogo_Decisiones!$A$2:$A$57,0)),"")</x:f>
      </x:c>
      <x:c r="E7" s="10" t="n">
        <x:f t="array" ref="E7">IFERROR(INDEX(Catalogo_Decisiones!$G$2:$G$57,MATCH($B7,Catalogo_Decisiones!$A$2:$A$57,0)),0)</x:f>
        <x:v>0</x:v>
      </x:c>
      <x:c r="F7" s="19" t="n">
        <x:f t="array" ref="F7">IFERROR(INDEX(Catalogo_Decisiones!$H$2:$H$57,MATCH($B7,Catalogo_Decisiones!$A$2:$A$57,0)),0)</x:f>
        <x:v>0</x:v>
      </x:c>
      <x:c r="G7" s="19" t="n">
        <x:f t="array" ref="G7">IFERROR(INDEX(Catalogo_Decisiones!$I$2:$I$57,MATCH($B7,Catalogo_Decisiones!$A$2:$A$57,0)),0)</x:f>
        <x:v>0</x:v>
      </x:c>
      <x:c r="H7" s="19" t="n">
        <x:f t="array" ref="H7">IFERROR(INDEX(Catalogo_Decisiones!$J$2:$J$57,MATCH($B7,Catalogo_Decisiones!$A$2:$A$57,0)),0)</x:f>
        <x:v>0</x:v>
      </x:c>
      <x:c r="I7" s="19" t="n">
        <x:f t="array" ref="I7">IFERROR(INDEX(Catalogo_Decisiones!$K$2:$K$57,MATCH($B7,Catalogo_Decisiones!$A$2:$A$57,0)),0)</x:f>
        <x:v>0</x:v>
      </x:c>
    </x:row>
    <x:row r="8">
      <x:c r="A8" s="9" t="s">
        <x:v>30</x:v>
      </x:c>
      <x:c r="B8" s="11"/>
      <x:c r="C8" s="10" t="str">
        <x:f t="array" ref="C8">IFERROR(INDEX(Catalogo_Decisiones!$D$2:$D$57,MATCH($B8,Catalogo_Decisiones!$A$2:$A$57,0)),"")</x:f>
      </x:c>
      <x:c r="D8" s="10" t="str">
        <x:f t="array" ref="D8">IFERROR(INDEX(Catalogo_Decisiones!$F$2:$F$57,MATCH($B8,Catalogo_Decisiones!$A$2:$A$57,0)),"")</x:f>
      </x:c>
      <x:c r="E8" s="10" t="n">
        <x:f t="array" ref="E8">IFERROR(INDEX(Catalogo_Decisiones!$G$2:$G$57,MATCH($B8,Catalogo_Decisiones!$A$2:$A$57,0)),0)</x:f>
        <x:v>0</x:v>
      </x:c>
      <x:c r="F8" s="19" t="n">
        <x:f t="array" ref="F8">IFERROR(INDEX(Catalogo_Decisiones!$H$2:$H$57,MATCH($B8,Catalogo_Decisiones!$A$2:$A$57,0)),0)</x:f>
        <x:v>0</x:v>
      </x:c>
      <x:c r="G8" s="19" t="n">
        <x:f t="array" ref="G8">IFERROR(INDEX(Catalogo_Decisiones!$I$2:$I$57,MATCH($B8,Catalogo_Decisiones!$A$2:$A$57,0)),0)</x:f>
        <x:v>0</x:v>
      </x:c>
      <x:c r="H8" s="19" t="n">
        <x:f t="array" ref="H8">IFERROR(INDEX(Catalogo_Decisiones!$J$2:$J$57,MATCH($B8,Catalogo_Decisiones!$A$2:$A$57,0)),0)</x:f>
        <x:v>0</x:v>
      </x:c>
      <x:c r="I8" s="19" t="n">
        <x:f t="array" ref="I8">IFERROR(INDEX(Catalogo_Decisiones!$K$2:$K$57,MATCH($B8,Catalogo_Decisiones!$A$2:$A$57,0)),0)</x:f>
        <x:v>0</x:v>
      </x:c>
    </x:row>
    <x:row r="9">
      <x:c r="A9" s="9" t="s">
        <x:v>31</x:v>
      </x:c>
      <x:c r="B9" s="11"/>
      <x:c r="C9" s="10" t="str">
        <x:f t="array" ref="C9">IFERROR(INDEX(Catalogo_Decisiones!$D$2:$D$57,MATCH($B9,Catalogo_Decisiones!$A$2:$A$57,0)),"")</x:f>
      </x:c>
      <x:c r="D9" s="10" t="str">
        <x:f t="array" ref="D9">IFERROR(INDEX(Catalogo_Decisiones!$F$2:$F$57,MATCH($B9,Catalogo_Decisiones!$A$2:$A$57,0)),"")</x:f>
      </x:c>
      <x:c r="E9" s="10" t="n">
        <x:f t="array" ref="E9">IFERROR(INDEX(Catalogo_Decisiones!$G$2:$G$57,MATCH($B9,Catalogo_Decisiones!$A$2:$A$57,0)),0)</x:f>
        <x:v>0</x:v>
      </x:c>
      <x:c r="F9" s="19" t="n">
        <x:f t="array" ref="F9">IFERROR(INDEX(Catalogo_Decisiones!$H$2:$H$57,MATCH($B9,Catalogo_Decisiones!$A$2:$A$57,0)),0)</x:f>
        <x:v>0</x:v>
      </x:c>
      <x:c r="G9" s="19" t="n">
        <x:f t="array" ref="G9">IFERROR(INDEX(Catalogo_Decisiones!$I$2:$I$57,MATCH($B9,Catalogo_Decisiones!$A$2:$A$57,0)),0)</x:f>
        <x:v>0</x:v>
      </x:c>
      <x:c r="H9" s="19" t="n">
        <x:f t="array" ref="H9">IFERROR(INDEX(Catalogo_Decisiones!$J$2:$J$57,MATCH($B9,Catalogo_Decisiones!$A$2:$A$57,0)),0)</x:f>
        <x:v>0</x:v>
      </x:c>
      <x:c r="I9" s="19" t="n">
        <x:f t="array" ref="I9">IFERROR(INDEX(Catalogo_Decisiones!$K$2:$K$57,MATCH($B9,Catalogo_Decisiones!$A$2:$A$57,0)),0)</x:f>
        <x:v>0</x:v>
      </x:c>
    </x:row>
    <x:row r="10">
      <x:c r="A10" s="9" t="s">
        <x:v>32</x:v>
      </x:c>
      <x:c r="B10" s="11"/>
      <x:c r="C10" s="10" t="str">
        <x:f t="array" ref="C10">IFERROR(INDEX(Catalogo_Decisiones!$D$2:$D$57,MATCH($B10,Catalogo_Decisiones!$A$2:$A$57,0)),"")</x:f>
      </x:c>
      <x:c r="D10" s="10" t="str">
        <x:f t="array" ref="D10">IFERROR(INDEX(Catalogo_Decisiones!$F$2:$F$57,MATCH($B10,Catalogo_Decisiones!$A$2:$A$57,0)),"")</x:f>
      </x:c>
      <x:c r="E10" s="10" t="n">
        <x:f t="array" ref="E10">IFERROR(INDEX(Catalogo_Decisiones!$G$2:$G$57,MATCH($B10,Catalogo_Decisiones!$A$2:$A$57,0)),0)</x:f>
        <x:v>0</x:v>
      </x:c>
      <x:c r="F10" s="19" t="n">
        <x:f t="array" ref="F10">IFERROR(INDEX(Catalogo_Decisiones!$H$2:$H$57,MATCH($B10,Catalogo_Decisiones!$A$2:$A$57,0)),0)</x:f>
        <x:v>0</x:v>
      </x:c>
      <x:c r="G10" s="19" t="n">
        <x:f t="array" ref="G10">IFERROR(INDEX(Catalogo_Decisiones!$I$2:$I$57,MATCH($B10,Catalogo_Decisiones!$A$2:$A$57,0)),0)</x:f>
        <x:v>0</x:v>
      </x:c>
      <x:c r="H10" s="19" t="n">
        <x:f t="array" ref="H10">IFERROR(INDEX(Catalogo_Decisiones!$J$2:$J$57,MATCH($B10,Catalogo_Decisiones!$A$2:$A$57,0)),0)</x:f>
        <x:v>0</x:v>
      </x:c>
      <x:c r="I10" s="19" t="n">
        <x:f t="array" ref="I10">IFERROR(INDEX(Catalogo_Decisiones!$K$2:$K$57,MATCH($B10,Catalogo_Decisiones!$A$2:$A$57,0)),0)</x:f>
        <x:v>0</x:v>
      </x:c>
    </x:row>
    <x:row r="11">
      <x:c r="A11" s="9" t="s">
        <x:v>33</x:v>
      </x:c>
      <x:c r="B11" s="11"/>
      <x:c r="C11" s="10" t="str">
        <x:f t="array" ref="C11">IFERROR(INDEX(Catalogo_Decisiones!$D$2:$D$57,MATCH($B11,Catalogo_Decisiones!$A$2:$A$57,0)),"")</x:f>
      </x:c>
      <x:c r="D11" s="10" t="str">
        <x:f t="array" ref="D11">IFERROR(INDEX(Catalogo_Decisiones!$F$2:$F$57,MATCH($B11,Catalogo_Decisiones!$A$2:$A$57,0)),"")</x:f>
      </x:c>
      <x:c r="E11" s="10" t="n">
        <x:f t="array" ref="E11">IFERROR(INDEX(Catalogo_Decisiones!$G$2:$G$57,MATCH($B11,Catalogo_Decisiones!$A$2:$A$57,0)),0)</x:f>
        <x:v>0</x:v>
      </x:c>
      <x:c r="F11" s="19" t="n">
        <x:f t="array" ref="F11">IFERROR(INDEX(Catalogo_Decisiones!$H$2:$H$57,MATCH($B11,Catalogo_Decisiones!$A$2:$A$57,0)),0)</x:f>
        <x:v>0</x:v>
      </x:c>
      <x:c r="G11" s="19" t="n">
        <x:f t="array" ref="G11">IFERROR(INDEX(Catalogo_Decisiones!$I$2:$I$57,MATCH($B11,Catalogo_Decisiones!$A$2:$A$57,0)),0)</x:f>
        <x:v>0</x:v>
      </x:c>
      <x:c r="H11" s="19" t="n">
        <x:f t="array" ref="H11">IFERROR(INDEX(Catalogo_Decisiones!$J$2:$J$57,MATCH($B11,Catalogo_Decisiones!$A$2:$A$57,0)),0)</x:f>
        <x:v>0</x:v>
      </x:c>
      <x:c r="I11" s="19" t="n">
        <x:f t="array" ref="I11">IFERROR(INDEX(Catalogo_Decisiones!$K$2:$K$57,MATCH($B11,Catalogo_Decisiones!$A$2:$A$57,0)),0)</x:f>
        <x:v>0</x:v>
      </x:c>
    </x:row>
    <x:row r="12">
      <x:c r="A12" s="9" t="s">
        <x:v>34</x:v>
      </x:c>
      <x:c r="B12" s="11"/>
      <x:c r="C12" s="10" t="str">
        <x:f t="array" ref="C12">IFERROR(INDEX(Catalogo_Decisiones!$D$2:$D$57,MATCH($B12,Catalogo_Decisiones!$A$2:$A$57,0)),"")</x:f>
      </x:c>
      <x:c r="D12" s="10" t="str">
        <x:f t="array" ref="D12">IFERROR(INDEX(Catalogo_Decisiones!$F$2:$F$57,MATCH($B12,Catalogo_Decisiones!$A$2:$A$57,0)),"")</x:f>
      </x:c>
      <x:c r="E12" s="10" t="n">
        <x:f t="array" ref="E12">IFERROR(INDEX(Catalogo_Decisiones!$G$2:$G$57,MATCH($B12,Catalogo_Decisiones!$A$2:$A$57,0)),0)</x:f>
        <x:v>0</x:v>
      </x:c>
      <x:c r="F12" s="19" t="n">
        <x:f t="array" ref="F12">IFERROR(INDEX(Catalogo_Decisiones!$H$2:$H$57,MATCH($B12,Catalogo_Decisiones!$A$2:$A$57,0)),0)</x:f>
        <x:v>0</x:v>
      </x:c>
      <x:c r="G12" s="19" t="n">
        <x:f t="array" ref="G12">IFERROR(INDEX(Catalogo_Decisiones!$I$2:$I$57,MATCH($B12,Catalogo_Decisiones!$A$2:$A$57,0)),0)</x:f>
        <x:v>0</x:v>
      </x:c>
      <x:c r="H12" s="19" t="n">
        <x:f t="array" ref="H12">IFERROR(INDEX(Catalogo_Decisiones!$J$2:$J$57,MATCH($B12,Catalogo_Decisiones!$A$2:$A$57,0)),0)</x:f>
        <x:v>0</x:v>
      </x:c>
      <x:c r="I12" s="19" t="n">
        <x:f t="array" ref="I12">IFERROR(INDEX(Catalogo_Decisiones!$K$2:$K$57,MATCH($B12,Catalogo_Decisiones!$A$2:$A$57,0)),0)</x:f>
        <x:v>0</x:v>
      </x:c>
    </x:row>
    <x:row r="13">
      <x:c r="A13" s="9" t="s">
        <x:v>35</x:v>
      </x:c>
      <x:c r="B13" s="11"/>
      <x:c r="C13" s="10" t="str">
        <x:f t="array" ref="C13">IFERROR(INDEX(Catalogo_Decisiones!$D$2:$D$57,MATCH($B13,Catalogo_Decisiones!$A$2:$A$57,0)),"")</x:f>
      </x:c>
      <x:c r="D13" s="10" t="str">
        <x:f t="array" ref="D13">IFERROR(INDEX(Catalogo_Decisiones!$F$2:$F$57,MATCH($B13,Catalogo_Decisiones!$A$2:$A$57,0)),"")</x:f>
      </x:c>
      <x:c r="E13" s="10" t="n">
        <x:f t="array" ref="E13">IFERROR(INDEX(Catalogo_Decisiones!$G$2:$G$57,MATCH($B13,Catalogo_Decisiones!$A$2:$A$57,0)),0)</x:f>
        <x:v>0</x:v>
      </x:c>
      <x:c r="F13" s="19" t="n">
        <x:f t="array" ref="F13">IFERROR(INDEX(Catalogo_Decisiones!$H$2:$H$57,MATCH($B13,Catalogo_Decisiones!$A$2:$A$57,0)),0)</x:f>
        <x:v>0</x:v>
      </x:c>
      <x:c r="G13" s="19" t="n">
        <x:f t="array" ref="G13">IFERROR(INDEX(Catalogo_Decisiones!$I$2:$I$57,MATCH($B13,Catalogo_Decisiones!$A$2:$A$57,0)),0)</x:f>
        <x:v>0</x:v>
      </x:c>
      <x:c r="H13" s="19" t="n">
        <x:f t="array" ref="H13">IFERROR(INDEX(Catalogo_Decisiones!$J$2:$J$57,MATCH($B13,Catalogo_Decisiones!$A$2:$A$57,0)),0)</x:f>
        <x:v>0</x:v>
      </x:c>
      <x:c r="I13" s="19" t="n">
        <x:f t="array" ref="I13">IFERROR(INDEX(Catalogo_Decisiones!$K$2:$K$57,MATCH($B13,Catalogo_Decisiones!$A$2:$A$57,0)),0)</x:f>
        <x:v>0</x:v>
      </x:c>
    </x:row>
    <x:row r="14">
      <x:c r="A14" s="9" t="s">
        <x:v>36</x:v>
      </x:c>
      <x:c r="B14" s="11"/>
      <x:c r="C14" s="10" t="str">
        <x:f t="array" ref="C14">IFERROR(INDEX(Catalogo_Decisiones!$D$2:$D$57,MATCH($B14,Catalogo_Decisiones!$A$2:$A$57,0)),"")</x:f>
      </x:c>
      <x:c r="D14" s="10" t="str">
        <x:f t="array" ref="D14">IFERROR(INDEX(Catalogo_Decisiones!$F$2:$F$57,MATCH($B14,Catalogo_Decisiones!$A$2:$A$57,0)),"")</x:f>
      </x:c>
      <x:c r="E14" s="10" t="n">
        <x:f t="array" ref="E14">IFERROR(INDEX(Catalogo_Decisiones!$G$2:$G$57,MATCH($B14,Catalogo_Decisiones!$A$2:$A$57,0)),0)</x:f>
        <x:v>0</x:v>
      </x:c>
      <x:c r="F14" s="19" t="n">
        <x:f t="array" ref="F14">IFERROR(INDEX(Catalogo_Decisiones!$H$2:$H$57,MATCH($B14,Catalogo_Decisiones!$A$2:$A$57,0)),0)</x:f>
        <x:v>0</x:v>
      </x:c>
      <x:c r="G14" s="19" t="n">
        <x:f t="array" ref="G14">IFERROR(INDEX(Catalogo_Decisiones!$I$2:$I$57,MATCH($B14,Catalogo_Decisiones!$A$2:$A$57,0)),0)</x:f>
        <x:v>0</x:v>
      </x:c>
      <x:c r="H14" s="19" t="n">
        <x:f t="array" ref="H14">IFERROR(INDEX(Catalogo_Decisiones!$J$2:$J$57,MATCH($B14,Catalogo_Decisiones!$A$2:$A$57,0)),0)</x:f>
        <x:v>0</x:v>
      </x:c>
      <x:c r="I14" s="19" t="n">
        <x:f t="array" ref="I14">IFERROR(INDEX(Catalogo_Decisiones!$K$2:$K$57,MATCH($B14,Catalogo_Decisiones!$A$2:$A$57,0)),0)</x:f>
        <x:v>0</x:v>
      </x:c>
    </x:row>
    <x:row r="15">
      <x:c r="A15" s="9" t="s">
        <x:v>37</x:v>
      </x:c>
      <x:c r="B15" s="11"/>
      <x:c r="C15" s="10" t="str">
        <x:f t="array" ref="C15">IFERROR(INDEX(Catalogo_Decisiones!$D$2:$D$57,MATCH($B15,Catalogo_Decisiones!$A$2:$A$57,0)),"")</x:f>
      </x:c>
      <x:c r="D15" s="10" t="str">
        <x:f t="array" ref="D15">IFERROR(INDEX(Catalogo_Decisiones!$F$2:$F$57,MATCH($B15,Catalogo_Decisiones!$A$2:$A$57,0)),"")</x:f>
      </x:c>
      <x:c r="E15" s="10" t="n">
        <x:f t="array" ref="E15">IFERROR(INDEX(Catalogo_Decisiones!$G$2:$G$57,MATCH($B15,Catalogo_Decisiones!$A$2:$A$57,0)),0)</x:f>
        <x:v>0</x:v>
      </x:c>
      <x:c r="F15" s="19" t="n">
        <x:f t="array" ref="F15">IFERROR(INDEX(Catalogo_Decisiones!$H$2:$H$57,MATCH($B15,Catalogo_Decisiones!$A$2:$A$57,0)),0)</x:f>
        <x:v>0</x:v>
      </x:c>
      <x:c r="G15" s="19" t="n">
        <x:f t="array" ref="G15">IFERROR(INDEX(Catalogo_Decisiones!$I$2:$I$57,MATCH($B15,Catalogo_Decisiones!$A$2:$A$57,0)),0)</x:f>
        <x:v>0</x:v>
      </x:c>
      <x:c r="H15" s="19" t="n">
        <x:f t="array" ref="H15">IFERROR(INDEX(Catalogo_Decisiones!$J$2:$J$57,MATCH($B15,Catalogo_Decisiones!$A$2:$A$57,0)),0)</x:f>
        <x:v>0</x:v>
      </x:c>
      <x:c r="I15" s="19" t="n">
        <x:f t="array" ref="I15">IFERROR(INDEX(Catalogo_Decisiones!$K$2:$K$57,MATCH($B15,Catalogo_Decisiones!$A$2:$A$57,0)),0)</x:f>
        <x:v>0</x:v>
      </x:c>
    </x:row>
    <x:row r="16">
      <x:c r="A16" s="146" t="s">
        <x:v>38</x:v>
      </x:c>
    </x:row>
    <x:row r="17">
      <x:c r="A17" s="147" t="s">
        <x:v>39</x:v>
      </x:c>
      <x:c r="B17" s="11">
        <x:v>0.0</x:v>
      </x:c>
    </x:row>
    <x:row r="18">
      <x:c r="A18" s="147" t="s">
        <x:v>40</x:v>
      </x:c>
      <x:c r="B18" s="11">
        <x:v>0.0</x:v>
      </x:c>
    </x:row>
    <x:row r="19">
      <x:c r="A19" s="147" t="s">
        <x:v>41</x:v>
      </x:c>
      <x:c r="B19" s="11">
        <x:v>0.0</x:v>
      </x:c>
    </x:row>
    <x:row r="20">
      <x:c r="A20" s="147" t="s">
        <x:v>42</x:v>
      </x:c>
      <x:c r="B20" s="11">
        <x:v>0.0</x:v>
      </x:c>
    </x:row>
    <x:row r="21" ht="15.75" customHeight="1">
      <x:c r="A21" s="147" t="s">
        <x:v>43</x:v>
      </x:c>
      <x:c r="B21" s="11">
        <x:v>0.0</x:v>
      </x:c>
    </x:row>
    <x:row r="22" ht="15.75" customHeight="1">
      <x:c r="A22" s="147" t="s">
        <x:v>44</x:v>
      </x:c>
      <x:c r="B22" s="11">
        <x:v>0.0</x:v>
      </x:c>
    </x:row>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dataValidations count="14">
    <x:dataValidation type="list" allowBlank="1" sqref="B4">
      <x:formula1>"INF-08,INF-09,INF-10"</x:formula1>
    </x:dataValidation>
    <x:dataValidation type="list" allowBlank="1" sqref="B8">
      <x:formula1>"RH-10A,RH-10B"</x:formula1>
    </x:dataValidation>
    <x:dataValidation type="list" allowBlank="1" sqref="B10">
      <x:formula1>"FIN-01A,FIN-01B"</x:formula1>
    </x:dataValidation>
    <x:dataValidation type="list" allowBlank="1" sqref="B9">
      <x:formula1>"COM-01A,COM-01B,COM-01C"</x:formula1>
    </x:dataValidation>
    <x:dataValidation type="list" allowBlank="1" sqref="B11">
      <x:formula1>"INS-09A,INS-09B"</x:formula1>
    </x:dataValidation>
    <x:dataValidation type="list" allowBlank="1" sqref="B3">
      <x:formula1>"INF-05,INF-06,INF-07"</x:formula1>
    </x:dataValidation>
    <x:dataValidation type="list" allowBlank="1" sqref="B6">
      <x:formula1>"RH-04,RH-05,RH-06"</x:formula1>
    </x:dataValidation>
    <x:dataValidation type="list" allowBlank="1" sqref="B15">
      <x:formula1>"INV-02A,INV-02B,INV-02C"</x:formula1>
    </x:dataValidation>
    <x:dataValidation type="list" allowBlank="1" sqref="B13">
      <x:formula1>"INS-11A,INS-11B,INS-11C"</x:formula1>
    </x:dataValidation>
    <x:dataValidation type="list" allowBlank="1" sqref="B5">
      <x:formula1>"RH-01,RH-02,RH-03"</x:formula1>
    </x:dataValidation>
    <x:dataValidation type="list" allowBlank="1" sqref="B14">
      <x:formula1>"INV-01A,INV-01B,INV-01C"</x:formula1>
    </x:dataValidation>
    <x:dataValidation type="list" allowBlank="1" sqref="B12">
      <x:formula1>"INS-10A,INS-10B"</x:formula1>
    </x:dataValidation>
    <x:dataValidation type="list" allowBlank="1" sqref="B2">
      <x:formula1>"INF-02,INF-03,INF-04"</x:formula1>
    </x:dataValidation>
    <x:dataValidation type="list" allowBlank="1" sqref="B7">
      <x:formula1>"RH-07,RH-08,RH-09"</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ColWidth="14.430000305175781" defaultRowHeight="15"/>
  <x:cols>
    <x:col min="1" max="1" width="10" customWidth="1"/>
    <x:col min="2" max="2" width="16" customWidth="1"/>
    <x:col min="3" max="3" width="26" customWidth="1"/>
    <x:col min="4" max="4" width="31.860000610351562" customWidth="1"/>
    <x:col min="5" max="5" width="21.290000915527344" customWidth="1"/>
    <x:col min="6" max="6" width="79.86000061035156" customWidth="1"/>
    <x:col min="7" max="7" width="13.859999656677246" customWidth="1"/>
    <x:col min="8" max="11" width="12" customWidth="1"/>
    <x:col min="12" max="12" width="40.290000915527344" customWidth="1"/>
    <x:col min="13" max="26" width="8.710000038146973" customWidth="1"/>
  </x:cols>
  <x:sheetData>
    <x:row r="1">
      <x:c r="A1" s="8" t="s">
        <x:v>45</x:v>
      </x:c>
      <x:c r="B1" s="8" t="s">
        <x:v>46</x:v>
      </x:c>
      <x:c r="C1" s="8" t="s">
        <x:v>15</x:v>
      </x:c>
      <x:c r="D1" s="8" t="s">
        <x:v>47</x:v>
      </x:c>
      <x:c r="E1" s="8" t="s">
        <x:v>48</x:v>
      </x:c>
      <x:c r="F1" s="8" t="s">
        <x:v>49</x:v>
      </x:c>
      <x:c r="G1" s="8" t="s">
        <x:v>50</x:v>
      </x:c>
      <x:c r="H1" s="8" t="s">
        <x:v>51</x:v>
      </x:c>
      <x:c r="I1" s="8" t="s">
        <x:v>52</x:v>
      </x:c>
      <x:c r="J1" s="8" t="s">
        <x:v>53</x:v>
      </x:c>
      <x:c r="K1" s="8" t="s">
        <x:v>54</x:v>
      </x:c>
      <x:c r="L1" s="8" t="s">
        <x:v>55</x:v>
      </x:c>
    </x:row>
    <x:row r="2">
      <x:c r="A2" s="10" t="s">
        <x:v>56</x:v>
      </x:c>
      <x:c r="B2" s="10" t="s">
        <x:v>57</x:v>
      </x:c>
      <x:c r="C2" s="12" t="s">
        <x:v>58</x:v>
      </x:c>
      <x:c r="D2" s="10" t="s">
        <x:v>59</x:v>
      </x:c>
      <x:c r="E2" s="10" t="s">
        <x:v>60</x:v>
      </x:c>
      <x:c r="F2" s="10" t="s">
        <x:v>61</x:v>
      </x:c>
      <x:c r="G2" s="10">
        <x:v>0.0</x:v>
      </x:c>
      <x:c r="H2" s="13">
        <x:v>0.0</x:v>
      </x:c>
      <x:c r="I2" s="13">
        <x:v>0.0</x:v>
      </x:c>
      <x:c r="J2" s="13">
        <x:v>0.0</x:v>
      </x:c>
      <x:c r="K2" s="13">
        <x:v>0.0</x:v>
      </x:c>
      <x:c r="L2" s="10" t="s">
        <x:v>62</x:v>
      </x:c>
    </x:row>
    <x:row r="3">
      <x:c r="A3" s="10" t="s">
        <x:v>63</x:v>
      </x:c>
      <x:c r="B3" s="10" t="s">
        <x:v>57</x:v>
      </x:c>
      <x:c r="C3" s="14" t="s">
        <x:v>64</x:v>
      </x:c>
      <x:c r="D3" s="10" t="s">
        <x:v>59</x:v>
      </x:c>
      <x:c r="E3" s="10" t="s">
        <x:v>60</x:v>
      </x:c>
      <x:c r="F3" s="10" t="s">
        <x:v>65</x:v>
      </x:c>
      <x:c r="G3" s="10">
        <x:v>0.0</x:v>
      </x:c>
      <x:c r="H3" s="13">
        <x:v>0.0</x:v>
      </x:c>
      <x:c r="I3" s="13">
        <x:v>0.0</x:v>
      </x:c>
      <x:c r="J3" s="13">
        <x:v>0.0</x:v>
      </x:c>
      <x:c r="K3" s="13">
        <x:v>0.0</x:v>
      </x:c>
      <x:c r="L3" s="10" t="s">
        <x:v>62</x:v>
      </x:c>
    </x:row>
    <x:row r="4">
      <x:c r="A4" s="10" t="s">
        <x:v>66</x:v>
      </x:c>
      <x:c r="B4" s="10" t="s">
        <x:v>57</x:v>
      </x:c>
      <x:c r="C4" s="15" t="s">
        <x:v>67</x:v>
      </x:c>
      <x:c r="D4" s="10" t="s">
        <x:v>59</x:v>
      </x:c>
      <x:c r="E4" s="10" t="s">
        <x:v>60</x:v>
      </x:c>
      <x:c r="F4" s="10" t="s">
        <x:v>68</x:v>
      </x:c>
      <x:c r="G4" s="10">
        <x:v>0.0</x:v>
      </x:c>
      <x:c r="H4" s="13">
        <x:v>0.0</x:v>
      </x:c>
      <x:c r="I4" s="13">
        <x:v>0.0</x:v>
      </x:c>
      <x:c r="J4" s="13">
        <x:v>0.0</x:v>
      </x:c>
      <x:c r="K4" s="13">
        <x:v>0.0</x:v>
      </x:c>
      <x:c r="L4" s="10" t="s">
        <x:v>62</x:v>
      </x:c>
    </x:row>
    <x:row r="5">
      <x:c r="A5" s="10" t="s">
        <x:v>69</x:v>
      </x:c>
      <x:c r="B5" s="10" t="s">
        <x:v>57</x:v>
      </x:c>
      <x:c r="C5" s="10" t="s">
        <x:v>70</x:v>
      </x:c>
      <x:c r="D5" s="10" t="s">
        <x:v>71</x:v>
      </x:c>
      <x:c r="E5" s="10" t="s">
        <x:v>60</x:v>
      </x:c>
      <x:c r="F5" s="10" t="s">
        <x:v>72</x:v>
      </x:c>
      <x:c r="G5" s="10">
        <x:v>0.0</x:v>
      </x:c>
      <x:c r="H5" s="13">
        <x:v>0.0</x:v>
      </x:c>
      <x:c r="I5" s="13">
        <x:v>0.0</x:v>
      </x:c>
      <x:c r="J5" s="13">
        <x:v>1.0</x:v>
      </x:c>
      <x:c r="K5" s="13">
        <x:v>0.0</x:v>
      </x:c>
      <x:c r="L5" s="10" t="s">
        <x:v>73</x:v>
      </x:c>
    </x:row>
    <x:row r="6">
      <x:c r="A6" s="10" t="s">
        <x:v>74</x:v>
      </x:c>
      <x:c r="B6" s="10" t="s">
        <x:v>57</x:v>
      </x:c>
      <x:c r="C6" s="10" t="s">
        <x:v>70</x:v>
      </x:c>
      <x:c r="D6" s="10" t="s">
        <x:v>75</x:v>
      </x:c>
      <x:c r="E6" s="10" t="s">
        <x:v>60</x:v>
      </x:c>
      <x:c r="F6" s="10" t="s">
        <x:v>76</x:v>
      </x:c>
      <x:c r="G6" s="10">
        <x:v>0.0</x:v>
      </x:c>
      <x:c r="H6" s="13">
        <x:v>1.0</x:v>
      </x:c>
      <x:c r="I6" s="13">
        <x:v>0.0</x:v>
      </x:c>
      <x:c r="J6" s="13">
        <x:v>1.0</x:v>
      </x:c>
      <x:c r="K6" s="13">
        <x:v>0.0</x:v>
      </x:c>
      <x:c r="L6" s="10"/>
    </x:row>
    <x:row r="7">
      <x:c r="A7" s="10" t="s">
        <x:v>77</x:v>
      </x:c>
      <x:c r="B7" s="10" t="s">
        <x:v>57</x:v>
      </x:c>
      <x:c r="C7" s="10" t="s">
        <x:v>70</x:v>
      </x:c>
      <x:c r="D7" s="10" t="s">
        <x:v>78</x:v>
      </x:c>
      <x:c r="E7" s="10" t="s">
        <x:v>60</x:v>
      </x:c>
      <x:c r="F7" s="10" t="s">
        <x:v>79</x:v>
      </x:c>
      <x:c r="G7" s="10">
        <x:v>0.0</x:v>
      </x:c>
      <x:c r="H7" s="13">
        <x:v>2.0</x:v>
      </x:c>
      <x:c r="I7" s="13">
        <x:v>0.0</x:v>
      </x:c>
      <x:c r="J7" s="13">
        <x:v>2.0</x:v>
      </x:c>
      <x:c r="K7" s="13">
        <x:v>0.0</x:v>
      </x:c>
      <x:c r="L7" s="10" t="s">
        <x:v>80</x:v>
      </x:c>
    </x:row>
    <x:row r="8">
      <x:c r="A8" s="10" t="s">
        <x:v>81</x:v>
      </x:c>
      <x:c r="B8" s="10" t="s">
        <x:v>82</x:v>
      </x:c>
      <x:c r="C8" s="10" t="s">
        <x:v>83</x:v>
      </x:c>
      <x:c r="D8" s="10" t="s">
        <x:v>84</x:v>
      </x:c>
      <x:c r="E8" s="10" t="s">
        <x:v>60</x:v>
      </x:c>
      <x:c r="F8" s="10" t="s">
        <x:v>85</x:v>
      </x:c>
      <x:c r="G8" s="10">
        <x:v>2500.0</x:v>
      </x:c>
      <x:c r="H8" s="13">
        <x:v>0.0</x:v>
      </x:c>
      <x:c r="I8" s="13">
        <x:v>1.0</x:v>
      </x:c>
      <x:c r="J8" s="13">
        <x:v>0.0</x:v>
      </x:c>
      <x:c r="K8" s="13">
        <x:v>0.0</x:v>
      </x:c>
      <x:c r="L8" s="10" t="s">
        <x:v>86</x:v>
      </x:c>
    </x:row>
    <x:row r="9">
      <x:c r="A9" s="10" t="s">
        <x:v>87</x:v>
      </x:c>
      <x:c r="B9" s="10" t="s">
        <x:v>82</x:v>
      </x:c>
      <x:c r="C9" s="10" t="s">
        <x:v>24</x:v>
      </x:c>
      <x:c r="D9" s="10" t="s">
        <x:v>88</x:v>
      </x:c>
      <x:c r="E9" s="10" t="s">
        <x:v>60</x:v>
      </x:c>
      <x:c r="F9" s="10" t="s">
        <x:v>89</x:v>
      </x:c>
      <x:c r="G9" s="10">
        <x:v>3500.0</x:v>
      </x:c>
      <x:c r="H9" s="13">
        <x:v>1.0</x:v>
      </x:c>
      <x:c r="I9" s="13">
        <x:v>1.0</x:v>
      </x:c>
      <x:c r="J9" s="13">
        <x:v>0.0</x:v>
      </x:c>
      <x:c r="K9" s="13">
        <x:v>0.0</x:v>
      </x:c>
      <x:c r="L9" s="10"/>
    </x:row>
    <x:row r="10">
      <x:c r="A10" s="10" t="s">
        <x:v>90</x:v>
      </x:c>
      <x:c r="B10" s="10" t="s">
        <x:v>82</x:v>
      </x:c>
      <x:c r="C10" s="10" t="s">
        <x:v>24</x:v>
      </x:c>
      <x:c r="D10" s="10" t="s">
        <x:v>91</x:v>
      </x:c>
      <x:c r="E10" s="10" t="s">
        <x:v>60</x:v>
      </x:c>
      <x:c r="F10" s="10" t="s">
        <x:v>92</x:v>
      </x:c>
      <x:c r="G10" s="10">
        <x:v>7500.0</x:v>
      </x:c>
      <x:c r="H10" s="13">
        <x:v>2.0</x:v>
      </x:c>
      <x:c r="I10" s="13">
        <x:v>2.0</x:v>
      </x:c>
      <x:c r="J10" s="13">
        <x:v>0.0</x:v>
      </x:c>
      <x:c r="K10" s="13">
        <x:v>0.0</x:v>
      </x:c>
      <x:c r="L10" s="10"/>
    </x:row>
    <x:row r="11">
      <x:c r="A11" s="10" t="s">
        <x:v>93</x:v>
      </x:c>
      <x:c r="B11" s="10" t="s">
        <x:v>82</x:v>
      </x:c>
      <x:c r="C11" s="10" t="s">
        <x:v>24</x:v>
      </x:c>
      <x:c r="D11" s="10" t="s">
        <x:v>94</x:v>
      </x:c>
      <x:c r="E11" s="10" t="s">
        <x:v>60</x:v>
      </x:c>
      <x:c r="F11" s="10" t="s">
        <x:v>95</x:v>
      </x:c>
      <x:c r="G11" s="10">
        <x:v>15000.0</x:v>
      </x:c>
      <x:c r="H11" s="13">
        <x:v>3.0</x:v>
      </x:c>
      <x:c r="I11" s="13">
        <x:v>3.0</x:v>
      </x:c>
      <x:c r="J11" s="13">
        <x:v>0.0</x:v>
      </x:c>
      <x:c r="K11" s="13">
        <x:v>0.0</x:v>
      </x:c>
      <x:c r="L11" s="10"/>
    </x:row>
    <x:row r="12">
      <x:c r="A12" s="10" t="s">
        <x:v>96</x:v>
      </x:c>
      <x:c r="B12" s="10" t="s">
        <x:v>82</x:v>
      </x:c>
      <x:c r="C12" s="10" t="s">
        <x:v>25</x:v>
      </x:c>
      <x:c r="D12" s="10" t="s">
        <x:v>88</x:v>
      </x:c>
      <x:c r="E12" s="10" t="s">
        <x:v>60</x:v>
      </x:c>
      <x:c r="F12" s="10" t="s">
        <x:v>97</x:v>
      </x:c>
      <x:c r="G12" s="10">
        <x:v>1200.0</x:v>
      </x:c>
      <x:c r="H12" s="13">
        <x:v>1.0</x:v>
      </x:c>
      <x:c r="I12" s="13">
        <x:v>1.0</x:v>
      </x:c>
      <x:c r="J12" s="13">
        <x:v>0.0</x:v>
      </x:c>
      <x:c r="K12" s="13">
        <x:v>0.0</x:v>
      </x:c>
      <x:c r="L12" s="10"/>
    </x:row>
    <x:row r="13">
      <x:c r="A13" s="10" t="s">
        <x:v>98</x:v>
      </x:c>
      <x:c r="B13" s="10" t="s">
        <x:v>82</x:v>
      </x:c>
      <x:c r="C13" s="10" t="s">
        <x:v>25</x:v>
      </x:c>
      <x:c r="D13" s="10" t="s">
        <x:v>91</x:v>
      </x:c>
      <x:c r="E13" s="10" t="s">
        <x:v>60</x:v>
      </x:c>
      <x:c r="F13" s="10" t="s">
        <x:v>99</x:v>
      </x:c>
      <x:c r="G13" s="10">
        <x:v>4500.0</x:v>
      </x:c>
      <x:c r="H13" s="13">
        <x:v>2.0</x:v>
      </x:c>
      <x:c r="I13" s="13">
        <x:v>2.0</x:v>
      </x:c>
      <x:c r="J13" s="13">
        <x:v>0.0</x:v>
      </x:c>
      <x:c r="K13" s="13">
        <x:v>0.0</x:v>
      </x:c>
      <x:c r="L13" s="10"/>
    </x:row>
    <x:row r="14">
      <x:c r="A14" s="10" t="s">
        <x:v>100</x:v>
      </x:c>
      <x:c r="B14" s="10" t="s">
        <x:v>82</x:v>
      </x:c>
      <x:c r="C14" s="10" t="s">
        <x:v>25</x:v>
      </x:c>
      <x:c r="D14" s="10" t="s">
        <x:v>94</x:v>
      </x:c>
      <x:c r="E14" s="10" t="s">
        <x:v>60</x:v>
      </x:c>
      <x:c r="F14" s="10" t="s">
        <x:v>101</x:v>
      </x:c>
      <x:c r="G14" s="10">
        <x:v>9500.0</x:v>
      </x:c>
      <x:c r="H14" s="13">
        <x:v>3.0</x:v>
      </x:c>
      <x:c r="I14" s="13">
        <x:v>3.0</x:v>
      </x:c>
      <x:c r="J14" s="13">
        <x:v>0.0</x:v>
      </x:c>
      <x:c r="K14" s="13">
        <x:v>0.0</x:v>
      </x:c>
      <x:c r="L14" s="10"/>
    </x:row>
    <x:row r="15">
      <x:c r="A15" s="10" t="s">
        <x:v>102</x:v>
      </x:c>
      <x:c r="B15" s="10" t="s">
        <x:v>82</x:v>
      </x:c>
      <x:c r="C15" s="10" t="s">
        <x:v>26</x:v>
      </x:c>
      <x:c r="D15" s="10" t="s">
        <x:v>103</x:v>
      </x:c>
      <x:c r="E15" s="10" t="s">
        <x:v>60</x:v>
      </x:c>
      <x:c r="F15" s="10" t="s">
        <x:v>104</x:v>
      </x:c>
      <x:c r="G15" s="10">
        <x:v>300.0</x:v>
      </x:c>
      <x:c r="H15" s="13">
        <x:v>1.0</x:v>
      </x:c>
      <x:c r="I15" s="13">
        <x:v>1.0</x:v>
      </x:c>
      <x:c r="J15" s="13">
        <x:v>0.0</x:v>
      </x:c>
      <x:c r="K15" s="13">
        <x:v>0.0</x:v>
      </x:c>
      <x:c r="L15" s="10" t="s">
        <x:v>105</x:v>
      </x:c>
    </x:row>
    <x:row r="16">
      <x:c r="A16" s="10" t="s">
        <x:v>106</x:v>
      </x:c>
      <x:c r="B16" s="10" t="s">
        <x:v>82</x:v>
      </x:c>
      <x:c r="C16" s="10" t="s">
        <x:v>26</x:v>
      </x:c>
      <x:c r="D16" s="10" t="s">
        <x:v>107</x:v>
      </x:c>
      <x:c r="E16" s="10" t="s">
        <x:v>60</x:v>
      </x:c>
      <x:c r="F16" s="10" t="s">
        <x:v>108</x:v>
      </x:c>
      <x:c r="G16" s="10">
        <x:v>1200.0</x:v>
      </x:c>
      <x:c r="H16" s="13">
        <x:v>2.0</x:v>
      </x:c>
      <x:c r="I16" s="13">
        <x:v>2.0</x:v>
      </x:c>
      <x:c r="J16" s="13">
        <x:v>1.0</x:v>
      </x:c>
      <x:c r="K16" s="13">
        <x:v>0.0</x:v>
      </x:c>
      <x:c r="L16" s="10" t="s">
        <x:v>109</x:v>
      </x:c>
    </x:row>
    <x:row r="17">
      <x:c r="A17" s="10" t="s">
        <x:v>110</x:v>
      </x:c>
      <x:c r="B17" s="10" t="s">
        <x:v>82</x:v>
      </x:c>
      <x:c r="C17" s="10" t="s">
        <x:v>26</x:v>
      </x:c>
      <x:c r="D17" s="10" t="s">
        <x:v>111</x:v>
      </x:c>
      <x:c r="E17" s="10" t="s">
        <x:v>60</x:v>
      </x:c>
      <x:c r="F17" s="10" t="s">
        <x:v>112</x:v>
      </x:c>
      <x:c r="G17" s="10">
        <x:v>3500.0</x:v>
      </x:c>
      <x:c r="H17" s="13">
        <x:v>4.0</x:v>
      </x:c>
      <x:c r="I17" s="13">
        <x:v>2.0</x:v>
      </x:c>
      <x:c r="J17" s="13">
        <x:v>2.0</x:v>
      </x:c>
      <x:c r="K17" s="13">
        <x:v>0.0</x:v>
      </x:c>
      <x:c r="L17" s="10" t="s">
        <x:v>113</x:v>
      </x:c>
    </x:row>
    <x:row r="18">
      <x:c r="A18" s="10" t="s">
        <x:v>114</x:v>
      </x:c>
      <x:c r="B18" s="10" t="s">
        <x:v>115</x:v>
      </x:c>
      <x:c r="C18" s="10" t="s">
        <x:v>27</x:v>
      </x:c>
      <x:c r="D18" s="10" t="s">
        <x:v>116</x:v>
      </x:c>
      <x:c r="E18" s="10" t="s">
        <x:v>117</x:v>
      </x:c>
      <x:c r="F18" s="10" t="s">
        <x:v>118</x:v>
      </x:c>
      <x:c r="G18" s="10">
        <x:v>1500.0</x:v>
      </x:c>
      <x:c r="H18" s="13">
        <x:v>0.0</x:v>
      </x:c>
      <x:c r="I18" s="13">
        <x:v>1.0</x:v>
      </x:c>
      <x:c r="J18" s="13">
        <x:v>0.0</x:v>
      </x:c>
      <x:c r="K18" s="13">
        <x:v>0.0</x:v>
      </x:c>
      <x:c r="L18" s="10"/>
    </x:row>
    <x:row r="19">
      <x:c r="A19" s="10" t="s">
        <x:v>119</x:v>
      </x:c>
      <x:c r="B19" s="10" t="s">
        <x:v>115</x:v>
      </x:c>
      <x:c r="C19" s="10" t="s">
        <x:v>27</x:v>
      </x:c>
      <x:c r="D19" s="10" t="s">
        <x:v>120</x:v>
      </x:c>
      <x:c r="E19" s="10" t="s">
        <x:v>117</x:v>
      </x:c>
      <x:c r="F19" s="10" t="s">
        <x:v>121</x:v>
      </x:c>
      <x:c r="G19" s="10">
        <x:v>2500.0</x:v>
      </x:c>
      <x:c r="H19" s="13">
        <x:v>1.0</x:v>
      </x:c>
      <x:c r="I19" s="13">
        <x:v>2.0</x:v>
      </x:c>
      <x:c r="J19" s="13">
        <x:v>0.0</x:v>
      </x:c>
      <x:c r="K19" s="13">
        <x:v>0.0</x:v>
      </x:c>
      <x:c r="L19" s="10"/>
    </x:row>
    <x:row r="20">
      <x:c r="A20" s="10" t="s">
        <x:v>122</x:v>
      </x:c>
      <x:c r="B20" s="10" t="s">
        <x:v>115</x:v>
      </x:c>
      <x:c r="C20" s="10" t="s">
        <x:v>27</x:v>
      </x:c>
      <x:c r="D20" s="10" t="s">
        <x:v>123</x:v>
      </x:c>
      <x:c r="E20" s="10" t="s">
        <x:v>117</x:v>
      </x:c>
      <x:c r="F20" s="10" t="s">
        <x:v>124</x:v>
      </x:c>
      <x:c r="G20" s="10">
        <x:v>4000.0</x:v>
      </x:c>
      <x:c r="H20" s="13">
        <x:v>2.0</x:v>
      </x:c>
      <x:c r="I20" s="13">
        <x:v>3.0</x:v>
      </x:c>
      <x:c r="J20" s="13">
        <x:v>0.0</x:v>
      </x:c>
      <x:c r="K20" s="13">
        <x:v>0.0</x:v>
      </x:c>
      <x:c r="L20" s="10"/>
    </x:row>
    <x:row r="21" ht="15.75" customHeight="1">
      <x:c r="A21" s="10" t="s">
        <x:v>125</x:v>
      </x:c>
      <x:c r="B21" s="10" t="s">
        <x:v>115</x:v>
      </x:c>
      <x:c r="C21" s="10" t="s">
        <x:v>28</x:v>
      </x:c>
      <x:c r="D21" s="10" t="s">
        <x:v>126</x:v>
      </x:c>
      <x:c r="E21" s="10" t="s">
        <x:v>117</x:v>
      </x:c>
      <x:c r="F21" s="10" t="s">
        <x:v>127</x:v>
      </x:c>
      <x:c r="G21" s="10">
        <x:v>1500.0</x:v>
      </x:c>
      <x:c r="H21" s="13">
        <x:v>0.0</x:v>
      </x:c>
      <x:c r="I21" s="13">
        <x:v>1.0</x:v>
      </x:c>
      <x:c r="J21" s="13">
        <x:v>0.0</x:v>
      </x:c>
      <x:c r="K21" s="13">
        <x:v>0.0</x:v>
      </x:c>
      <x:c r="L21" s="10"/>
    </x:row>
    <x:row r="22" ht="15.75" customHeight="1">
      <x:c r="A22" s="10" t="s">
        <x:v>128</x:v>
      </x:c>
      <x:c r="B22" s="10" t="s">
        <x:v>115</x:v>
      </x:c>
      <x:c r="C22" s="10" t="s">
        <x:v>28</x:v>
      </x:c>
      <x:c r="D22" s="10" t="s">
        <x:v>129</x:v>
      </x:c>
      <x:c r="E22" s="10" t="s">
        <x:v>117</x:v>
      </x:c>
      <x:c r="F22" s="10" t="s">
        <x:v>130</x:v>
      </x:c>
      <x:c r="G22" s="10">
        <x:v>2800.0</x:v>
      </x:c>
      <x:c r="H22" s="13">
        <x:v>1.0</x:v>
      </x:c>
      <x:c r="I22" s="13">
        <x:v>2.0</x:v>
      </x:c>
      <x:c r="J22" s="13">
        <x:v>0.0</x:v>
      </x:c>
      <x:c r="K22" s="13">
        <x:v>0.0</x:v>
      </x:c>
      <x:c r="L22" s="10"/>
    </x:row>
    <x:row r="23" ht="15.75" customHeight="1">
      <x:c r="A23" s="10" t="s">
        <x:v>131</x:v>
      </x:c>
      <x:c r="B23" s="10" t="s">
        <x:v>115</x:v>
      </x:c>
      <x:c r="C23" s="10" t="s">
        <x:v>28</x:v>
      </x:c>
      <x:c r="D23" s="10" t="s">
        <x:v>132</x:v>
      </x:c>
      <x:c r="E23" s="10" t="s">
        <x:v>117</x:v>
      </x:c>
      <x:c r="F23" s="10" t="s">
        <x:v>133</x:v>
      </x:c>
      <x:c r="G23" s="10">
        <x:v>4500.0</x:v>
      </x:c>
      <x:c r="H23" s="13">
        <x:v>2.0</x:v>
      </x:c>
      <x:c r="I23" s="13">
        <x:v>3.0</x:v>
      </x:c>
      <x:c r="J23" s="13">
        <x:v>1.0</x:v>
      </x:c>
      <x:c r="K23" s="13">
        <x:v>0.0</x:v>
      </x:c>
      <x:c r="L23" s="10"/>
    </x:row>
    <x:row r="24" ht="15.75" customHeight="1">
      <x:c r="A24" s="10" t="s">
        <x:v>134</x:v>
      </x:c>
      <x:c r="B24" s="10" t="s">
        <x:v>115</x:v>
      </x:c>
      <x:c r="C24" s="10" t="s">
        <x:v>29</x:v>
      </x:c>
      <x:c r="D24" s="10" t="s">
        <x:v>135</x:v>
      </x:c>
      <x:c r="E24" s="10" t="s">
        <x:v>117</x:v>
      </x:c>
      <x:c r="F24" s="10" t="s">
        <x:v>136</x:v>
      </x:c>
      <x:c r="G24" s="10">
        <x:v>1500.0</x:v>
      </x:c>
      <x:c r="H24" s="13">
        <x:v>0.0</x:v>
      </x:c>
      <x:c r="I24" s="13">
        <x:v>1.0</x:v>
      </x:c>
      <x:c r="J24" s="13">
        <x:v>0.0</x:v>
      </x:c>
      <x:c r="K24" s="13">
        <x:v>0.0</x:v>
      </x:c>
      <x:c r="L24" s="10"/>
    </x:row>
    <x:row r="25" ht="15.75" customHeight="1">
      <x:c r="A25" s="10" t="s">
        <x:v>137</x:v>
      </x:c>
      <x:c r="B25" s="10" t="s">
        <x:v>115</x:v>
      </x:c>
      <x:c r="C25" s="10" t="s">
        <x:v>29</x:v>
      </x:c>
      <x:c r="D25" s="10" t="s">
        <x:v>138</x:v>
      </x:c>
      <x:c r="E25" s="10" t="s">
        <x:v>117</x:v>
      </x:c>
      <x:c r="F25" s="10" t="s">
        <x:v>139</x:v>
      </x:c>
      <x:c r="G25" s="10">
        <x:v>2800.0</x:v>
      </x:c>
      <x:c r="H25" s="13">
        <x:v>1.0</x:v>
      </x:c>
      <x:c r="I25" s="13">
        <x:v>2.0</x:v>
      </x:c>
      <x:c r="J25" s="13">
        <x:v>0.0</x:v>
      </x:c>
      <x:c r="K25" s="13">
        <x:v>0.0</x:v>
      </x:c>
      <x:c r="L25" s="10"/>
    </x:row>
    <x:row r="26" ht="15.75" customHeight="1">
      <x:c r="A26" s="10" t="s">
        <x:v>140</x:v>
      </x:c>
      <x:c r="B26" s="10" t="s">
        <x:v>115</x:v>
      </x:c>
      <x:c r="C26" s="10" t="s">
        <x:v>29</x:v>
      </x:c>
      <x:c r="D26" s="10" t="s">
        <x:v>141</x:v>
      </x:c>
      <x:c r="E26" s="10" t="s">
        <x:v>117</x:v>
      </x:c>
      <x:c r="F26" s="10" t="s">
        <x:v>142</x:v>
      </x:c>
      <x:c r="G26" s="10">
        <x:v>4500.0</x:v>
      </x:c>
      <x:c r="H26" s="13">
        <x:v>2.0</x:v>
      </x:c>
      <x:c r="I26" s="13">
        <x:v>3.0</x:v>
      </x:c>
      <x:c r="J26" s="13">
        <x:v>1.0</x:v>
      </x:c>
      <x:c r="K26" s="13">
        <x:v>0.0</x:v>
      </x:c>
      <x:c r="L26" s="10"/>
    </x:row>
    <x:row r="27" ht="15.75" customHeight="1">
      <x:c r="A27" s="10" t="s">
        <x:v>143</x:v>
      </x:c>
      <x:c r="B27" s="10" t="s">
        <x:v>115</x:v>
      </x:c>
      <x:c r="C27" s="10" t="s">
        <x:v>30</x:v>
      </x:c>
      <x:c r="D27" s="10" t="s">
        <x:v>144</x:v>
      </x:c>
      <x:c r="E27" s="10" t="s">
        <x:v>117</x:v>
      </x:c>
      <x:c r="F27" s="10" t="s">
        <x:v>145</x:v>
      </x:c>
      <x:c r="G27" s="10">
        <x:v>3000.0</x:v>
      </x:c>
      <x:c r="H27" s="13">
        <x:v>0.0</x:v>
      </x:c>
      <x:c r="I27" s="13">
        <x:v>2.0</x:v>
      </x:c>
      <x:c r="J27" s="13">
        <x:v>1.0</x:v>
      </x:c>
      <x:c r="K27" s="13">
        <x:v>0.0</x:v>
      </x:c>
      <x:c r="L27" s="10"/>
    </x:row>
    <x:row r="28" ht="15.75" customHeight="1">
      <x:c r="A28" s="10" t="s">
        <x:v>146</x:v>
      </x:c>
      <x:c r="B28" s="10" t="s">
        <x:v>115</x:v>
      </x:c>
      <x:c r="C28" s="10" t="s">
        <x:v>30</x:v>
      </x:c>
      <x:c r="D28" s="10" t="s">
        <x:v>147</x:v>
      </x:c>
      <x:c r="E28" s="10" t="s">
        <x:v>117</x:v>
      </x:c>
      <x:c r="F28" s="10" t="s">
        <x:v>148</x:v>
      </x:c>
      <x:c r="G28" s="10">
        <x:v>0.0</x:v>
      </x:c>
      <x:c r="H28" s="13">
        <x:v>0.0</x:v>
      </x:c>
      <x:c r="I28" s="13">
        <x:v>-1.0</x:v>
      </x:c>
      <x:c r="J28" s="13">
        <x:v>0.0</x:v>
      </x:c>
      <x:c r="K28" s="13">
        <x:v>1.0</x:v>
      </x:c>
      <x:c r="L28" s="10" t="s">
        <x:v>149</x:v>
      </x:c>
    </x:row>
    <x:row r="29" ht="15.75" customHeight="1">
      <x:c r="A29" s="10" t="s">
        <x:v>150</x:v>
      </x:c>
      <x:c r="B29" s="10" t="s">
        <x:v>115</x:v>
      </x:c>
      <x:c r="C29" s="10" t="s">
        <x:v>151</x:v>
      </x:c>
      <x:c r="D29" s="10" t="s">
        <x:v>84</x:v>
      </x:c>
      <x:c r="E29" s="10" t="s">
        <x:v>60</x:v>
      </x:c>
      <x:c r="F29" s="10" t="s">
        <x:v>152</x:v>
      </x:c>
      <x:c r="G29" s="10">
        <x:v>600.0</x:v>
      </x:c>
      <x:c r="H29" s="13">
        <x:v>0.0</x:v>
      </x:c>
      <x:c r="I29" s="13">
        <x:v>0.0</x:v>
      </x:c>
      <x:c r="J29" s="13">
        <x:v>0.0</x:v>
      </x:c>
      <x:c r="K29" s="13">
        <x:v>0.0</x:v>
      </x:c>
      <x:c r="L29" s="10"/>
    </x:row>
    <x:row r="30" ht="15.75" customHeight="1">
      <x:c r="A30" s="10" t="s">
        <x:v>153</x:v>
      </x:c>
      <x:c r="B30" s="10" t="s">
        <x:v>115</x:v>
      </x:c>
      <x:c r="C30" s="10" t="s">
        <x:v>154</x:v>
      </x:c>
      <x:c r="D30" s="10" t="s">
        <x:v>155</x:v>
      </x:c>
      <x:c r="E30" s="10" t="s">
        <x:v>60</x:v>
      </x:c>
      <x:c r="F30" s="10" t="s">
        <x:v>156</x:v>
      </x:c>
      <x:c r="G30" s="10">
        <x:v>2000.0</x:v>
      </x:c>
      <x:c r="H30" s="13">
        <x:v>0.0</x:v>
      </x:c>
      <x:c r="I30" s="13">
        <x:v>0.0</x:v>
      </x:c>
      <x:c r="J30" s="13">
        <x:v>0.0</x:v>
      </x:c>
      <x:c r="K30" s="13">
        <x:v>0.0</x:v>
      </x:c>
      <x:c r="L30" s="10"/>
    </x:row>
    <x:row r="31" ht="15.75" customHeight="1">
      <x:c r="A31" s="10" t="s">
        <x:v>157</x:v>
      </x:c>
      <x:c r="B31" s="10" t="s">
        <x:v>158</x:v>
      </x:c>
      <x:c r="C31" s="10" t="s">
        <x:v>31</x:v>
      </x:c>
      <x:c r="D31" s="10" t="s">
        <x:v>159</x:v>
      </x:c>
      <x:c r="E31" s="10" t="s">
        <x:v>160</x:v>
      </x:c>
      <x:c r="F31" s="10" t="s">
        <x:v>161</x:v>
      </x:c>
      <x:c r="G31" s="10">
        <x:v>0.0</x:v>
      </x:c>
      <x:c r="H31" s="13">
        <x:v>0.0</x:v>
      </x:c>
      <x:c r="I31" s="13">
        <x:v>0.0</x:v>
      </x:c>
      <x:c r="J31" s="13">
        <x:v>0.0</x:v>
      </x:c>
      <x:c r="K31" s="13">
        <x:v>1.0</x:v>
      </x:c>
      <x:c r="L31" s="10"/>
    </x:row>
    <x:row r="32" ht="15.75" customHeight="1">
      <x:c r="A32" s="10" t="s">
        <x:v>162</x:v>
      </x:c>
      <x:c r="B32" s="10" t="s">
        <x:v>158</x:v>
      </x:c>
      <x:c r="C32" s="10" t="s">
        <x:v>31</x:v>
      </x:c>
      <x:c r="D32" s="10" t="s">
        <x:v>163</x:v>
      </x:c>
      <x:c r="E32" s="10" t="s">
        <x:v>160</x:v>
      </x:c>
      <x:c r="F32" s="10" t="s">
        <x:v>164</x:v>
      </x:c>
      <x:c r="G32" s="10">
        <x:v>500.0</x:v>
      </x:c>
      <x:c r="H32" s="13">
        <x:v>0.0</x:v>
      </x:c>
      <x:c r="I32" s="13">
        <x:v>0.0</x:v>
      </x:c>
      <x:c r="J32" s="13">
        <x:v>1.0</x:v>
      </x:c>
      <x:c r="K32" s="13">
        <x:v>0.0</x:v>
      </x:c>
      <x:c r="L32" s="10"/>
    </x:row>
    <x:row r="33" ht="15.75" customHeight="1">
      <x:c r="A33" s="10" t="s">
        <x:v>165</x:v>
      </x:c>
      <x:c r="B33" s="10" t="s">
        <x:v>158</x:v>
      </x:c>
      <x:c r="C33" s="10" t="s">
        <x:v>31</x:v>
      </x:c>
      <x:c r="D33" s="10" t="s">
        <x:v>166</x:v>
      </x:c>
      <x:c r="E33" s="10" t="s">
        <x:v>160</x:v>
      </x:c>
      <x:c r="F33" s="10" t="s">
        <x:v>167</x:v>
      </x:c>
      <x:c r="G33" s="10">
        <x:v>1500.0</x:v>
      </x:c>
      <x:c r="H33" s="13">
        <x:v>0.0</x:v>
      </x:c>
      <x:c r="I33" s="13">
        <x:v>0.0</x:v>
      </x:c>
      <x:c r="J33" s="13">
        <x:v>2.0</x:v>
      </x:c>
      <x:c r="K33" s="13">
        <x:v>-1.0</x:v>
      </x:c>
      <x:c r="L33" s="10"/>
    </x:row>
    <x:row r="34" ht="15.75" customHeight="1">
      <x:c r="A34" s="10" t="s">
        <x:v>168</x:v>
      </x:c>
      <x:c r="B34" s="10" t="s">
        <x:v>158</x:v>
      </x:c>
      <x:c r="C34" s="10" t="s">
        <x:v>32</x:v>
      </x:c>
      <x:c r="D34" s="10" t="s">
        <x:v>169</x:v>
      </x:c>
      <x:c r="E34" s="10" t="s">
        <x:v>170</x:v>
      </x:c>
      <x:c r="F34" s="10" t="s">
        <x:v>171</x:v>
      </x:c>
      <x:c r="G34" s="10">
        <x:v>0.0</x:v>
      </x:c>
      <x:c r="H34" s="13">
        <x:v>0.0</x:v>
      </x:c>
      <x:c r="I34" s="13">
        <x:v>0.0</x:v>
      </x:c>
      <x:c r="J34" s="13">
        <x:v>0.0</x:v>
      </x:c>
      <x:c r="K34" s="13">
        <x:v>-1.0</x:v>
      </x:c>
      <x:c r="L34" s="10" t="s">
        <x:v>172</x:v>
      </x:c>
    </x:row>
    <x:row r="35" ht="15.75" customHeight="1">
      <x:c r="A35" s="10" t="s">
        <x:v>173</x:v>
      </x:c>
      <x:c r="B35" s="10" t="s">
        <x:v>158</x:v>
      </x:c>
      <x:c r="C35" s="10" t="s">
        <x:v>32</x:v>
      </x:c>
      <x:c r="D35" s="10" t="s">
        <x:v>174</x:v>
      </x:c>
      <x:c r="E35" s="10" t="s">
        <x:v>170</x:v>
      </x:c>
      <x:c r="F35" s="10" t="s">
        <x:v>175</x:v>
      </x:c>
      <x:c r="G35" s="10">
        <x:v>0.0</x:v>
      </x:c>
      <x:c r="H35" s="13">
        <x:v>0.0</x:v>
      </x:c>
      <x:c r="I35" s="13">
        <x:v>0.0</x:v>
      </x:c>
      <x:c r="J35" s="13">
        <x:v>1.0</x:v>
      </x:c>
      <x:c r="K35" s="13">
        <x:v>1.0</x:v>
      </x:c>
      <x:c r="L35" s="10"/>
    </x:row>
    <x:row r="36" ht="15.75" customHeight="1">
      <x:c r="A36" s="10" t="s">
        <x:v>176</x:v>
      </x:c>
      <x:c r="B36" s="10" t="s">
        <x:v>177</x:v>
      </x:c>
      <x:c r="C36" s="10" t="s">
        <x:v>178</x:v>
      </x:c>
      <x:c r="D36" s="10" t="s">
        <x:v>179</x:v>
      </x:c>
      <x:c r="E36" s="10" t="s">
        <x:v>160</x:v>
      </x:c>
      <x:c r="F36" s="10" t="s">
        <x:v>180</x:v>
      </x:c>
      <x:c r="G36" s="10">
        <x:v>25.0</x:v>
      </x:c>
      <x:c r="H36" s="13">
        <x:v>1.0</x:v>
      </x:c>
      <x:c r="I36" s="13">
        <x:v>0.0</x:v>
      </x:c>
      <x:c r="J36" s="13">
        <x:v>0.0</x:v>
      </x:c>
      <x:c r="K36" s="13">
        <x:v>1.0</x:v>
      </x:c>
      <x:c r="L36" s="10" t="s">
        <x:v>181</x:v>
      </x:c>
    </x:row>
    <x:row r="37" ht="15.75" customHeight="1">
      <x:c r="A37" s="10" t="s">
        <x:v>182</x:v>
      </x:c>
      <x:c r="B37" s="10" t="s">
        <x:v>177</x:v>
      </x:c>
      <x:c r="C37" s="10" t="s">
        <x:v>178</x:v>
      </x:c>
      <x:c r="D37" s="10" t="s">
        <x:v>183</x:v>
      </x:c>
      <x:c r="E37" s="10" t="s">
        <x:v>160</x:v>
      </x:c>
      <x:c r="F37" s="10" t="s">
        <x:v>184</x:v>
      </x:c>
      <x:c r="G37" s="10">
        <x:v>45.0</x:v>
      </x:c>
      <x:c r="H37" s="13">
        <x:v>2.0</x:v>
      </x:c>
      <x:c r="I37" s="13">
        <x:v>0.0</x:v>
      </x:c>
      <x:c r="J37" s="13">
        <x:v>0.0</x:v>
      </x:c>
      <x:c r="K37" s="13">
        <x:v>0.0</x:v>
      </x:c>
      <x:c r="L37" s="10" t="s">
        <x:v>181</x:v>
      </x:c>
    </x:row>
    <x:row r="38" ht="15.75" customHeight="1">
      <x:c r="A38" s="10" t="s">
        <x:v>185</x:v>
      </x:c>
      <x:c r="B38" s="10" t="s">
        <x:v>177</x:v>
      </x:c>
      <x:c r="C38" s="10" t="s">
        <x:v>178</x:v>
      </x:c>
      <x:c r="D38" s="10" t="s">
        <x:v>186</x:v>
      </x:c>
      <x:c r="E38" s="10" t="s">
        <x:v>160</x:v>
      </x:c>
      <x:c r="F38" s="10" t="s">
        <x:v>187</x:v>
      </x:c>
      <x:c r="G38" s="10">
        <x:v>80.0</x:v>
      </x:c>
      <x:c r="H38" s="13">
        <x:v>3.0</x:v>
      </x:c>
      <x:c r="I38" s="13">
        <x:v>0.0</x:v>
      </x:c>
      <x:c r="J38" s="13">
        <x:v>1.0</x:v>
      </x:c>
      <x:c r="K38" s="13">
        <x:v>-1.0</x:v>
      </x:c>
      <x:c r="L38" s="10" t="s">
        <x:v>181</x:v>
      </x:c>
    </x:row>
    <x:row r="39" ht="15.75" customHeight="1">
      <x:c r="A39" s="10" t="s">
        <x:v>188</x:v>
      </x:c>
      <x:c r="B39" s="10" t="s">
        <x:v>177</x:v>
      </x:c>
      <x:c r="C39" s="10" t="s">
        <x:v>189</x:v>
      </x:c>
      <x:c r="D39" s="10" t="s">
        <x:v>190</x:v>
      </x:c>
      <x:c r="E39" s="10" t="s">
        <x:v>160</x:v>
      </x:c>
      <x:c r="F39" s="10" t="s">
        <x:v>191</x:v>
      </x:c>
      <x:c r="G39" s="10">
        <x:v>4.0</x:v>
      </x:c>
      <x:c r="H39" s="13">
        <x:v>1.0</x:v>
      </x:c>
      <x:c r="I39" s="13">
        <x:v>0.0</x:v>
      </x:c>
      <x:c r="J39" s="13">
        <x:v>0.0</x:v>
      </x:c>
      <x:c r="K39" s="13">
        <x:v>1.0</x:v>
      </x:c>
      <x:c r="L39" s="10" t="s">
        <x:v>181</x:v>
      </x:c>
    </x:row>
    <x:row r="40" ht="15.75" customHeight="1">
      <x:c r="A40" s="10" t="s">
        <x:v>192</x:v>
      </x:c>
      <x:c r="B40" s="10" t="s">
        <x:v>177</x:v>
      </x:c>
      <x:c r="C40" s="10" t="s">
        <x:v>189</x:v>
      </x:c>
      <x:c r="D40" s="10" t="s">
        <x:v>193</x:v>
      </x:c>
      <x:c r="E40" s="10" t="s">
        <x:v>160</x:v>
      </x:c>
      <x:c r="F40" s="10" t="s">
        <x:v>194</x:v>
      </x:c>
      <x:c r="G40" s="10">
        <x:v>9.0</x:v>
      </x:c>
      <x:c r="H40" s="13">
        <x:v>2.0</x:v>
      </x:c>
      <x:c r="I40" s="13">
        <x:v>0.0</x:v>
      </x:c>
      <x:c r="J40" s="13">
        <x:v>1.0</x:v>
      </x:c>
      <x:c r="K40" s="13">
        <x:v>-1.0</x:v>
      </x:c>
      <x:c r="L40" s="10" t="s">
        <x:v>181</x:v>
      </x:c>
    </x:row>
    <x:row r="41" ht="15.75" customHeight="1">
      <x:c r="A41" s="10" t="s">
        <x:v>195</x:v>
      </x:c>
      <x:c r="B41" s="10" t="s">
        <x:v>177</x:v>
      </x:c>
      <x:c r="C41" s="10" t="s">
        <x:v>196</x:v>
      </x:c>
      <x:c r="D41" s="10" t="s">
        <x:v>197</x:v>
      </x:c>
      <x:c r="E41" s="10" t="s">
        <x:v>160</x:v>
      </x:c>
      <x:c r="F41" s="10" t="s">
        <x:v>198</x:v>
      </x:c>
      <x:c r="G41" s="10">
        <x:v>2.0</x:v>
      </x:c>
      <x:c r="H41" s="13">
        <x:v>1.0</x:v>
      </x:c>
      <x:c r="I41" s="13">
        <x:v>0.0</x:v>
      </x:c>
      <x:c r="J41" s="13">
        <x:v>0.0</x:v>
      </x:c>
      <x:c r="K41" s="13">
        <x:v>1.0</x:v>
      </x:c>
      <x:c r="L41" s="10" t="s">
        <x:v>181</x:v>
      </x:c>
    </x:row>
    <x:row r="42" ht="15.75" customHeight="1">
      <x:c r="A42" s="10" t="s">
        <x:v>199</x:v>
      </x:c>
      <x:c r="B42" s="10" t="s">
        <x:v>177</x:v>
      </x:c>
      <x:c r="C42" s="10" t="s">
        <x:v>196</x:v>
      </x:c>
      <x:c r="D42" s="10" t="s">
        <x:v>200</x:v>
      </x:c>
      <x:c r="E42" s="10" t="s">
        <x:v>160</x:v>
      </x:c>
      <x:c r="F42" s="10" t="s">
        <x:v>201</x:v>
      </x:c>
      <x:c r="G42" s="10">
        <x:v>4.0</x:v>
      </x:c>
      <x:c r="H42" s="13">
        <x:v>2.0</x:v>
      </x:c>
      <x:c r="I42" s="13">
        <x:v>0.0</x:v>
      </x:c>
      <x:c r="J42" s="13">
        <x:v>0.0</x:v>
      </x:c>
      <x:c r="K42" s="13">
        <x:v>0.0</x:v>
      </x:c>
      <x:c r="L42" s="10" t="s">
        <x:v>181</x:v>
      </x:c>
    </x:row>
    <x:row r="43" ht="15.75" customHeight="1">
      <x:c r="A43" s="10" t="s">
        <x:v>202</x:v>
      </x:c>
      <x:c r="B43" s="10" t="s">
        <x:v>177</x:v>
      </x:c>
      <x:c r="C43" s="10" t="s">
        <x:v>196</x:v>
      </x:c>
      <x:c r="D43" s="10" t="s">
        <x:v>203</x:v>
      </x:c>
      <x:c r="E43" s="10" t="s">
        <x:v>160</x:v>
      </x:c>
      <x:c r="F43" s="10" t="s">
        <x:v>204</x:v>
      </x:c>
      <x:c r="G43" s="10">
        <x:v>7.0</x:v>
      </x:c>
      <x:c r="H43" s="13">
        <x:v>3.0</x:v>
      </x:c>
      <x:c r="I43" s="13">
        <x:v>0.0</x:v>
      </x:c>
      <x:c r="J43" s="13">
        <x:v>1.0</x:v>
      </x:c>
      <x:c r="K43" s="13">
        <x:v>-1.0</x:v>
      </x:c>
      <x:c r="L43" s="10" t="s">
        <x:v>181</x:v>
      </x:c>
    </x:row>
    <x:row r="44" ht="15.75" customHeight="1">
      <x:c r="A44" s="10" t="s">
        <x:v>205</x:v>
      </x:c>
      <x:c r="B44" s="10" t="s">
        <x:v>177</x:v>
      </x:c>
      <x:c r="C44" s="10" t="s">
        <x:v>33</x:v>
      </x:c>
      <x:c r="D44" s="10" t="s">
        <x:v>206</x:v>
      </x:c>
      <x:c r="E44" s="10" t="s">
        <x:v>160</x:v>
      </x:c>
      <x:c r="F44" s="10" t="s">
        <x:v>207</x:v>
      </x:c>
      <x:c r="G44" s="10">
        <x:v>0.0</x:v>
      </x:c>
      <x:c r="H44" s="13">
        <x:v>0.0</x:v>
      </x:c>
      <x:c r="I44" s="13">
        <x:v>0.0</x:v>
      </x:c>
      <x:c r="J44" s="13">
        <x:v>0.0</x:v>
      </x:c>
      <x:c r="K44" s="13">
        <x:v>1.0</x:v>
      </x:c>
      <x:c r="L44" s="10" t="s">
        <x:v>208</x:v>
      </x:c>
    </x:row>
    <x:row r="45" ht="15.75" customHeight="1">
      <x:c r="A45" s="10" t="s">
        <x:v>209</x:v>
      </x:c>
      <x:c r="B45" s="10" t="s">
        <x:v>177</x:v>
      </x:c>
      <x:c r="C45" s="10" t="s">
        <x:v>33</x:v>
      </x:c>
      <x:c r="D45" s="10" t="s">
        <x:v>210</x:v>
      </x:c>
      <x:c r="E45" s="10" t="s">
        <x:v>160</x:v>
      </x:c>
      <x:c r="F45" s="10" t="s">
        <x:v>211</x:v>
      </x:c>
      <x:c r="G45" s="10">
        <x:v>0.0</x:v>
      </x:c>
      <x:c r="H45" s="13">
        <x:v>0.0</x:v>
      </x:c>
      <x:c r="I45" s="13">
        <x:v>1.0</x:v>
      </x:c>
      <x:c r="J45" s="13">
        <x:v>0.0</x:v>
      </x:c>
      <x:c r="K45" s="13">
        <x:v>0.0</x:v>
      </x:c>
      <x:c r="L45" s="10"/>
    </x:row>
    <x:row r="46" ht="15.75" customHeight="1">
      <x:c r="A46" s="10" t="s">
        <x:v>212</x:v>
      </x:c>
      <x:c r="B46" s="10" t="s">
        <x:v>177</x:v>
      </x:c>
      <x:c r="C46" s="10" t="s">
        <x:v>34</x:v>
      </x:c>
      <x:c r="D46" s="10" t="s">
        <x:v>213</x:v>
      </x:c>
      <x:c r="E46" s="10" t="s">
        <x:v>160</x:v>
      </x:c>
      <x:c r="F46" s="10" t="s">
        <x:v>214</x:v>
      </x:c>
      <x:c r="G46" s="10">
        <x:v>0.0</x:v>
      </x:c>
      <x:c r="H46" s="13">
        <x:v>0.0</x:v>
      </x:c>
      <x:c r="I46" s="13">
        <x:v>0.0</x:v>
      </x:c>
      <x:c r="J46" s="13">
        <x:v>0.0</x:v>
      </x:c>
      <x:c r="K46" s="13">
        <x:v>-1.0</x:v>
      </x:c>
      <x:c r="L46" s="10"/>
    </x:row>
    <x:row r="47" ht="15.75" customHeight="1">
      <x:c r="A47" s="10" t="s">
        <x:v>215</x:v>
      </x:c>
      <x:c r="B47" s="10" t="s">
        <x:v>177</x:v>
      </x:c>
      <x:c r="C47" s="10" t="s">
        <x:v>34</x:v>
      </x:c>
      <x:c r="D47" s="10" t="s">
        <x:v>216</x:v>
      </x:c>
      <x:c r="E47" s="10" t="s">
        <x:v>160</x:v>
      </x:c>
      <x:c r="F47" s="10" t="s">
        <x:v>217</x:v>
      </x:c>
      <x:c r="G47" s="10">
        <x:v>0.0</x:v>
      </x:c>
      <x:c r="H47" s="13">
        <x:v>0.0</x:v>
      </x:c>
      <x:c r="I47" s="13">
        <x:v>0.0</x:v>
      </x:c>
      <x:c r="J47" s="13">
        <x:v>0.0</x:v>
      </x:c>
      <x:c r="K47" s="13">
        <x:v>1.0</x:v>
      </x:c>
      <x:c r="L47" s="10"/>
    </x:row>
    <x:row r="48" ht="15.75" customHeight="1">
      <x:c r="A48" s="10" t="s">
        <x:v>218</x:v>
      </x:c>
      <x:c r="B48" s="10" t="s">
        <x:v>177</x:v>
      </x:c>
      <x:c r="C48" s="10" t="s">
        <x:v>35</x:v>
      </x:c>
      <x:c r="D48" s="10" t="s">
        <x:v>219</x:v>
      </x:c>
      <x:c r="E48" s="10" t="s">
        <x:v>160</x:v>
      </x:c>
      <x:c r="F48" s="10" t="s">
        <x:v>220</x:v>
      </x:c>
      <x:c r="G48" s="10">
        <x:v>0.0</x:v>
      </x:c>
      <x:c r="H48" s="13">
        <x:v>0.0</x:v>
      </x:c>
      <x:c r="I48" s="13">
        <x:v>1.0</x:v>
      </x:c>
      <x:c r="J48" s="13">
        <x:v>0.0</x:v>
      </x:c>
      <x:c r="K48" s="13">
        <x:v>-1.0</x:v>
      </x:c>
      <x:c r="L48" s="10"/>
    </x:row>
    <x:row r="49" ht="15.75" customHeight="1">
      <x:c r="A49" s="10" t="s">
        <x:v>221</x:v>
      </x:c>
      <x:c r="B49" s="10" t="s">
        <x:v>177</x:v>
      </x:c>
      <x:c r="C49" s="10" t="s">
        <x:v>35</x:v>
      </x:c>
      <x:c r="D49" s="10" t="s">
        <x:v>222</x:v>
      </x:c>
      <x:c r="E49" s="10" t="s">
        <x:v>160</x:v>
      </x:c>
      <x:c r="F49" s="10" t="s">
        <x:v>223</x:v>
      </x:c>
      <x:c r="G49" s="10">
        <x:v>0.0</x:v>
      </x:c>
      <x:c r="H49" s="13">
        <x:v>0.0</x:v>
      </x:c>
      <x:c r="I49" s="13">
        <x:v>0.0</x:v>
      </x:c>
      <x:c r="J49" s="13">
        <x:v>0.0</x:v>
      </x:c>
      <x:c r="K49" s="13">
        <x:v>0.0</x:v>
      </x:c>
      <x:c r="L49" s="10"/>
    </x:row>
    <x:row r="50" ht="15.75" customHeight="1">
      <x:c r="A50" s="10" t="s">
        <x:v>224</x:v>
      </x:c>
      <x:c r="B50" s="10" t="s">
        <x:v>177</x:v>
      </x:c>
      <x:c r="C50" s="10" t="s">
        <x:v>35</x:v>
      </x:c>
      <x:c r="D50" s="10" t="s">
        <x:v>225</x:v>
      </x:c>
      <x:c r="E50" s="10" t="s">
        <x:v>160</x:v>
      </x:c>
      <x:c r="F50" s="10" t="s">
        <x:v>226</x:v>
      </x:c>
      <x:c r="G50" s="10">
        <x:v>0.0</x:v>
      </x:c>
      <x:c r="H50" s="13">
        <x:v>0.0</x:v>
      </x:c>
      <x:c r="I50" s="13">
        <x:v>-1.0</x:v>
      </x:c>
      <x:c r="J50" s="13">
        <x:v>0.0</x:v>
      </x:c>
      <x:c r="K50" s="13">
        <x:v>1.0</x:v>
      </x:c>
      <x:c r="L50" s="10"/>
    </x:row>
    <x:row r="51" ht="15.75" customHeight="1">
      <x:c r="A51" s="10" t="s">
        <x:v>227</x:v>
      </x:c>
      <x:c r="B51" s="10" t="s">
        <x:v>158</x:v>
      </x:c>
      <x:c r="C51" s="10" t="s">
        <x:v>228</x:v>
      </x:c>
      <x:c r="D51" s="10" t="s">
        <x:v>229</x:v>
      </x:c>
      <x:c r="E51" s="10" t="s">
        <x:v>160</x:v>
      </x:c>
      <x:c r="F51" s="10" t="s">
        <x:v>230</x:v>
      </x:c>
      <x:c r="G51" s="10">
        <x:v>0.0</x:v>
      </x:c>
      <x:c r="H51" s="13">
        <x:v>0.0</x:v>
      </x:c>
      <x:c r="I51" s="13">
        <x:v>0.0</x:v>
      </x:c>
      <x:c r="J51" s="13">
        <x:v>1.0</x:v>
      </x:c>
      <x:c r="K51" s="13">
        <x:v>-1.0</x:v>
      </x:c>
      <x:c r="L51" s="10" t="s">
        <x:v>231</x:v>
      </x:c>
    </x:row>
    <x:row r="52" ht="15.75" customHeight="1">
      <x:c r="A52" s="10" t="s">
        <x:v>232</x:v>
      </x:c>
      <x:c r="B52" s="10" t="s">
        <x:v>233</x:v>
      </x:c>
      <x:c r="C52" s="10" t="s">
        <x:v>36</x:v>
      </x:c>
      <x:c r="D52" s="10" t="s">
        <x:v>234</x:v>
      </x:c>
      <x:c r="E52" s="10" t="s">
        <x:v>160</x:v>
      </x:c>
      <x:c r="F52" s="10" t="s">
        <x:v>235</x:v>
      </x:c>
      <x:c r="G52" s="10">
        <x:v>1000.0</x:v>
      </x:c>
      <x:c r="H52" s="13">
        <x:v>0.0</x:v>
      </x:c>
      <x:c r="I52" s="13">
        <x:v>1.0</x:v>
      </x:c>
      <x:c r="J52" s="13">
        <x:v>0.0</x:v>
      </x:c>
      <x:c r="K52" s="13">
        <x:v>-1.0</x:v>
      </x:c>
      <x:c r="L52" s="10"/>
    </x:row>
    <x:row r="53" ht="15.75" customHeight="1">
      <x:c r="A53" s="10" t="s">
        <x:v>236</x:v>
      </x:c>
      <x:c r="B53" s="10" t="s">
        <x:v>233</x:v>
      </x:c>
      <x:c r="C53" s="10" t="s">
        <x:v>36</x:v>
      </x:c>
      <x:c r="D53" s="10" t="s">
        <x:v>237</x:v>
      </x:c>
      <x:c r="E53" s="10" t="s">
        <x:v>160</x:v>
      </x:c>
      <x:c r="F53" s="10" t="s">
        <x:v>238</x:v>
      </x:c>
      <x:c r="G53" s="10">
        <x:v>6000.0</x:v>
      </x:c>
      <x:c r="H53" s="13">
        <x:v>0.0</x:v>
      </x:c>
      <x:c r="I53" s="13">
        <x:v>2.0</x:v>
      </x:c>
      <x:c r="J53" s="13">
        <x:v>1.0</x:v>
      </x:c>
      <x:c r="K53" s="13">
        <x:v>-1.0</x:v>
      </x:c>
      <x:c r="L53" s="10"/>
    </x:row>
    <x:row r="54" ht="15.75" customHeight="1">
      <x:c r="A54" s="10" t="s">
        <x:v>239</x:v>
      </x:c>
      <x:c r="B54" s="10" t="s">
        <x:v>233</x:v>
      </x:c>
      <x:c r="C54" s="10" t="s">
        <x:v>36</x:v>
      </x:c>
      <x:c r="D54" s="10" t="s">
        <x:v>240</x:v>
      </x:c>
      <x:c r="E54" s="10" t="s">
        <x:v>160</x:v>
      </x:c>
      <x:c r="F54" s="10" t="s">
        <x:v>241</x:v>
      </x:c>
      <x:c r="G54" s="10">
        <x:v>12000.0</x:v>
      </x:c>
      <x:c r="H54" s="13">
        <x:v>0.0</x:v>
      </x:c>
      <x:c r="I54" s="13">
        <x:v>3.0</x:v>
      </x:c>
      <x:c r="J54" s="13">
        <x:v>2.0</x:v>
      </x:c>
      <x:c r="K54" s="13">
        <x:v>-2.0</x:v>
      </x:c>
      <x:c r="L54" s="10"/>
    </x:row>
    <x:row r="55" ht="15.75" customHeight="1">
      <x:c r="A55" s="10" t="s">
        <x:v>242</x:v>
      </x:c>
      <x:c r="B55" s="10" t="s">
        <x:v>233</x:v>
      </x:c>
      <x:c r="C55" s="10" t="s">
        <x:v>37</x:v>
      </x:c>
      <x:c r="D55" s="10" t="s">
        <x:v>234</x:v>
      </x:c>
      <x:c r="E55" s="10" t="s">
        <x:v>160</x:v>
      </x:c>
      <x:c r="F55" s="10" t="s">
        <x:v>243</x:v>
      </x:c>
      <x:c r="G55" s="10">
        <x:v>1500.0</x:v>
      </x:c>
      <x:c r="H55" s="13">
        <x:v>0.0</x:v>
      </x:c>
      <x:c r="I55" s="13">
        <x:v>0.0</x:v>
      </x:c>
      <x:c r="J55" s="13">
        <x:v>1.0</x:v>
      </x:c>
      <x:c r="K55" s="13">
        <x:v>-1.0</x:v>
      </x:c>
      <x:c r="L55" s="10"/>
    </x:row>
    <x:row r="56" ht="15.75" customHeight="1">
      <x:c r="A56" s="10" t="s">
        <x:v>244</x:v>
      </x:c>
      <x:c r="B56" s="10" t="s">
        <x:v>233</x:v>
      </x:c>
      <x:c r="C56" s="10" t="s">
        <x:v>37</x:v>
      </x:c>
      <x:c r="D56" s="10" t="s">
        <x:v>237</x:v>
      </x:c>
      <x:c r="E56" s="10" t="s">
        <x:v>160</x:v>
      </x:c>
      <x:c r="F56" s="10" t="s">
        <x:v>245</x:v>
      </x:c>
      <x:c r="G56" s="10">
        <x:v>6000.0</x:v>
      </x:c>
      <x:c r="H56" s="13">
        <x:v>0.0</x:v>
      </x:c>
      <x:c r="I56" s="13">
        <x:v>0.0</x:v>
      </x:c>
      <x:c r="J56" s="13">
        <x:v>2.0</x:v>
      </x:c>
      <x:c r="K56" s="13">
        <x:v>-1.0</x:v>
      </x:c>
      <x:c r="L56" s="10"/>
    </x:row>
    <x:row r="57" ht="15.75" customHeight="1">
      <x:c r="A57" s="10" t="s">
        <x:v>246</x:v>
      </x:c>
      <x:c r="B57" s="10" t="s">
        <x:v>233</x:v>
      </x:c>
      <x:c r="C57" s="10" t="s">
        <x:v>37</x:v>
      </x:c>
      <x:c r="D57" s="10" t="s">
        <x:v>240</x:v>
      </x:c>
      <x:c r="E57" s="10" t="s">
        <x:v>160</x:v>
      </x:c>
      <x:c r="F57" s="10" t="s">
        <x:v>247</x:v>
      </x:c>
      <x:c r="G57" s="10">
        <x:v>12000.0</x:v>
      </x:c>
      <x:c r="H57" s="13">
        <x:v>0.0</x:v>
      </x:c>
      <x:c r="I57" s="13">
        <x:v>0.0</x:v>
      </x:c>
      <x:c r="J57" s="13">
        <x:v>3.0</x:v>
      </x:c>
      <x:c r="K57" s="13">
        <x:v>-2.0</x:v>
      </x:c>
      <x:c r="L57" s="10"/>
    </x:row>
    <x:row r="58" ht="15.75" customHeight="1">
      <x:c r="A58" s="45" t="s">
        <x:v>248</x:v>
      </x:c>
      <x:c r="B58" s="45" t="s">
        <x:v>249</x:v>
      </x:c>
      <x:c r="C58" s="45" t="s">
        <x:v>250</x:v>
      </x:c>
      <x:c r="D58" s="45" t="s">
        <x:v>251</x:v>
      </x:c>
      <x:c r="E58" s="45" t="s">
        <x:v>252</x:v>
      </x:c>
      <x:c r="F58" s="45" t="s">
        <x:v>253</x:v>
      </x:c>
      <x:c r="G58" s="48" t="s">
        <x:v>254</x:v>
      </x:c>
      <x:c r="H58" s="48">
        <x:v>0.0</x:v>
      </x:c>
      <x:c r="I58" s="48">
        <x:v>0.0</x:v>
      </x:c>
      <x:c r="J58" s="48">
        <x:v>0.0</x:v>
      </x:c>
      <x:c r="K58" s="48">
        <x:v>0.0</x:v>
      </x:c>
      <x:c r="L58" s="45" t="s">
        <x:v>255</x:v>
      </x:c>
    </x:row>
    <x:row r="59" ht="15.75" customHeight="1">
      <x:c r="A59" s="45" t="s">
        <x:v>256</x:v>
      </x:c>
      <x:c r="B59" s="45" t="s">
        <x:v>249</x:v>
      </x:c>
      <x:c r="C59" s="45" t="s">
        <x:v>250</x:v>
      </x:c>
      <x:c r="D59" s="45" t="s">
        <x:v>257</x:v>
      </x:c>
      <x:c r="E59" s="45" t="s">
        <x:v>252</x:v>
      </x:c>
      <x:c r="F59" s="45" t="s">
        <x:v>258</x:v>
      </x:c>
      <x:c r="G59" s="48" t="s">
        <x:v>254</x:v>
      </x:c>
      <x:c r="H59" s="48">
        <x:v>0.0</x:v>
      </x:c>
      <x:c r="I59" s="48">
        <x:v>0.0</x:v>
      </x:c>
      <x:c r="J59" s="48">
        <x:v>0.0</x:v>
      </x:c>
      <x:c r="K59" s="50" t="n">
        <x:f>+1</x:f>
        <x:v>1</x:v>
      </x:c>
      <x:c r="L59" s="45" t="s">
        <x:v>259</x:v>
      </x:c>
    </x:row>
    <x:row r="60" ht="15.75" customHeight="1">
      <x:c r="A60" s="45" t="s">
        <x:v>260</x:v>
      </x:c>
      <x:c r="B60" s="45" t="s">
        <x:v>249</x:v>
      </x:c>
      <x:c r="C60" s="45" t="s">
        <x:v>250</x:v>
      </x:c>
      <x:c r="D60" s="45" t="s">
        <x:v>261</x:v>
      </x:c>
      <x:c r="E60" s="45" t="s">
        <x:v>252</x:v>
      </x:c>
      <x:c r="F60" s="45" t="s">
        <x:v>262</x:v>
      </x:c>
      <x:c r="G60" s="48" t="s">
        <x:v>254</x:v>
      </x:c>
      <x:c r="H60" s="48">
        <x:v>0.0</x:v>
      </x:c>
      <x:c r="I60" s="48">
        <x:v>0.0</x:v>
      </x:c>
      <x:c r="J60" s="48">
        <x:v>0.0</x:v>
      </x:c>
      <x:c r="K60" s="48">
        <x:v>-1.0</x:v>
      </x:c>
      <x:c r="L60" s="45" t="s">
        <x:v>263</x:v>
      </x:c>
    </x:row>
    <x:row r="61" ht="15.75" customHeight="1">
      <x:c r="A61" s="45" t="s">
        <x:v>264</x:v>
      </x:c>
      <x:c r="B61" s="45" t="s">
        <x:v>158</x:v>
      </x:c>
      <x:c r="C61" s="45" t="s">
        <x:v>12</x:v>
      </x:c>
      <x:c r="D61" s="45" t="s">
        <x:v>265</x:v>
      </x:c>
      <x:c r="E61" s="45" t="s">
        <x:v>160</x:v>
      </x:c>
      <x:c r="F61" s="45" t="s">
        <x:v>266</x:v>
      </x:c>
      <x:c r="G61" s="48" t="s">
        <x:v>254</x:v>
      </x:c>
      <x:c r="H61" s="48">
        <x:v>0.0</x:v>
      </x:c>
      <x:c r="I61" s="48">
        <x:v>0.0</x:v>
      </x:c>
      <x:c r="J61" s="48">
        <x:v>-1.0</x:v>
      </x:c>
      <x:c r="K61" s="50" t="n">
        <x:f>+1</x:f>
        <x:v>1</x:v>
      </x:c>
      <x:c r="L61" s="45" t="s">
        <x:v>267</x:v>
      </x:c>
    </x:row>
    <x:row r="62" ht="15.75" customHeight="1">
      <x:c r="A62" s="45" t="s">
        <x:v>268</x:v>
      </x:c>
      <x:c r="B62" s="45" t="s">
        <x:v>158</x:v>
      </x:c>
      <x:c r="C62" s="45" t="s">
        <x:v>12</x:v>
      </x:c>
      <x:c r="D62" s="45" t="s">
        <x:v>269</x:v>
      </x:c>
      <x:c r="E62" s="45" t="s">
        <x:v>160</x:v>
      </x:c>
      <x:c r="F62" s="45" t="s">
        <x:v>270</x:v>
      </x:c>
      <x:c r="G62" s="48" t="s">
        <x:v>271</x:v>
      </x:c>
      <x:c r="H62" s="48">
        <x:v>0.0</x:v>
      </x:c>
      <x:c r="I62" s="48">
        <x:v>0.0</x:v>
      </x:c>
      <x:c r="J62" s="50" t="n">
        <x:f>+1</x:f>
        <x:v>1</x:v>
      </x:c>
      <x:c r="K62" s="48">
        <x:v>0.0</x:v>
      </x:c>
      <x:c r="L62" s="45" t="s">
        <x:v>272</x:v>
      </x:c>
    </x:row>
    <x:row r="63" ht="15.75" customHeight="1">
      <x:c r="A63" s="45" t="s">
        <x:v>273</x:v>
      </x:c>
      <x:c r="B63" s="45" t="s">
        <x:v>158</x:v>
      </x:c>
      <x:c r="C63" s="45" t="s">
        <x:v>12</x:v>
      </x:c>
      <x:c r="D63" s="45" t="s">
        <x:v>274</x:v>
      </x:c>
      <x:c r="E63" s="45" t="s">
        <x:v>160</x:v>
      </x:c>
      <x:c r="F63" s="45" t="s">
        <x:v>275</x:v>
      </x:c>
      <x:c r="G63" s="48" t="s">
        <x:v>276</x:v>
      </x:c>
      <x:c r="H63" s="48">
        <x:v>0.0</x:v>
      </x:c>
      <x:c r="I63" s="48">
        <x:v>0.0</x:v>
      </x:c>
      <x:c r="J63" s="50" t="n">
        <x:f>+2</x:f>
        <x:v>2</x:v>
      </x:c>
      <x:c r="K63" s="48">
        <x:v>-1.0</x:v>
      </x:c>
      <x:c r="L63" s="45" t="s">
        <x:v>277</x:v>
      </x:c>
    </x:row>
    <x:row r="64" ht="15.75" customHeight="1">
      <x:c r="A64" s="45" t="s">
        <x:v>278</x:v>
      </x:c>
      <x:c r="B64" s="45" t="s">
        <x:v>82</x:v>
      </x:c>
      <x:c r="C64" s="45" t="s">
        <x:v>13</x:v>
      </x:c>
      <x:c r="D64" s="45" t="s">
        <x:v>279</x:v>
      </x:c>
      <x:c r="E64" s="45" t="s">
        <x:v>160</x:v>
      </x:c>
      <x:c r="F64" s="45" t="s">
        <x:v>280</x:v>
      </x:c>
      <x:c r="G64" s="48" t="s">
        <x:v>254</x:v>
      </x:c>
      <x:c r="H64" s="48">
        <x:v>0.0</x:v>
      </x:c>
      <x:c r="I64" s="48">
        <x:v>-1.0</x:v>
      </x:c>
      <x:c r="J64" s="48">
        <x:v>0.0</x:v>
      </x:c>
      <x:c r="K64" s="50" t="n">
        <x:f>+1</x:f>
        <x:v>1</x:v>
      </x:c>
      <x:c r="L64" s="45" t="s">
        <x:v>281</x:v>
      </x:c>
    </x:row>
    <x:row r="65" ht="15.75" customHeight="1">
      <x:c r="A65" s="45" t="s">
        <x:v>282</x:v>
      </x:c>
      <x:c r="B65" s="45" t="s">
        <x:v>82</x:v>
      </x:c>
      <x:c r="C65" s="45" t="s">
        <x:v>13</x:v>
      </x:c>
      <x:c r="D65" s="45" t="s">
        <x:v>283</x:v>
      </x:c>
      <x:c r="E65" s="45" t="s">
        <x:v>160</x:v>
      </x:c>
      <x:c r="F65" s="45" t="s">
        <x:v>284</x:v>
      </x:c>
      <x:c r="G65" s="48" t="s">
        <x:v>285</x:v>
      </x:c>
      <x:c r="H65" s="48">
        <x:v>0.0</x:v>
      </x:c>
      <x:c r="I65" s="50" t="n">
        <x:f>+1</x:f>
        <x:v>1</x:v>
      </x:c>
      <x:c r="J65" s="48">
        <x:v>0.0</x:v>
      </x:c>
      <x:c r="K65" s="48">
        <x:v>0.0</x:v>
      </x:c>
      <x:c r="L65" s="45" t="s">
        <x:v>286</x:v>
      </x:c>
    </x:row>
    <x:row r="66" ht="15.75" customHeight="1">
      <x:c r="A66" s="45" t="s">
        <x:v>287</x:v>
      </x:c>
      <x:c r="B66" s="45" t="s">
        <x:v>82</x:v>
      </x:c>
      <x:c r="C66" s="45" t="s">
        <x:v>13</x:v>
      </x:c>
      <x:c r="D66" s="45" t="s">
        <x:v>288</x:v>
      </x:c>
      <x:c r="E66" s="45" t="s">
        <x:v>160</x:v>
      </x:c>
      <x:c r="F66" s="45" t="s">
        <x:v>289</x:v>
      </x:c>
      <x:c r="G66" s="48" t="s">
        <x:v>290</x:v>
      </x:c>
      <x:c r="H66" s="50" t="n">
        <x:f>+1</x:f>
        <x:v>1</x:v>
      </x:c>
      <x:c r="I66" s="50" t="n">
        <x:f>+2</x:f>
        <x:v>2</x:v>
      </x:c>
      <x:c r="J66" s="48">
        <x:v>0.0</x:v>
      </x:c>
      <x:c r="K66" s="48">
        <x:v>-1.0</x:v>
      </x:c>
      <x:c r="L66" s="45" t="s">
        <x:v>291</x:v>
      </x:c>
    </x:row>
    <x:row r="67" ht="15.75" customHeight="1">
      <x:c r="A67" s="45" t="s">
        <x:v>292</x:v>
      </x:c>
      <x:c r="B67" s="45" t="s">
        <x:v>177</x:v>
      </x:c>
      <x:c r="C67" s="45" t="s">
        <x:v>14</x:v>
      </x:c>
      <x:c r="D67" s="45" t="s">
        <x:v>293</x:v>
      </x:c>
      <x:c r="E67" s="45" t="s">
        <x:v>160</x:v>
      </x:c>
      <x:c r="F67" s="45" t="s">
        <x:v>294</x:v>
      </x:c>
      <x:c r="G67" s="48" t="s">
        <x:v>254</x:v>
      </x:c>
      <x:c r="H67" s="48">
        <x:v>0.0</x:v>
      </x:c>
      <x:c r="I67" s="48">
        <x:v>-1.0</x:v>
      </x:c>
      <x:c r="J67" s="48">
        <x:v>0.0</x:v>
      </x:c>
      <x:c r="K67" s="50" t="n">
        <x:f>+1</x:f>
        <x:v>1</x:v>
      </x:c>
      <x:c r="L67" s="45" t="s">
        <x:v>295</x:v>
      </x:c>
    </x:row>
    <x:row r="68" ht="15.75" customHeight="1">
      <x:c r="A68" s="45" t="s">
        <x:v>296</x:v>
      </x:c>
      <x:c r="B68" s="45" t="s">
        <x:v>177</x:v>
      </x:c>
      <x:c r="C68" s="45" t="s">
        <x:v>14</x:v>
      </x:c>
      <x:c r="D68" s="45" t="s">
        <x:v>297</x:v>
      </x:c>
      <x:c r="E68" s="45" t="s">
        <x:v>160</x:v>
      </x:c>
      <x:c r="F68" s="45" t="s">
        <x:v>298</x:v>
      </x:c>
      <x:c r="G68" s="48" t="s">
        <x:v>299</x:v>
      </x:c>
      <x:c r="H68" s="48">
        <x:v>0.0</x:v>
      </x:c>
      <x:c r="I68" s="50" t="n">
        <x:f>+1</x:f>
        <x:v>1</x:v>
      </x:c>
      <x:c r="J68" s="48">
        <x:v>0.0</x:v>
      </x:c>
      <x:c r="K68" s="48">
        <x:v>0.0</x:v>
      </x:c>
      <x:c r="L68" s="45" t="s">
        <x:v>300</x:v>
      </x:c>
    </x:row>
    <x:row r="69" ht="15.75" customHeight="1">
      <x:c r="A69" s="45" t="s">
        <x:v>301</x:v>
      </x:c>
      <x:c r="B69" s="45" t="s">
        <x:v>177</x:v>
      </x:c>
      <x:c r="C69" s="45" t="s">
        <x:v>14</x:v>
      </x:c>
      <x:c r="D69" s="45" t="s">
        <x:v>302</x:v>
      </x:c>
      <x:c r="E69" s="45" t="s">
        <x:v>160</x:v>
      </x:c>
      <x:c r="F69" s="45" t="s">
        <x:v>303</x:v>
      </x:c>
      <x:c r="G69" s="48" t="s">
        <x:v>304</x:v>
      </x:c>
      <x:c r="H69" s="48">
        <x:v>0.0</x:v>
      </x:c>
      <x:c r="I69" s="50" t="n">
        <x:f>+2</x:f>
        <x:v>2</x:v>
      </x:c>
      <x:c r="J69" s="48">
        <x:v>0.0</x:v>
      </x:c>
      <x:c r="K69" s="48">
        <x:v>-1.0</x:v>
      </x:c>
      <x:c r="L69" s="45" t="s">
        <x:v>305</x:v>
      </x:c>
    </x:row>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5.xml><?xml version="1.0" encoding="utf-8"?>
<x:worksheet xmlns:x="http://schemas.openxmlformats.org/spreadsheetml/2006/main">
  <x:sheetFormatPr defaultColWidth="14.430000305175781" defaultRowHeight="15"/>
  <x:cols>
    <x:col min="3" max="3" width="46" customWidth="1"/>
    <x:col min="4" max="4" width="36.709999084472656" customWidth="1"/>
    <x:col min="8" max="8" width="17.56999969482422" customWidth="1"/>
  </x:cols>
  <x:sheetData>
    <x:row r="3">
      <x:c r="B3" s="16" t="s">
        <x:v>306</x:v>
      </x:c>
    </x:row>
    <x:row r="4">
      <x:c r="B4" s="17" t="s">
        <x:v>307</x:v>
      </x:c>
      <x:c r="C4" s="17" t="s">
        <x:v>308</x:v>
      </x:c>
      <x:c r="D4" s="17" t="s">
        <x:v>309</x:v>
      </x:c>
      <x:c r="H4" s="18" t="s">
        <x:v>310</x:v>
      </x:c>
    </x:row>
    <x:row r="5">
      <x:c r="B5" s="20">
        <x:v>1.0</x:v>
      </x:c>
      <x:c r="C5" s="21" t="s">
        <x:v>311</x:v>
      </x:c>
      <x:c r="D5" s="22"/>
      <x:c r="H5" s="23" t="s">
        <x:v>312</x:v>
      </x:c>
    </x:row>
    <x:row r="6">
      <x:c r="B6" s="20">
        <x:v>2.0</x:v>
      </x:c>
      <x:c r="C6" s="18" t="s">
        <x:v>313</x:v>
      </x:c>
      <x:c r="D6" s="22"/>
      <x:c r="E6" s="24" t="s">
        <x:v>314</x:v>
      </x:c>
    </x:row>
    <x:row r="7">
      <x:c r="B7" s="20">
        <x:v>3.0</x:v>
      </x:c>
      <x:c r="C7" s="18" t="s">
        <x:v>315</x:v>
      </x:c>
      <x:c r="D7" s="22"/>
    </x:row>
    <x:row r="8">
      <x:c r="B8" s="20">
        <x:v>4.0</x:v>
      </x:c>
      <x:c r="C8" s="22"/>
      <x:c r="D8" s="21" t="s">
        <x:v>311</x:v>
      </x:c>
    </x:row>
    <x:row r="9">
      <x:c r="B9" s="20">
        <x:v>5.0</x:v>
      </x:c>
      <x:c r="C9" s="22"/>
      <x:c r="D9" s="21" t="s">
        <x:v>313</x:v>
      </x:c>
    </x:row>
    <x:row r="10">
      <x:c r="B10" s="20">
        <x:v>6.0</x:v>
      </x:c>
      <x:c r="C10" s="22"/>
      <x:c r="D10" s="18" t="s">
        <x:v>316</x:v>
      </x:c>
      <x:c r="E10" s="24" t="s">
        <x:v>317</x:v>
      </x:c>
    </x:row>
    <x:row r="11">
      <x:c r="A11" s="27" t="s">
        <x:v>318</x:v>
      </x:c>
      <x:c r="B11" s="20">
        <x:v>7.0</x:v>
      </x:c>
      <x:c r="C11" s="22"/>
      <x:c r="D11" s="23" t="s">
        <x:v>319</x:v>
      </x:c>
    </x:row>
    <x:row r="12">
      <x:c r="B12" s="20">
        <x:v>8.0</x:v>
      </x:c>
      <x:c r="C12" s="22"/>
      <x:c r="D12" s="21" t="s">
        <x:v>320</x:v>
      </x:c>
      <x:c r="E12" s="24" t="s">
        <x:v>321</x:v>
      </x:c>
    </x:row>
    <x:row r="13" ht="29.25" customHeight="1">
      <x:c r="B13" s="20">
        <x:v>9.0</x:v>
      </x:c>
      <x:c r="C13" s="31" t="s">
        <x:v>322</x:v>
      </x:c>
      <x:c r="D13" s="22"/>
    </x:row>
    <x:row r="14" ht="29.25" customHeight="1">
      <x:c r="B14" s="20">
        <x:v>10.0</x:v>
      </x:c>
      <x:c r="C14" s="21" t="s">
        <x:v>323</x:v>
      </x:c>
      <x:c r="D14" s="31" t="s">
        <x:v>324</x:v>
      </x:c>
      <x:c r="E14" s="24" t="s">
        <x:v>325</x:v>
      </x:c>
    </x:row>
    <x:row r="15">
      <x:c r="A15" s="27" t="s">
        <x:v>326</x:v>
      </x:c>
      <x:c r="B15" s="20">
        <x:v>11.0</x:v>
      </x:c>
      <x:c r="C15" s="22"/>
      <x:c r="D15" s="21" t="s">
        <x:v>319</x:v>
      </x:c>
      <x:c r="G15" s="24" t="s">
        <x:v>327</x:v>
      </x:c>
    </x:row>
    <x:row r="16">
      <x:c r="B16" s="20">
        <x:v>12.0</x:v>
      </x:c>
      <x:c r="C16" s="22"/>
      <x:c r="D16" s="21" t="s">
        <x:v>320</x:v>
      </x:c>
    </x:row>
    <x:row r="17">
      <x:c r="B17" s="20">
        <x:v>13.0</x:v>
      </x:c>
      <x:c r="C17" s="31" t="s">
        <x:v>322</x:v>
      </x:c>
      <x:c r="D17" s="22"/>
    </x:row>
    <x:row r="18">
      <x:c r="B18" s="20">
        <x:v>14.0</x:v>
      </x:c>
      <x:c r="C18" s="21" t="s">
        <x:v>323</x:v>
      </x:c>
      <x:c r="D18" s="31" t="s">
        <x:v>324</x:v>
      </x:c>
      <x:c r="E18" s="24" t="s">
        <x:v>325</x:v>
      </x:c>
    </x:row>
    <x:row r="19">
      <x:c r="A19" s="27" t="s">
        <x:v>328</x:v>
      </x:c>
      <x:c r="B19" s="20">
        <x:v>15.0</x:v>
      </x:c>
      <x:c r="C19" s="22"/>
      <x:c r="D19" s="21" t="s">
        <x:v>319</x:v>
      </x:c>
    </x:row>
    <x:row r="20">
      <x:c r="B20" s="20">
        <x:v>16.0</x:v>
      </x:c>
      <x:c r="C20" s="22"/>
      <x:c r="D20" s="21" t="s">
        <x:v>320</x:v>
      </x:c>
    </x:row>
    <x:row r="21">
      <x:c r="B21" s="20">
        <x:v>17.0</x:v>
      </x:c>
      <x:c r="C21" s="31" t="s">
        <x:v>322</x:v>
      </x:c>
      <x:c r="D21" s="22"/>
    </x:row>
    <x:row r="22">
      <x:c r="B22" s="20">
        <x:v>18.0</x:v>
      </x:c>
      <x:c r="C22" s="21" t="s">
        <x:v>323</x:v>
      </x:c>
      <x:c r="D22" s="31" t="s">
        <x:v>324</x:v>
      </x:c>
      <x:c r="E22" s="24" t="s">
        <x:v>325</x:v>
      </x:c>
    </x:row>
    <x:row r="23">
      <x:c r="A23" s="27" t="s">
        <x:v>329</x:v>
      </x:c>
      <x:c r="B23" s="20">
        <x:v>15.0</x:v>
      </x:c>
      <x:c r="C23" s="22"/>
      <x:c r="D23" s="21" t="s">
        <x:v>319</x:v>
      </x:c>
    </x:row>
    <x:row r="24">
      <x:c r="B24" s="20">
        <x:v>16.0</x:v>
      </x:c>
      <x:c r="C24" s="22"/>
      <x:c r="D24" s="21" t="s">
        <x:v>320</x:v>
      </x:c>
    </x:row>
    <x:row r="25">
      <x:c r="B25" s="20">
        <x:v>17.0</x:v>
      </x:c>
      <x:c r="C25" s="31" t="s">
        <x:v>322</x:v>
      </x:c>
      <x:c r="D25" s="22"/>
    </x:row>
    <x:row r="26">
      <x:c r="B26" s="20">
        <x:v>18.0</x:v>
      </x:c>
      <x:c r="C26" s="21" t="s">
        <x:v>323</x:v>
      </x:c>
      <x:c r="D26" s="31" t="s">
        <x:v>324</x:v>
      </x:c>
    </x:row>
    <x:row r="27" ht="27" customHeight="1">
      <x:c r="B27" s="20">
        <x:v>23.0</x:v>
      </x:c>
      <x:c r="C27" s="21" t="s">
        <x:v>330</x:v>
      </x:c>
      <x:c r="D27" s="31" t="s">
        <x:v>331</x:v>
      </x:c>
      <x:c r="E27" s="24" t="s">
        <x:v>325</x:v>
      </x:c>
    </x:row>
    <x:row r="28">
      <x:c r="B28" s="20">
        <x:v>24.0</x:v>
      </x:c>
      <x:c r="C28" s="35"/>
      <x:c r="D28" s="21" t="s">
        <x:v>332</x:v>
      </x:c>
      <x:c r="E28" s="24" t="s">
        <x:v>333</x:v>
      </x:c>
    </x:row>
    <x:row r="29">
      <x:c r="B29" s="37"/>
      <x:c r="C29" s="37"/>
      <x:c r="D29" s="37"/>
    </x:row>
    <x:row r="30">
      <x:c r="B30" s="37"/>
      <x:c r="C30" s="37"/>
      <x:c r="D30" s="37"/>
    </x:row>
    <x:row r="31">
      <x:c r="B31" s="37"/>
      <x:c r="C31" s="37"/>
      <x:c r="D31" s="37"/>
    </x:row>
    <x:row r="32">
      <x:c r="B32" s="37"/>
      <x:c r="C32" s="37"/>
      <x:c r="D32" s="37"/>
    </x:row>
    <x:row r="33">
      <x:c r="B33" s="37"/>
      <x:c r="C33" s="37"/>
      <x:c r="D33" s="37"/>
    </x:row>
    <x:row r="34">
      <x:c r="B34" s="37"/>
      <x:c r="C34" s="37"/>
      <x:c r="D34" s="37"/>
    </x:row>
    <x:row r="37">
      <x:c r="B37" s="24" t="s">
        <x:v>334</x:v>
      </x:c>
    </x:row>
    <x:row r="38">
      <x:c r="B38" s="24" t="s">
        <x:v>335</x:v>
      </x:c>
    </x:row>
    <x:row r="39">
      <x:c r="B39" s="24" t="s">
        <x:v>336</x:v>
      </x:c>
    </x:row>
  </x:sheetData>
  <x:mergeCells>
    <x:mergeCell ref="A11:A14"/>
    <x:mergeCell ref="A15:A18"/>
    <x:mergeCell ref="A19:A22"/>
    <x:mergeCell ref="A23:A26"/>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14.430000305175781" defaultRowHeight="15"/>
  <x:cols>
    <x:col min="1" max="1" width="17.56999969482422" customWidth="1"/>
    <x:col min="2" max="2" width="20.709999084472656" customWidth="1"/>
    <x:col min="3" max="3" width="40.13999938964844" customWidth="1"/>
    <x:col min="4" max="4" width="18.43000030517578" customWidth="1"/>
    <x:col min="5" max="5" width="16.56999969482422" customWidth="1"/>
    <x:col min="6" max="6" width="18.860000610351562" customWidth="1"/>
    <x:col min="7" max="7" width="17.709999084472656" customWidth="1"/>
    <x:col min="8" max="8" width="16.860000610351562" customWidth="1"/>
    <x:col min="10" max="10" width="10.710000038146973" customWidth="1"/>
    <x:col min="11" max="11" width="20.139999389648438" customWidth="1"/>
    <x:col min="15" max="15" width="3" hidden="0" customWidth="1"/>
    <x:col min="16" max="16" width="43"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s>
  <x:sheetData>
    <x:row r="1">
      <x:c r="A1" s="16" t="s">
        <x:v>337</x:v>
      </x:c>
    </x:row>
    <x:row r="2">
      <x:c r="A2" s="25"/>
      <x:c r="B2" s="25"/>
    </x:row>
    <x:row r="3" ht="23" customHeight="1">
      <x:c r="A3" s="25" t="s">
        <x:v>338</x:v>
      </x:c>
      <x:c r="P3" s="198" t="str">
        <x:v>PARÁMETROS DEL CICLO</x:v>
      </x:c>
      <x:c r="Q3" s="199"/>
      <x:c r="R3" s="199"/>
      <x:c r="S3" s="199"/>
      <x:c r="T3" s="199"/>
      <x:c r="U3" s="199"/>
      <x:c r="V3" s="199"/>
      <x:c r="W3" s="199"/>
      <x:c r="X3" s="199"/>
      <x:c r="Y3" s="199"/>
    </x:row>
    <x:row r="4" ht="34" customHeight="1">
      <x:c r="E4" s="26" t="s">
        <x:v>339</x:v>
      </x:c>
      <x:c r="F4" s="185" t="str">
        <x:v>Puestos de corte</x:v>
      </x:c>
      <x:c r="G4" s="29"/>
      <x:c r="H4" s="29"/>
      <x:c r="K4" s="228" t="s">
        <x:v>340</x:v>
      </x:c>
      <x:c r="L4" s="224" t="s">
        <x:v>341</x:v>
      </x:c>
      <x:c r="M4" s="224" t="s">
        <x:v>342</x:v>
      </x:c>
      <x:c r="N4" s="225" t="str">
        <x:v>Capacidad del ciclo</x:v>
      </x:c>
      <x:c r="O4" s="32"/>
      <x:c r="P4" s="184" t="str">
        <x:v>Días laborables</x:v>
      </x:c>
      <x:c r="Q4" s="195" t="n">
        <x:v>24</x:v>
      </x:c>
      <x:c r="R4" s="192"/>
      <x:c r="S4" s="192"/>
      <x:c r="T4" s="192"/>
      <x:c r="U4" s="192"/>
      <x:c r="V4" s="192"/>
      <x:c r="W4" s="192"/>
      <x:c r="X4" s="192"/>
      <x:c r="Y4" s="192"/>
    </x:row>
    <x:row r="5" ht="23" customHeight="1">
      <x:c r="C5" s="32" t="s">
        <x:v>343</x:v>
      </x:c>
      <x:c r="E5" s="33">
        <x:v>5.0</x:v>
      </x:c>
      <x:c r="F5" s="34" t="n">
        <x:v>1</x:v>
      </x:c>
      <x:c r="G5" s="29"/>
      <x:c r="H5" s="29"/>
      <x:c r="I5" s="36" t="n">
        <x:f t="shared" ref="I5:I7" si="1">E5*F5</x:f>
        <x:v>5</x:v>
      </x:c>
      <x:c r="K5" s="38" t="n">
        <x:f>MIN(I8,I14,I20)</x:f>
        <x:v>17.2</x:v>
      </x:c>
      <x:c r="L5" s="38" t="n">
        <x:f>K5*$Q$4</x:f>
        <x:v>412.79999999999995</x:v>
      </x:c>
      <x:c r="M5" s="208" t="n">
        <x:f>MIN($Q$7,MAX(0,K7+M10*$Q$5+F21*$Q$6))</x:f>
        <x:v>0.9625</x:v>
      </x:c>
      <x:c r="N5" s="221" t="n">
        <x:f>ROUNDDOWN(L5*M5,0)</x:f>
        <x:v>397</x:v>
      </x:c>
      <x:c r="O5" s="24"/>
      <x:c r="P5" s="184" t="str">
        <x:v>Mejora máxima por proporción N3</x:v>
      </x:c>
      <x:c r="Q5" s="212" t="n">
        <x:v>0.06</x:v>
      </x:c>
      <x:c r="R5" s="192"/>
      <x:c r="S5" s="192"/>
      <x:c r="T5" s="192"/>
      <x:c r="U5" s="192"/>
      <x:c r="V5" s="192"/>
      <x:c r="W5" s="192"/>
      <x:c r="X5" s="192"/>
      <x:c r="Y5" s="192"/>
    </x:row>
    <x:row r="6" ht="23" customHeight="1">
      <x:c r="C6" s="32" t="s">
        <x:v>344</x:v>
      </x:c>
      <x:c r="E6" s="33">
        <x:v>7.0</x:v>
      </x:c>
      <x:c r="F6" s="34" t="n">
        <x:v>1</x:v>
      </x:c>
      <x:c r="G6" s="29"/>
      <x:c r="H6" s="29"/>
      <x:c r="I6" s="36" t="n">
        <x:f t="shared" si="1">E6*F6</x:f>
        <x:v>7</x:v>
      </x:c>
      <x:c r="K6" s="24" t="s">
        <x:v>345</x:v>
      </x:c>
      <x:c r="P6" s="184" t="str">
        <x:v>Mejora por jefatura</x:v>
      </x:c>
      <x:c r="Q6" s="212" t="n">
        <x:v>0.04</x:v>
      </x:c>
      <x:c r="R6" s="192"/>
      <x:c r="S6" s="192"/>
      <x:c r="T6" s="192"/>
      <x:c r="U6" s="192"/>
      <x:c r="V6" s="192"/>
      <x:c r="W6" s="192"/>
      <x:c r="X6" s="192"/>
      <x:c r="Y6" s="192"/>
    </x:row>
    <x:row r="7" ht="23" customHeight="1">
      <x:c r="C7" s="32" t="s">
        <x:v>346</x:v>
      </x:c>
      <x:c r="E7" s="33">
        <x:v>9.0</x:v>
      </x:c>
      <x:c r="F7" s="34" t="n">
        <x:v>1</x:v>
      </x:c>
      <x:c r="G7" s="29"/>
      <x:c r="H7" s="29"/>
      <x:c r="I7" s="36" t="n">
        <x:f t="shared" si="1">E7*F7</x:f>
        <x:v>9</x:v>
      </x:c>
      <x:c r="K7" s="41">
        <x:v>0.9</x:v>
      </x:c>
      <x:c r="P7" s="184" t="str">
        <x:v>Eficiencia máxima</x:v>
      </x:c>
      <x:c r="Q7" s="212" t="n">
        <x:v>1</x:v>
      </x:c>
      <x:c r="R7" s="192"/>
      <x:c r="S7" s="192"/>
      <x:c r="T7" s="192"/>
      <x:c r="U7" s="192"/>
      <x:c r="V7" s="192"/>
      <x:c r="W7" s="192"/>
      <x:c r="X7" s="192"/>
      <x:c r="Y7" s="192"/>
    </x:row>
    <x:row r="8" ht="23" customHeight="1">
      <x:c r="A8" s="42" t="s">
        <x:v>347</x:v>
      </x:c>
      <x:c r="E8" s="36"/>
      <x:c r="F8" s="29"/>
      <x:c r="G8" s="43"/>
      <x:c r="H8" s="43"/>
      <x:c r="I8" s="44" t="n">
        <x:f>SUM(I5:I7)</x:f>
        <x:v>21</x:v>
      </x:c>
      <x:c r="P8" s="184" t="str">
        <x:v>Publicidad para puntaje máximo</x:v>
      </x:c>
      <x:c r="Q8" s="195" t="n">
        <x:v>10000</x:v>
      </x:c>
      <x:c r="R8" s="192"/>
      <x:c r="S8" s="192"/>
      <x:c r="T8" s="192"/>
      <x:c r="U8" s="192"/>
      <x:c r="V8" s="192"/>
      <x:c r="W8" s="192"/>
      <x:c r="X8" s="192"/>
      <x:c r="Y8" s="192"/>
    </x:row>
    <x:row r="9" ht="33" customHeight="1">
      <x:c r="C9" s="24" t="s">
        <x:v>348</x:v>
      </x:c>
      <x:c r="E9" s="36"/>
      <x:c r="F9" s="31" t="s">
        <x:v>349</x:v>
      </x:c>
      <x:c r="G9" s="31" t="s">
        <x:v>350</x:v>
      </x:c>
      <x:c r="H9" s="31" t="s">
        <x:v>351</x:v>
      </x:c>
      <x:c r="I9" s="36"/>
      <x:c r="K9" s="224" t="s">
        <x:v>352</x:v>
      </x:c>
      <x:c r="L9" s="38" t="n">
        <x:f>SUM(F5:F7,F11:H13,F17:H19)</x:f>
        <x:v>8</x:v>
      </x:c>
      <x:c r="P9" s="192"/>
      <x:c r="Q9" s="192"/>
      <x:c r="R9" s="192"/>
      <x:c r="S9" s="192"/>
      <x:c r="T9" s="192"/>
      <x:c r="U9" s="192"/>
      <x:c r="V9" s="192"/>
      <x:c r="W9" s="192"/>
      <x:c r="X9" s="192"/>
      <x:c r="Y9" s="192"/>
    </x:row>
    <x:row r="10" ht="33" customHeight="1">
      <x:c r="A10" s="32"/>
      <x:c r="B10" s="24"/>
      <x:c r="C10" s="24"/>
      <x:c r="E10" s="46"/>
      <x:c r="F10" s="47">
        <x:v>1.0</x:v>
      </x:c>
      <x:c r="G10" s="47">
        <x:v>1.2</x:v>
      </x:c>
      <x:c r="H10" s="47">
        <x:v>1.5</x:v>
      </x:c>
      <x:c r="I10" s="36"/>
      <x:c r="K10" s="224" t="s">
        <x:v>353</x:v>
      </x:c>
      <x:c r="L10" s="38" t="n">
        <x:f>SUM(F7,F13:H13,F19:H19)</x:f>
        <x:v>3</x:v>
      </x:c>
      <x:c r="M10" s="49" t="n">
        <x:f>IF(L9=0,0,L10/L9)</x:f>
        <x:v>0.375</x:v>
      </x:c>
      <x:c r="P10" s="198" t="str">
        <x:v>PESOS DE REPUTACIÓN DEL CICLO</x:v>
      </x:c>
      <x:c r="Q10" s="199"/>
      <x:c r="R10" s="199"/>
      <x:c r="S10" s="199"/>
      <x:c r="T10" s="199"/>
      <x:c r="U10" s="199"/>
      <x:c r="V10" s="199"/>
      <x:c r="W10" s="199"/>
      <x:c r="X10" s="199"/>
      <x:c r="Y10" s="199"/>
    </x:row>
    <x:row r="11" ht="33" customHeight="1">
      <x:c r="A11" s="32"/>
      <x:c r="C11" s="24" t="s">
        <x:v>354</x:v>
      </x:c>
      <x:c r="E11" s="33">
        <x:v>6.0</x:v>
      </x:c>
      <x:c r="F11" s="51"/>
      <x:c r="G11" s="51"/>
      <x:c r="H11" s="34" t="n">
        <x:v>1</x:v>
      </x:c>
      <x:c r="I11" s="36" t="n">
        <x:f t="shared" ref="I11:I13" si="2">SUM(F11*E11*$F$10,G11*E11*$G$10,H11*E11*$H$10)</x:f>
        <x:v>9</x:v>
      </x:c>
      <x:c r="K11" s="223"/>
      <x:c r="P11" s="184" t="str">
        <x:v>Cumplimiento del plan</x:v>
      </x:c>
      <x:c r="Q11" s="213" t="n">
        <x:v>0.25</x:v>
      </x:c>
      <x:c r="R11" s="192"/>
      <x:c r="S11" s="192"/>
      <x:c r="T11" s="192"/>
      <x:c r="U11" s="192"/>
      <x:c r="V11" s="192"/>
      <x:c r="W11" s="192"/>
      <x:c r="X11" s="192"/>
      <x:c r="Y11" s="192"/>
    </x:row>
    <x:row r="12" ht="33" customHeight="1">
      <x:c r="A12" s="32"/>
      <x:c r="C12" s="24" t="s">
        <x:v>355</x:v>
      </x:c>
      <x:c r="E12" s="33">
        <x:v>8.0</x:v>
      </x:c>
      <x:c r="F12" s="34" t="n">
        <x:v>1</x:v>
      </x:c>
      <x:c r="G12" s="34" t="n">
        <x:v>0</x:v>
      </x:c>
      <x:c r="H12" s="51"/>
      <x:c r="I12" s="36" t="n">
        <x:f t="shared" si="2">SUM(F12*E12*$F$10,G12*E12*$G$10,H12*E12*$H$10)</x:f>
        <x:v>8</x:v>
      </x:c>
      <x:c r="K12" s="222" t="str">
        <x:v>Producción final</x:v>
      </x:c>
      <x:c r="L12" s="220" t="n">
        <x:f>SUM(E56:E58)</x:f>
        <x:v>190</x:v>
      </x:c>
      <x:c r="P12" s="184" t="str">
        <x:v>Proporción de personal N3</x:v>
      </x:c>
      <x:c r="Q12" s="213" t="n">
        <x:v>0.25</x:v>
      </x:c>
      <x:c r="R12" s="192"/>
      <x:c r="S12" s="192"/>
      <x:c r="T12" s="192"/>
      <x:c r="U12" s="192"/>
      <x:c r="V12" s="192"/>
      <x:c r="W12" s="192"/>
      <x:c r="X12" s="192"/>
      <x:c r="Y12" s="192"/>
    </x:row>
    <x:row r="13" ht="33" customHeight="1">
      <x:c r="A13" s="32"/>
      <x:c r="C13" s="24" t="s">
        <x:v>356</x:v>
      </x:c>
      <x:c r="E13" s="33">
        <x:v>12.0</x:v>
      </x:c>
      <x:c r="F13" s="51"/>
      <x:c r="G13" s="34" t="n">
        <x:v>1</x:v>
      </x:c>
      <x:c r="H13" s="51"/>
      <x:c r="I13" s="36" t="n">
        <x:f t="shared" si="2">SUM(F13*E13*$F$10,G13*E13*$G$10,H13*E13*$H$10)</x:f>
        <x:v>14.399999999999999</x:v>
      </x:c>
      <x:c r="K13" s="222" t="str">
        <x:v>Plan no producido</x:v>
      </x:c>
      <x:c r="L13" s="220" t="n">
        <x:f>D36-L12</x:f>
        <x:v>330</x:v>
      </x:c>
      <x:c r="P13" s="184" t="str">
        <x:v>Calidad de materiales</x:v>
      </x:c>
      <x:c r="Q13" s="213" t="n">
        <x:v>0.25</x:v>
      </x:c>
      <x:c r="R13" s="192"/>
      <x:c r="S13" s="192"/>
      <x:c r="T13" s="192"/>
      <x:c r="U13" s="192"/>
      <x:c r="V13" s="192"/>
      <x:c r="W13" s="192"/>
      <x:c r="X13" s="192"/>
      <x:c r="Y13" s="192"/>
    </x:row>
    <x:row r="14" ht="33" customHeight="1">
      <x:c r="A14" s="42" t="s">
        <x:v>357</x:v>
      </x:c>
      <x:c r="E14" s="36"/>
      <x:c r="F14" s="29"/>
      <x:c r="G14" s="43"/>
      <x:c r="H14" s="43"/>
      <x:c r="I14" s="44" t="n">
        <x:f>SUM(I11:I13)</x:f>
        <x:v>31.4</x:v>
      </x:c>
      <x:c r="K14" s="222" t="str">
        <x:v>Capacidad ociosa</x:v>
      </x:c>
      <x:c r="L14" s="220" t="n">
        <x:f>N5-L12</x:f>
        <x:v>207</x:v>
      </x:c>
      <x:c r="P14" s="184" t="str">
        <x:v>Publicidad</x:v>
      </x:c>
      <x:c r="Q14" s="213" t="n">
        <x:v>0.25</x:v>
      </x:c>
      <x:c r="R14" s="192"/>
      <x:c r="S14" s="192"/>
      <x:c r="T14" s="192"/>
      <x:c r="U14" s="192"/>
      <x:c r="V14" s="192"/>
      <x:c r="W14" s="192"/>
      <x:c r="X14" s="192"/>
      <x:c r="Y14" s="192"/>
    </x:row>
    <x:row r="15" ht="33" customHeight="1">
      <x:c r="C15" s="24" t="s">
        <x:v>348</x:v>
      </x:c>
      <x:c r="E15" s="56"/>
      <x:c r="F15" s="31" t="s">
        <x:v>349</x:v>
      </x:c>
      <x:c r="G15" s="31" t="s">
        <x:v>350</x:v>
      </x:c>
      <x:c r="H15" s="31" t="s">
        <x:v>351</x:v>
      </x:c>
      <x:c r="I15" s="36"/>
      <x:c r="K15" s="222" t="str">
        <x:v>Uso de capacidad</x:v>
      </x:c>
      <x:c r="L15" s="218" t="n">
        <x:f>IF(N5=0,0,L12/N5)</x:f>
        <x:v>0.47858942065491183</x:v>
      </x:c>
      <x:c r="P15" s="192"/>
      <x:c r="Q15" s="214"/>
      <x:c r="R15" s="192"/>
      <x:c r="S15" s="192"/>
      <x:c r="T15" s="192"/>
      <x:c r="U15" s="192"/>
      <x:c r="V15" s="192"/>
      <x:c r="W15" s="192"/>
      <x:c r="X15" s="192"/>
      <x:c r="Y15" s="192"/>
    </x:row>
    <x:row r="16" ht="33" customHeight="1">
      <x:c r="A16" s="32"/>
      <x:c r="C16" s="24"/>
      <x:c r="E16" s="46"/>
      <x:c r="F16" s="47">
        <x:v>1.0</x:v>
      </x:c>
      <x:c r="G16" s="47">
        <x:v>1.2</x:v>
      </x:c>
      <x:c r="H16" s="47">
        <x:v>1.5</x:v>
      </x:c>
      <x:c r="I16" s="36"/>
      <x:c r="K16" s="222" t="str">
        <x:v>Cumplimiento del plan</x:v>
      </x:c>
      <x:c r="L16" s="218" t="n">
        <x:f>IF(D36=0,0,L12/D36)</x:f>
        <x:v>0.36538461538461536</x:v>
      </x:c>
      <x:c r="P16" s="184" t="str">
        <x:v>Peso del cuero en calidad</x:v>
      </x:c>
      <x:c r="Q16" s="213" t="n">
        <x:v>0.5</x:v>
      </x:c>
      <x:c r="R16" s="192"/>
      <x:c r="S16" s="192"/>
      <x:c r="T16" s="192"/>
      <x:c r="U16" s="192"/>
      <x:c r="V16" s="192"/>
      <x:c r="W16" s="192"/>
      <x:c r="X16" s="192"/>
      <x:c r="Y16" s="192"/>
    </x:row>
    <x:row r="17" ht="33" customHeight="1">
      <x:c r="A17" s="32"/>
      <x:c r="C17" s="24" t="s">
        <x:v>354</x:v>
      </x:c>
      <x:c r="E17" s="33">
        <x:v>6.0</x:v>
      </x:c>
      <x:c r="F17" s="51"/>
      <x:c r="G17" s="34" t="n">
        <x:v>1</x:v>
      </x:c>
      <x:c r="H17" s="51"/>
      <x:c r="I17" s="36" t="n">
        <x:f t="shared" ref="I17:I19" si="3">SUM(F17*E17*$F$16,G17*E17*$G$16,H17*E17*$H$16)</x:f>
        <x:v>7.199999999999999</x:v>
      </x:c>
      <x:c r="K17" s="222" t="str">
        <x:v>Calidad media (0–100)</x:v>
      </x:c>
      <x:c r="L17" s="219" t="n">
        <x:f>IF(L12=0,0,SUMPRODUCT(E56:E58,K56:K58)/L12)</x:f>
        <x:v>61.62907268170426</x:v>
      </x:c>
      <x:c r="P17" s="184" t="str">
        <x:v>Peso de accesorios en calidad</x:v>
      </x:c>
      <x:c r="Q17" s="213" t="n">
        <x:v>0.25</x:v>
      </x:c>
      <x:c r="R17" s="192"/>
      <x:c r="S17" s="192"/>
      <x:c r="T17" s="192"/>
      <x:c r="U17" s="192"/>
      <x:c r="V17" s="192"/>
      <x:c r="W17" s="192"/>
      <x:c r="X17" s="192"/>
      <x:c r="Y17" s="192"/>
    </x:row>
    <x:row r="18" ht="33" customHeight="1">
      <x:c r="A18" s="32"/>
      <x:c r="C18" s="24" t="s">
        <x:v>355</x:v>
      </x:c>
      <x:c r="E18" s="33">
        <x:v>7.0</x:v>
      </x:c>
      <x:c r="F18" s="51"/>
      <x:c r="G18" s="34" t="n">
        <x:v>0</x:v>
      </x:c>
      <x:c r="H18" s="34" t="n">
        <x:v>0</x:v>
      </x:c>
      <x:c r="I18" s="36" t="n">
        <x:f t="shared" si="3">SUM(F18*E18*$F$16,G18*E18*$G$16,H18*E18*$H$16)</x:f>
        <x:v>0</x:v>
      </x:c>
      <x:c r="K18" s="222" t="str">
        <x:v>Reputación del ciclo</x:v>
      </x:c>
      <x:c r="L18" s="219" t="n">
        <x:f>G75</x:f>
        <x:v>4.141688355504145</x:v>
      </x:c>
      <x:c r="P18" s="184" t="str">
        <x:v>Peso del hilo en calidad</x:v>
      </x:c>
      <x:c r="Q18" s="213" t="n">
        <x:v>0.25</x:v>
      </x:c>
      <x:c r="R18" s="192"/>
      <x:c r="S18" s="192"/>
      <x:c r="T18" s="192"/>
      <x:c r="U18" s="192"/>
      <x:c r="V18" s="192"/>
      <x:c r="W18" s="192"/>
      <x:c r="X18" s="192"/>
      <x:c r="Y18" s="192"/>
    </x:row>
    <x:row r="19" ht="33" customHeight="1">
      <x:c r="A19" s="32"/>
      <x:c r="C19" s="24" t="s">
        <x:v>356</x:v>
      </x:c>
      <x:c r="E19" s="33">
        <x:v>10.0</x:v>
      </x:c>
      <x:c r="F19" s="34" t="n">
        <x:v>1</x:v>
      </x:c>
      <x:c r="G19" s="51"/>
      <x:c r="H19" s="51"/>
      <x:c r="I19" s="36" t="n">
        <x:f t="shared" si="3">SUM(F19*E19*$F$16,G19*E19*$G$16,H19*E19*$H$16)</x:f>
        <x:v>10</x:v>
      </x:c>
      <x:c r="K19" s="223"/>
      <x:c r="P19" s="192"/>
      <x:c r="Q19" s="192"/>
      <x:c r="R19" s="192"/>
      <x:c r="S19" s="192"/>
      <x:c r="T19" s="192"/>
      <x:c r="U19" s="192"/>
      <x:c r="V19" s="192"/>
      <x:c r="W19" s="192"/>
      <x:c r="X19" s="192"/>
      <x:c r="Y19" s="192"/>
    </x:row>
    <x:row r="20" ht="40" customHeight="1">
      <x:c r="G20" s="58"/>
      <x:c r="H20" s="58"/>
      <x:c r="I20" s="44" t="n">
        <x:f>SUM(I17:I19)</x:f>
        <x:v>17.2</x:v>
      </x:c>
      <x:c r="K20" s="222" t="str">
        <x:v>Política de capacidad</x:v>
      </x:c>
      <x:c r="L20" s="184" t="str">
        <x:v>Cupos fijos</x:v>
      </x:c>
      <x:c r="P20" s="198" t="str">
        <x:v>Reglas del motor de producción</x:v>
      </x:c>
      <x:c r="Q20" s="199"/>
      <x:c r="R20" s="199"/>
      <x:c r="S20" s="199"/>
      <x:c r="T20" s="199"/>
      <x:c r="U20" s="199"/>
      <x:c r="V20" s="199"/>
      <x:c r="W20" s="199"/>
      <x:c r="X20" s="199"/>
      <x:c r="Y20" s="199"/>
    </x:row>
    <x:row r="21" ht="23" customHeight="1">
      <x:c r="A21" s="24" t="s">
        <x:v>358</x:v>
      </x:c>
      <x:c r="F21" s="59" t="n">
        <x:v>1</x:v>
      </x:c>
      <x:c r="K21" s="184" t="str">
        <x:v>La capacidad ociosa no se reasigna automáticamente.</x:v>
      </x:c>
      <x:c r="P21" s="184" t="str">
        <x:v>Parámetros propuestos para balancear el juego; editables.</x:v>
      </x:c>
      <x:c r="Q21" s="192"/>
      <x:c r="R21" s="192"/>
      <x:c r="S21" s="192"/>
      <x:c r="T21" s="192"/>
      <x:c r="U21" s="192"/>
      <x:c r="V21" s="192"/>
      <x:c r="W21" s="192"/>
      <x:c r="X21" s="192"/>
      <x:c r="Y21" s="192"/>
    </x:row>
    <x:row r="22" ht="23" customHeight="1">
      <x:c r="P22" s="184" t="str">
        <x:v>Una plaza de trabajo ocupada supone una máquina o mesa disponible.</x:v>
      </x:c>
      <x:c r="Q22" s="192"/>
      <x:c r="R22" s="192"/>
      <x:c r="S22" s="192"/>
      <x:c r="T22" s="192"/>
      <x:c r="U22" s="192"/>
      <x:c r="V22" s="192"/>
      <x:c r="W22" s="192"/>
      <x:c r="X22" s="192"/>
      <x:c r="Y22" s="192"/>
    </x:row>
    <x:row r="23" ht="23" customHeight="1">
      <x:c r="B23" s="186" t="str">
        <x:v>La proporción de personal N3 mejora la eficiencia. Jefatura: 0 = no, 1 = sí.</x:v>
      </x:c>
      <x:c r="P23" s="184" t="str">
        <x:v>Puntaje de cada calidad</x:v>
      </x:c>
      <x:c r="Q23" s="184" t="str">
        <x:v>Nivel 1</x:v>
      </x:c>
      <x:c r="R23" s="184" t="str">
        <x:v>Nivel 2</x:v>
      </x:c>
      <x:c r="S23" s="184" t="str">
        <x:v>Nivel 3</x:v>
      </x:c>
      <x:c r="T23" s="192"/>
      <x:c r="U23" s="192"/>
      <x:c r="V23" s="192"/>
      <x:c r="W23" s="192"/>
      <x:c r="X23" s="192"/>
      <x:c r="Y23" s="192"/>
    </x:row>
    <x:row r="24" ht="23" customHeight="1">
      <x:c r="P24" s="184" t="str">
        <x:v>Calidad de materiales (0–100)</x:v>
      </x:c>
      <x:c r="Q24" s="215" t="n">
        <x:v>33.333333333333336</x:v>
      </x:c>
      <x:c r="R24" s="215" t="n">
        <x:v>66.66666666666667</x:v>
      </x:c>
      <x:c r="S24" s="215" t="n">
        <x:v>100</x:v>
      </x:c>
      <x:c r="T24" s="192"/>
      <x:c r="U24" s="192"/>
      <x:c r="V24" s="192"/>
      <x:c r="W24" s="192"/>
      <x:c r="X24" s="192"/>
      <x:c r="Y24" s="192"/>
    </x:row>
    <x:row r="25" ht="23" customHeight="1">
      <x:c r="A25" s="60" t="s">
        <x:v>359</x:v>
      </x:c>
      <x:c r="P25" s="184" t="str">
        <x:v>Cada bolso consume una unidad de capacidad, cualquiera sea su nivel.</x:v>
      </x:c>
      <x:c r="Q25" s="192"/>
      <x:c r="R25" s="192"/>
      <x:c r="S25" s="192"/>
      <x:c r="T25" s="192"/>
      <x:c r="U25" s="192"/>
      <x:c r="V25" s="192"/>
      <x:c r="W25" s="192"/>
      <x:c r="X25" s="192"/>
      <x:c r="Y25" s="192"/>
    </x:row>
    <x:row r="26" ht="23" customHeight="1">
      <x:c r="P26" s="192"/>
      <x:c r="Q26" s="192"/>
      <x:c r="R26" s="192"/>
      <x:c r="S26" s="192"/>
      <x:c r="T26" s="192"/>
      <x:c r="U26" s="192"/>
      <x:c r="V26" s="192"/>
      <x:c r="W26" s="192"/>
      <x:c r="X26" s="192"/>
      <x:c r="Y26" s="192"/>
    </x:row>
    <x:row r="27" ht="52" customHeight="1">
      <x:c r="A27" s="61"/>
      <x:c r="B27" s="61"/>
      <x:c r="C27" s="61"/>
      <x:c r="D27" s="63" t="s">
        <x:v>178</x:v>
      </x:c>
      <x:c r="E27" s="63" t="s">
        <x:v>178</x:v>
      </x:c>
      <x:c r="F27" s="63" t="s">
        <x:v>178</x:v>
      </x:c>
      <x:c r="G27" s="66" t="s">
        <x:v>189</x:v>
      </x:c>
      <x:c r="H27" s="66" t="s">
        <x:v>189</x:v>
      </x:c>
      <x:c r="I27" s="66" t="s">
        <x:v>189</x:v>
      </x:c>
      <x:c r="J27" s="67" t="s">
        <x:v>196</x:v>
      </x:c>
      <x:c r="K27" s="67" t="s">
        <x:v>196</x:v>
      </x:c>
      <x:c r="L27" s="67" t="s">
        <x:v>196</x:v>
      </x:c>
      <x:c r="M27" s="61"/>
      <x:c r="N27" s="61"/>
      <x:c r="O27" s="61"/>
      <x:c r="P27" s="202" t="str">
        <x:v>RESERVAS APROBADAS POR MATERIAL</x:v>
      </x:c>
      <x:c r="Q27" s="203"/>
      <x:c r="R27" s="203"/>
      <x:c r="S27" s="203"/>
      <x:c r="T27" s="203"/>
      <x:c r="U27" s="203"/>
      <x:c r="V27" s="203"/>
      <x:c r="W27" s="203"/>
      <x:c r="X27" s="203"/>
      <x:c r="Y27" s="203"/>
      <x:c r="Z27" s="61"/>
      <x:c r="AA27" s="61"/>
      <x:c r="AB27" s="61"/>
    </x:row>
    <x:row r="28" ht="74" customHeight="1">
      <x:c r="A28" s="61"/>
      <x:c r="B28" s="61"/>
      <x:c r="C28" s="61"/>
      <x:c r="D28" s="69" t="s">
        <x:v>179</x:v>
      </x:c>
      <x:c r="E28" s="69" t="s">
        <x:v>183</x:v>
      </x:c>
      <x:c r="F28" s="69" t="s">
        <x:v>186</x:v>
      </x:c>
      <x:c r="G28" s="69" t="s">
        <x:v>190</x:v>
      </x:c>
      <x:c r="H28" s="69" t="s">
        <x:v>193</x:v>
      </x:c>
      <x:c r="I28" s="70" t="s">
        <x:v>360</x:v>
      </x:c>
      <x:c r="J28" s="69" t="s">
        <x:v>197</x:v>
      </x:c>
      <x:c r="K28" s="69" t="s">
        <x:v>200</x:v>
      </x:c>
      <x:c r="L28" s="69" t="s">
        <x:v>203</x:v>
      </x:c>
      <x:c r="M28" s="61"/>
      <x:c r="N28" s="61"/>
      <x:c r="O28" s="61"/>
      <x:c r="P28" s="193"/>
      <x:c r="Q28" s="189" t="str">
        <x:v>Cuero N1 (m²)</x:v>
      </x:c>
      <x:c r="R28" s="189" t="str">
        <x:v>Cuero N2 (m²)</x:v>
      </x:c>
      <x:c r="S28" s="189" t="str">
        <x:v>Cuero N3 (m²)</x:v>
      </x:c>
      <x:c r="T28" s="189" t="str">
        <x:v>Acces. N1 (ud.)</x:v>
      </x:c>
      <x:c r="U28" s="189" t="str">
        <x:v>Acces. N2 (ud.)</x:v>
      </x:c>
      <x:c r="V28" s="189" t="str">
        <x:v>Acces. N3 (ud.)</x:v>
      </x:c>
      <x:c r="W28" s="189" t="str">
        <x:v>Hilo N1 (m)</x:v>
      </x:c>
      <x:c r="X28" s="189" t="str">
        <x:v>Hilo N2 (m)</x:v>
      </x:c>
      <x:c r="Y28" s="189" t="str">
        <x:v>Hilo N3 (m)</x:v>
      </x:c>
      <x:c r="Z28" s="61"/>
      <x:c r="AA28" s="61"/>
      <x:c r="AB28" s="61"/>
    </x:row>
    <x:row r="29" ht="52" customHeight="1">
      <x:c r="A29" s="61"/>
      <x:c r="B29" s="61"/>
      <x:c r="C29" s="72" t="s">
        <x:v>361</x:v>
      </x:c>
      <x:c r="D29" s="72" t="s">
        <x:v>362</x:v>
      </x:c>
      <x:c r="E29" s="72" t="s">
        <x:v>363</x:v>
      </x:c>
      <x:c r="F29" s="72" t="s">
        <x:v>363</x:v>
      </x:c>
      <x:c r="G29" s="72" t="s">
        <x:v>364</x:v>
      </x:c>
      <x:c r="H29" s="72" t="s">
        <x:v>364</x:v>
      </x:c>
      <x:c r="I29" s="72" t="s">
        <x:v>364</x:v>
      </x:c>
      <x:c r="J29" s="72" t="s">
        <x:v>365</x:v>
      </x:c>
      <x:c r="K29" s="72" t="s">
        <x:v>365</x:v>
      </x:c>
      <x:c r="L29" s="72" t="s">
        <x:v>365</x:v>
      </x:c>
      <x:c r="M29" s="74"/>
      <x:c r="N29" s="75"/>
      <x:c r="O29" s="61"/>
      <x:c r="P29" s="193"/>
      <x:c r="Q29" s="193"/>
      <x:c r="R29" s="193"/>
      <x:c r="S29" s="193"/>
      <x:c r="T29" s="193"/>
      <x:c r="U29" s="193"/>
      <x:c r="V29" s="193"/>
      <x:c r="W29" s="193"/>
      <x:c r="X29" s="193"/>
      <x:c r="Y29" s="193"/>
      <x:c r="Z29" s="61"/>
      <x:c r="AA29" s="61"/>
      <x:c r="AB29" s="61"/>
    </x:row>
    <x:row r="30" ht="41" customHeight="1">
      <x:c r="C30" s="31" t="s">
        <x:v>366</x:v>
      </x:c>
      <x:c r="D30" s="21" t="s">
        <x:v>367</x:v>
      </x:c>
      <x:c r="E30" s="21" t="s">
        <x:v>367</x:v>
      </x:c>
      <x:c r="F30" s="21" t="s">
        <x:v>367</x:v>
      </x:c>
      <x:c r="G30" s="21" t="s">
        <x:v>368</x:v>
      </x:c>
      <x:c r="H30" s="21" t="s">
        <x:v>368</x:v>
      </x:c>
      <x:c r="I30" s="21" t="s">
        <x:v>368</x:v>
      </x:c>
      <x:c r="J30" s="21" t="s">
        <x:v>369</x:v>
      </x:c>
      <x:c r="K30" s="21" t="s">
        <x:v>369</x:v>
      </x:c>
      <x:c r="L30" s="21" t="s">
        <x:v>369</x:v>
      </x:c>
      <x:c r="P30" s="184" t="str">
        <x:v>Básico</x:v>
      </x:c>
      <x:c r="Q30" s="209" t="n">
        <x:f>IF(SUM(D$49:D$51)=0,0,D49/SUM(D$49:D$51)*MIN(Q$34,SUM(D$49:D$51)))</x:f>
        <x:v>60</x:v>
      </x:c>
      <x:c r="R30" s="209" t="n">
        <x:f>IF(SUM(E$49:E$51)=0,0,E49/SUM(E$49:E$51)*MIN(R$34,SUM(E$49:E$51)))</x:f>
        <x:v>10</x:v>
      </x:c>
      <x:c r="S30" s="209" t="n">
        <x:f>IF(SUM(F$49:F$51)=0,0,F49/SUM(F$49:F$51)*MIN(S$34,SUM(F$49:F$51)))</x:f>
        <x:v>0</x:v>
      </x:c>
      <x:c r="T30" s="211" t="n">
        <x:f>IF(SUM(G$49:G$51)=0,0,ROUND(G49/SUM(G$49:G$51)*MIN(T$34,SUM(G$49:G$51)),0))</x:f>
        <x:v>0</x:v>
      </x:c>
      <x:c r="U30" s="211" t="n">
        <x:f>IF(SUM(H$49:H$51)=0,0,ROUND(H49/SUM(H$49:H$51)*MIN(U$34,SUM(H$49:H$51)),0))</x:f>
        <x:v>95</x:v>
      </x:c>
      <x:c r="V30" s="211" t="n">
        <x:f>IF(SUM(I$49:I$51)=0,0,ROUND(I49/SUM(I$49:I$51)*MIN(V$34,SUM(I$49:I$51)),0))</x:f>
        <x:v>0</x:v>
      </x:c>
      <x:c r="W30" s="209" t="n">
        <x:f>IF(SUM(J$49:J$51)=0,0,J49/SUM(J$49:J$51)*MIN(W$34,SUM(J$49:J$51)))</x:f>
        <x:v>1500</x:v>
      </x:c>
      <x:c r="X30" s="209" t="n">
        <x:f>IF(SUM(K$49:K$51)=0,0,K49/SUM(K$49:K$51)*MIN(X$34,SUM(K$49:K$51)))</x:f>
        <x:v>0</x:v>
      </x:c>
      <x:c r="Y30" s="209" t="n">
        <x:f>IF(SUM(L$49:L$51)=0,0,L49/SUM(L$49:L$51)*MIN(Y$34,SUM(L$49:L$51)))</x:f>
        <x:v>0</x:v>
      </x:c>
    </x:row>
    <x:row r="31" ht="23" customHeight="1">
      <x:c r="C31" s="76" t="s">
        <x:v>103</x:v>
      </x:c>
      <x:c r="D31" s="77">
        <x:v>0.3</x:v>
      </x:c>
      <x:c r="E31" s="77"/>
      <x:c r="F31" s="77"/>
      <x:c r="G31" s="78">
        <x:v>1.0</x:v>
      </x:c>
      <x:c r="H31" s="78"/>
      <x:c r="I31" s="78"/>
      <x:c r="J31" s="78">
        <x:v>6.0</x:v>
      </x:c>
      <x:c r="K31" s="78"/>
      <x:c r="L31" s="78"/>
      <x:c r="P31" s="184" t="str">
        <x:v>Mejorado</x:v>
      </x:c>
      <x:c r="Q31" s="209" t="n">
        <x:f>IF(SUM(D$49:D$51)=0,0,D50/SUM(D$49:D$51)*MIN(Q$34,SUM(D$49:D$51)))</x:f>
        <x:v>0</x:v>
      </x:c>
      <x:c r="R31" s="209" t="n">
        <x:f>IF(SUM(E$49:E$51)=0,0,E50/SUM(E$49:E$51)*MIN(R$34,SUM(E$49:E$51)))</x:f>
        <x:v>50</x:v>
      </x:c>
      <x:c r="S31" s="209" t="n">
        <x:f>IF(SUM(F$49:F$51)=0,0,F50/SUM(F$49:F$51)*MIN(S$34,SUM(F$49:F$51)))</x:f>
        <x:v>0</x:v>
      </x:c>
      <x:c r="T31" s="211" t="n">
        <x:f>IF(SUM(G$49:G$51)=0,0,ROUND(SUM(G$49:G50)/SUM(G$49:G$51)*MIN(T$34,SUM(G$49:G$51)),0)-T30)</x:f>
        <x:v>0</x:v>
      </x:c>
      <x:c r="U31" s="211" t="n">
        <x:f>IF(SUM(H$49:H$51)=0,0,ROUND(SUM(H$49:H50)/SUM(H$49:H$51)*MIN(U$34,SUM(H$49:H$51)),0)-U30)</x:f>
        <x:v>71</x:v>
      </x:c>
      <x:c r="V31" s="211" t="n">
        <x:f>IF(SUM(I$49:I$51)=0,0,ROUND(SUM(I$49:I50)/SUM(I$49:I$51)*MIN(V$34,SUM(I$49:I$51)),0)-V30)</x:f>
        <x:v>0</x:v>
      </x:c>
      <x:c r="W31" s="209" t="n">
        <x:f>IF(SUM(J$49:J$51)=0,0,J50/SUM(J$49:J$51)*MIN(W$34,SUM(J$49:J$51)))</x:f>
        <x:v>0</x:v>
      </x:c>
      <x:c r="X31" s="209" t="n">
        <x:f>IF(SUM(K$49:K$51)=0,0,K50/SUM(K$49:K$51)*MIN(X$34,SUM(K$49:K$51)))</x:f>
        <x:v>0</x:v>
      </x:c>
      <x:c r="Y31" s="209" t="n">
        <x:f>IF(SUM(L$49:L$51)=0,0,L50/SUM(L$49:L$51)*MIN(Y$34,SUM(L$49:L$51)))</x:f>
        <x:v>610.4347826086956</x:v>
      </x:c>
    </x:row>
    <x:row r="32" ht="23" customHeight="1">
      <x:c r="C32" s="76" t="s">
        <x:v>107</x:v>
      </x:c>
      <x:c r="D32" s="78"/>
      <x:c r="E32" s="78">
        <x:v>0.4</x:v>
      </x:c>
      <x:c r="F32" s="78"/>
      <x:c r="G32" s="77"/>
      <x:c r="H32" s="77">
        <x:v>1.0</x:v>
      </x:c>
      <x:c r="I32" s="77"/>
      <x:c r="J32" s="78"/>
      <x:c r="K32" s="78">
        <x:v>7.0</x:v>
      </x:c>
      <x:c r="L32" s="78"/>
      <x:c r="P32" s="184" t="str">
        <x:v>Premium</x:v>
      </x:c>
      <x:c r="Q32" s="209" t="n">
        <x:f>IF(SUM(D$49:D$51)=0,0,D51/SUM(D$49:D$51)*MIN(Q$34,SUM(D$49:D$51)))</x:f>
        <x:v>0</x:v>
      </x:c>
      <x:c r="R32" s="209" t="n">
        <x:f>IF(SUM(E$49:E$51)=0,0,E51/SUM(E$49:E$51)*MIN(R$34,SUM(E$49:E$51)))</x:f>
        <x:v>0</x:v>
      </x:c>
      <x:c r="S32" s="209" t="n">
        <x:f>IF(SUM(F$49:F$51)=0,0,F51/SUM(F$49:F$51)*MIN(S$34,SUM(F$49:F$51)))</x:f>
        <x:v>63</x:v>
      </x:c>
      <x:c r="T32" s="211" t="n">
        <x:f>MIN(T$34,SUM(G$49:G$51))-SUM(T30:T31)</x:f>
        <x:v>0</x:v>
      </x:c>
      <x:c r="U32" s="211" t="n">
        <x:f>MIN(U$34,SUM(H$49:H$51))-SUM(U30:U31)</x:f>
        <x:v>24</x:v>
      </x:c>
      <x:c r="V32" s="211" t="n">
        <x:f>MIN(V$34,SUM(I$49:I$51))-SUM(V30:V31)</x:f>
        <x:v>0</x:v>
      </x:c>
      <x:c r="W32" s="209" t="n">
        <x:f>IF(SUM(J$49:J$51)=0,0,J51/SUM(J$49:J$51)*MIN(W$34,SUM(J$49:J$51)))</x:f>
        <x:v>0</x:v>
      </x:c>
      <x:c r="X32" s="209" t="n">
        <x:f>IF(SUM(K$49:K$51)=0,0,K51/SUM(K$49:K$51)*MIN(X$34,SUM(K$49:K$51)))</x:f>
        <x:v>0</x:v>
      </x:c>
      <x:c r="Y32" s="209" t="n">
        <x:f>IF(SUM(L$49:L$51)=0,0,L51/SUM(L$49:L$51)*MIN(Y$34,SUM(L$49:L$51)))</x:f>
        <x:v>559.5652173913044</x:v>
      </x:c>
    </x:row>
    <x:row r="33" ht="23" customHeight="1">
      <x:c r="C33" s="76" t="s">
        <x:v>111</x:v>
      </x:c>
      <x:c r="D33" s="79"/>
      <x:c r="E33" s="79"/>
      <x:c r="F33" s="78">
        <x:v>0.7</x:v>
      </x:c>
      <x:c r="G33" s="79"/>
      <x:c r="H33" s="79"/>
      <x:c r="I33" s="78">
        <x:v>1.0</x:v>
      </x:c>
      <x:c r="J33" s="77"/>
      <x:c r="K33" s="77"/>
      <x:c r="L33" s="77">
        <x:v>13.0</x:v>
      </x:c>
      <x:c r="P33" s="192"/>
      <x:c r="Q33" s="209"/>
      <x:c r="R33" s="209"/>
      <x:c r="S33" s="209"/>
      <x:c r="T33" s="209"/>
      <x:c r="U33" s="209"/>
      <x:c r="V33" s="209"/>
      <x:c r="W33" s="209"/>
      <x:c r="X33" s="209"/>
      <x:c r="Y33" s="209"/>
    </x:row>
    <x:row r="34" ht="23" customHeight="1">
      <x:c r="P34" s="184" t="str">
        <x:v>Disponible al inicio del ciclo</x:v>
      </x:c>
      <x:c r="Q34" s="209" t="n">
        <x:f>SUM(D63:E63)</x:f>
        <x:v>75</x:v>
      </x:c>
      <x:c r="R34" s="209" t="n">
        <x:f>SUM(D64:E64)</x:f>
        <x:v>72</x:v>
      </x:c>
      <x:c r="S34" s="209" t="n">
        <x:f>SUM(D65:E65)</x:f>
        <x:v>63</x:v>
      </x:c>
      <x:c r="T34" s="209" t="n">
        <x:f>SUM(D66:E66)</x:f>
        <x:v>250</x:v>
      </x:c>
      <x:c r="U34" s="209" t="n">
        <x:f>SUM(D67:E67)</x:f>
        <x:v>190</x:v>
      </x:c>
      <x:c r="V34" s="209" t="n">
        <x:f>SUM(D68:E68)</x:f>
        <x:v>90</x:v>
      </x:c>
      <x:c r="W34" s="209" t="n">
        <x:f>SUM(D69:E69)</x:f>
        <x:v>1500</x:v>
      </x:c>
      <x:c r="X34" s="209" t="n">
        <x:f>SUM(D70:E70)</x:f>
        <x:v>1260</x:v>
      </x:c>
      <x:c r="Y34" s="209" t="n">
        <x:f>SUM(D71:E71)</x:f>
        <x:v>1170</x:v>
      </x:c>
    </x:row>
    <x:row r="35" ht="23" customHeight="1">
      <x:c r="D35" s="229" t="str">
        <x:v>Plan</x:v>
      </x:c>
      <x:c r="E35" s="230" t="n">
        <x:f>MIN(N5,D36)</x:f>
        <x:v>397</x:v>
      </x:c>
      <x:c r="F35" s="184" t="str">
        <x:v>Capacidad a repartir</x:v>
      </x:c>
      <x:c r="P35" s="184" t="str">
        <x:v>Solicitado, no reservado</x:v>
      </x:c>
      <x:c r="Q35" s="209" t="n">
        <x:f>SUM(D49:D51)-SUM(Q30:Q32)</x:f>
        <x:v>0</x:v>
      </x:c>
      <x:c r="R35" s="209" t="n">
        <x:f>SUM(E49:E51)-SUM(R30:R32)</x:f>
        <x:v>0</x:v>
      </x:c>
      <x:c r="S35" s="209" t="n">
        <x:f>SUM(F49:F51)-SUM(S30:S32)</x:f>
        <x:v>7</x:v>
      </x:c>
      <x:c r="T35" s="209" t="n">
        <x:f>SUM(G49:G51)-SUM(T30:T32)</x:f>
        <x:v>0</x:v>
      </x:c>
      <x:c r="U35" s="209" t="n">
        <x:f>SUM(H49:H51)-SUM(U30:U32)</x:f>
        <x:v>210</x:v>
      </x:c>
      <x:c r="V35" s="209" t="n">
        <x:f>SUM(I49:I51)-SUM(V30:V32)</x:f>
        <x:v>0</x:v>
      </x:c>
      <x:c r="W35" s="209" t="n">
        <x:f>SUM(J49:J51)-SUM(W30:W32)</x:f>
        <x:v>100</x:v>
      </x:c>
      <x:c r="X35" s="209" t="n">
        <x:f>SUM(K49:K51)-SUM(X30:X32)</x:f>
        <x:v>0</x:v>
      </x:c>
      <x:c r="Y35" s="209" t="n">
        <x:f>SUM(L49:L51)-SUM(Y30:Y32)</x:f>
        <x:v>1130</x:v>
      </x:c>
    </x:row>
    <x:row r="36" ht="23" customHeight="1">
      <x:c r="C36" s="81" t="s">
        <x:v>370</x:v>
      </x:c>
      <x:c r="D36" s="231" t="n">
        <x:f t="shared" ref="D36:E36" si="4">SUM(D37:D39)</x:f>
        <x:v>520</x:v>
      </x:c>
      <x:c r="E36" s="232" t="n">
        <x:f t="shared" si="4">SUM(E37:E39)</x:f>
        <x:v>397</x:v>
      </x:c>
      <x:c r="F36" s="187" t="str">
        <x:v>Reparto proporcional con redondeo acumulado.</x:v>
      </x:c>
      <x:c r="G36" s="84"/>
      <x:c r="H36" s="84"/>
      <x:c r="I36" s="84"/>
      <x:c r="J36" s="84"/>
      <x:c r="K36" s="84"/>
      <x:c r="L36" s="85"/>
      <x:c r="P36" s="184" t="str">
        <x:v>Si falta stock, se prorratea lo solicitado. Los accesorios se reservan en unidades enteras.</x:v>
      </x:c>
      <x:c r="Q36" s="209"/>
      <x:c r="R36" s="209"/>
      <x:c r="S36" s="209"/>
      <x:c r="T36" s="209"/>
      <x:c r="U36" s="209"/>
      <x:c r="V36" s="209"/>
      <x:c r="W36" s="209"/>
      <x:c r="X36" s="209"/>
      <x:c r="Y36" s="209"/>
    </x:row>
    <x:row r="37" ht="23" customHeight="1">
      <x:c r="C37" s="86" t="s">
        <x:v>103</x:v>
      </x:c>
      <x:c r="D37" s="233" t="n">
        <x:v>250</x:v>
      </x:c>
      <x:c r="E37" s="230" t="n">
        <x:f>IF($D$36=0,0,ROUND(D37/$D$36*$E$35,0))</x:f>
        <x:v>191</x:v>
      </x:c>
      <x:c r="L37" s="89"/>
      <x:c r="P37" s="192"/>
      <x:c r="Q37" s="209"/>
      <x:c r="R37" s="209"/>
      <x:c r="S37" s="209"/>
      <x:c r="T37" s="209"/>
      <x:c r="U37" s="209"/>
      <x:c r="V37" s="209"/>
      <x:c r="W37" s="209"/>
      <x:c r="X37" s="209"/>
      <x:c r="Y37" s="209"/>
    </x:row>
    <x:row r="38" ht="23" customHeight="1">
      <x:c r="C38" s="86" t="s">
        <x:v>107</x:v>
      </x:c>
      <x:c r="D38" s="233" t="n">
        <x:v>180</x:v>
      </x:c>
      <x:c r="E38" s="230" t="n">
        <x:f>IF($D$36=0,0,ROUND(SUM(D37:D38)/$D$36*$E$35,0)-E37)</x:f>
        <x:v>137</x:v>
      </x:c>
      <x:c r="L38" s="89"/>
      <x:c r="P38" s="198" t="str">
        <x:v>CONSUMO EFECTIVO POR MATERIAL</x:v>
      </x:c>
      <x:c r="Q38" s="210"/>
      <x:c r="R38" s="210"/>
      <x:c r="S38" s="210"/>
      <x:c r="T38" s="210"/>
      <x:c r="U38" s="210"/>
      <x:c r="V38" s="210"/>
      <x:c r="W38" s="210"/>
      <x:c r="X38" s="210"/>
      <x:c r="Y38" s="210"/>
    </x:row>
    <x:row r="39" ht="23" customHeight="1">
      <x:c r="C39" s="86" t="s">
        <x:v>111</x:v>
      </x:c>
      <x:c r="D39" s="233" t="n">
        <x:v>90</x:v>
      </x:c>
      <x:c r="E39" s="230" t="n">
        <x:f>E35-SUM(E37:E38)</x:f>
        <x:v>69</x:v>
      </x:c>
      <x:c r="L39" s="89"/>
      <x:c r="P39" s="184" t="str">
        <x:v>Básico</x:v>
      </x:c>
      <x:c r="Q39" s="209" t="n">
        <x:f>IF(SUM(Q30:S30)=0,0,G56*Q30/SUM(Q30:S30))</x:f>
        <x:v>24.428571428571427</x:v>
      </x:c>
      <x:c r="R39" s="209" t="n">
        <x:f>IF(SUM(Q30:S30)=0,0,G56*R30/SUM(Q30:S30))</x:f>
        <x:v>4.071428571428571</x:v>
      </x:c>
      <x:c r="S39" s="209" t="n">
        <x:f>IF(SUM(Q30:S30)=0,0,G56*S30/SUM(Q30:S30))</x:f>
        <x:v>0</x:v>
      </x:c>
      <x:c r="T39" s="211" t="n">
        <x:f>IF(SUM(T30:V30)=0,0,ROUND(H56*T30/SUM(T30:V30),0))</x:f>
        <x:v>0</x:v>
      </x:c>
      <x:c r="U39" s="211" t="n">
        <x:f>IF(SUM(T30:V30)=0,0,ROUND(H56*SUM(T30:U30)/SUM(T30:V30),0)-T39)</x:f>
        <x:v>95</x:v>
      </x:c>
      <x:c r="V39" s="211" t="n">
        <x:f>H56-SUM(T39:U39)</x:f>
        <x:v>0</x:v>
      </x:c>
      <x:c r="W39" s="209" t="n">
        <x:f>IF(SUM(W30:Y30)=0,0,I56*W30/SUM(W30:Y30))</x:f>
        <x:v>570</x:v>
      </x:c>
      <x:c r="X39" s="209" t="n">
        <x:f>IF(SUM(W30:Y30)=0,0,I56*X30/SUM(W30:Y30))</x:f>
        <x:v>0</x:v>
      </x:c>
      <x:c r="Y39" s="209" t="n">
        <x:f>IF(SUM(W30:Y30)=0,0,I56*Y30/SUM(W30:Y30))</x:f>
        <x:v>0</x:v>
      </x:c>
    </x:row>
    <x:row r="40" ht="35" customHeight="1">
      <x:c r="C40" s="90"/>
      <x:c r="D40" s="63" t="s">
        <x:v>178</x:v>
      </x:c>
      <x:c r="E40" s="63" t="s">
        <x:v>178</x:v>
      </x:c>
      <x:c r="F40" s="63" t="s">
        <x:v>178</x:v>
      </x:c>
      <x:c r="G40" s="66" t="s">
        <x:v>189</x:v>
      </x:c>
      <x:c r="H40" s="66" t="s">
        <x:v>189</x:v>
      </x:c>
      <x:c r="I40" s="66" t="s">
        <x:v>189</x:v>
      </x:c>
      <x:c r="J40" s="67" t="s">
        <x:v>196</x:v>
      </x:c>
      <x:c r="K40" s="67" t="s">
        <x:v>196</x:v>
      </x:c>
      <x:c r="L40" s="91" t="s">
        <x:v>196</x:v>
      </x:c>
      <x:c r="P40" s="184" t="str">
        <x:v>Mejorado</x:v>
      </x:c>
      <x:c r="Q40" s="209" t="n">
        <x:f>IF(SUM(Q31:S31)=0,0,G57*Q31/SUM(Q31:S31))</x:f>
        <x:v>0</x:v>
      </x:c>
      <x:c r="R40" s="209" t="n">
        <x:f>IF(SUM(Q31:S31)=0,0,G57*R31/SUM(Q31:S31))</x:f>
        <x:v>28.4</x:v>
      </x:c>
      <x:c r="S40" s="209" t="n">
        <x:f>IF(SUM(Q31:S31)=0,0,G57*S31/SUM(Q31:S31))</x:f>
        <x:v>0</x:v>
      </x:c>
      <x:c r="T40" s="211" t="n">
        <x:f>IF(SUM(T31:V31)=0,0,ROUND(H57*T31/SUM(T31:V31),0))</x:f>
        <x:v>0</x:v>
      </x:c>
      <x:c r="U40" s="211" t="n">
        <x:f>IF(SUM(T31:V31)=0,0,ROUND(H57*SUM(T31:U31)/SUM(T31:V31),0)-T40)</x:f>
        <x:v>71</x:v>
      </x:c>
      <x:c r="V40" s="211" t="n">
        <x:f>H57-SUM(T40:U40)</x:f>
        <x:v>0</x:v>
      </x:c>
      <x:c r="W40" s="209" t="n">
        <x:f>IF(SUM(W31:Y31)=0,0,I57*W31/SUM(W31:Y31))</x:f>
        <x:v>0</x:v>
      </x:c>
      <x:c r="X40" s="209" t="n">
        <x:f>IF(SUM(W31:Y31)=0,0,I57*X31/SUM(W31:Y31))</x:f>
        <x:v>0</x:v>
      </x:c>
      <x:c r="Y40" s="209" t="n">
        <x:f>IF(SUM(W31:Y31)=0,0,I57*Y31/SUM(W31:Y31))</x:f>
        <x:v>497</x:v>
      </x:c>
    </x:row>
    <x:row r="41" ht="74" customHeight="1">
      <x:c r="C41" s="90"/>
      <x:c r="D41" s="69" t="s">
        <x:v>179</x:v>
      </x:c>
      <x:c r="E41" s="69" t="s">
        <x:v>183</x:v>
      </x:c>
      <x:c r="F41" s="69" t="s">
        <x:v>186</x:v>
      </x:c>
      <x:c r="G41" s="69" t="s">
        <x:v>190</x:v>
      </x:c>
      <x:c r="H41" s="69" t="s">
        <x:v>193</x:v>
      </x:c>
      <x:c r="I41" s="70" t="s">
        <x:v>360</x:v>
      </x:c>
      <x:c r="J41" s="69" t="s">
        <x:v>197</x:v>
      </x:c>
      <x:c r="K41" s="69" t="s">
        <x:v>200</x:v>
      </x:c>
      <x:c r="L41" s="92" t="s">
        <x:v>203</x:v>
      </x:c>
      <x:c r="P41" s="184" t="str">
        <x:v>Premium</x:v>
      </x:c>
      <x:c r="Q41" s="209" t="n">
        <x:f>IF(SUM(Q32:S32)=0,0,G58*Q32/SUM(Q32:S32))</x:f>
        <x:v>0</x:v>
      </x:c>
      <x:c r="R41" s="209" t="n">
        <x:f>IF(SUM(Q32:S32)=0,0,G58*R32/SUM(Q32:S32))</x:f>
        <x:v>0</x:v>
      </x:c>
      <x:c r="S41" s="209" t="n">
        <x:f>IF(SUM(Q32:S32)=0,0,G58*S32/SUM(Q32:S32))</x:f>
        <x:v>16.799999999999997</x:v>
      </x:c>
      <x:c r="T41" s="211" t="n">
        <x:f>IF(SUM(T32:V32)=0,0,ROUND(H58*T32/SUM(T32:V32),0))</x:f>
        <x:v>0</x:v>
      </x:c>
      <x:c r="U41" s="211" t="n">
        <x:f>IF(SUM(T32:V32)=0,0,ROUND(H58*SUM(T32:U32)/SUM(T32:V32),0)-T41)</x:f>
        <x:v>24</x:v>
      </x:c>
      <x:c r="V41" s="211" t="n">
        <x:f>H58-SUM(T41:U41)</x:f>
        <x:v>0</x:v>
      </x:c>
      <x:c r="W41" s="209" t="n">
        <x:f>IF(SUM(W32:Y32)=0,0,I58*W32/SUM(W32:Y32))</x:f>
        <x:v>0</x:v>
      </x:c>
      <x:c r="X41" s="209" t="n">
        <x:f>IF(SUM(W32:Y32)=0,0,I58*X32/SUM(W32:Y32))</x:f>
        <x:v>0</x:v>
      </x:c>
      <x:c r="Y41" s="209" t="n">
        <x:f>IF(SUM(W32:Y32)=0,0,I58*Y32/SUM(W32:Y32))</x:f>
        <x:v>312</x:v>
      </x:c>
    </x:row>
    <x:row r="42" ht="23" customHeight="1">
      <x:c r="C42" s="86" t="s">
        <x:v>103</x:v>
      </x:c>
      <x:c r="D42" s="35" t="n">
        <x:f t="shared" ref="D42:L42" si="5">$D37*D31</x:f>
        <x:v>75</x:v>
      </x:c>
      <x:c r="E42" s="35" t="n">
        <x:f t="shared" si="5">$D37*E31</x:f>
        <x:v>0</x:v>
      </x:c>
      <x:c r="F42" s="35" t="n">
        <x:f t="shared" si="5">$D37*F31</x:f>
        <x:v>0</x:v>
      </x:c>
      <x:c r="G42" s="35" t="n">
        <x:f t="shared" si="5">$D37*G31</x:f>
        <x:v>250</x:v>
      </x:c>
      <x:c r="H42" s="35" t="n">
        <x:f t="shared" si="5">$D37*H31</x:f>
        <x:v>0</x:v>
      </x:c>
      <x:c r="I42" s="35" t="n">
        <x:f t="shared" si="5">$D37*I31</x:f>
        <x:v>0</x:v>
      </x:c>
      <x:c r="J42" s="35" t="n">
        <x:f t="shared" si="5">$D37*J31</x:f>
        <x:v>1500</x:v>
      </x:c>
      <x:c r="K42" s="35" t="n">
        <x:f t="shared" si="5">$D37*K31</x:f>
        <x:v>0</x:v>
      </x:c>
      <x:c r="L42" s="93" t="n">
        <x:f t="shared" si="5">$D37*L31</x:f>
        <x:v>0</x:v>
      </x:c>
      <x:c r="P42" s="184" t="str">
        <x:v>Los materiales reservados que no se consumen permanecen en inventario.</x:v>
      </x:c>
      <x:c r="Q42" s="192"/>
      <x:c r="R42" s="192"/>
      <x:c r="S42" s="192"/>
      <x:c r="T42" s="192"/>
      <x:c r="U42" s="192"/>
      <x:c r="V42" s="192"/>
      <x:c r="W42" s="192"/>
      <x:c r="X42" s="192"/>
      <x:c r="Y42" s="192"/>
    </x:row>
    <x:row r="43" ht="23" customHeight="1">
      <x:c r="C43" s="86" t="s">
        <x:v>107</x:v>
      </x:c>
      <x:c r="D43" s="35" t="n">
        <x:f t="shared" ref="D43:L43" si="6">$D38*D32</x:f>
        <x:v>0</x:v>
      </x:c>
      <x:c r="E43" s="35" t="n">
        <x:f t="shared" si="6">$D38*E32</x:f>
        <x:v>72</x:v>
      </x:c>
      <x:c r="F43" s="35" t="n">
        <x:f t="shared" si="6">$D38*F32</x:f>
        <x:v>0</x:v>
      </x:c>
      <x:c r="G43" s="35" t="n">
        <x:f t="shared" si="6">$D38*G32</x:f>
        <x:v>0</x:v>
      </x:c>
      <x:c r="H43" s="35" t="n">
        <x:f t="shared" si="6">$D38*H32</x:f>
        <x:v>180</x:v>
      </x:c>
      <x:c r="I43" s="35" t="n">
        <x:f t="shared" si="6">$D38*I32</x:f>
        <x:v>0</x:v>
      </x:c>
      <x:c r="J43" s="35" t="n">
        <x:f t="shared" si="6">$D38*J32</x:f>
        <x:v>0</x:v>
      </x:c>
      <x:c r="K43" s="35" t="n">
        <x:f t="shared" si="6">$D38*K32</x:f>
        <x:v>1260</x:v>
      </x:c>
      <x:c r="L43" s="93" t="n">
        <x:f t="shared" si="6">$D38*L32</x:f>
        <x:v>0</x:v>
      </x:c>
      <x:c r="P43" s="192"/>
      <x:c r="Q43" s="192"/>
      <x:c r="R43" s="192"/>
      <x:c r="S43" s="192"/>
      <x:c r="T43" s="192"/>
      <x:c r="U43" s="192"/>
      <x:c r="V43" s="192"/>
      <x:c r="W43" s="192"/>
      <x:c r="X43" s="192"/>
      <x:c r="Y43" s="192"/>
    </x:row>
    <x:row r="44" ht="23" customHeight="1">
      <x:c r="C44" s="86" t="s">
        <x:v>111</x:v>
      </x:c>
      <x:c r="D44" s="35" t="n">
        <x:f t="shared" ref="D44:L44" si="7">$D39*D33</x:f>
        <x:v>0</x:v>
      </x:c>
      <x:c r="E44" s="35" t="n">
        <x:f t="shared" si="7">$D39*E33</x:f>
        <x:v>0</x:v>
      </x:c>
      <x:c r="F44" s="35" t="n">
        <x:f t="shared" si="7">$D39*F33</x:f>
        <x:v>62.99999999999999</x:v>
      </x:c>
      <x:c r="G44" s="35" t="n">
        <x:f t="shared" si="7">$D39*G33</x:f>
        <x:v>0</x:v>
      </x:c>
      <x:c r="H44" s="35" t="n">
        <x:f t="shared" si="7">$D39*H33</x:f>
        <x:v>0</x:v>
      </x:c>
      <x:c r="I44" s="35" t="n">
        <x:f t="shared" si="7">$D39*I33</x:f>
        <x:v>90</x:v>
      </x:c>
      <x:c r="J44" s="35" t="n">
        <x:f t="shared" si="7">$D39*J33</x:f>
        <x:v>0</x:v>
      </x:c>
      <x:c r="K44" s="35" t="n">
        <x:f t="shared" si="7">$D39*K33</x:f>
        <x:v>0</x:v>
      </x:c>
      <x:c r="L44" s="93" t="n">
        <x:f t="shared" si="7">$D39*L33</x:f>
        <x:v>1170</x:v>
      </x:c>
      <x:c r="P44" s="192"/>
      <x:c r="Q44" s="192"/>
      <x:c r="R44" s="192"/>
      <x:c r="S44" s="192"/>
      <x:c r="T44" s="192"/>
      <x:c r="U44" s="192"/>
      <x:c r="V44" s="192"/>
      <x:c r="W44" s="192"/>
      <x:c r="X44" s="192"/>
      <x:c r="Y44" s="192"/>
    </x:row>
    <x:row r="45" ht="23" customHeight="1">
      <x:c r="A45" s="94"/>
      <x:c r="B45" s="94"/>
      <x:c r="C45" s="95"/>
      <x:c r="D45" s="96"/>
      <x:c r="E45" s="96"/>
      <x:c r="F45" s="96"/>
      <x:c r="G45" s="96"/>
      <x:c r="H45" s="96"/>
      <x:c r="I45" s="96"/>
      <x:c r="J45" s="96"/>
      <x:c r="K45" s="96"/>
      <x:c r="L45" s="97"/>
      <x:c r="M45" s="94"/>
      <x:c r="N45" s="94"/>
      <x:c r="O45" s="94"/>
      <x:c r="P45" s="206" t="str">
        <x:v>CALIDAD SEGÚN LA MEZCLA CONSUMIDA</x:v>
      </x:c>
      <x:c r="Q45" s="207"/>
      <x:c r="R45" s="207"/>
      <x:c r="S45" s="207"/>
      <x:c r="T45" s="207"/>
      <x:c r="U45" s="207"/>
      <x:c r="V45" s="207"/>
      <x:c r="W45" s="207"/>
      <x:c r="X45" s="207"/>
      <x:c r="Y45" s="207"/>
      <x:c r="Z45" s="94"/>
      <x:c r="AA45" s="94"/>
      <x:c r="AB45" s="94"/>
    </x:row>
    <x:row r="46" ht="23" customHeight="1">
      <x:c r="A46" s="94"/>
      <x:c r="B46" s="94"/>
      <x:c r="C46" s="94"/>
      <x:c r="D46" s="98"/>
      <x:c r="E46" s="98"/>
      <x:c r="F46" s="98"/>
      <x:c r="G46" s="98"/>
      <x:c r="H46" s="98"/>
      <x:c r="I46" s="98"/>
      <x:c r="J46" s="98"/>
      <x:c r="K46" s="98"/>
      <x:c r="L46" s="98"/>
      <x:c r="M46" s="94"/>
      <x:c r="N46" s="94"/>
      <x:c r="O46" s="94"/>
      <x:c r="P46" s="194"/>
      <x:c r="Q46" s="191" t="str">
        <x:v>Cuero</x:v>
      </x:c>
      <x:c r="R46" s="191" t="str">
        <x:v>Accesorios</x:v>
      </x:c>
      <x:c r="S46" s="191" t="str">
        <x:v>Hilo</x:v>
      </x:c>
      <x:c r="T46" s="194"/>
      <x:c r="U46" s="194"/>
      <x:c r="V46" s="194"/>
      <x:c r="W46" s="194"/>
      <x:c r="X46" s="194"/>
      <x:c r="Y46" s="194"/>
      <x:c r="Z46" s="94"/>
      <x:c r="AA46" s="94"/>
      <x:c r="AB46" s="94"/>
    </x:row>
    <x:row r="47" ht="35" customHeight="1">
      <x:c r="D47" s="63" t="s">
        <x:v>178</x:v>
      </x:c>
      <x:c r="E47" s="63" t="s">
        <x:v>178</x:v>
      </x:c>
      <x:c r="F47" s="63" t="s">
        <x:v>178</x:v>
      </x:c>
      <x:c r="G47" s="66" t="s">
        <x:v>189</x:v>
      </x:c>
      <x:c r="H47" s="66" t="s">
        <x:v>189</x:v>
      </x:c>
      <x:c r="I47" s="66" t="s">
        <x:v>189</x:v>
      </x:c>
      <x:c r="J47" s="67" t="s">
        <x:v>196</x:v>
      </x:c>
      <x:c r="K47" s="67" t="s">
        <x:v>196</x:v>
      </x:c>
      <x:c r="L47" s="67" t="s">
        <x:v>196</x:v>
      </x:c>
      <x:c r="P47" s="184" t="str">
        <x:v>Básico</x:v>
      </x:c>
      <x:c r="Q47" s="216" t="n">
        <x:f>IF(G56=0,0,SUMPRODUCT(Q39:S39,$Q$24:$S$24)/G56)</x:f>
        <x:v>38.095238095238095</x:v>
      </x:c>
      <x:c r="R47" s="216" t="n">
        <x:f>IF(H56=0,0,SUMPRODUCT(T39:V39,$Q$24:$S$24)/H56)</x:f>
        <x:v>66.66666666666667</x:v>
      </x:c>
      <x:c r="S47" s="216" t="n">
        <x:f>IF(I56=0,0,SUMPRODUCT(W39:Y39,$Q$24:$S$24)/I56)</x:f>
        <x:v>33.333333333333336</x:v>
      </x:c>
      <x:c r="T47" s="192"/>
      <x:c r="U47" s="192"/>
      <x:c r="V47" s="192"/>
      <x:c r="W47" s="192"/>
      <x:c r="X47" s="192"/>
      <x:c r="Y47" s="192"/>
    </x:row>
    <x:row r="48" ht="64" customHeight="1">
      <x:c r="C48" s="188" t="str">
        <x:v>Reserva solicitada por producto</x:v>
      </x:c>
      <x:c r="D48" s="69" t="s">
        <x:v>179</x:v>
      </x:c>
      <x:c r="E48" s="69" t="s">
        <x:v>183</x:v>
      </x:c>
      <x:c r="F48" s="69" t="s">
        <x:v>186</x:v>
      </x:c>
      <x:c r="G48" s="69" t="s">
        <x:v>190</x:v>
      </x:c>
      <x:c r="H48" s="69" t="s">
        <x:v>193</x:v>
      </x:c>
      <x:c r="I48" s="70" t="s">
        <x:v>360</x:v>
      </x:c>
      <x:c r="J48" s="69" t="s">
        <x:v>197</x:v>
      </x:c>
      <x:c r="K48" s="69" t="s">
        <x:v>200</x:v>
      </x:c>
      <x:c r="L48" s="69" t="s">
        <x:v>203</x:v>
      </x:c>
      <x:c r="M48" s="102"/>
      <x:c r="N48" s="102"/>
      <x:c r="P48" s="184" t="str">
        <x:v>Mejorado</x:v>
      </x:c>
      <x:c r="Q48" s="216" t="n">
        <x:f>IF(G57=0,0,SUMPRODUCT(Q40:S40,$Q$24:$S$24)/G57)</x:f>
        <x:v>66.66666666666667</x:v>
      </x:c>
      <x:c r="R48" s="216" t="n">
        <x:f>IF(H57=0,0,SUMPRODUCT(T40:V40,$Q$24:$S$24)/H57)</x:f>
        <x:v>66.66666666666667</x:v>
      </x:c>
      <x:c r="S48" s="216" t="n">
        <x:f>IF(I57=0,0,SUMPRODUCT(W40:Y40,$Q$24:$S$24)/I57)</x:f>
        <x:v>100</x:v>
      </x:c>
      <x:c r="T48" s="192"/>
      <x:c r="U48" s="192"/>
      <x:c r="V48" s="192"/>
      <x:c r="W48" s="192"/>
      <x:c r="X48" s="192"/>
      <x:c r="Y48" s="192"/>
    </x:row>
    <x:row r="49" ht="23" customHeight="1">
      <x:c r="C49" s="76" t="s">
        <x:v>103</x:v>
      </x:c>
      <x:c r="D49" s="78" t="n">
        <x:v>60</x:v>
      </x:c>
      <x:c r="E49" s="78" t="n">
        <x:v>10</x:v>
      </x:c>
      <x:c r="F49" s="78"/>
      <x:c r="G49" s="78"/>
      <x:c r="H49" s="78" t="n">
        <x:v>200</x:v>
      </x:c>
      <x:c r="I49" s="79"/>
      <x:c r="J49" s="78" t="n">
        <x:v>1600</x:v>
      </x:c>
      <x:c r="K49" s="79"/>
      <x:c r="L49" s="79"/>
      <x:c r="M49" s="103"/>
      <x:c r="N49" s="103"/>
      <x:c r="P49" s="184" t="str">
        <x:v>Premium</x:v>
      </x:c>
      <x:c r="Q49" s="216" t="n">
        <x:f>IF(G58=0,0,SUMPRODUCT(Q41:S41,$Q$24:$S$24)/G58)</x:f>
        <x:v>100</x:v>
      </x:c>
      <x:c r="R49" s="216" t="n">
        <x:f>IF(H58=0,0,SUMPRODUCT(T41:V41,$Q$24:$S$24)/H58)</x:f>
        <x:v>66.66666666666667</x:v>
      </x:c>
      <x:c r="S49" s="216" t="n">
        <x:f>IF(I58=0,0,SUMPRODUCT(W41:Y41,$Q$24:$S$24)/I58)</x:f>
        <x:v>100</x:v>
      </x:c>
      <x:c r="T49" s="192"/>
      <x:c r="U49" s="192"/>
      <x:c r="V49" s="192"/>
      <x:c r="W49" s="192"/>
      <x:c r="X49" s="192"/>
      <x:c r="Y49" s="192"/>
    </x:row>
    <x:row r="50" ht="23" customHeight="1">
      <x:c r="C50" s="76" t="s">
        <x:v>107</x:v>
      </x:c>
      <x:c r="D50" s="35"/>
      <x:c r="E50" s="21">
        <x:v>50.0</x:v>
      </x:c>
      <x:c r="F50" s="35"/>
      <x:c r="G50" s="35"/>
      <x:c r="H50" s="21" t="n">
        <x:v>150</x:v>
      </x:c>
      <x:c r="I50" s="35"/>
      <x:c r="J50" s="35"/>
      <x:c r="K50" s="35"/>
      <x:c r="L50" s="104">
        <x:v>1200.0</x:v>
      </x:c>
      <x:c r="M50" s="103"/>
      <x:c r="N50" s="103"/>
      <x:c r="P50" s="192"/>
      <x:c r="Q50" s="192"/>
      <x:c r="R50" s="192"/>
      <x:c r="S50" s="192"/>
      <x:c r="T50" s="192"/>
      <x:c r="U50" s="192"/>
      <x:c r="V50" s="192"/>
      <x:c r="W50" s="192"/>
      <x:c r="X50" s="192"/>
      <x:c r="Y50" s="192"/>
    </x:row>
    <x:row r="51" ht="23" customHeight="1">
      <x:c r="C51" s="76" t="s">
        <x:v>111</x:v>
      </x:c>
      <x:c r="D51" s="79"/>
      <x:c r="E51" s="78"/>
      <x:c r="F51" s="78">
        <x:v>70.0</x:v>
      </x:c>
      <x:c r="G51" s="79"/>
      <x:c r="H51" s="78" t="n">
        <x:v>50</x:v>
      </x:c>
      <x:c r="I51" s="78"/>
      <x:c r="J51" s="78"/>
      <x:c r="K51" s="78"/>
      <x:c r="L51" s="78">
        <x:v>1100.0</x:v>
      </x:c>
      <x:c r="M51" s="103"/>
      <x:c r="N51" s="103"/>
      <x:c r="P51" s="198" t="str">
        <x:v>Cómo decidir cada ciclo</x:v>
      </x:c>
      <x:c r="Q51" s="199"/>
      <x:c r="R51" s="199"/>
      <x:c r="S51" s="199"/>
      <x:c r="T51" s="199"/>
      <x:c r="U51" s="199"/>
      <x:c r="V51" s="199"/>
      <x:c r="W51" s="199"/>
      <x:c r="X51" s="199"/>
      <x:c r="Y51" s="199"/>
    </x:row>
    <x:row r="52" ht="23" customHeight="1">
      <x:c r="D52" s="105"/>
      <x:c r="E52" s="105"/>
      <x:c r="F52" s="106"/>
      <x:c r="H52" s="105"/>
      <x:c r="I52" s="105"/>
      <x:c r="J52" s="105"/>
      <x:c r="L52" s="105"/>
      <x:c r="M52" s="105"/>
      <x:c r="N52" s="105"/>
      <x:c r="P52" s="184" t="str">
        <x:v>1. Define personal, maquinaria ocupada y jefatura.</x:v>
      </x:c>
      <x:c r="Q52" s="192"/>
      <x:c r="R52" s="192"/>
      <x:c r="S52" s="192"/>
      <x:c r="T52" s="192"/>
      <x:c r="U52" s="192"/>
      <x:c r="V52" s="192"/>
      <x:c r="W52" s="192"/>
      <x:c r="X52" s="192"/>
      <x:c r="Y52" s="192"/>
    </x:row>
    <x:row r="53" ht="23" customHeight="1">
      <x:c r="C53" s="184" t="str">
        <x:v>Límites por material del básico</x:v>
      </x:c>
      <x:c r="D53" s="107" t="n">
        <x:f>SUM(Q30:S30)/D31</x:f>
        <x:v>233.33333333333334</x:v>
      </x:c>
      <x:c r="G53" s="38" t="n">
        <x:f>SUM(T30:V30)/G31</x:f>
        <x:v>95</x:v>
      </x:c>
      <x:c r="J53" s="107" t="n">
        <x:f>SUM(W30:Y30)/J31</x:f>
        <x:v>250</x:v>
      </x:c>
      <x:c r="P53" s="184" t="str">
        <x:v>2. Define los bolsos deseados en D37:D39.</x:v>
      </x:c>
      <x:c r="Q53" s="192"/>
      <x:c r="R53" s="192"/>
      <x:c r="S53" s="192"/>
      <x:c r="T53" s="192"/>
      <x:c r="U53" s="192"/>
      <x:c r="V53" s="192"/>
      <x:c r="W53" s="192"/>
      <x:c r="X53" s="192"/>
      <x:c r="Y53" s="192"/>
    </x:row>
    <x:row r="54" ht="23" customHeight="1">
      <x:c r="P54" s="184" t="str">
        <x:v>3. Ingresa inventario y compras en D63:E71, en unidades de producción.</x:v>
      </x:c>
      <x:c r="Q54" s="192"/>
      <x:c r="R54" s="192"/>
      <x:c r="S54" s="192"/>
      <x:c r="T54" s="192"/>
      <x:c r="U54" s="192"/>
      <x:c r="V54" s="192"/>
      <x:c r="W54" s="192"/>
      <x:c r="X54" s="192"/>
      <x:c r="Y54" s="192"/>
    </x:row>
    <x:row r="55" ht="38" customHeight="1">
      <x:c r="C55" s="24" t="s">
        <x:v>371</x:v>
      </x:c>
      <x:c r="D55" s="222" t="str">
        <x:v>Límite antes de redondeo</x:v>
      </x:c>
      <x:c r="E55" s="222" t="str">
        <x:v>Bolsos completos</x:v>
      </x:c>
      <x:c r="F55" s="223"/>
      <x:c r="G55" s="224" t="s">
        <x:v>372</x:v>
      </x:c>
      <x:c r="H55" s="224" t="s">
        <x:v>373</x:v>
      </x:c>
      <x:c r="I55" s="224" t="s">
        <x:v>374</x:v>
      </x:c>
      <x:c r="J55" s="223"/>
      <x:c r="K55" s="225" t="str">
        <x:v>Calidad de materiales (0–100)</x:v>
      </x:c>
      <x:c r="P55" s="184" t="str">
        <x:v>4. Solicita materiales por producto en D49:L51.</x:v>
      </x:c>
      <x:c r="Q55" s="192"/>
      <x:c r="R55" s="192"/>
      <x:c r="S55" s="192"/>
      <x:c r="T55" s="192"/>
      <x:c r="U55" s="192"/>
      <x:c r="V55" s="192"/>
      <x:c r="W55" s="192"/>
      <x:c r="X55" s="192"/>
      <x:c r="Y55" s="192"/>
    </x:row>
    <x:row r="56" ht="23" customHeight="1">
      <x:c r="C56" s="76" t="s">
        <x:v>103</x:v>
      </x:c>
      <x:c r="D56" s="38" t="n">
        <x:f>MIN(SUM(Q30:S30)/D31,SUM(T30:V30)/G31,SUM(W30:Y30)/J31,E37,D37)</x:f>
        <x:v>95</x:v>
      </x:c>
      <x:c r="E56" s="38" t="n">
        <x:f t="shared" ref="E56:E58" si="8">ROUNDDOWN(ROUND(D56,10),0)</x:f>
        <x:v>95</x:v>
      </x:c>
      <x:c r="G56" s="38" t="n">
        <x:f>E56*D31</x:f>
        <x:v>28.5</x:v>
      </x:c>
      <x:c r="H56" s="38" t="n">
        <x:f>E56*G31</x:f>
        <x:v>95</x:v>
      </x:c>
      <x:c r="I56" s="38" t="n">
        <x:f>E56*J31</x:f>
        <x:v>570</x:v>
      </x:c>
      <x:c r="K56" s="217" t="n">
        <x:f>IF(E56=0,0,(Q47*$Q$16+R47*$Q$17+S47*$Q$18)/SUM($Q$16:$Q$18))</x:f>
        <x:v>44.04761904761905</x:v>
      </x:c>
      <x:c r="P56" s="184" t="str">
        <x:v>5. Revisa producción, calidad, consumo y capacidad ociosa.</x:v>
      </x:c>
      <x:c r="Q56" s="192"/>
      <x:c r="R56" s="192"/>
      <x:c r="S56" s="192"/>
      <x:c r="T56" s="192"/>
      <x:c r="U56" s="192"/>
      <x:c r="V56" s="192"/>
      <x:c r="W56" s="192"/>
      <x:c r="X56" s="192"/>
      <x:c r="Y56" s="192"/>
    </x:row>
    <x:row r="57" ht="23" customHeight="1">
      <x:c r="C57" s="76" t="s">
        <x:v>107</x:v>
      </x:c>
      <x:c r="D57" s="38" t="n">
        <x:f>MIN(SUM(Q31:S31)/E32,SUM(T31:V31)/H32,SUM(W31:Y31)/K32,E38,D38)</x:f>
        <x:v>71</x:v>
      </x:c>
      <x:c r="E57" s="38" t="n">
        <x:f t="shared" si="8">ROUNDDOWN(ROUND(D57,10),0)</x:f>
        <x:v>71</x:v>
      </x:c>
      <x:c r="G57" s="38" t="n">
        <x:f>E57*E32</x:f>
        <x:v>28.400000000000002</x:v>
      </x:c>
      <x:c r="H57" s="38" t="n">
        <x:f>E57*H32</x:f>
        <x:v>71</x:v>
      </x:c>
      <x:c r="I57" s="38" t="n">
        <x:f>E57*K32</x:f>
        <x:v>497</x:v>
      </x:c>
      <x:c r="K57" s="217" t="n">
        <x:f>IF(E57=0,0,(Q48*$Q$16+R48*$Q$17+S48*$Q$18)/SUM($Q$16:$Q$18))</x:f>
        <x:v>75</x:v>
      </x:c>
      <x:c r="P57" s="192"/>
      <x:c r="Q57" s="192"/>
      <x:c r="R57" s="192"/>
      <x:c r="S57" s="192"/>
      <x:c r="T57" s="192"/>
      <x:c r="U57" s="192"/>
      <x:c r="V57" s="192"/>
      <x:c r="W57" s="192"/>
      <x:c r="X57" s="192"/>
      <x:c r="Y57" s="192"/>
    </x:row>
    <x:row r="58" ht="23" customHeight="1">
      <x:c r="C58" s="76" t="s">
        <x:v>111</x:v>
      </x:c>
      <x:c r="D58" s="38" t="n">
        <x:f>MIN(SUM(Q32:S32)/F33,SUM(T32:V32)/I33,SUM(W32:Y32)/L33,E39,D39)</x:f>
        <x:v>24</x:v>
      </x:c>
      <x:c r="E58" s="38" t="n">
        <x:f t="shared" si="8">ROUNDDOWN(ROUND(D58,10),0)</x:f>
        <x:v>24</x:v>
      </x:c>
      <x:c r="G58" s="38" t="n">
        <x:f>E58*F33</x:f>
        <x:v>16.799999999999997</x:v>
      </x:c>
      <x:c r="H58" s="38" t="n">
        <x:f>E58*I33</x:f>
        <x:v>24</x:v>
      </x:c>
      <x:c r="I58" s="38" t="n">
        <x:f>E58*L33</x:f>
        <x:v>312</x:v>
      </x:c>
      <x:c r="K58" s="217" t="n">
        <x:f>IF(E58=0,0,(Q49*$Q$16+R49*$Q$17+S49*$Q$18)/SUM($Q$16:$Q$18))</x:f>
        <x:v>91.66666666666667</x:v>
      </x:c>
      <x:c r="P58" s="184" t="str">
        <x:v>Las calidades pueden sustituirse físicamente; la mezcla determina el puntaje de calidad.</x:v>
      </x:c>
      <x:c r="Q58" s="192"/>
      <x:c r="R58" s="192"/>
      <x:c r="S58" s="192"/>
      <x:c r="T58" s="192"/>
      <x:c r="U58" s="192"/>
      <x:c r="V58" s="192"/>
      <x:c r="W58" s="192"/>
      <x:c r="X58" s="192"/>
      <x:c r="Y58" s="192"/>
    </x:row>
    <x:row r="59" ht="23" customHeight="1">
      <x:c r="P59" s="184" t="str">
        <x:v>Los cupos y reservas se mantienen durante el ciclo; el sobrante no pasa a otro producto.</x:v>
      </x:c>
      <x:c r="Q59" s="192"/>
      <x:c r="R59" s="192"/>
      <x:c r="S59" s="192"/>
      <x:c r="T59" s="192"/>
      <x:c r="U59" s="192"/>
      <x:c r="V59" s="192"/>
      <x:c r="W59" s="192"/>
      <x:c r="X59" s="192"/>
      <x:c r="Y59" s="192"/>
    </x:row>
    <x:row r="60" ht="23" customHeight="1">
      <x:c r="P60" s="184" t="str">
        <x:v>La reputación calculada corresponde al ciclo; no incorpora todavía historial de ciclos.</x:v>
      </x:c>
      <x:c r="Q60" s="192"/>
      <x:c r="R60" s="192"/>
      <x:c r="S60" s="192"/>
      <x:c r="T60" s="192"/>
      <x:c r="U60" s="192"/>
      <x:c r="V60" s="192"/>
      <x:c r="W60" s="192"/>
      <x:c r="X60" s="192"/>
      <x:c r="Y60" s="192"/>
    </x:row>
    <x:row r="61" ht="23" customHeight="1">
      <x:c r="P61" s="184" t="str">
        <x:v>Las tablas de ventas y las otras hojas conservan sus ejemplos independientes.</x:v>
      </x:c>
      <x:c r="Q61" s="192"/>
      <x:c r="R61" s="192"/>
      <x:c r="S61" s="192"/>
      <x:c r="T61" s="192"/>
      <x:c r="U61" s="192"/>
      <x:c r="V61" s="192"/>
      <x:c r="W61" s="192"/>
      <x:c r="X61" s="192"/>
      <x:c r="Y61" s="192"/>
    </x:row>
    <x:row r="62">
      <x:c r="C62" s="5"/>
      <x:c r="D62" s="3" t="s">
        <x:v>375</x:v>
      </x:c>
      <x:c r="E62" s="3" t="s">
        <x:v>376</x:v>
      </x:c>
      <x:c r="F62" s="190" t="str">
        <x:v>Consumo real</x:v>
      </x:c>
      <x:c r="G62" s="3" t="s">
        <x:v>377</x:v>
      </x:c>
      <x:c r="H62" s="186" t="str">
        <x:v>Inventario final = inicial + compras − consumo real. Unidades: m², accesorios y metros.</x:v>
      </x:c>
    </x:row>
    <x:row r="63" ht="42" customHeight="1">
      <x:c r="C63" s="63" t="s">
        <x:v>179</x:v>
      </x:c>
      <x:c r="D63" s="21" t="n">
        <x:v>15</x:v>
      </x:c>
      <x:c r="E63" s="21" t="n">
        <x:v>60</x:v>
      </x:c>
      <x:c r="F63" s="234" t="n">
        <x:f>SUM(Q39:Q41)</x:f>
        <x:v>24.428571428571427</x:v>
      </x:c>
      <x:c r="G63" s="235" t="n">
        <x:f t="shared" ref="G63:G71" si="9">ROUND(D63+E63-F63,10)</x:f>
        <x:v>50.5714285714</x:v>
      </x:c>
    </x:row>
    <x:row r="64" ht="42" customHeight="1">
      <x:c r="C64" s="63" t="s">
        <x:v>183</x:v>
      </x:c>
      <x:c r="D64" s="21" t="n">
        <x:v>17</x:v>
      </x:c>
      <x:c r="E64" s="21" t="n">
        <x:v>55</x:v>
      </x:c>
      <x:c r="F64" s="234" t="n">
        <x:f>SUM(R39:R41)</x:f>
        <x:v>32.47142857142857</x:v>
      </x:c>
      <x:c r="G64" s="235" t="n">
        <x:f t="shared" si="9">ROUND(D64+E64-F64,10)</x:f>
        <x:v>39.5285714286</x:v>
      </x:c>
      <x:c r="H64" s="112"/>
    </x:row>
    <x:row r="65" ht="42" customHeight="1">
      <x:c r="C65" s="63" t="s">
        <x:v>186</x:v>
      </x:c>
      <x:c r="D65" s="21" t="n">
        <x:v>48</x:v>
      </x:c>
      <x:c r="E65" s="21" t="n">
        <x:v>15</x:v>
      </x:c>
      <x:c r="F65" s="234" t="n">
        <x:f>SUM(S39:S41)</x:f>
        <x:v>16.799999999999997</x:v>
      </x:c>
      <x:c r="G65" s="235" t="n">
        <x:f t="shared" si="9">ROUND(D65+E65-F65,10)</x:f>
        <x:v>46.2</x:v>
      </x:c>
      <x:c r="H65" s="112"/>
    </x:row>
    <x:row r="66" ht="42" customHeight="1">
      <x:c r="C66" s="66" t="s">
        <x:v>190</x:v>
      </x:c>
      <x:c r="D66" s="21" t="n">
        <x:v>50</x:v>
      </x:c>
      <x:c r="E66" s="21" t="n">
        <x:v>200</x:v>
      </x:c>
      <x:c r="F66" s="234" t="n">
        <x:f>SUM(T39:T41)</x:f>
        <x:v>0</x:v>
      </x:c>
      <x:c r="G66" s="235" t="n">
        <x:f t="shared" si="9">ROUND(D66+E66-F66,10)</x:f>
        <x:v>250</x:v>
      </x:c>
      <x:c r="H66" s="112"/>
    </x:row>
    <x:row r="67" ht="42" customHeight="1">
      <x:c r="C67" s="66" t="s">
        <x:v>193</x:v>
      </x:c>
      <x:c r="D67" s="21" t="n">
        <x:v>0</x:v>
      </x:c>
      <x:c r="E67" s="21" t="n">
        <x:v>190</x:v>
      </x:c>
      <x:c r="F67" s="234" t="n">
        <x:f>SUM(U39:U41)</x:f>
        <x:v>190</x:v>
      </x:c>
      <x:c r="G67" s="235" t="n">
        <x:f t="shared" si="9">ROUND(D67+E67-F67,10)</x:f>
        <x:v>0</x:v>
      </x:c>
      <x:c r="H67" s="112"/>
    </x:row>
    <x:row r="68" ht="42" customHeight="1">
      <x:c r="C68" s="114" t="s">
        <x:v>360</x:v>
      </x:c>
      <x:c r="D68" s="21" t="n">
        <x:v>90</x:v>
      </x:c>
      <x:c r="E68" s="21" t="n">
        <x:v>0</x:v>
      </x:c>
      <x:c r="F68" s="234" t="n">
        <x:f>SUM(V39:V41)</x:f>
        <x:v>0</x:v>
      </x:c>
      <x:c r="G68" s="235" t="n">
        <x:f t="shared" si="9">ROUND(D68+E68-F68,10)</x:f>
        <x:v>90</x:v>
      </x:c>
      <x:c r="H68" s="112"/>
    </x:row>
    <x:row r="69" ht="42" customHeight="1">
      <x:c r="C69" s="67" t="s">
        <x:v>197</x:v>
      </x:c>
      <x:c r="D69" s="21" t="n">
        <x:v>1494</x:v>
      </x:c>
      <x:c r="E69" s="21" t="n">
        <x:v>6</x:v>
      </x:c>
      <x:c r="F69" s="234" t="n">
        <x:f>SUM(W39:W41)</x:f>
        <x:v>570</x:v>
      </x:c>
      <x:c r="G69" s="235" t="n">
        <x:f t="shared" si="9">ROUND(D69+E69-F69,10)</x:f>
        <x:v>930</x:v>
      </x:c>
      <x:c r="H69" s="112"/>
    </x:row>
    <x:row r="70" ht="42" customHeight="1">
      <x:c r="C70" s="67" t="s">
        <x:v>200</x:v>
      </x:c>
      <x:c r="D70" s="21" t="n">
        <x:v>1253</x:v>
      </x:c>
      <x:c r="E70" s="21" t="n">
        <x:v>7</x:v>
      </x:c>
      <x:c r="F70" s="234" t="n">
        <x:f>SUM(X39:X41)</x:f>
        <x:v>0</x:v>
      </x:c>
      <x:c r="G70" s="235" t="n">
        <x:f t="shared" si="9">ROUND(D70+E70-F70,10)</x:f>
        <x:v>1260</x:v>
      </x:c>
      <x:c r="H70" s="112"/>
    </x:row>
    <x:row r="71" ht="42" customHeight="1">
      <x:c r="C71" s="67" t="s">
        <x:v>203</x:v>
      </x:c>
      <x:c r="D71" s="21" t="n">
        <x:v>1170</x:v>
      </x:c>
      <x:c r="E71" s="21" t="n">
        <x:v>0</x:v>
      </x:c>
      <x:c r="F71" s="234" t="n">
        <x:f>SUM(Y39:Y41)</x:f>
        <x:v>809</x:v>
      </x:c>
      <x:c r="G71" s="235" t="n">
        <x:f t="shared" si="9">ROUND(D71+E71-F71,10)</x:f>
        <x:v>361</x:v>
      </x:c>
      <x:c r="H71" s="112"/>
    </x:row>
    <x:row r="72">
      <x:c r="B72" s="24" t="s">
        <x:v>378</x:v>
      </x:c>
    </x:row>
    <x:row r="73" ht="67.5" customHeight="1">
      <x:c r="A73" s="102" t="s">
        <x:v>379</x:v>
      </x:c>
      <x:c r="B73" s="46" t="n">
        <x:v>3000</x:v>
      </x:c>
    </x:row>
    <x:row r="74">
      <x:c r="A74" s="115"/>
    </x:row>
    <x:row r="75">
      <x:c r="A75" s="186" t="str">
        <x:v>Reputación del ciclo</x:v>
      </x:c>
      <x:c r="C75" s="226" t="n">
        <x:f>L16*10</x:f>
        <x:v>3.6538461538461537</x:v>
      </x:c>
      <x:c r="D75" s="226" t="n">
        <x:f>M10*10</x:f>
        <x:v>3.75</x:v>
      </x:c>
      <x:c r="E75" s="226" t="n">
        <x:f>L17/10</x:f>
        <x:v>6.162907268170426</x:v>
      </x:c>
      <x:c r="F75" s="226" t="n">
        <x:f>MIN(1,MAX(0,B73/$Q$8))*10</x:f>
        <x:v>3</x:v>
      </x:c>
      <x:c r="G75" s="227" t="n">
        <x:f>IF(L12=0,0,(C75*$Q$11+D75*$Q$12+E75*$Q$13+F75*$Q$14)/SUM($Q$11:$Q$14))</x:f>
        <x:v>4.141688355504145</x:v>
      </x:c>
      <x:c r="H75" s="185" t="str">
        <x:v>Escala 0–10</x:v>
      </x:c>
    </x:row>
    <x:row r="76" ht="35.25" customHeight="1">
      <x:c r="C76" s="189" t="str">
        <x:v>Cumplimiento (0–10)</x:v>
      </x:c>
      <x:c r="D76" s="189" t="str">
        <x:v>Equipo N3 (0–10)</x:v>
      </x:c>
      <x:c r="E76" s="189" t="str">
        <x:v>Calidad (0–10)</x:v>
      </x:c>
      <x:c r="F76" s="189" t="str">
        <x:v>Publicidad (0–10)</x:v>
      </x:c>
    </x:row>
    <x:row r="82" ht="46.5" customHeight="1">
      <x:c r="B82" s="31" t="s">
        <x:v>380</x:v>
      </x:c>
      <x:c r="C82" s="21" t="s">
        <x:v>381</x:v>
      </x:c>
      <x:c r="D82" s="21" t="s">
        <x:v>382</x:v>
      </x:c>
      <x:c r="E82" s="21" t="s">
        <x:v>383</x:v>
      </x:c>
      <x:c r="F82" s="21" t="s">
        <x:v>384</x:v>
      </x:c>
      <x:c r="G82" s="21" t="s">
        <x:v>385</x:v>
      </x:c>
      <x:c r="H82" s="21" t="s">
        <x:v>386</x:v>
      </x:c>
      <x:c r="K82" s="102"/>
      <x:c r="L82" s="46"/>
      <x:c r="M82" s="46"/>
      <x:c r="N82" s="46"/>
    </x:row>
    <x:row r="83">
      <x:c r="B83" s="21" t="s">
        <x:v>387</x:v>
      </x:c>
      <x:c r="C83" s="21">
        <x:v>7.0</x:v>
      </x:c>
      <x:c r="D83" s="21">
        <x:v>40.0</x:v>
      </x:c>
      <x:c r="E83" s="21" t="n">
        <x:f t="shared" ref="E83:E86" si="10">(MAX($D$83:$D$86)*2-D83)/10</x:f>
        <x:v>5</x:v>
      </x:c>
      <x:c r="F83" s="118" t="n">
        <x:f t="shared" ref="F83:F86" si="11">SUM(C83,E83)</x:f>
        <x:v>12</x:v>
      </x:c>
      <x:c r="G83" s="119" t="n">
        <x:f t="shared" ref="G83:G86" si="12">F83/$F$87</x:f>
        <x:v>0.22388059701492538</x:v>
      </x:c>
      <x:c r="H83" s="5" t="n">
        <x:f t="shared" ref="H83:H86" si="13">ROUND(G83*$B$91,0)</x:f>
        <x:v>784</x:v>
      </x:c>
      <x:c r="K83" s="46"/>
      <x:c r="L83" s="46"/>
      <x:c r="M83" s="46"/>
      <x:c r="N83" s="36"/>
      <x:c r="O83" s="107"/>
    </x:row>
    <x:row r="84">
      <x:c r="B84" s="21" t="s">
        <x:v>388</x:v>
      </x:c>
      <x:c r="C84" s="21">
        <x:v>8.3</x:v>
      </x:c>
      <x:c r="D84" s="21">
        <x:v>45.0</x:v>
      </x:c>
      <x:c r="E84" s="21" t="n">
        <x:f t="shared" si="10">(MAX($D$83:$D$86)*2-D84)/10</x:f>
        <x:v>4.5</x:v>
      </x:c>
      <x:c r="F84" s="118" t="n">
        <x:f t="shared" si="11">SUM(C84,E84)</x:f>
        <x:v>12.8</x:v>
      </x:c>
      <x:c r="G84" s="119" t="n">
        <x:f t="shared" si="12">F84/$F$87</x:f>
        <x:v>0.23880597014925373</x:v>
      </x:c>
      <x:c r="H84" s="5" t="n">
        <x:f t="shared" si="13">ROUND(G84*$B$91,0)</x:f>
        <x:v>836</x:v>
      </x:c>
      <x:c r="K84" s="46"/>
      <x:c r="L84" s="121"/>
      <x:c r="M84" s="46"/>
      <x:c r="N84" s="36"/>
      <x:c r="O84" s="107"/>
    </x:row>
    <x:row r="85">
      <x:c r="B85" s="21" t="s">
        <x:v>389</x:v>
      </x:c>
      <x:c r="C85" s="122">
        <x:v>10.2</x:v>
      </x:c>
      <x:c r="D85" s="21">
        <x:v>43.0</x:v>
      </x:c>
      <x:c r="E85" s="21" t="n">
        <x:f t="shared" si="10">(MAX($D$83:$D$86)*2-D85)/10</x:f>
        <x:v>4.7</x:v>
      </x:c>
      <x:c r="F85" s="118" t="n">
        <x:f t="shared" si="11">SUM(C85,E85)</x:f>
        <x:v>14.899999999999999</x:v>
      </x:c>
      <x:c r="G85" s="119" t="n">
        <x:f t="shared" si="12">F85/$F$87</x:f>
        <x:v>0.2779850746268656</x:v>
      </x:c>
      <x:c r="H85" s="5" t="n">
        <x:f t="shared" si="13">ROUND(G85*$B$91,0)</x:f>
        <x:v>973</x:v>
      </x:c>
      <x:c r="K85" s="46"/>
      <x:c r="L85" s="121"/>
      <x:c r="M85" s="46"/>
      <x:c r="N85" s="36"/>
      <x:c r="O85" s="107"/>
    </x:row>
    <x:row r="86">
      <x:c r="B86" s="21" t="s">
        <x:v>390</x:v>
      </x:c>
      <x:c r="C86" s="21">
        <x:v>9.0</x:v>
      </x:c>
      <x:c r="D86" s="21">
        <x:v>41.0</x:v>
      </x:c>
      <x:c r="E86" s="21" t="n">
        <x:f t="shared" si="10">(MAX($D$83:$D$86)*2-D86)/10</x:f>
        <x:v>4.9</x:v>
      </x:c>
      <x:c r="F86" s="118" t="n">
        <x:f t="shared" si="11">SUM(C86,E86)</x:f>
        <x:v>13.9</x:v>
      </x:c>
      <x:c r="G86" s="119" t="n">
        <x:f t="shared" si="12">F86/$F$87</x:f>
        <x:v>0.2593283582089552</x:v>
      </x:c>
      <x:c r="H86" s="5" t="n">
        <x:f t="shared" si="13">ROUND(G86*$B$91,0)</x:f>
        <x:v>908</x:v>
      </x:c>
      <x:c r="K86" s="46"/>
      <x:c r="L86" s="46"/>
      <x:c r="M86" s="46"/>
      <x:c r="N86" s="36"/>
      <x:c r="O86" s="107"/>
    </x:row>
    <x:row r="87">
      <x:c r="B87" s="52"/>
      <x:c r="E87" s="24" t="s">
        <x:v>391</x:v>
      </x:c>
      <x:c r="F87" s="123" t="n">
        <x:f>SUM(F83:F86)</x:f>
        <x:v>53.6</x:v>
      </x:c>
      <x:c r="H87" s="38" t="n">
        <x:f>SUM(H83:H86)</x:f>
        <x:v>3501</x:v>
      </x:c>
    </x:row>
    <x:row r="88">
      <x:c r="B88" s="52"/>
      <x:c r="F88" s="124"/>
    </x:row>
    <x:row r="89">
      <x:c r="B89" s="7">
        <x:v>7000.0</x:v>
      </x:c>
      <x:c r="C89" s="24" t="s">
        <x:v>392</x:v>
      </x:c>
      <x:c r="F89" s="124"/>
      <x:c r="K89" s="24"/>
    </x:row>
    <x:row r="90">
      <x:c r="B90" s="125">
        <x:v>0.5</x:v>
      </x:c>
      <x:c r="F90" s="124"/>
      <x:c r="K90" s="39"/>
    </x:row>
    <x:row r="91">
      <x:c r="B91" s="52" t="n">
        <x:f>B89*B90</x:f>
        <x:v>3500</x:v>
      </x:c>
      <x:c r="C91" s="24" t="s">
        <x:v>393</x:v>
      </x:c>
      <x:c r="F91" s="124"/>
    </x:row>
    <x:row r="92">
      <x:c r="B92" s="126"/>
      <x:c r="C92" s="128"/>
      <x:c r="D92" s="128"/>
      <x:c r="E92" s="128"/>
      <x:c r="F92" s="129"/>
    </x:row>
    <x:row r="96">
      <x:c r="B96" s="31" t="s">
        <x:v>394</x:v>
      </x:c>
      <x:c r="C96" s="21" t="s">
        <x:v>381</x:v>
      </x:c>
      <x:c r="D96" s="21" t="s">
        <x:v>382</x:v>
      </x:c>
      <x:c r="E96" s="21" t="s">
        <x:v>383</x:v>
      </x:c>
      <x:c r="F96" s="21" t="s">
        <x:v>384</x:v>
      </x:c>
      <x:c r="G96" s="21" t="s">
        <x:v>385</x:v>
      </x:c>
      <x:c r="H96" s="21" t="s">
        <x:v>386</x:v>
      </x:c>
    </x:row>
    <x:row r="97">
      <x:c r="B97" s="21" t="s">
        <x:v>387</x:v>
      </x:c>
      <x:c r="C97" s="21">
        <x:v>7.0</x:v>
      </x:c>
      <x:c r="D97" s="21">
        <x:v>120.0</x:v>
      </x:c>
      <x:c r="E97" s="35" t="n">
        <x:f t="shared" ref="E97:E100" si="14">(MAX($D$97:$D$100)*2-D97)/10</x:f>
        <x:v>28</x:v>
      </x:c>
      <x:c r="F97" s="118" t="n">
        <x:f t="shared" ref="F97:F100" si="15">SUM(C97,E97)</x:f>
        <x:v>35</x:v>
      </x:c>
      <x:c r="G97" s="119" t="n">
        <x:f t="shared" ref="G97:G100" si="16">F97/$F$101</x:f>
        <x:v>0.2723735408560311</x:v>
      </x:c>
      <x:c r="H97" s="5" t="n">
        <x:f t="shared" ref="H97:H100" si="17">ROUND(G97*$B$91,0)</x:f>
        <x:v>953</x:v>
      </x:c>
    </x:row>
    <x:row r="98">
      <x:c r="B98" s="21" t="s">
        <x:v>388</x:v>
      </x:c>
      <x:c r="C98" s="21">
        <x:v>8.3</x:v>
      </x:c>
      <x:c r="D98" s="21">
        <x:v>150.0</x:v>
      </x:c>
      <x:c r="E98" s="35" t="n">
        <x:f t="shared" si="14">(MAX($D$97:$D$100)*2-D98)/10</x:f>
        <x:v>25</x:v>
      </x:c>
      <x:c r="F98" s="118" t="n">
        <x:f t="shared" si="15">SUM(C98,E98)</x:f>
        <x:v>33.3</x:v>
      </x:c>
      <x:c r="G98" s="119" t="n">
        <x:f t="shared" si="16">F98/$F$101</x:f>
        <x:v>0.2591439688715953</x:v>
      </x:c>
      <x:c r="H98" s="5" t="n">
        <x:f t="shared" si="17">ROUND(G98*$B$91,0)</x:f>
        <x:v>907</x:v>
      </x:c>
    </x:row>
    <x:row r="99">
      <x:c r="B99" s="21" t="s">
        <x:v>389</x:v>
      </x:c>
      <x:c r="C99" s="21">
        <x:v>10.2</x:v>
      </x:c>
      <x:c r="D99" s="21">
        <x:v>190.0</x:v>
      </x:c>
      <x:c r="E99" s="35" t="n">
        <x:f t="shared" si="14">(MAX($D$97:$D$100)*2-D99)/10</x:f>
        <x:v>21</x:v>
      </x:c>
      <x:c r="F99" s="118" t="n">
        <x:f t="shared" si="15">SUM(C99,E99)</x:f>
        <x:v>31.2</x:v>
      </x:c>
      <x:c r="G99" s="119" t="n">
        <x:f t="shared" si="16">F99/$F$101</x:f>
        <x:v>0.24280155642023346</x:v>
      </x:c>
      <x:c r="H99" s="5" t="n">
        <x:f t="shared" si="17">ROUND(G99*$B$91,0)</x:f>
        <x:v>850</x:v>
      </x:c>
    </x:row>
    <x:row r="100">
      <x:c r="B100" s="21" t="s">
        <x:v>390</x:v>
      </x:c>
      <x:c r="C100" s="21">
        <x:v>9.0</x:v>
      </x:c>
      <x:c r="D100" s="21">
        <x:v>200.0</x:v>
      </x:c>
      <x:c r="E100" s="35" t="n">
        <x:f t="shared" si="14">(MAX($D$97:$D$100)*2-D100)/10</x:f>
        <x:v>20</x:v>
      </x:c>
      <x:c r="F100" s="118" t="n">
        <x:f t="shared" si="15">SUM(C100,E100)</x:f>
        <x:v>29</x:v>
      </x:c>
      <x:c r="G100" s="119" t="n">
        <x:f t="shared" si="16">F100/$F$101</x:f>
        <x:v>0.22568093385214008</x:v>
      </x:c>
      <x:c r="H100" s="5" t="n">
        <x:f t="shared" si="17">ROUND(G100*$B$91,0)</x:f>
        <x:v>790</x:v>
      </x:c>
    </x:row>
    <x:row r="101">
      <x:c r="B101" s="52"/>
      <x:c r="E101" s="24" t="s">
        <x:v>391</x:v>
      </x:c>
      <x:c r="F101" s="123" t="n">
        <x:f>SUM(F97:F100)</x:f>
        <x:v>128.5</x:v>
      </x:c>
    </x:row>
    <x:row r="102">
      <x:c r="B102" s="52"/>
      <x:c r="F102" s="124"/>
    </x:row>
    <x:row r="103">
      <x:c r="B103" s="7">
        <x:v>5000.0</x:v>
      </x:c>
      <x:c r="C103" s="24" t="s">
        <x:v>392</x:v>
      </x:c>
      <x:c r="F103" s="124"/>
    </x:row>
    <x:row r="104">
      <x:c r="B104" s="125">
        <x:v>0.7</x:v>
      </x:c>
      <x:c r="F104" s="124"/>
    </x:row>
    <x:row r="105">
      <x:c r="B105" s="52" t="n">
        <x:f>B103*B104</x:f>
        <x:v>3500</x:v>
      </x:c>
      <x:c r="C105" s="24" t="s">
        <x:v>393</x:v>
      </x:c>
      <x:c r="F105" s="124"/>
    </x:row>
    <x:row r="106">
      <x:c r="B106" s="126"/>
      <x:c r="C106" s="128"/>
      <x:c r="D106" s="128"/>
      <x:c r="E106" s="128"/>
      <x:c r="F106" s="129"/>
    </x:row>
    <x:row r="110">
      <x:c r="B110" s="31" t="s">
        <x:v>395</x:v>
      </x:c>
      <x:c r="C110" s="21" t="s">
        <x:v>381</x:v>
      </x:c>
      <x:c r="D110" s="21" t="s">
        <x:v>382</x:v>
      </x:c>
      <x:c r="E110" s="21" t="s">
        <x:v>383</x:v>
      </x:c>
      <x:c r="F110" s="21" t="s">
        <x:v>384</x:v>
      </x:c>
      <x:c r="G110" s="21" t="s">
        <x:v>385</x:v>
      </x:c>
      <x:c r="H110" s="21" t="s">
        <x:v>386</x:v>
      </x:c>
    </x:row>
    <x:row r="111">
      <x:c r="B111" s="21" t="s">
        <x:v>387</x:v>
      </x:c>
      <x:c r="C111" s="21">
        <x:v>7.0</x:v>
      </x:c>
      <x:c r="D111" s="21">
        <x:v>250.0</x:v>
      </x:c>
      <x:c r="E111" s="35" t="n">
        <x:f t="shared" ref="E111:E114" si="18">(MAX($D$111:$D$114)*2-D111)/10</x:f>
        <x:v>55</x:v>
      </x:c>
      <x:c r="F111" s="118" t="n">
        <x:f t="shared" ref="F111:F114" si="19">SUM(C111,E111)</x:f>
        <x:v>62</x:v>
      </x:c>
      <x:c r="G111" s="119" t="n">
        <x:f t="shared" ref="G111:G114" si="20">F111/$F$115</x:f>
        <x:v>0.26105263157894737</x:v>
      </x:c>
      <x:c r="H111" s="5" t="n">
        <x:f t="shared" ref="H111:H114" si="21">ROUND(G111*$B$119,0)</x:f>
        <x:v>209</x:v>
      </x:c>
    </x:row>
    <x:row r="112">
      <x:c r="B112" s="21" t="s">
        <x:v>388</x:v>
      </x:c>
      <x:c r="C112" s="21">
        <x:v>8.3</x:v>
      </x:c>
      <x:c r="D112" s="21">
        <x:v>300.0</x:v>
      </x:c>
      <x:c r="E112" s="35" t="n">
        <x:f t="shared" si="18">(MAX($D$111:$D$114)*2-D112)/10</x:f>
        <x:v>50</x:v>
      </x:c>
      <x:c r="F112" s="118" t="n">
        <x:f t="shared" si="19">SUM(C112,E112)</x:f>
        <x:v>58.3</x:v>
      </x:c>
      <x:c r="G112" s="119" t="n">
        <x:f t="shared" si="20">F112/$F$115</x:f>
        <x:v>0.24547368421052632</x:v>
      </x:c>
      <x:c r="H112" s="5" t="n">
        <x:f t="shared" si="21">ROUND(G112*$B$119,0)</x:f>
        <x:v>196</x:v>
      </x:c>
    </x:row>
    <x:row r="113">
      <x:c r="B113" s="21" t="s">
        <x:v>389</x:v>
      </x:c>
      <x:c r="C113" s="21">
        <x:v>10.2</x:v>
      </x:c>
      <x:c r="D113" s="21">
        <x:v>220.0</x:v>
      </x:c>
      <x:c r="E113" s="35" t="n">
        <x:f t="shared" si="18">(MAX($D$111:$D$114)*2-D113)/10</x:f>
        <x:v>58</x:v>
      </x:c>
      <x:c r="F113" s="118" t="n">
        <x:f t="shared" si="19">SUM(C113,E113)</x:f>
        <x:v>68.2</x:v>
      </x:c>
      <x:c r="G113" s="119" t="n">
        <x:f t="shared" si="20">F113/$F$115</x:f>
        <x:v>0.2871578947368421</x:v>
      </x:c>
      <x:c r="H113" s="5" t="n">
        <x:f t="shared" si="21">ROUND(G113*$B$119,0)</x:f>
        <x:v>230</x:v>
      </x:c>
    </x:row>
    <x:row r="114">
      <x:c r="B114" s="21" t="s">
        <x:v>390</x:v>
      </x:c>
      <x:c r="C114" s="21">
        <x:v>9.0</x:v>
      </x:c>
      <x:c r="D114" s="21">
        <x:v>400.0</x:v>
      </x:c>
      <x:c r="E114" s="35" t="n">
        <x:f t="shared" si="18">(MAX($D$111:$D$114)*2-D114)/10</x:f>
        <x:v>40</x:v>
      </x:c>
      <x:c r="F114" s="118" t="n">
        <x:f t="shared" si="19">SUM(C114,E114)</x:f>
        <x:v>49</x:v>
      </x:c>
      <x:c r="G114" s="119" t="n">
        <x:f t="shared" si="20">F114/$F$115</x:f>
        <x:v>0.2063157894736842</x:v>
      </x:c>
      <x:c r="H114" s="5" t="n">
        <x:f t="shared" si="21">ROUND(G114*$B$119,0)</x:f>
        <x:v>165</x:v>
      </x:c>
    </x:row>
    <x:row r="115">
      <x:c r="B115" s="52"/>
      <x:c r="E115" s="24" t="s">
        <x:v>391</x:v>
      </x:c>
      <x:c r="F115" s="123" t="n">
        <x:f>SUM(F111:F114)</x:f>
        <x:v>237.5</x:v>
      </x:c>
    </x:row>
    <x:row r="116">
      <x:c r="B116" s="52"/>
      <x:c r="F116" s="124"/>
    </x:row>
    <x:row r="117">
      <x:c r="B117" s="7">
        <x:v>2000.0</x:v>
      </x:c>
      <x:c r="C117" s="24" t="s">
        <x:v>392</x:v>
      </x:c>
      <x:c r="F117" s="124"/>
    </x:row>
    <x:row r="118">
      <x:c r="B118" s="125">
        <x:v>0.4</x:v>
      </x:c>
      <x:c r="F118" s="124"/>
    </x:row>
    <x:row r="119">
      <x:c r="B119" s="52" t="n">
        <x:f>B117*B118</x:f>
        <x:v>800</x:v>
      </x:c>
      <x:c r="C119" s="24" t="s">
        <x:v>393</x:v>
      </x:c>
      <x:c r="F119" s="124"/>
    </x:row>
    <x:row r="120">
      <x:c r="B120" s="126"/>
      <x:c r="C120" s="128"/>
      <x:c r="D120" s="128"/>
      <x:c r="E120" s="128"/>
      <x:c r="F120" s="129"/>
    </x:row>
    <x:row r="123">
      <x:c r="A123" s="186" t="str">
        <x:v>Reputación del ciclo</x:v>
      </x:c>
      <x:c r="C123" s="226" t="n">
        <x:f>C75</x:f>
        <x:v>3.6538461538461537</x:v>
      </x:c>
      <x:c r="D123" s="226" t="n">
        <x:f>D75</x:f>
        <x:v>3.75</x:v>
      </x:c>
      <x:c r="E123" s="226" t="n">
        <x:f>E75</x:f>
        <x:v>6.162907268170426</x:v>
      </x:c>
      <x:c r="F123" s="226" t="n">
        <x:f>F75</x:f>
        <x:v>3</x:v>
      </x:c>
      <x:c r="G123" s="227" t="n">
        <x:f>G75</x:f>
        <x:v>4.141688355504145</x:v>
      </x:c>
      <x:c r="H123" s="185" t="str">
        <x:v>Escala 0–10</x:v>
      </x:c>
    </x:row>
    <x:row r="124">
      <x:c r="C124" s="102" t="str">
        <x:f>C76</x:f>
        <x:v>Cumplimiento (0–10)</x:v>
      </x:c>
      <x:c r="D124" s="102" t="str">
        <x:f>D76</x:f>
        <x:v>Equipo N3 (0–10)</x:v>
      </x:c>
      <x:c r="E124" s="102" t="str">
        <x:f>E76</x:f>
        <x:v>Calidad (0–10)</x:v>
      </x:c>
      <x:c r="F124" s="102" t="str">
        <x:f>F76</x:f>
        <x:v>Publicidad (0–10)</x:v>
      </x:c>
      <x:c r="L124" s="149" t="s">
        <x:v>396</x:v>
      </x:c>
      <x:c r="M124" s="150">
        <x:v>0.7</x:v>
      </x:c>
    </x:row>
    <x:row r="125">
      <x:c r="L125" s="149" t="s">
        <x:v>397</x:v>
      </x:c>
      <x:c r="M125" s="150">
        <x:v>0.2</x:v>
      </x:c>
    </x:row>
    <x:row r="126">
      <x:c r="L126" s="149" t="s">
        <x:v>398</x:v>
      </x:c>
      <x:c r="M126" s="150">
        <x:v>0.1</x:v>
      </x:c>
    </x:row>
    <x:row r="127">
      <x:c r="B127" s="151" t="s">
        <x:v>380</x:v>
      </x:c>
      <x:c r="C127" s="151" t="s">
        <x:v>382</x:v>
      </x:c>
      <x:c r="D127" s="151" t="s">
        <x:v>399</x:v>
      </x:c>
      <x:c r="E127" s="151" t="s">
        <x:v>400</x:v>
      </x:c>
      <x:c r="F127" s="151" t="s">
        <x:v>401</x:v>
      </x:c>
      <x:c r="G127" s="151" t="s">
        <x:v>402</x:v>
      </x:c>
      <x:c r="H127" s="151" t="s">
        <x:v>384</x:v>
      </x:c>
      <x:c r="I127" s="151" t="s">
        <x:v>385</x:v>
      </x:c>
      <x:c r="J127" s="151" t="s">
        <x:v>386</x:v>
      </x:c>
      <x:c r="K127" s="152"/>
    </x:row>
    <x:row r="128">
      <x:c r="B128" s="153" t="s">
        <x:v>387</x:v>
      </x:c>
      <x:c r="C128" s="154">
        <x:v>40.0</x:v>
      </x:c>
      <x:c r="D128" s="156">
        <x:v>7.0</x:v>
      </x:c>
      <x:c r="E128" s="156" t="n">
        <x:f t="shared" ref="E128:E131" si="22">ROUND((D128/$D$132)*100,0)</x:f>
        <x:v>20</x:v>
      </x:c>
      <x:c r="F128" s="160" t="n">
        <x:f t="shared" ref="F128:F131" si="23">100*(MAX($C$128:$C$131)-C128)/(MAX($C$128:$C$131)-MIN($C$128:$C$131))</x:f>
        <x:v>100</x:v>
      </x:c>
      <x:c r="G128" s="160" t="n">
        <x:f t="shared" ref="G128:G131" si="24">D128*10</x:f>
        <x:v>70</x:v>
      </x:c>
      <x:c r="H128" s="161" t="n">
        <x:f t="shared" ref="H128:H131" si="25">$M$124*F128+$M$125*G128+$M$126*E128</x:f>
        <x:v>86</x:v>
      </x:c>
      <x:c r="I128" s="162" t="n">
        <x:f t="shared" ref="I128:I131" si="26">H128/$H$132</x:f>
        <x:v>0.36909871244635195</x:v>
      </x:c>
      <x:c r="J128" s="161" t="n">
        <x:f t="shared" ref="J128:J131" si="27">ROUND(I128*$B$136,0)</x:f>
        <x:v>1292</x:v>
      </x:c>
      <x:c r="K128" s="152"/>
    </x:row>
    <x:row r="129">
      <x:c r="B129" s="153" t="s">
        <x:v>388</x:v>
      </x:c>
      <x:c r="C129" s="154">
        <x:v>45.0</x:v>
      </x:c>
      <x:c r="D129" s="156">
        <x:v>8.3</x:v>
      </x:c>
      <x:c r="E129" s="156" t="n">
        <x:f t="shared" si="22">ROUND((D129/$D$132)*100,0)</x:f>
        <x:v>24</x:v>
      </x:c>
      <x:c r="F129" s="160" t="n">
        <x:f t="shared" si="23">100*(MAX($C$128:$C$131)-C129)/(MAX($C$128:$C$131)-MIN($C$128:$C$131))</x:f>
        <x:v>0</x:v>
      </x:c>
      <x:c r="G129" s="160" t="n">
        <x:f t="shared" si="24">D129*10</x:f>
        <x:v>83</x:v>
      </x:c>
      <x:c r="H129" s="161" t="n">
        <x:f t="shared" si="25">$M$124*F129+$M$125*G129+$M$126*E129</x:f>
        <x:v>19</x:v>
      </x:c>
      <x:c r="I129" s="162" t="n">
        <x:f t="shared" si="26">H129/$H$132</x:f>
        <x:v>0.0815450643776824</x:v>
      </x:c>
      <x:c r="J129" s="161" t="n">
        <x:f t="shared" si="27">ROUND(I129*$B$136,0)</x:f>
        <x:v>285</x:v>
      </x:c>
      <x:c r="K129" s="152"/>
    </x:row>
    <x:row r="130">
      <x:c r="B130" s="153" t="s">
        <x:v>389</x:v>
      </x:c>
      <x:c r="C130" s="154">
        <x:v>43.0</x:v>
      </x:c>
      <x:c r="D130" s="156">
        <x:v>10.2</x:v>
      </x:c>
      <x:c r="E130" s="156" t="n">
        <x:f t="shared" si="22">ROUND((D130/$D$132)*100,0)</x:f>
        <x:v>30</x:v>
      </x:c>
      <x:c r="F130" s="160" t="n">
        <x:f t="shared" si="23">100*(MAX($C$128:$C$131)-C130)/(MAX($C$128:$C$131)-MIN($C$128:$C$131))</x:f>
        <x:v>40</x:v>
      </x:c>
      <x:c r="G130" s="160" t="n">
        <x:f t="shared" si="24">D130*10</x:f>
        <x:v>102</x:v>
      </x:c>
      <x:c r="H130" s="161" t="n">
        <x:f t="shared" si="25">$M$124*F130+$M$125*G130+$M$126*E130</x:f>
        <x:v>51.400000000000006</x:v>
      </x:c>
      <x:c r="I130" s="162" t="n">
        <x:f t="shared" si="26">H130/$H$132</x:f>
        <x:v>0.22060085836909873</x:v>
      </x:c>
      <x:c r="J130" s="161" t="n">
        <x:f t="shared" si="27">ROUND(I130*$B$136,0)</x:f>
        <x:v>772</x:v>
      </x:c>
      <x:c r="K130" s="152"/>
    </x:row>
    <x:row r="131">
      <x:c r="B131" s="153" t="s">
        <x:v>390</x:v>
      </x:c>
      <x:c r="C131" s="154">
        <x:v>41.0</x:v>
      </x:c>
      <x:c r="D131" s="156">
        <x:v>9.0</x:v>
      </x:c>
      <x:c r="E131" s="156" t="n">
        <x:f t="shared" si="22">ROUND((D131/$D$132)*100,0)</x:f>
        <x:v>26</x:v>
      </x:c>
      <x:c r="F131" s="160" t="n">
        <x:f t="shared" si="23">100*(MAX($C$128:$C$131)-C131)/(MAX($C$128:$C$131)-MIN($C$128:$C$131))</x:f>
        <x:v>80</x:v>
      </x:c>
      <x:c r="G131" s="160" t="n">
        <x:f t="shared" si="24">D131*10</x:f>
        <x:v>90</x:v>
      </x:c>
      <x:c r="H131" s="161" t="n">
        <x:f t="shared" si="25">$M$124*F131+$M$125*G131+$M$126*E131</x:f>
        <x:v>76.6</x:v>
      </x:c>
      <x:c r="I131" s="162" t="n">
        <x:f t="shared" si="26">H131/$H$132</x:f>
        <x:v>0.3287553648068669</x:v>
      </x:c>
      <x:c r="J131" s="161" t="n">
        <x:f t="shared" si="27">ROUND(I131*$B$136,0)</x:f>
        <x:v>1151</x:v>
      </x:c>
      <x:c r="K131" s="152"/>
    </x:row>
    <x:row r="132">
      <x:c r="B132" s="164"/>
      <x:c r="C132" s="151" t="s">
        <x:v>403</x:v>
      </x:c>
      <x:c r="D132" s="164" t="n">
        <x:f>SUM(D128:D131)</x:f>
        <x:v>34.5</x:v>
      </x:c>
      <x:c r="E132" s="164"/>
      <x:c r="F132" s="164"/>
      <x:c r="G132" s="165" t="s">
        <x:v>404</x:v>
      </x:c>
      <x:c r="H132" s="161" t="n">
        <x:f>SUM(H128:H131)</x:f>
        <x:v>233</x:v>
      </x:c>
      <x:c r="I132" s="164"/>
      <x:c r="J132" s="164" t="n">
        <x:f>SUM(J128:J131)</x:f>
        <x:v>3500</x:v>
      </x:c>
      <x:c r="K132" s="152"/>
    </x:row>
    <x:row r="133">
      <x:c r="B133" s="152"/>
      <x:c r="C133" s="152"/>
      <x:c r="D133" s="152"/>
      <x:c r="E133" s="152"/>
      <x:c r="F133" s="152"/>
      <x:c r="G133" s="152"/>
      <x:c r="H133" s="152"/>
      <x:c r="I133" s="152"/>
      <x:c r="J133" s="152"/>
      <x:c r="K133" s="152"/>
    </x:row>
    <x:row r="134">
      <x:c r="B134" s="151">
        <x:v>7000.0</x:v>
      </x:c>
      <x:c r="C134" s="151" t="s">
        <x:v>405</x:v>
      </x:c>
      <x:c r="D134" s="152"/>
      <x:c r="E134" s="152"/>
      <x:c r="F134" s="152"/>
      <x:c r="G134" s="152"/>
      <x:c r="H134" s="152"/>
      <x:c r="I134" s="152"/>
      <x:c r="J134" s="152"/>
      <x:c r="K134" s="152"/>
    </x:row>
    <x:row r="135">
      <x:c r="B135" s="166">
        <x:v>0.5</x:v>
      </x:c>
      <x:c r="C135" s="164"/>
      <x:c r="D135" s="152"/>
      <x:c r="E135" s="152"/>
      <x:c r="F135" s="152"/>
      <x:c r="G135" s="152"/>
      <x:c r="H135" s="152"/>
      <x:c r="I135" s="152"/>
      <x:c r="J135" s="152"/>
      <x:c r="K135" s="152"/>
    </x:row>
    <x:row r="136">
      <x:c r="B136" s="151">
        <x:v>3500.0</x:v>
      </x:c>
      <x:c r="C136" s="151" t="s">
        <x:v>406</x:v>
      </x:c>
      <x:c r="D136" s="152"/>
      <x:c r="E136" s="152"/>
      <x:c r="F136" s="152"/>
      <x:c r="G136" s="152"/>
      <x:c r="H136" s="152"/>
      <x:c r="I136" s="152"/>
      <x:c r="J136" s="152"/>
      <x:c r="K136" s="152"/>
    </x:row>
    <x:row r="137">
      <x:c r="B137" s="152"/>
      <x:c r="C137" s="152"/>
      <x:c r="D137" s="152"/>
      <x:c r="E137" s="152"/>
      <x:c r="F137" s="152"/>
      <x:c r="G137" s="152"/>
      <x:c r="H137" s="152"/>
      <x:c r="I137" s="152"/>
      <x:c r="J137" s="152"/>
      <x:c r="K137" s="152"/>
      <x:c r="L137" s="149" t="s">
        <x:v>396</x:v>
      </x:c>
      <x:c r="M137" s="150">
        <x:v>0.4</x:v>
      </x:c>
    </x:row>
    <x:row r="138">
      <x:c r="B138" s="152"/>
      <x:c r="C138" s="152"/>
      <x:c r="D138" s="152"/>
      <x:c r="E138" s="152"/>
      <x:c r="F138" s="152"/>
      <x:c r="G138" s="152"/>
      <x:c r="H138" s="152"/>
      <x:c r="I138" s="152"/>
      <x:c r="J138" s="152"/>
      <x:c r="K138" s="152"/>
      <x:c r="L138" s="149" t="s">
        <x:v>397</x:v>
      </x:c>
      <x:c r="M138" s="150">
        <x:v>0.35</x:v>
      </x:c>
    </x:row>
    <x:row r="139">
      <x:c r="B139" s="152"/>
      <x:c r="C139" s="152"/>
      <x:c r="D139" s="152"/>
      <x:c r="E139" s="152"/>
      <x:c r="F139" s="152"/>
      <x:c r="G139" s="152"/>
      <x:c r="H139" s="152"/>
      <x:c r="I139" s="152"/>
      <x:c r="J139" s="152"/>
      <x:c r="K139" s="152"/>
      <x:c r="L139" s="149" t="s">
        <x:v>398</x:v>
      </x:c>
      <x:c r="M139" s="150">
        <x:v>0.25</x:v>
      </x:c>
    </x:row>
    <x:row r="140">
      <x:c r="B140" s="151" t="s">
        <x:v>407</x:v>
      </x:c>
      <x:c r="C140" s="151" t="s">
        <x:v>382</x:v>
      </x:c>
      <x:c r="D140" s="151" t="s">
        <x:v>399</x:v>
      </x:c>
      <x:c r="E140" s="151" t="s">
        <x:v>400</x:v>
      </x:c>
      <x:c r="F140" s="151" t="s">
        <x:v>401</x:v>
      </x:c>
      <x:c r="G140" s="151" t="s">
        <x:v>402</x:v>
      </x:c>
      <x:c r="H140" s="151" t="s">
        <x:v>384</x:v>
      </x:c>
      <x:c r="I140" s="151" t="s">
        <x:v>385</x:v>
      </x:c>
      <x:c r="J140" s="151" t="s">
        <x:v>386</x:v>
      </x:c>
      <x:c r="K140" s="152"/>
      <x:c r="L140" s="149" t="s">
        <x:v>408</x:v>
      </x:c>
      <x:c r="M140" s="149">
        <x:v>100.0</x:v>
      </x:c>
    </x:row>
    <x:row r="141">
      <x:c r="B141" s="153" t="s">
        <x:v>387</x:v>
      </x:c>
      <x:c r="C141" s="154">
        <x:v>120.0</x:v>
      </x:c>
      <x:c r="D141" s="156">
        <x:v>7.0</x:v>
      </x:c>
      <x:c r="E141" s="156" t="n">
        <x:f t="shared" ref="E141:E144" si="28">ROUND((D141/$D$132)*100,0)</x:f>
        <x:v>20</x:v>
      </x:c>
      <x:c r="F141" s="160" t="n">
        <x:f t="shared" ref="F141:F144" si="29">100-(ABS(C141-$M$140)/$M$140*100)</x:f>
        <x:v>80</x:v>
      </x:c>
      <x:c r="G141" s="160" t="n">
        <x:f t="shared" ref="G141:G144" si="30">D141*10</x:f>
        <x:v>70</x:v>
      </x:c>
      <x:c r="H141" s="161" t="n">
        <x:f t="shared" ref="H141:H144" si="31">$M$137*F141+$M$138*G141+$M$139*E141</x:f>
        <x:v>61.5</x:v>
      </x:c>
      <x:c r="I141" s="162" t="n">
        <x:f t="shared" ref="I141:I144" si="32">H141/$H$145</x:f>
        <x:v>0.3048327137546468</x:v>
      </x:c>
      <x:c r="J141" s="161" t="n">
        <x:f t="shared" ref="J141:J144" si="33">ROUND(I141*$B$149,0)</x:f>
        <x:v>1067</x:v>
      </x:c>
      <x:c r="K141" s="152"/>
    </x:row>
    <x:row r="142">
      <x:c r="B142" s="153" t="s">
        <x:v>388</x:v>
      </x:c>
      <x:c r="C142" s="154">
        <x:v>150.0</x:v>
      </x:c>
      <x:c r="D142" s="156">
        <x:v>8.3</x:v>
      </x:c>
      <x:c r="E142" s="156" t="n">
        <x:f t="shared" si="28">ROUND((D142/$D$132)*100,0)</x:f>
        <x:v>24</x:v>
      </x:c>
      <x:c r="F142" s="160" t="n">
        <x:f t="shared" si="29">100-(ABS(C142-$M$140)/$M$140*100)</x:f>
        <x:v>50</x:v>
      </x:c>
      <x:c r="G142" s="160" t="n">
        <x:f t="shared" si="30">D142*10</x:f>
        <x:v>83</x:v>
      </x:c>
      <x:c r="H142" s="161" t="n">
        <x:f t="shared" si="31">$M$137*F142+$M$138*G142+$M$139*E142</x:f>
        <x:v>55.05</x:v>
      </x:c>
      <x:c r="I142" s="162" t="n">
        <x:f t="shared" si="32">H142/$H$145</x:f>
        <x:v>0.2728624535315985</x:v>
      </x:c>
      <x:c r="J142" s="161" t="n">
        <x:f t="shared" si="33">ROUND(I142*$B$149,0)</x:f>
        <x:v>955</x:v>
      </x:c>
      <x:c r="K142" s="152"/>
    </x:row>
    <x:row r="143">
      <x:c r="B143" s="153" t="s">
        <x:v>389</x:v>
      </x:c>
      <x:c r="C143" s="154">
        <x:v>190.0</x:v>
      </x:c>
      <x:c r="D143" s="156">
        <x:v>10.2</x:v>
      </x:c>
      <x:c r="E143" s="156" t="n">
        <x:f t="shared" si="28">ROUND((D143/$D$132)*100,0)</x:f>
        <x:v>30</x:v>
      </x:c>
      <x:c r="F143" s="160" t="n">
        <x:f t="shared" si="29">100-(ABS(C143-$M$140)/$M$140*100)</x:f>
        <x:v>10</x:v>
      </x:c>
      <x:c r="G143" s="160" t="n">
        <x:f t="shared" si="30">D143*10</x:f>
        <x:v>102</x:v>
      </x:c>
      <x:c r="H143" s="161" t="n">
        <x:f t="shared" si="31">$M$137*F143+$M$138*G143+$M$139*E143</x:f>
        <x:v>47.199999999999996</x:v>
      </x:c>
      <x:c r="I143" s="162" t="n">
        <x:f t="shared" si="32">H143/$H$145</x:f>
        <x:v>0.2339529120198265</x:v>
      </x:c>
      <x:c r="J143" s="161" t="n">
        <x:f t="shared" si="33">ROUND(I143*$B$149,0)</x:f>
        <x:v>819</x:v>
      </x:c>
      <x:c r="K143" s="152"/>
    </x:row>
    <x:row r="144">
      <x:c r="B144" s="153" t="s">
        <x:v>390</x:v>
      </x:c>
      <x:c r="C144" s="154">
        <x:v>200.0</x:v>
      </x:c>
      <x:c r="D144" s="156">
        <x:v>9.0</x:v>
      </x:c>
      <x:c r="E144" s="156" t="n">
        <x:f t="shared" si="28">ROUND((D144/$D$132)*100,0)</x:f>
        <x:v>26</x:v>
      </x:c>
      <x:c r="F144" s="160" t="n">
        <x:f t="shared" si="29">100-(ABS(C144-$M$140)/$M$140*100)</x:f>
        <x:v>0</x:v>
      </x:c>
      <x:c r="G144" s="160" t="n">
        <x:f t="shared" si="30">D144*10</x:f>
        <x:v>90</x:v>
      </x:c>
      <x:c r="H144" s="161" t="n">
        <x:f t="shared" si="31">$M$137*F144+$M$138*G144+$M$139*E144</x:f>
        <x:v>38</x:v>
      </x:c>
      <x:c r="I144" s="162" t="n">
        <x:f t="shared" si="32">H144/$H$145</x:f>
        <x:v>0.18835192069392812</x:v>
      </x:c>
      <x:c r="J144" s="161" t="n">
        <x:f t="shared" si="33">ROUND(I144*$B$149,0)</x:f>
        <x:v>659</x:v>
      </x:c>
      <x:c r="K144" s="152"/>
    </x:row>
    <x:row r="145">
      <x:c r="B145" s="164"/>
      <x:c r="C145" s="151" t="s">
        <x:v>403</x:v>
      </x:c>
      <x:c r="D145" s="164" t="n">
        <x:f>SUM(D141:D144)</x:f>
        <x:v>34.5</x:v>
      </x:c>
      <x:c r="E145" s="164"/>
      <x:c r="F145" s="164"/>
      <x:c r="G145" s="168" t="s">
        <x:v>404</x:v>
      </x:c>
      <x:c r="H145" s="169" t="n">
        <x:f>SUM(H141:H144)</x:f>
        <x:v>201.75</x:v>
      </x:c>
      <x:c r="I145" s="164"/>
      <x:c r="J145" s="164" t="n">
        <x:f>SUM(J141:J144)</x:f>
        <x:v>3500</x:v>
      </x:c>
      <x:c r="K145" s="152"/>
    </x:row>
    <x:row r="146">
      <x:c r="B146" s="152"/>
      <x:c r="C146" s="152"/>
      <x:c r="D146" s="152"/>
      <x:c r="E146" s="152"/>
      <x:c r="F146" s="152"/>
      <x:c r="G146" s="152"/>
      <x:c r="H146" s="152"/>
      <x:c r="I146" s="152"/>
      <x:c r="J146" s="152"/>
      <x:c r="K146" s="152"/>
    </x:row>
    <x:row r="147">
      <x:c r="B147" s="151">
        <x:v>5000.0</x:v>
      </x:c>
      <x:c r="C147" s="151" t="s">
        <x:v>405</x:v>
      </x:c>
      <x:c r="D147" s="152"/>
      <x:c r="E147" s="152"/>
      <x:c r="F147" s="152"/>
      <x:c r="G147" s="152"/>
      <x:c r="H147" s="152"/>
      <x:c r="I147" s="152"/>
      <x:c r="J147" s="152"/>
      <x:c r="K147" s="152"/>
    </x:row>
    <x:row r="148">
      <x:c r="B148" s="166">
        <x:v>0.7</x:v>
      </x:c>
      <x:c r="C148" s="164"/>
      <x:c r="D148" s="152"/>
      <x:c r="E148" s="152"/>
      <x:c r="F148" s="152"/>
      <x:c r="G148" s="152"/>
      <x:c r="H148" s="152"/>
      <x:c r="I148" s="152"/>
      <x:c r="J148" s="152"/>
    </x:row>
    <x:row r="149">
      <x:c r="B149" s="151">
        <x:v>3500.0</x:v>
      </x:c>
      <x:c r="C149" s="151" t="s">
        <x:v>406</x:v>
      </x:c>
      <x:c r="D149" s="152"/>
      <x:c r="E149" s="152"/>
      <x:c r="F149" s="152"/>
      <x:c r="G149" s="152"/>
      <x:c r="H149" s="152"/>
      <x:c r="I149" s="152"/>
      <x:c r="J149" s="152"/>
    </x:row>
    <x:row r="150">
      <x:c r="L150" s="149" t="s">
        <x:v>396</x:v>
      </x:c>
      <x:c r="M150" s="150">
        <x:v>0.1</x:v>
      </x:c>
    </x:row>
    <x:row r="151">
      <x:c r="L151" s="149" t="s">
        <x:v>397</x:v>
      </x:c>
      <x:c r="M151" s="150">
        <x:v>0.5</x:v>
      </x:c>
    </x:row>
    <x:row r="152">
      <x:c r="L152" s="149" t="s">
        <x:v>398</x:v>
      </x:c>
      <x:c r="M152" s="150">
        <x:v>0.4</x:v>
      </x:c>
    </x:row>
    <x:row r="153">
      <x:c r="B153" s="151" t="s">
        <x:v>409</x:v>
      </x:c>
      <x:c r="C153" s="151" t="s">
        <x:v>382</x:v>
      </x:c>
      <x:c r="D153" s="151" t="s">
        <x:v>399</x:v>
      </x:c>
      <x:c r="E153" s="151" t="s">
        <x:v>400</x:v>
      </x:c>
      <x:c r="F153" s="151" t="s">
        <x:v>401</x:v>
      </x:c>
      <x:c r="G153" s="151" t="s">
        <x:v>402</x:v>
      </x:c>
      <x:c r="H153" s="151" t="s">
        <x:v>384</x:v>
      </x:c>
      <x:c r="I153" s="151" t="s">
        <x:v>385</x:v>
      </x:c>
      <x:c r="J153" s="151" t="s">
        <x:v>386</x:v>
      </x:c>
      <x:c r="L153" s="149" t="s">
        <x:v>408</x:v>
      </x:c>
      <x:c r="M153" s="149">
        <x:v>250.0</x:v>
      </x:c>
    </x:row>
    <x:row r="154">
      <x:c r="B154" s="153" t="s">
        <x:v>387</x:v>
      </x:c>
      <x:c r="C154" s="154">
        <x:v>250.0</x:v>
      </x:c>
      <x:c r="D154" s="156">
        <x:v>7.0</x:v>
      </x:c>
      <x:c r="E154" s="156" t="n">
        <x:f t="shared" ref="E154:E157" si="34">ROUND((D154/$D$132)*100,0)</x:f>
        <x:v>20</x:v>
      </x:c>
      <x:c r="F154" s="160" t="n">
        <x:f t="shared" ref="F154:F157" si="35">100-(ABS(C154-$M$153)/$M$153*100)</x:f>
        <x:v>100</x:v>
      </x:c>
      <x:c r="G154" s="160" t="n">
        <x:f t="shared" ref="G154:G157" si="36">D154*10</x:f>
        <x:v>70</x:v>
      </x:c>
      <x:c r="H154" s="161" t="n">
        <x:f t="shared" ref="H154:H157" si="37">$M$150*F154+$M$151*G154+$M$152*E154</x:f>
        <x:v>53</x:v>
      </x:c>
      <x:c r="I154" s="162" t="n">
        <x:f t="shared" ref="I154:I157" si="38">H154/$H$158</x:f>
        <x:v>0.2178380600082203</x:v>
      </x:c>
      <x:c r="J154" s="161" t="n">
        <x:f t="shared" ref="J154:J157" si="39">ROUND(I154*$B$162,0)</x:f>
        <x:v>174</x:v>
      </x:c>
    </x:row>
    <x:row r="155">
      <x:c r="B155" s="153" t="s">
        <x:v>388</x:v>
      </x:c>
      <x:c r="C155" s="154">
        <x:v>300.0</x:v>
      </x:c>
      <x:c r="D155" s="156">
        <x:v>8.3</x:v>
      </x:c>
      <x:c r="E155" s="156" t="n">
        <x:f t="shared" si="34">ROUND((D155/$D$132)*100,0)</x:f>
        <x:v>24</x:v>
      </x:c>
      <x:c r="F155" s="160" t="n">
        <x:f t="shared" si="35">100-(ABS(C155-$M$153)/$M$153*100)</x:f>
        <x:v>80</x:v>
      </x:c>
      <x:c r="G155" s="160" t="n">
        <x:f t="shared" si="36">D155*10</x:f>
        <x:v>83</x:v>
      </x:c>
      <x:c r="H155" s="161" t="n">
        <x:f t="shared" si="37">$M$150*F155+$M$151*G155+$M$152*E155</x:f>
        <x:v>59.1</x:v>
      </x:c>
      <x:c r="I155" s="162" t="n">
        <x:f t="shared" si="38">H155/$H$158</x:f>
        <x:v>0.2429099876695438</x:v>
      </x:c>
      <x:c r="J155" s="161" t="n">
        <x:f t="shared" si="39">ROUND(I155*$B$162,0)</x:f>
        <x:v>194</x:v>
      </x:c>
    </x:row>
    <x:row r="156">
      <x:c r="B156" s="153" t="s">
        <x:v>389</x:v>
      </x:c>
      <x:c r="C156" s="154">
        <x:v>220.0</x:v>
      </x:c>
      <x:c r="D156" s="156">
        <x:v>10.2</x:v>
      </x:c>
      <x:c r="E156" s="156" t="n">
        <x:f t="shared" si="34">ROUND((D156/$D$132)*100,0)</x:f>
        <x:v>30</x:v>
      </x:c>
      <x:c r="F156" s="160" t="n">
        <x:f t="shared" si="35">100-(ABS(C156-$M$153)/$M$153*100)</x:f>
        <x:v>88</x:v>
      </x:c>
      <x:c r="G156" s="160" t="n">
        <x:f t="shared" si="36">D156*10</x:f>
        <x:v>102</x:v>
      </x:c>
      <x:c r="H156" s="161" t="n">
        <x:f t="shared" si="37">$M$150*F156+$M$151*G156+$M$152*E156</x:f>
        <x:v>71.8</x:v>
      </x:c>
      <x:c r="I156" s="162" t="n">
        <x:f t="shared" si="38">H156/$H$158</x:f>
        <x:v>0.29510891903000414</x:v>
      </x:c>
      <x:c r="J156" s="161" t="n">
        <x:f t="shared" si="39">ROUND(I156*$B$162,0)</x:f>
        <x:v>236</x:v>
      </x:c>
    </x:row>
    <x:row r="157">
      <x:c r="B157" s="153" t="s">
        <x:v>390</x:v>
      </x:c>
      <x:c r="C157" s="154">
        <x:v>400.0</x:v>
      </x:c>
      <x:c r="D157" s="156">
        <x:v>9.0</x:v>
      </x:c>
      <x:c r="E157" s="156" t="n">
        <x:f t="shared" si="34">ROUND((D157/$D$132)*100,0)</x:f>
        <x:v>26</x:v>
      </x:c>
      <x:c r="F157" s="160" t="n">
        <x:f t="shared" si="35">100-(ABS(C157-$M$153)/$M$153*100)</x:f>
        <x:v>40</x:v>
      </x:c>
      <x:c r="G157" s="160" t="n">
        <x:f t="shared" si="36">D157*10</x:f>
        <x:v>90</x:v>
      </x:c>
      <x:c r="H157" s="161" t="n">
        <x:f t="shared" si="37">$M$150*F157+$M$151*G157+$M$152*E157</x:f>
        <x:v>59.4</x:v>
      </x:c>
      <x:c r="I157" s="162" t="n">
        <x:f t="shared" si="38">H157/$H$158</x:f>
        <x:v>0.24414303329223183</x:v>
      </x:c>
      <x:c r="J157" s="161" t="n">
        <x:f t="shared" si="39">ROUND(I157*$B$162,0)</x:f>
        <x:v>195</x:v>
      </x:c>
    </x:row>
    <x:row r="158">
      <x:c r="B158" s="164"/>
      <x:c r="C158" s="151" t="s">
        <x:v>403</x:v>
      </x:c>
      <x:c r="D158" s="164" t="n">
        <x:f>SUM(D154:D157)</x:f>
        <x:v>34.5</x:v>
      </x:c>
      <x:c r="E158" s="164"/>
      <x:c r="F158" s="164"/>
      <x:c r="G158" s="168" t="s">
        <x:v>404</x:v>
      </x:c>
      <x:c r="H158" s="169" t="n">
        <x:f>SUM(H154:H157)</x:f>
        <x:v>243.29999999999998</x:v>
      </x:c>
      <x:c r="I158" s="164"/>
      <x:c r="J158" s="164" t="n">
        <x:f>SUM(J154:J157)</x:f>
        <x:v>799</x:v>
      </x:c>
    </x:row>
    <x:row r="159">
      <x:c r="B159" s="152"/>
      <x:c r="C159" s="152"/>
      <x:c r="D159" s="152"/>
      <x:c r="E159" s="152"/>
      <x:c r="F159" s="152"/>
      <x:c r="G159" s="152"/>
      <x:c r="H159" s="152"/>
      <x:c r="I159" s="152"/>
      <x:c r="J159" s="152"/>
    </x:row>
    <x:row r="160">
      <x:c r="B160" s="151">
        <x:v>2000.0</x:v>
      </x:c>
      <x:c r="C160" s="151" t="s">
        <x:v>405</x:v>
      </x:c>
      <x:c r="D160" s="152"/>
      <x:c r="E160" s="152"/>
      <x:c r="F160" s="152"/>
      <x:c r="G160" s="152"/>
      <x:c r="H160" s="152"/>
      <x:c r="I160" s="152"/>
      <x:c r="J160" s="152"/>
    </x:row>
    <x:row r="161">
      <x:c r="B161" s="166">
        <x:v>0.4</x:v>
      </x:c>
      <x:c r="C161" s="164"/>
      <x:c r="D161" s="152"/>
      <x:c r="E161" s="152"/>
      <x:c r="F161" s="152"/>
      <x:c r="G161" s="152"/>
      <x:c r="H161" s="152"/>
      <x:c r="I161" s="152"/>
      <x:c r="J161" s="152"/>
    </x:row>
    <x:row r="162">
      <x:c r="B162" s="151">
        <x:v>800.0</x:v>
      </x:c>
      <x:c r="C162" s="151" t="s">
        <x:v>406</x:v>
      </x:c>
      <x:c r="D162" s="152"/>
      <x:c r="E162" s="152"/>
      <x:c r="F162" s="152"/>
      <x:c r="G162" s="152"/>
      <x:c r="H162" s="152"/>
      <x:c r="I162" s="152"/>
      <x:c r="J162" s="152"/>
    </x:row>
  </x:sheetData>
  <x:mergeCells>
    <x:mergeCell ref="A3:B3"/>
  </x:mergeCells>
  <x:conditionalFormatting sqref="Q35:Y35">
    <x:cfRule type="cellIs" dxfId="0" priority="1" operator="greaterThan">
      <x:formula>0</x:formula>
    </x:cfRule>
  </x:conditionalFormatting>
  <x:conditionalFormatting sqref="G63:G71">
    <x:cfRule type="cellIs" dxfId="1" priority="2" operator="lessThan">
      <x:formula>-0.000001</x:formula>
    </x:cfRule>
  </x:conditionalFormatting>
  <x:dataValidations count="28">
    <x:dataValidation type="whole" operator="between" sqref="F5:F7">
      <x:formula1>0</x:formula1>
      <x:formula2>1000000</x:formula2>
    </x:dataValidation>
    <x:dataValidation type="whole" operator="between" sqref="F11:H13">
      <x:formula1>0</x:formula1>
      <x:formula2>1000000</x:formula2>
    </x:dataValidation>
    <x:dataValidation type="whole" operator="between" sqref="F17:H19">
      <x:formula1>0</x:formula1>
      <x:formula2>1000000</x:formula2>
    </x:dataValidation>
    <x:dataValidation type="whole" operator="between" sqref="D37:D39">
      <x:formula1>0</x:formula1>
      <x:formula2>1000000</x:formula2>
    </x:dataValidation>
    <x:dataValidation type="whole" operator="between" sqref="G49:I51">
      <x:formula1>0</x:formula1>
      <x:formula2>1000000</x:formula2>
    </x:dataValidation>
    <x:dataValidation type="whole" operator="between" sqref="D66:E68">
      <x:formula1>0</x:formula1>
      <x:formula2>1000000</x:formula2>
    </x:dataValidation>
    <x:dataValidation type="whole" operator="between" sqref="F21">
      <x:formula1>0</x:formula1>
      <x:formula2>1</x:formula2>
    </x:dataValidation>
    <x:dataValidation type="whole" operator="between" sqref="Q4">
      <x:formula1>1</x:formula1>
      <x:formula2>366</x:formula2>
    </x:dataValidation>
    <x:dataValidation type="decimal" operator="between" sqref="D49:F51">
      <x:formula1>0</x:formula1>
      <x:formula2>1000000000</x:formula2>
    </x:dataValidation>
    <x:dataValidation type="decimal" operator="between" sqref="J49:L51">
      <x:formula1>0</x:formula1>
      <x:formula2>1000000000</x:formula2>
    </x:dataValidation>
    <x:dataValidation type="decimal" operator="between" sqref="D63:E65">
      <x:formula1>0</x:formula1>
      <x:formula2>1000000000</x:formula2>
    </x:dataValidation>
    <x:dataValidation type="decimal" operator="between" sqref="D69:E71">
      <x:formula1>0</x:formula1>
      <x:formula2>1000000000</x:formula2>
    </x:dataValidation>
    <x:dataValidation type="decimal" operator="between" sqref="B73">
      <x:formula1>0</x:formula1>
      <x:formula2>1000000000</x:formula2>
    </x:dataValidation>
    <x:dataValidation type="decimal" operator="between" sqref="K7">
      <x:formula1>0</x:formula1>
      <x:formula2>1</x:formula2>
    </x:dataValidation>
    <x:dataValidation type="decimal" operator="between" sqref="Q5:Q7">
      <x:formula1>0</x:formula1>
      <x:formula2>1</x:formula2>
    </x:dataValidation>
    <x:dataValidation type="decimal" operator="between" sqref="Q11:Q14">
      <x:formula1>0.000001</x:formula1>
      <x:formula2>1</x:formula2>
    </x:dataValidation>
    <x:dataValidation type="decimal" operator="between" sqref="Q16:Q18">
      <x:formula1>0.000001</x:formula1>
      <x:formula2>1</x:formula2>
    </x:dataValidation>
    <x:dataValidation type="decimal" operator="between" sqref="Q8">
      <x:formula1>0.000001</x:formula1>
      <x:formula2>1000000000</x:formula2>
    </x:dataValidation>
    <x:dataValidation type="decimal" operator="between" sqref="Q24:S24">
      <x:formula1>0</x:formula1>
      <x:formula2>100</x:formula2>
    </x:dataValidation>
    <x:dataValidation type="decimal" operator="between" sqref="D31">
      <x:formula1>0.000001</x:formula1>
      <x:formula2>1000000</x:formula2>
    </x:dataValidation>
    <x:dataValidation type="decimal" operator="between" sqref="J31">
      <x:formula1>0.000001</x:formula1>
      <x:formula2>1000000</x:formula2>
    </x:dataValidation>
    <x:dataValidation type="decimal" operator="between" sqref="E32">
      <x:formula1>0.000001</x:formula1>
      <x:formula2>1000000</x:formula2>
    </x:dataValidation>
    <x:dataValidation type="decimal" operator="between" sqref="K32">
      <x:formula1>0.000001</x:formula1>
      <x:formula2>1000000</x:formula2>
    </x:dataValidation>
    <x:dataValidation type="decimal" operator="between" sqref="F33">
      <x:formula1>0.000001</x:formula1>
      <x:formula2>1000000</x:formula2>
    </x:dataValidation>
    <x:dataValidation type="decimal" operator="between" sqref="L33">
      <x:formula1>0.000001</x:formula1>
      <x:formula2>1000000</x:formula2>
    </x:dataValidation>
    <x:dataValidation type="whole" operator="between" sqref="G31">
      <x:formula1>1</x:formula1>
      <x:formula2>1000000</x:formula2>
    </x:dataValidation>
    <x:dataValidation type="whole" operator="between" sqref="H32">
      <x:formula1>1</x:formula1>
      <x:formula2>1000000</x:formula2>
    </x:dataValidation>
    <x:dataValidation type="whole" operator="between" sqref="I33">
      <x:formula1>1</x:formula1>
      <x:formula2>1000000</x:formula2>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14.430000305175781" defaultRowHeight="15"/>
  <x:cols>
    <x:col min="1" max="1" width="17.56999969482422" customWidth="1"/>
    <x:col min="2" max="2" width="20.709999084472656" customWidth="1"/>
    <x:col min="3" max="3" width="26" customWidth="1"/>
    <x:col min="4" max="4" width="18.43000030517578" customWidth="1"/>
    <x:col min="5" max="5" width="16.56999969482422" customWidth="1"/>
    <x:col min="6" max="6" width="18.860000610351562" customWidth="1"/>
    <x:col min="7" max="7" width="17.709999084472656" customWidth="1"/>
    <x:col min="8" max="8" width="16.860000610351562" customWidth="1"/>
    <x:col min="10" max="10" width="10.710000038146973" customWidth="1"/>
    <x:col min="11" max="11" width="20.139999389648438" customWidth="1"/>
    <x:col min="15" max="15" width="17.43000030517578" customWidth="1"/>
    <x:col min="20" max="20" width="18.860000610351562" customWidth="1"/>
    <x:col min="24" max="24" width="16.860000610351562" customWidth="1"/>
    <x:col min="28" max="28" width="17.56999969482422" customWidth="1"/>
  </x:cols>
  <x:sheetData>
    <x:row r="1">
      <x:c r="A1" s="16" t="s">
        <x:v>337</x:v>
      </x:c>
      <x:c r="S1" s="52"/>
    </x:row>
    <x:row r="2">
      <x:c r="A2" s="25"/>
      <x:c r="B2" s="25"/>
      <x:c r="S2" s="52"/>
      <x:c r="T2" s="42" t="s">
        <x:v>410</x:v>
      </x:c>
    </x:row>
    <x:row r="3">
      <x:c r="A3" s="25" t="s">
        <x:v>338</x:v>
      </x:c>
      <x:c r="S3" s="52"/>
    </x:row>
    <x:row r="4">
      <x:c r="E4" s="26" t="s">
        <x:v>339</x:v>
      </x:c>
      <x:c r="F4" s="28" t="s">
        <x:v>83</x:v>
      </x:c>
      <x:c r="G4" s="29"/>
      <x:c r="H4" s="29"/>
      <x:c r="K4" s="30" t="s">
        <x:v>340</x:v>
      </x:c>
      <x:c r="L4" s="24" t="s">
        <x:v>341</x:v>
      </x:c>
      <x:c r="M4" s="24" t="s">
        <x:v>342</x:v>
      </x:c>
      <x:c r="N4" s="24" t="s">
        <x:v>411</x:v>
      </x:c>
      <x:c r="O4" s="32"/>
      <x:c r="S4" s="52"/>
      <x:c r="T4" s="53" t="s">
        <x:v>412</x:v>
      </x:c>
      <x:c r="U4" s="53" t="s">
        <x:v>413</x:v>
      </x:c>
      <x:c r="V4" s="53" t="s">
        <x:v>414</x:v>
      </x:c>
      <x:c r="X4" s="54" t="s">
        <x:v>415</x:v>
      </x:c>
      <x:c r="Y4" s="54" t="s">
        <x:v>413</x:v>
      </x:c>
      <x:c r="Z4" s="54" t="s">
        <x:v>414</x:v>
      </x:c>
      <x:c r="AB4" s="55" t="s">
        <x:v>416</x:v>
      </x:c>
      <x:c r="AC4" s="57" t="s">
        <x:v>413</x:v>
      </x:c>
      <x:c r="AD4" s="57" t="s">
        <x:v>414</x:v>
      </x:c>
    </x:row>
    <x:row r="5">
      <x:c r="C5" s="32" t="s">
        <x:v>343</x:v>
      </x:c>
      <x:c r="E5" s="33">
        <x:v>6.0</x:v>
      </x:c>
      <x:c r="F5" s="34">
        <x:v>1.0</x:v>
      </x:c>
      <x:c r="G5" s="29"/>
      <x:c r="H5" s="29"/>
      <x:c r="I5" s="36" t="n">
        <x:f t="shared" ref="I5:I7" si="1">E5*F5</x:f>
        <x:v>6</x:v>
      </x:c>
      <x:c r="K5" s="38" t="n">
        <x:f>MIN(I8,I14,I20)</x:f>
        <x:v>14</x:v>
      </x:c>
      <x:c r="L5" s="38" t="n">
        <x:f>K5*30</x:f>
        <x:v>420</x:v>
      </x:c>
      <x:c r="M5" s="39" t="n">
        <x:f>K7+(F7+F13+F19)/100+4%*F21</x:f>
        <x:v>0.91</x:v>
      </x:c>
      <x:c r="N5" s="40" t="n">
        <x:f>ROUND(L5*M5,0)</x:f>
        <x:v>382</x:v>
      </x:c>
      <x:c r="O5" s="24" t="s">
        <x:v>417</x:v>
      </x:c>
      <x:c r="S5" s="52"/>
      <x:c r="T5" s="53" t="s">
        <x:v>418</x:v>
      </x:c>
      <x:c r="U5" s="62">
        <x:v>1500.0</x:v>
      </x:c>
      <x:c r="V5" s="62">
        <x:v>1500.0</x:v>
      </x:c>
      <x:c r="X5" s="54" t="s">
        <x:v>418</x:v>
      </x:c>
      <x:c r="Y5" s="64">
        <x:v>1500.0</x:v>
      </x:c>
      <x:c r="Z5" s="64">
        <x:v>1500.0</x:v>
      </x:c>
      <x:c r="AB5" s="57" t="s">
        <x:v>418</x:v>
      </x:c>
      <x:c r="AC5" s="65">
        <x:v>1500.0</x:v>
      </x:c>
      <x:c r="AD5" s="65">
        <x:v>1500.0</x:v>
      </x:c>
    </x:row>
    <x:row r="6" ht="20.25" customHeight="1">
      <x:c r="C6" s="32" t="s">
        <x:v>344</x:v>
      </x:c>
      <x:c r="E6" s="33">
        <x:v>8.0</x:v>
      </x:c>
      <x:c r="F6" s="34">
        <x:v>1.0</x:v>
      </x:c>
      <x:c r="G6" s="29"/>
      <x:c r="H6" s="29"/>
      <x:c r="I6" s="36">
        <x:f t="shared" si="1"/>
        <x:v>8</x:v>
      </x:c>
      <x:c r="K6" s="24" t="s">
        <x:v>345</x:v>
      </x:c>
      <x:c r="S6" s="52"/>
      <x:c r="T6" s="53" t="s">
        <x:v>419</x:v>
      </x:c>
      <x:c r="U6" s="68" t="n">
        <x:f t="shared" ref="U6:V6" si="2">U5*0.09</x:f>
        <x:v>135</x:v>
      </x:c>
      <x:c r="V6" s="68">
        <x:f t="shared" si="2"/>
        <x:v>135</x:v>
      </x:c>
      <x:c r="X6" s="54" t="s">
        <x:v>419</x:v>
      </x:c>
      <x:c r="Y6" s="71" t="n">
        <x:f t="shared" ref="Y6:Z6" si="3">Y5*0.09</x:f>
        <x:v>135</x:v>
      </x:c>
      <x:c r="Z6" s="71">
        <x:f t="shared" si="3"/>
        <x:v>135</x:v>
      </x:c>
      <x:c r="AB6" s="57" t="s">
        <x:v>419</x:v>
      </x:c>
      <x:c r="AC6" s="73" t="n">
        <x:f t="shared" ref="AC6:AD6" si="4">AC5*0.09</x:f>
        <x:v>135</x:v>
      </x:c>
      <x:c r="AD6" s="73">
        <x:f t="shared" si="4"/>
        <x:v>135</x:v>
      </x:c>
    </x:row>
    <x:row r="7">
      <x:c r="C7" s="32" t="s">
        <x:v>346</x:v>
      </x:c>
      <x:c r="E7" s="33">
        <x:v>12.0</x:v>
      </x:c>
      <x:c r="F7" s="34">
        <x:v>0.0</x:v>
      </x:c>
      <x:c r="G7" s="29"/>
      <x:c r="H7" s="29"/>
      <x:c r="I7" s="36">
        <x:f t="shared" si="1"/>
        <x:v>0</x:v>
      </x:c>
      <x:c r="K7" s="41">
        <x:v>0.9</x:v>
      </x:c>
      <x:c r="S7" s="52"/>
      <x:c r="T7" s="53" t="s">
        <x:v>420</x:v>
      </x:c>
      <x:c r="U7" s="62" t="n">
        <x:f>U5</x:f>
        <x:v>1500</x:v>
      </x:c>
      <x:c r="V7" s="68" t="n">
        <x:f>V5*2</x:f>
        <x:v>3000</x:v>
      </x:c>
      <x:c r="X7" s="54" t="s">
        <x:v>420</x:v>
      </x:c>
      <x:c r="Y7" s="64" t="n">
        <x:f>Y5</x:f>
        <x:v>1500</x:v>
      </x:c>
      <x:c r="Z7" s="71" t="n">
        <x:f>Z5*2</x:f>
        <x:v>3000</x:v>
      </x:c>
      <x:c r="AB7" s="57" t="s">
        <x:v>420</x:v>
      </x:c>
      <x:c r="AC7" s="65" t="n">
        <x:f>AC5</x:f>
        <x:v>1500</x:v>
      </x:c>
      <x:c r="AD7" s="73" t="n">
        <x:f>AD5*2</x:f>
        <x:v>3000</x:v>
      </x:c>
    </x:row>
    <x:row r="8">
      <x:c r="A8" s="42" t="s">
        <x:v>347</x:v>
      </x:c>
      <x:c r="E8" s="36"/>
      <x:c r="F8" s="29"/>
      <x:c r="G8" s="43"/>
      <x:c r="H8" s="43"/>
      <x:c r="I8" s="44" t="n">
        <x:f>SUM(I5:I7)</x:f>
        <x:v>14</x:v>
      </x:c>
      <x:c r="S8" s="52"/>
      <x:c r="T8" s="53" t="s">
        <x:v>421</x:v>
      </x:c>
      <x:c r="U8" s="62">
        <x:v>750.0</x:v>
      </x:c>
      <x:c r="V8" s="62">
        <x:v>1500.0</x:v>
      </x:c>
      <x:c r="X8" s="54" t="s">
        <x:v>421</x:v>
      </x:c>
      <x:c r="Y8" s="64">
        <x:v>750.0</x:v>
      </x:c>
      <x:c r="Z8" s="64">
        <x:v>1500.0</x:v>
      </x:c>
      <x:c r="AB8" s="57" t="s">
        <x:v>421</x:v>
      </x:c>
      <x:c r="AC8" s="65">
        <x:v>750.0</x:v>
      </x:c>
      <x:c r="AD8" s="65">
        <x:v>1500.0</x:v>
      </x:c>
    </x:row>
    <x:row r="9">
      <x:c r="C9" s="24" t="s">
        <x:v>348</x:v>
      </x:c>
      <x:c r="E9" s="36"/>
      <x:c r="F9" s="31" t="s">
        <x:v>349</x:v>
      </x:c>
      <x:c r="G9" s="31" t="s">
        <x:v>350</x:v>
      </x:c>
      <x:c r="H9" s="31" t="s">
        <x:v>351</x:v>
      </x:c>
      <x:c r="I9" s="36"/>
      <x:c r="K9" s="24" t="s">
        <x:v>352</x:v>
      </x:c>
      <x:c r="L9" s="38" t="n">
        <x:f>SUM(F5:F7,F11:H13,F17:H19)</x:f>
        <x:v>7</x:v>
      </x:c>
      <x:c r="S9" s="52"/>
      <x:c r="T9" s="53" t="s">
        <x:v>422</x:v>
      </x:c>
      <x:c r="U9" s="68" t="n">
        <x:f>U5/2</x:f>
        <x:v>750</x:v>
      </x:c>
      <x:c r="V9" s="68" t="n">
        <x:f>V5</x:f>
        <x:v>1500</x:v>
      </x:c>
      <x:c r="X9" s="54" t="s">
        <x:v>422</x:v>
      </x:c>
      <x:c r="Y9" s="71" t="n">
        <x:f>Y5/2</x:f>
        <x:v>750</x:v>
      </x:c>
      <x:c r="Z9" s="71" t="n">
        <x:f>Z5</x:f>
        <x:v>1500</x:v>
      </x:c>
      <x:c r="AB9" s="57" t="s">
        <x:v>422</x:v>
      </x:c>
      <x:c r="AC9" s="73" t="n">
        <x:f>AC5/2</x:f>
        <x:v>750</x:v>
      </x:c>
      <x:c r="AD9" s="73" t="n">
        <x:f>AD5</x:f>
        <x:v>1500</x:v>
      </x:c>
    </x:row>
    <x:row r="10">
      <x:c r="A10" s="32"/>
      <x:c r="B10" s="24"/>
      <x:c r="C10" s="24"/>
      <x:c r="E10" s="46"/>
      <x:c r="F10" s="47">
        <x:v>1.0</x:v>
      </x:c>
      <x:c r="G10" s="47">
        <x:v>1.2</x:v>
      </x:c>
      <x:c r="H10" s="47">
        <x:v>1.5</x:v>
      </x:c>
      <x:c r="I10" s="36"/>
      <x:c r="K10" s="24" t="s">
        <x:v>353</x:v>
      </x:c>
      <x:c r="L10" s="38" t="n">
        <x:f>SUM(F7,F13:H13,F19:H19)</x:f>
        <x:v>2</x:v>
      </x:c>
      <x:c r="M10" s="49" t="n">
        <x:f>L10/L9</x:f>
        <x:v>0.2857142857142857</x:v>
      </x:c>
      <x:c r="S10" s="52"/>
      <x:c r="T10" s="53" t="s">
        <x:v>423</x:v>
      </x:c>
      <x:c r="U10" s="68" t="n">
        <x:f t="shared" ref="U10:V10" si="5">SUM(U6:U9)+U5*12</x:f>
        <x:v>21135</x:v>
      </x:c>
      <x:c r="V10" s="68">
        <x:f t="shared" si="5"/>
        <x:v>24135</x:v>
      </x:c>
      <x:c r="X10" s="54" t="s">
        <x:v>423</x:v>
      </x:c>
      <x:c r="Y10" s="71" t="n">
        <x:f t="shared" ref="Y10:Z10" si="6">SUM(Y6:Y9)+Y5*12</x:f>
        <x:v>21135</x:v>
      </x:c>
      <x:c r="Z10" s="71">
        <x:f t="shared" si="6"/>
        <x:v>24135</x:v>
      </x:c>
      <x:c r="AB10" s="57" t="s">
        <x:v>423</x:v>
      </x:c>
      <x:c r="AC10" s="73" t="n">
        <x:f t="shared" ref="AC10:AD10" si="7">SUM(AC6:AC9)+AC5*12</x:f>
        <x:v>21135</x:v>
      </x:c>
      <x:c r="AD10" s="73">
        <x:f t="shared" si="7"/>
        <x:v>24135</x:v>
      </x:c>
    </x:row>
    <x:row r="11">
      <x:c r="A11" s="32"/>
      <x:c r="C11" s="24" t="s">
        <x:v>354</x:v>
      </x:c>
      <x:c r="E11" s="33">
        <x:v>6.0</x:v>
      </x:c>
      <x:c r="F11" s="51"/>
      <x:c r="G11" s="51"/>
      <x:c r="H11" s="34">
        <x:v>1.0</x:v>
      </x:c>
      <x:c r="I11" s="36" t="n">
        <x:f t="shared" ref="I11:I13" si="8">SUM(F11*E11*$F$10,G11*E11*$G$10,H11*E11*$H$10)</x:f>
        <x:v>9</x:v>
      </x:c>
      <x:c r="S11" s="52"/>
      <x:c r="T11" s="53" t="s">
        <x:v>424</x:v>
      </x:c>
      <x:c r="U11" s="68" t="n">
        <x:f>U10/12.5</x:f>
        <x:v>1690.8</x:v>
      </x:c>
      <x:c r="V11" s="68" t="n">
        <x:f>V10/13</x:f>
        <x:v>1856.5384615384614</x:v>
      </x:c>
      <x:c r="X11" s="54" t="s">
        <x:v>424</x:v>
      </x:c>
      <x:c r="Y11" s="71" t="n">
        <x:f>Y10/12.5</x:f>
        <x:v>1690.8</x:v>
      </x:c>
      <x:c r="Z11" s="71" t="n">
        <x:f>Z10/13</x:f>
        <x:v>1856.5384615384614</x:v>
      </x:c>
      <x:c r="AB11" s="57" t="s">
        <x:v>424</x:v>
      </x:c>
      <x:c r="AC11" s="73" t="n">
        <x:f>AC10/12.5</x:f>
        <x:v>1690.8</x:v>
      </x:c>
      <x:c r="AD11" s="73" t="n">
        <x:f>AD10/13</x:f>
        <x:v>1856.5384615384614</x:v>
      </x:c>
    </x:row>
    <x:row r="12">
      <x:c r="A12" s="32"/>
      <x:c r="C12" s="24" t="s">
        <x:v>355</x:v>
      </x:c>
      <x:c r="E12" s="33">
        <x:v>8.0</x:v>
      </x:c>
      <x:c r="F12" s="34">
        <x:v>1.0</x:v>
      </x:c>
      <x:c r="G12" s="51"/>
      <x:c r="H12" s="51"/>
      <x:c r="I12" s="36">
        <x:f t="shared" si="8"/>
        <x:v>8</x:v>
      </x:c>
      <x:c r="S12" s="52"/>
    </x:row>
    <x:row r="13">
      <x:c r="A13" s="32"/>
      <x:c r="C13" s="24" t="s">
        <x:v>356</x:v>
      </x:c>
      <x:c r="E13" s="33">
        <x:v>12.0</x:v>
      </x:c>
      <x:c r="F13" s="51"/>
      <x:c r="G13" s="34">
        <x:v>1.0</x:v>
      </x:c>
      <x:c r="H13" s="51"/>
      <x:c r="I13" s="36">
        <x:f t="shared" si="8"/>
        <x:v>14.4</x:v>
      </x:c>
      <x:c r="S13" s="52"/>
      <x:c r="T13" s="99" t="s">
        <x:v>425</x:v>
      </x:c>
      <x:c r="U13" s="53" t="s">
        <x:v>413</x:v>
      </x:c>
      <x:c r="V13" s="53" t="s">
        <x:v>414</x:v>
      </x:c>
      <x:c r="X13" s="100" t="s">
        <x:v>426</x:v>
      </x:c>
      <x:c r="Y13" s="54" t="s">
        <x:v>413</x:v>
      </x:c>
      <x:c r="Z13" s="54" t="s">
        <x:v>414</x:v>
      </x:c>
      <x:c r="AB13" s="55" t="s">
        <x:v>427</x:v>
      </x:c>
      <x:c r="AC13" s="57" t="s">
        <x:v>413</x:v>
      </x:c>
      <x:c r="AD13" s="57" t="s">
        <x:v>414</x:v>
      </x:c>
    </x:row>
    <x:row r="14">
      <x:c r="A14" s="42" t="s">
        <x:v>357</x:v>
      </x:c>
      <x:c r="E14" s="36"/>
      <x:c r="F14" s="29"/>
      <x:c r="G14" s="43"/>
      <x:c r="H14" s="43"/>
      <x:c r="I14" s="44" t="n">
        <x:f>SUM(I11:I13)</x:f>
        <x:v>31.4</x:v>
      </x:c>
      <x:c r="S14" s="52"/>
      <x:c r="T14" s="53" t="s">
        <x:v>418</x:v>
      </x:c>
      <x:c r="U14" s="62">
        <x:v>2000.0</x:v>
      </x:c>
      <x:c r="V14" s="62">
        <x:v>2000.0</x:v>
      </x:c>
      <x:c r="X14" s="54" t="s">
        <x:v>418</x:v>
      </x:c>
      <x:c r="Y14" s="64">
        <x:v>2800.0</x:v>
      </x:c>
      <x:c r="Z14" s="64">
        <x:v>2800.0</x:v>
      </x:c>
      <x:c r="AB14" s="57" t="s">
        <x:v>418</x:v>
      </x:c>
      <x:c r="AC14" s="65">
        <x:v>2800.0</x:v>
      </x:c>
      <x:c r="AD14" s="65">
        <x:v>2800.0</x:v>
      </x:c>
    </x:row>
    <x:row r="15" ht="18" customHeight="1">
      <x:c r="C15" s="24" t="s">
        <x:v>348</x:v>
      </x:c>
      <x:c r="E15" s="56"/>
      <x:c r="F15" s="31" t="s">
        <x:v>349</x:v>
      </x:c>
      <x:c r="G15" s="31" t="s">
        <x:v>350</x:v>
      </x:c>
      <x:c r="H15" s="31" t="s">
        <x:v>351</x:v>
      </x:c>
      <x:c r="I15" s="36"/>
      <x:c r="S15" s="52"/>
      <x:c r="T15" s="53" t="s">
        <x:v>419</x:v>
      </x:c>
      <x:c r="U15" s="68" t="n">
        <x:f t="shared" ref="U15:V15" si="9">U14*0.09</x:f>
        <x:v>180</x:v>
      </x:c>
      <x:c r="V15" s="68">
        <x:f t="shared" si="9"/>
        <x:v>180</x:v>
      </x:c>
      <x:c r="X15" s="54" t="s">
        <x:v>419</x:v>
      </x:c>
      <x:c r="Y15" s="71" t="n">
        <x:f t="shared" ref="Y15:Z15" si="10">Y14*0.09</x:f>
        <x:v>252</x:v>
      </x:c>
      <x:c r="Z15" s="71">
        <x:f t="shared" si="10"/>
        <x:v>252</x:v>
      </x:c>
      <x:c r="AB15" s="57" t="s">
        <x:v>419</x:v>
      </x:c>
      <x:c r="AC15" s="73" t="n">
        <x:f t="shared" ref="AC15:AD15" si="11">AC14*0.09</x:f>
        <x:v>252</x:v>
      </x:c>
      <x:c r="AD15" s="73">
        <x:f t="shared" si="11"/>
        <x:v>252</x:v>
      </x:c>
    </x:row>
    <x:row r="16">
      <x:c r="A16" s="32"/>
      <x:c r="C16" s="24"/>
      <x:c r="E16" s="46"/>
      <x:c r="F16" s="47">
        <x:v>1.0</x:v>
      </x:c>
      <x:c r="G16" s="47">
        <x:v>1.2</x:v>
      </x:c>
      <x:c r="H16" s="47">
        <x:v>1.5</x:v>
      </x:c>
      <x:c r="I16" s="36"/>
      <x:c r="S16" s="52"/>
      <x:c r="T16" s="53" t="s">
        <x:v>420</x:v>
      </x:c>
      <x:c r="U16" s="62" t="n">
        <x:f>U14</x:f>
        <x:v>2000</x:v>
      </x:c>
      <x:c r="V16" s="68" t="n">
        <x:f>V14*2</x:f>
        <x:v>4000</x:v>
      </x:c>
      <x:c r="X16" s="54" t="s">
        <x:v>420</x:v>
      </x:c>
      <x:c r="Y16" s="64" t="n">
        <x:f>Y14</x:f>
        <x:v>2800</x:v>
      </x:c>
      <x:c r="Z16" s="71" t="n">
        <x:f>Z14*2</x:f>
        <x:v>5600</x:v>
      </x:c>
      <x:c r="AB16" s="57" t="s">
        <x:v>420</x:v>
      </x:c>
      <x:c r="AC16" s="65" t="n">
        <x:f>AC14</x:f>
        <x:v>2800</x:v>
      </x:c>
      <x:c r="AD16" s="73" t="n">
        <x:f>AD14*2</x:f>
        <x:v>5600</x:v>
      </x:c>
    </x:row>
    <x:row r="17">
      <x:c r="A17" s="32"/>
      <x:c r="C17" s="24" t="s">
        <x:v>354</x:v>
      </x:c>
      <x:c r="E17" s="33">
        <x:v>6.0</x:v>
      </x:c>
      <x:c r="F17" s="51"/>
      <x:c r="G17" s="51"/>
      <x:c r="H17" s="51"/>
      <x:c r="I17" s="36" t="n">
        <x:f t="shared" ref="I17:I19" si="12">SUM(F17*E17*$F$16,G17*E17*$G$16,H17*E17*$H$16)</x:f>
        <x:v>0</x:v>
      </x:c>
      <x:c r="S17" s="52"/>
      <x:c r="T17" s="53" t="s">
        <x:v>421</x:v>
      </x:c>
      <x:c r="U17" s="62" t="n">
        <x:f>U14/2</x:f>
        <x:v>1000</x:v>
      </x:c>
      <x:c r="V17" s="62" t="n">
        <x:f>V14</x:f>
        <x:v>2000</x:v>
      </x:c>
      <x:c r="X17" s="54" t="s">
        <x:v>421</x:v>
      </x:c>
      <x:c r="Y17" s="64">
        <x:v>750.0</x:v>
      </x:c>
      <x:c r="Z17" s="64">
        <x:v>1500.0</x:v>
      </x:c>
      <x:c r="AB17" s="57" t="s">
        <x:v>421</x:v>
      </x:c>
      <x:c r="AC17" s="65">
        <x:v>750.0</x:v>
      </x:c>
      <x:c r="AD17" s="65">
        <x:v>1500.0</x:v>
      </x:c>
    </x:row>
    <x:row r="18">
      <x:c r="A18" s="32"/>
      <x:c r="C18" s="24" t="s">
        <x:v>355</x:v>
      </x:c>
      <x:c r="E18" s="33">
        <x:v>8.0</x:v>
      </x:c>
      <x:c r="F18" s="51"/>
      <x:c r="G18" s="51"/>
      <x:c r="H18" s="34">
        <x:v>1.0</x:v>
      </x:c>
      <x:c r="I18" s="36">
        <x:f t="shared" si="12"/>
        <x:v>12</x:v>
      </x:c>
      <x:c r="S18" s="52"/>
      <x:c r="T18" s="53" t="s">
        <x:v>422</x:v>
      </x:c>
      <x:c r="U18" s="68" t="n">
        <x:f>U14/2</x:f>
        <x:v>1000</x:v>
      </x:c>
      <x:c r="V18" s="68" t="n">
        <x:f>V14</x:f>
        <x:v>2000</x:v>
      </x:c>
      <x:c r="X18" s="54" t="s">
        <x:v>422</x:v>
      </x:c>
      <x:c r="Y18" s="71" t="n">
        <x:f>Y14/2</x:f>
        <x:v>1400</x:v>
      </x:c>
      <x:c r="Z18" s="71" t="n">
        <x:f>Z14</x:f>
        <x:v>2800</x:v>
      </x:c>
      <x:c r="AB18" s="57" t="s">
        <x:v>422</x:v>
      </x:c>
      <x:c r="AC18" s="73" t="n">
        <x:f>AC14/2</x:f>
        <x:v>1400</x:v>
      </x:c>
      <x:c r="AD18" s="73" t="n">
        <x:f>AD14</x:f>
        <x:v>2800</x:v>
      </x:c>
    </x:row>
    <x:row r="19">
      <x:c r="A19" s="32"/>
      <x:c r="C19" s="24" t="s">
        <x:v>356</x:v>
      </x:c>
      <x:c r="E19" s="33">
        <x:v>12.0</x:v>
      </x:c>
      <x:c r="F19" s="34">
        <x:v>1.0</x:v>
      </x:c>
      <x:c r="G19" s="51"/>
      <x:c r="H19" s="51"/>
      <x:c r="I19" s="36">
        <x:f t="shared" si="12"/>
        <x:v>12</x:v>
      </x:c>
      <x:c r="S19" s="52"/>
      <x:c r="T19" s="53" t="s">
        <x:v>423</x:v>
      </x:c>
      <x:c r="U19" s="68" t="n">
        <x:f t="shared" ref="U19:V19" si="13">SUM(U15:U18)+U14*12</x:f>
        <x:v>28180</x:v>
      </x:c>
      <x:c r="V19" s="68">
        <x:f t="shared" si="13"/>
        <x:v>32180</x:v>
      </x:c>
      <x:c r="X19" s="54" t="s">
        <x:v>423</x:v>
      </x:c>
      <x:c r="Y19" s="71" t="n">
        <x:f t="shared" ref="Y19:Z19" si="14">SUM(Y15:Y18)+Y14*12</x:f>
        <x:v>38802</x:v>
      </x:c>
      <x:c r="Z19" s="71">
        <x:f t="shared" si="14"/>
        <x:v>43752</x:v>
      </x:c>
      <x:c r="AB19" s="57" t="s">
        <x:v>423</x:v>
      </x:c>
      <x:c r="AC19" s="73" t="n">
        <x:f t="shared" ref="AC19:AD19" si="15">SUM(AC15:AC18)+AC14*12</x:f>
        <x:v>38802</x:v>
      </x:c>
      <x:c r="AD19" s="73">
        <x:f t="shared" si="15"/>
        <x:v>43752</x:v>
      </x:c>
    </x:row>
    <x:row r="20">
      <x:c r="G20" s="58"/>
      <x:c r="H20" s="58"/>
      <x:c r="I20" s="44" t="n">
        <x:f>SUM(I17:I19)</x:f>
        <x:v>24</x:v>
      </x:c>
      <x:c r="S20" s="52"/>
      <x:c r="T20" s="53" t="s">
        <x:v>424</x:v>
      </x:c>
      <x:c r="U20" s="68" t="n">
        <x:f>U19/12.5</x:f>
        <x:v>2254.4</x:v>
      </x:c>
      <x:c r="V20" s="68" t="n">
        <x:f>V19/13</x:f>
        <x:v>2475.3846153846152</x:v>
      </x:c>
      <x:c r="X20" s="54" t="s">
        <x:v>424</x:v>
      </x:c>
      <x:c r="Y20" s="71" t="n">
        <x:f>Y19/12.5</x:f>
        <x:v>3104.16</x:v>
      </x:c>
      <x:c r="Z20" s="71" t="n">
        <x:f>Z19/13</x:f>
        <x:v>3365.5384615384614</x:v>
      </x:c>
      <x:c r="AB20" s="57" t="s">
        <x:v>424</x:v>
      </x:c>
      <x:c r="AC20" s="73" t="n">
        <x:f>AC19/12.5</x:f>
        <x:v>3104.16</x:v>
      </x:c>
      <x:c r="AD20" s="73" t="n">
        <x:f>AD19/13</x:f>
        <x:v>3365.5384615384614</x:v>
      </x:c>
    </x:row>
    <x:row r="21">
      <x:c r="A21" s="24" t="s">
        <x:v>358</x:v>
      </x:c>
      <x:c r="F21" s="59">
        <x:v>0.0</x:v>
      </x:c>
      <x:c r="S21" s="52"/>
    </x:row>
    <x:row r="22">
      <x:c r="S22" s="52"/>
      <x:c r="T22" s="53" t="s">
        <x:v>428</x:v>
      </x:c>
      <x:c r="U22" s="53" t="s">
        <x:v>413</x:v>
      </x:c>
      <x:c r="V22" s="53" t="s">
        <x:v>414</x:v>
      </x:c>
      <x:c r="X22" s="100" t="s">
        <x:v>429</x:v>
      </x:c>
      <x:c r="Y22" s="54" t="s">
        <x:v>413</x:v>
      </x:c>
      <x:c r="Z22" s="54" t="s">
        <x:v>414</x:v>
      </x:c>
      <x:c r="AB22" s="55" t="s">
        <x:v>430</x:v>
      </x:c>
      <x:c r="AC22" s="57" t="s">
        <x:v>413</x:v>
      </x:c>
      <x:c r="AD22" s="57" t="s">
        <x:v>414</x:v>
      </x:c>
    </x:row>
    <x:row r="23">
      <x:c r="B23" s="24" t="s">
        <x:v>431</x:v>
      </x:c>
      <x:c r="S23" s="52"/>
      <x:c r="T23" s="53" t="s">
        <x:v>418</x:v>
      </x:c>
      <x:c r="U23" s="62">
        <x:v>3800.0</x:v>
      </x:c>
      <x:c r="V23" s="62">
        <x:v>3800.0</x:v>
      </x:c>
      <x:c r="X23" s="54" t="s">
        <x:v>418</x:v>
      </x:c>
      <x:c r="Y23" s="64">
        <x:v>4500.0</x:v>
      </x:c>
      <x:c r="Z23" s="64">
        <x:v>4500.0</x:v>
      </x:c>
      <x:c r="AB23" s="57" t="s">
        <x:v>418</x:v>
      </x:c>
      <x:c r="AC23" s="65">
        <x:v>4500.0</x:v>
      </x:c>
      <x:c r="AD23" s="65">
        <x:v>4500.0</x:v>
      </x:c>
    </x:row>
    <x:row r="24">
      <x:c r="S24" s="52"/>
      <x:c r="T24" s="53" t="s">
        <x:v>419</x:v>
      </x:c>
      <x:c r="U24" s="68" t="n">
        <x:f t="shared" ref="U24:V24" si="16">U23*0.09</x:f>
        <x:v>342</x:v>
      </x:c>
      <x:c r="V24" s="68">
        <x:f t="shared" si="16"/>
        <x:v>342</x:v>
      </x:c>
      <x:c r="X24" s="54" t="s">
        <x:v>419</x:v>
      </x:c>
      <x:c r="Y24" s="71" t="n">
        <x:f t="shared" ref="Y24:Z24" si="17">Y23*0.09</x:f>
        <x:v>405</x:v>
      </x:c>
      <x:c r="Z24" s="71">
        <x:f t="shared" si="17"/>
        <x:v>405</x:v>
      </x:c>
      <x:c r="AB24" s="57" t="s">
        <x:v>419</x:v>
      </x:c>
      <x:c r="AC24" s="73" t="n">
        <x:f t="shared" ref="AC24:AD24" si="18">AC23*0.09</x:f>
        <x:v>405</x:v>
      </x:c>
      <x:c r="AD24" s="73">
        <x:f t="shared" si="18"/>
        <x:v>405</x:v>
      </x:c>
    </x:row>
    <x:row r="25">
      <x:c r="A25" s="60" t="s">
        <x:v>359</x:v>
      </x:c>
      <x:c r="S25" s="52"/>
      <x:c r="T25" s="53" t="s">
        <x:v>420</x:v>
      </x:c>
      <x:c r="U25" s="62" t="n">
        <x:f>U23</x:f>
        <x:v>3800</x:v>
      </x:c>
      <x:c r="V25" s="68" t="n">
        <x:f>V23*2</x:f>
        <x:v>7600</x:v>
      </x:c>
      <x:c r="X25" s="54" t="s">
        <x:v>420</x:v>
      </x:c>
      <x:c r="Y25" s="64" t="n">
        <x:f>Y23</x:f>
        <x:v>4500</x:v>
      </x:c>
      <x:c r="Z25" s="71" t="n">
        <x:f>Z23*2</x:f>
        <x:v>9000</x:v>
      </x:c>
      <x:c r="AB25" s="57" t="s">
        <x:v>420</x:v>
      </x:c>
      <x:c r="AC25" s="65" t="n">
        <x:f>AC23</x:f>
        <x:v>4500</x:v>
      </x:c>
      <x:c r="AD25" s="73" t="n">
        <x:f>AD23*2</x:f>
        <x:v>9000</x:v>
      </x:c>
    </x:row>
    <x:row r="26">
      <x:c r="S26" s="52"/>
      <x:c r="T26" s="53" t="s">
        <x:v>421</x:v>
      </x:c>
      <x:c r="U26" s="62">
        <x:v>750.0</x:v>
      </x:c>
      <x:c r="V26" s="62">
        <x:v>1500.0</x:v>
      </x:c>
      <x:c r="X26" s="54" t="s">
        <x:v>421</x:v>
      </x:c>
      <x:c r="Y26" s="64">
        <x:v>750.0</x:v>
      </x:c>
      <x:c r="Z26" s="64">
        <x:v>1500.0</x:v>
      </x:c>
      <x:c r="AB26" s="57" t="s">
        <x:v>421</x:v>
      </x:c>
      <x:c r="AC26" s="65">
        <x:v>750.0</x:v>
      </x:c>
      <x:c r="AD26" s="65">
        <x:v>1500.0</x:v>
      </x:c>
    </x:row>
    <x:row r="27" ht="24" customHeight="1">
      <x:c r="A27" s="61"/>
      <x:c r="B27" s="61"/>
      <x:c r="C27" s="61"/>
      <x:c r="D27" s="63" t="s">
        <x:v>178</x:v>
      </x:c>
      <x:c r="E27" s="63" t="s">
        <x:v>178</x:v>
      </x:c>
      <x:c r="F27" s="63" t="s">
        <x:v>178</x:v>
      </x:c>
      <x:c r="G27" s="66" t="s">
        <x:v>189</x:v>
      </x:c>
      <x:c r="H27" s="66" t="s">
        <x:v>189</x:v>
      </x:c>
      <x:c r="I27" s="67" t="s">
        <x:v>196</x:v>
      </x:c>
      <x:c r="J27" s="67" t="s">
        <x:v>196</x:v>
      </x:c>
      <x:c r="K27" s="67" t="s">
        <x:v>196</x:v>
      </x:c>
      <x:c r="L27" s="61"/>
      <x:c r="M27" s="61"/>
      <x:c r="N27" s="61"/>
      <x:c r="O27" s="61"/>
      <x:c r="P27" s="61"/>
      <x:c r="Q27" s="61"/>
      <x:c r="R27" s="61"/>
      <x:c r="S27" s="120"/>
      <x:c r="T27" s="53" t="s">
        <x:v>422</x:v>
      </x:c>
      <x:c r="U27" s="68" t="n">
        <x:f>U23/2</x:f>
        <x:v>1900</x:v>
      </x:c>
      <x:c r="V27" s="68" t="n">
        <x:f>V23</x:f>
        <x:v>3800</x:v>
      </x:c>
      <x:c r="W27" s="61"/>
      <x:c r="X27" s="54" t="s">
        <x:v>422</x:v>
      </x:c>
      <x:c r="Y27" s="71" t="n">
        <x:f>Y23/2</x:f>
        <x:v>2250</x:v>
      </x:c>
      <x:c r="Z27" s="71" t="n">
        <x:f>Z23</x:f>
        <x:v>4500</x:v>
      </x:c>
      <x:c r="AA27" s="61"/>
      <x:c r="AB27" s="57" t="s">
        <x:v>422</x:v>
      </x:c>
      <x:c r="AC27" s="73" t="n">
        <x:f>AC23/2</x:f>
        <x:v>2250</x:v>
      </x:c>
      <x:c r="AD27" s="73" t="n">
        <x:f>AD23</x:f>
        <x:v>4500</x:v>
      </x:c>
    </x:row>
    <x:row r="28" ht="12.75" customHeight="1">
      <x:c r="A28" s="61"/>
      <x:c r="B28" s="61"/>
      <x:c r="C28" s="61"/>
      <x:c r="D28" s="69" t="s">
        <x:v>179</x:v>
      </x:c>
      <x:c r="E28" s="69" t="s">
        <x:v>183</x:v>
      </x:c>
      <x:c r="F28" s="69" t="s">
        <x:v>186</x:v>
      </x:c>
      <x:c r="G28" s="69" t="s">
        <x:v>190</x:v>
      </x:c>
      <x:c r="H28" s="69" t="s">
        <x:v>193</x:v>
      </x:c>
      <x:c r="I28" s="69" t="s">
        <x:v>197</x:v>
      </x:c>
      <x:c r="J28" s="69" t="s">
        <x:v>200</x:v>
      </x:c>
      <x:c r="K28" s="69" t="s">
        <x:v>203</x:v>
      </x:c>
      <x:c r="L28" s="61"/>
      <x:c r="M28" s="61"/>
      <x:c r="N28" s="61"/>
      <x:c r="O28" s="61"/>
      <x:c r="P28" s="61"/>
      <x:c r="Q28" s="61"/>
      <x:c r="R28" s="61"/>
      <x:c r="S28" s="120"/>
      <x:c r="T28" s="53" t="s">
        <x:v>423</x:v>
      </x:c>
      <x:c r="U28" s="68" t="n">
        <x:f t="shared" ref="U28:V28" si="19">SUM(U24:U27)+U23*12</x:f>
        <x:v>52392</x:v>
      </x:c>
      <x:c r="V28" s="68">
        <x:f t="shared" si="19"/>
        <x:v>58842</x:v>
      </x:c>
      <x:c r="W28" s="61"/>
      <x:c r="X28" s="54" t="s">
        <x:v>423</x:v>
      </x:c>
      <x:c r="Y28" s="71" t="n">
        <x:f t="shared" ref="Y28:Z28" si="20">SUM(Y24:Y27)+Y23*12</x:f>
        <x:v>61905</x:v>
      </x:c>
      <x:c r="Z28" s="71">
        <x:f t="shared" si="20"/>
        <x:v>69405</x:v>
      </x:c>
      <x:c r="AA28" s="61"/>
      <x:c r="AB28" s="57" t="s">
        <x:v>423</x:v>
      </x:c>
      <x:c r="AC28" s="73" t="n">
        <x:f t="shared" ref="AC28:AD28" si="21">SUM(AC24:AC27)+AC23*12</x:f>
        <x:v>61905</x:v>
      </x:c>
      <x:c r="AD28" s="73">
        <x:f t="shared" si="21"/>
        <x:v>69405</x:v>
      </x:c>
    </x:row>
    <x:row r="29" ht="19.5" customHeight="1">
      <x:c r="A29" s="61"/>
      <x:c r="B29" s="61"/>
      <x:c r="C29" s="31" t="s">
        <x:v>361</x:v>
      </x:c>
      <x:c r="D29" s="31" t="s">
        <x:v>362</x:v>
      </x:c>
      <x:c r="E29" s="31" t="s">
        <x:v>363</x:v>
      </x:c>
      <x:c r="F29" s="31" t="s">
        <x:v>363</x:v>
      </x:c>
      <x:c r="G29" s="31" t="s">
        <x:v>364</x:v>
      </x:c>
      <x:c r="H29" s="31" t="s">
        <x:v>364</x:v>
      </x:c>
      <x:c r="I29" s="31" t="s">
        <x:v>365</x:v>
      </x:c>
      <x:c r="J29" s="31" t="s">
        <x:v>365</x:v>
      </x:c>
      <x:c r="K29" s="31" t="s">
        <x:v>365</x:v>
      </x:c>
      <x:c r="L29" s="61"/>
      <x:c r="M29" s="74"/>
      <x:c r="N29" s="75"/>
      <x:c r="O29" s="61"/>
      <x:c r="P29" s="61"/>
      <x:c r="Q29" s="61"/>
      <x:c r="R29" s="61"/>
      <x:c r="S29" s="120"/>
      <x:c r="T29" s="53" t="s">
        <x:v>424</x:v>
      </x:c>
      <x:c r="U29" s="68" t="n">
        <x:f>U28/12.5</x:f>
        <x:v>4191.36</x:v>
      </x:c>
      <x:c r="V29" s="68" t="n">
        <x:f>V28/13</x:f>
        <x:v>4526.307692307692</x:v>
      </x:c>
      <x:c r="W29" s="61"/>
      <x:c r="X29" s="54" t="s">
        <x:v>424</x:v>
      </x:c>
      <x:c r="Y29" s="71" t="n">
        <x:f>Y28/12.5</x:f>
        <x:v>4952.4</x:v>
      </x:c>
      <x:c r="Z29" s="71" t="n">
        <x:f>Z28/13</x:f>
        <x:v>5338.846153846154</x:v>
      </x:c>
      <x:c r="AA29" s="61"/>
      <x:c r="AB29" s="57" t="s">
        <x:v>424</x:v>
      </x:c>
      <x:c r="AC29" s="73" t="n">
        <x:f>AC28/12.5</x:f>
        <x:v>4952.4</x:v>
      </x:c>
      <x:c r="AD29" s="73" t="n">
        <x:f>AD28/13</x:f>
        <x:v>5338.846153846154</x:v>
      </x:c>
    </x:row>
    <x:row r="30" ht="40.5" customHeight="1">
      <x:c r="C30" s="31" t="s">
        <x:v>366</x:v>
      </x:c>
      <x:c r="D30" s="21" t="s">
        <x:v>367</x:v>
      </x:c>
      <x:c r="E30" s="21" t="s">
        <x:v>367</x:v>
      </x:c>
      <x:c r="F30" s="21" t="s">
        <x:v>367</x:v>
      </x:c>
      <x:c r="G30" s="21" t="s">
        <x:v>368</x:v>
      </x:c>
      <x:c r="H30" s="21" t="s">
        <x:v>368</x:v>
      </x:c>
      <x:c r="I30" s="21" t="s">
        <x:v>369</x:v>
      </x:c>
      <x:c r="J30" s="21" t="s">
        <x:v>369</x:v>
      </x:c>
      <x:c r="K30" s="21" t="s">
        <x:v>369</x:v>
      </x:c>
      <x:c r="S30" s="52"/>
    </x:row>
    <x:row r="31">
      <x:c r="B31" s="24" t="s">
        <x:v>432</x:v>
      </x:c>
      <x:c r="C31" s="132" t="s">
        <x:v>433</x:v>
      </x:c>
      <x:c r="D31" s="133">
        <x:v>60.0</x:v>
      </x:c>
      <x:c r="E31" s="133">
        <x:v>55.0</x:v>
      </x:c>
      <x:c r="F31" s="133">
        <x:v>15.0</x:v>
      </x:c>
      <x:c r="G31" s="133">
        <x:v>200.0</x:v>
      </x:c>
      <x:c r="H31" s="133">
        <x:v>190.0</x:v>
      </x:c>
      <x:c r="I31" s="133">
        <x:v>0.0</x:v>
      </x:c>
      <x:c r="J31" s="133">
        <x:v>6.0</x:v>
      </x:c>
      <x:c r="K31" s="133">
        <x:v>7.0</x:v>
      </x:c>
      <x:c r="S31" s="52"/>
    </x:row>
    <x:row r="32">
      <x:c r="C32" s="134" t="s">
        <x:v>434</x:v>
      </x:c>
      <x:c r="D32" s="135">
        <x:v>1.0</x:v>
      </x:c>
      <x:c r="E32" s="135">
        <x:v>2.0</x:v>
      </x:c>
      <x:c r="F32" s="135">
        <x:v>2.0</x:v>
      </x:c>
      <x:c r="G32" s="135">
        <x:v>1.0</x:v>
      </x:c>
      <x:c r="H32" s="135">
        <x:v>1.0</x:v>
      </x:c>
      <x:c r="I32" s="135">
        <x:v>270.0</x:v>
      </x:c>
      <x:c r="J32" s="135">
        <x:v>250.0</x:v>
      </x:c>
      <x:c r="K32" s="135">
        <x:v>200.0</x:v>
      </x:c>
      <x:c r="S32" s="52"/>
      <x:c r="T32" s="136" t="s">
        <x:v>30</x:v>
      </x:c>
      <x:c r="U32" s="136" t="s">
        <x:v>413</x:v>
      </x:c>
      <x:c r="V32" s="136" t="s">
        <x:v>414</x:v>
      </x:c>
      <x:c r="X32" s="137" t="s">
        <x:v>435</x:v>
      </x:c>
      <x:c r="Y32" s="137" t="s">
        <x:v>413</x:v>
      </x:c>
      <x:c r="Z32" s="137" t="s">
        <x:v>414</x:v>
      </x:c>
      <x:c r="AB32" s="138" t="s">
        <x:v>436</x:v>
      </x:c>
      <x:c r="AC32" s="138" t="s">
        <x:v>413</x:v>
      </x:c>
      <x:c r="AD32" s="138" t="s">
        <x:v>414</x:v>
      </x:c>
    </x:row>
    <x:row r="33">
      <x:c r="C33" s="139"/>
      <x:c r="D33" s="79" t="n">
        <x:f t="shared" ref="D33:K33" si="22">D31*D32</x:f>
        <x:v>60</x:v>
      </x:c>
      <x:c r="E33" s="79">
        <x:f t="shared" si="22"/>
        <x:v>110</x:v>
      </x:c>
      <x:c r="F33" s="79">
        <x:f t="shared" si="22"/>
        <x:v>30</x:v>
      </x:c>
      <x:c r="G33" s="79">
        <x:f t="shared" si="22"/>
        <x:v>200</x:v>
      </x:c>
      <x:c r="H33" s="79">
        <x:f t="shared" si="22"/>
        <x:v>190</x:v>
      </x:c>
      <x:c r="I33" s="79">
        <x:f t="shared" si="22"/>
        <x:v>0</x:v>
      </x:c>
      <x:c r="J33" s="79">
        <x:f t="shared" si="22"/>
        <x:v>1500</x:v>
      </x:c>
      <x:c r="K33" s="79">
        <x:f t="shared" si="22"/>
        <x:v>1400</x:v>
      </x:c>
      <x:c r="S33" s="52"/>
      <x:c r="T33" s="136" t="s">
        <x:v>418</x:v>
      </x:c>
      <x:c r="U33" s="140">
        <x:v>3000.0</x:v>
      </x:c>
      <x:c r="V33" s="140">
        <x:v>3000.0</x:v>
      </x:c>
      <x:c r="X33" s="137" t="s">
        <x:v>418</x:v>
      </x:c>
      <x:c r="Y33" s="141">
        <x:v>600.0</x:v>
      </x:c>
      <x:c r="Z33" s="141">
        <x:v>600.0</x:v>
      </x:c>
      <x:c r="AB33" s="138" t="s">
        <x:v>437</x:v>
      </x:c>
      <x:c r="AC33" s="142">
        <x:v>2000.0</x:v>
      </x:c>
      <x:c r="AD33" s="142">
        <x:v>2000.0</x:v>
      </x:c>
    </x:row>
    <x:row r="34">
      <x:c r="S34" s="52"/>
      <x:c r="T34" s="136" t="s">
        <x:v>419</x:v>
      </x:c>
      <x:c r="U34" s="143" t="n">
        <x:f t="shared" ref="U34:V34" si="23">U33*0.09</x:f>
        <x:v>270</x:v>
      </x:c>
      <x:c r="V34" s="143">
        <x:f t="shared" si="23"/>
        <x:v>270</x:v>
      </x:c>
      <x:c r="X34" s="137" t="s">
        <x:v>419</x:v>
      </x:c>
      <x:c r="Y34" s="144" t="n">
        <x:f t="shared" ref="Y34:Z34" si="24">Y33*0.09</x:f>
        <x:v>54</x:v>
      </x:c>
      <x:c r="Z34" s="144">
        <x:f t="shared" si="24"/>
        <x:v>54</x:v>
      </x:c>
      <x:c r="AC34" s="145"/>
      <x:c r="AD34" s="145"/>
    </x:row>
    <x:row r="35">
      <x:c r="H35" s="24" t="s">
        <x:v>438</x:v>
      </x:c>
      <x:c r="S35" s="52"/>
      <x:c r="T35" s="136" t="s">
        <x:v>420</x:v>
      </x:c>
      <x:c r="U35" s="140" t="n">
        <x:f>U33</x:f>
        <x:v>3000</x:v>
      </x:c>
      <x:c r="V35" s="143" t="n">
        <x:f>V33*2</x:f>
        <x:v>6000</x:v>
      </x:c>
      <x:c r="X35" s="137" t="s">
        <x:v>420</x:v>
      </x:c>
      <x:c r="Y35" s="141" t="n">
        <x:f>Y33</x:f>
        <x:v>600</x:v>
      </x:c>
      <x:c r="Z35" s="144" t="n">
        <x:f>Z33*2</x:f>
        <x:v>1200</x:v>
      </x:c>
      <x:c r="AC35" s="145"/>
      <x:c r="AD35" s="145"/>
    </x:row>
    <x:row r="36">
      <x:c r="D36" s="21" t="s">
        <x:v>367</x:v>
      </x:c>
      <x:c r="E36" s="21" t="s">
        <x:v>368</x:v>
      </x:c>
      <x:c r="F36" s="21" t="s">
        <x:v>369</x:v>
      </x:c>
      <x:c r="H36" s="24" t="s">
        <x:v>439</x:v>
      </x:c>
      <x:c r="S36" s="52"/>
      <x:c r="T36" s="136" t="s">
        <x:v>421</x:v>
      </x:c>
      <x:c r="U36" s="140">
        <x:v>750.0</x:v>
      </x:c>
      <x:c r="V36" s="140">
        <x:v>1500.0</x:v>
      </x:c>
      <x:c r="X36" s="137" t="s">
        <x:v>421</x:v>
      </x:c>
      <x:c r="Y36" s="141">
        <x:v>750.0</x:v>
      </x:c>
      <x:c r="Z36" s="141">
        <x:v>1500.0</x:v>
      </x:c>
      <x:c r="AC36" s="145"/>
      <x:c r="AD36" s="145"/>
    </x:row>
    <x:row r="37">
      <x:c r="C37" s="24" t="s">
        <x:v>440</x:v>
      </x:c>
      <x:c r="D37" s="20" t="s">
        <x:v>441</x:v>
      </x:c>
      <x:c r="E37" s="20" t="s">
        <x:v>442</x:v>
      </x:c>
      <x:c r="F37" s="20" t="s">
        <x:v>443</x:v>
      </x:c>
      <x:c r="H37" s="20" t="s">
        <x:v>441</x:v>
      </x:c>
      <x:c r="I37" s="20" t="s">
        <x:v>442</x:v>
      </x:c>
      <x:c r="J37" s="20" t="s">
        <x:v>443</x:v>
      </x:c>
      <x:c r="S37" s="52"/>
      <x:c r="T37" s="136" t="s">
        <x:v>422</x:v>
      </x:c>
      <x:c r="U37" s="143" t="n">
        <x:f>U33/2</x:f>
        <x:v>1500</x:v>
      </x:c>
      <x:c r="V37" s="143" t="n">
        <x:f>V33</x:f>
        <x:v>3000</x:v>
      </x:c>
      <x:c r="X37" s="137" t="s">
        <x:v>422</x:v>
      </x:c>
      <x:c r="Y37" s="144" t="n">
        <x:f>Y33/2</x:f>
        <x:v>300</x:v>
      </x:c>
      <x:c r="Z37" s="144" t="n">
        <x:f>Z33</x:f>
        <x:v>600</x:v>
      </x:c>
      <x:c r="AC37" s="145"/>
      <x:c r="AD37" s="145"/>
    </x:row>
    <x:row r="38">
      <x:c r="C38" s="76" t="s">
        <x:v>103</x:v>
      </x:c>
      <x:c r="D38" s="77">
        <x:v>0.3</x:v>
      </x:c>
      <x:c r="E38" s="77">
        <x:v>1.0</x:v>
      </x:c>
      <x:c r="F38" s="77">
        <x:v>6.0</x:v>
      </x:c>
      <x:c r="H38" s="148" t="n">
        <x:f>SUM(D33:F33)</x:f>
        <x:v>200</x:v>
      </x:c>
      <x:c r="I38" s="148" t="n">
        <x:f>SUM(G33:H33)</x:f>
        <x:v>390</x:v>
      </x:c>
      <x:c r="J38" s="148" t="n">
        <x:f>SUM(I33:K33)</x:f>
        <x:v>2900</x:v>
      </x:c>
      <x:c r="S38" s="52"/>
      <x:c r="T38" s="136" t="s">
        <x:v>423</x:v>
      </x:c>
      <x:c r="U38" s="143" t="n">
        <x:f t="shared" ref="U38:V38" si="25">SUM(U34:U37)+U33*12</x:f>
        <x:v>41520</x:v>
      </x:c>
      <x:c r="V38" s="143">
        <x:f t="shared" si="25"/>
        <x:v>46770</x:v>
      </x:c>
      <x:c r="X38" s="137" t="s">
        <x:v>423</x:v>
      </x:c>
      <x:c r="Y38" s="144" t="n">
        <x:f t="shared" ref="Y38:Z38" si="26">SUM(Y34:Y37)+Y33*12</x:f>
        <x:v>8904</x:v>
      </x:c>
      <x:c r="Z38" s="144">
        <x:f t="shared" si="26"/>
        <x:v>10554</x:v>
      </x:c>
      <x:c r="AC38" s="145"/>
      <x:c r="AD38" s="145"/>
    </x:row>
    <x:row r="39">
      <x:c r="C39" s="76" t="s">
        <x:v>107</x:v>
      </x:c>
      <x:c r="D39" s="77">
        <x:v>0.4</x:v>
      </x:c>
      <x:c r="E39" s="77">
        <x:v>1.0</x:v>
      </x:c>
      <x:c r="F39" s="77">
        <x:v>7.0</x:v>
      </x:c>
      <x:c r="S39" s="52"/>
      <x:c r="T39" s="136" t="s">
        <x:v>424</x:v>
      </x:c>
      <x:c r="U39" s="143" t="n">
        <x:f>U38/12.5</x:f>
        <x:v>3321.6</x:v>
      </x:c>
      <x:c r="V39" s="143" t="n">
        <x:f>V38/13</x:f>
        <x:v>3597.6923076923076</x:v>
      </x:c>
      <x:c r="X39" s="137" t="s">
        <x:v>424</x:v>
      </x:c>
      <x:c r="Y39" s="144" t="n">
        <x:f>Y38/12.5</x:f>
        <x:v>712.32</x:v>
      </x:c>
      <x:c r="Z39" s="144" t="n">
        <x:f>Z38/13</x:f>
        <x:v>811.8461538461538</x:v>
      </x:c>
      <x:c r="AC39" s="145"/>
      <x:c r="AD39" s="145"/>
    </x:row>
    <x:row r="40">
      <x:c r="C40" s="76" t="s">
        <x:v>111</x:v>
      </x:c>
      <x:c r="D40" s="77">
        <x:v>0.7</x:v>
      </x:c>
      <x:c r="E40" s="77">
        <x:v>1.0</x:v>
      </x:c>
      <x:c r="F40" s="77">
        <x:v>13.0</x:v>
      </x:c>
      <x:c r="S40" s="52"/>
    </x:row>
    <x:row r="41">
      <x:c r="C41" s="155"/>
      <x:c r="S41" s="52"/>
    </x:row>
    <x:row r="42">
      <x:c r="C42" s="155"/>
      <x:c r="S42" s="52"/>
      <x:c r="T42" s="42" t="s">
        <x:v>444</x:v>
      </x:c>
    </x:row>
    <x:row r="43">
      <x:c r="C43" s="155"/>
      <x:c r="S43" s="52"/>
    </x:row>
    <x:row r="44">
      <x:c r="S44" s="52"/>
      <x:c r="T44" s="53" t="s">
        <x:v>83</x:v>
      </x:c>
      <x:c r="U44" s="53" t="s">
        <x:v>413</x:v>
      </x:c>
      <x:c r="V44" s="53" t="s">
        <x:v>414</x:v>
      </x:c>
      <x:c r="X44" s="157" t="s">
        <x:v>445</x:v>
      </x:c>
      <x:c r="Y44" s="137" t="s">
        <x:v>413</x:v>
      </x:c>
      <x:c r="Z44" s="137" t="s">
        <x:v>414</x:v>
      </x:c>
      <x:c r="AB44" s="158" t="s">
        <x:v>446</x:v>
      </x:c>
      <x:c r="AC44" s="138" t="s">
        <x:v>413</x:v>
      </x:c>
      <x:c r="AD44" s="138" t="s">
        <x:v>414</x:v>
      </x:c>
    </x:row>
    <x:row r="45" ht="43.5" customHeight="1">
      <x:c r="C45" s="24" t="s">
        <x:v>447</x:v>
      </x:c>
      <x:c r="E45" s="32" t="s">
        <x:v>448</x:v>
      </x:c>
      <x:c r="H45" s="102" t="s">
        <x:v>449</x:v>
      </x:c>
      <x:c r="I45" s="102" t="s">
        <x:v>450</x:v>
      </x:c>
      <x:c r="J45" s="102" t="s">
        <x:v>451</x:v>
      </x:c>
      <x:c r="L45" s="102" t="s">
        <x:v>452</x:v>
      </x:c>
      <x:c r="M45" s="102" t="s">
        <x:v>453</x:v>
      </x:c>
      <x:c r="N45" s="102" t="s">
        <x:v>454</x:v>
      </x:c>
      <x:c r="S45" s="52"/>
      <x:c r="T45" s="99" t="s">
        <x:v>455</x:v>
      </x:c>
      <x:c r="U45" s="62">
        <x:v>2500.0</x:v>
      </x:c>
      <x:c r="V45" s="62">
        <x:v>2500.0</x:v>
      </x:c>
      <x:c r="X45" s="157" t="s">
        <x:v>455</x:v>
      </x:c>
      <x:c r="Y45" s="141">
        <x:v>3500.0</x:v>
      </x:c>
      <x:c r="Z45" s="141">
        <x:v>3500.0</x:v>
      </x:c>
      <x:c r="AB45" s="158" t="s">
        <x:v>455</x:v>
      </x:c>
      <x:c r="AC45" s="142">
        <x:v>1200.0</x:v>
      </x:c>
      <x:c r="AD45" s="142">
        <x:v>1200.0</x:v>
      </x:c>
    </x:row>
    <x:row r="46">
      <x:c r="C46" s="76" t="s">
        <x:v>103</x:v>
      </x:c>
      <x:c r="D46" s="34">
        <x:v>150.0</x:v>
      </x:c>
      <x:c r="E46" s="159">
        <x:v>150.0</x:v>
      </x:c>
      <x:c r="F46" s="106" t="n">
        <x:f>E46/E49</x:f>
        <x:v>0.4076086956521739</x:v>
      </x:c>
      <x:c r="H46" s="103" t="n">
        <x:f t="shared" ref="H46:H48" si="27">D38*D46</x:f>
        <x:v>45</x:v>
      </x:c>
      <x:c r="I46" s="103" t="n">
        <x:f t="shared" ref="I46:I48" si="28">D46*E38</x:f>
        <x:v>150</x:v>
      </x:c>
      <x:c r="J46" s="103" t="n">
        <x:f t="shared" ref="J46:J48" si="29">F38*D46</x:f>
        <x:v>900</x:v>
      </x:c>
      <x:c r="L46" s="103" t="n">
        <x:f t="shared" ref="L46:L47" si="30">E46*D38</x:f>
        <x:v>45</x:v>
      </x:c>
      <x:c r="M46" s="103" t="n">
        <x:f t="shared" ref="M46:M48" si="31">E46*E38</x:f>
        <x:v>150</x:v>
      </x:c>
      <x:c r="N46" s="103" t="n">
        <x:f t="shared" ref="N46:N48" si="32">F38*E46</x:f>
        <x:v>900</x:v>
      </x:c>
      <x:c r="S46" s="52"/>
      <x:c r="T46" s="53" t="s">
        <x:v>456</x:v>
      </x:c>
      <x:c r="U46" s="68" t="n">
        <x:f>U45*3%</x:f>
        <x:v>75</x:v>
      </x:c>
      <x:c r="V46" s="68" t="n">
        <x:f>V45*5%</x:f>
        <x:v>125</x:v>
      </x:c>
      <x:c r="X46" s="137" t="s">
        <x:v>456</x:v>
      </x:c>
      <x:c r="Y46" s="144" t="n">
        <x:f>Y45*3%</x:f>
        <x:v>105</x:v>
      </x:c>
      <x:c r="Z46" s="144" t="n">
        <x:f>Z45*5%</x:f>
        <x:v>175</x:v>
      </x:c>
      <x:c r="AB46" s="138" t="s">
        <x:v>456</x:v>
      </x:c>
      <x:c r="AC46" s="163" t="n">
        <x:f>AC45*3%</x:f>
        <x:v>36</x:v>
      </x:c>
      <x:c r="AD46" s="163" t="n">
        <x:f>AD45*5%</x:f>
        <x:v>60</x:v>
      </x:c>
    </x:row>
    <x:row r="47">
      <x:c r="C47" s="76" t="s">
        <x:v>107</x:v>
      </x:c>
      <x:c r="D47" s="34">
        <x:v>140.0</x:v>
      </x:c>
      <x:c r="E47" s="159">
        <x:v>140.0</x:v>
      </x:c>
      <x:c r="F47" s="106" t="n">
        <x:f>E47/E49</x:f>
        <x:v>0.3804347826086957</x:v>
      </x:c>
      <x:c r="H47" s="103">
        <x:f t="shared" si="27"/>
        <x:v>56</x:v>
      </x:c>
      <x:c r="I47" s="103">
        <x:f t="shared" si="28"/>
        <x:v>140</x:v>
      </x:c>
      <x:c r="J47" s="103">
        <x:f t="shared" si="29"/>
        <x:v>980</x:v>
      </x:c>
      <x:c r="L47" s="103">
        <x:f t="shared" si="30"/>
        <x:v>56</x:v>
      </x:c>
      <x:c r="M47" s="103">
        <x:f t="shared" si="31"/>
        <x:v>140</x:v>
      </x:c>
      <x:c r="N47" s="103">
        <x:f t="shared" si="32"/>
        <x:v>980</x:v>
      </x:c>
      <x:c r="S47" s="52"/>
      <x:c r="T47" s="53" t="s">
        <x:v>457</x:v>
      </x:c>
      <x:c r="U47" s="62" t="n">
        <x:f>U45*2%</x:f>
        <x:v>50</x:v>
      </x:c>
      <x:c r="V47" s="68" t="n">
        <x:f>V45*3%</x:f>
        <x:v>75</x:v>
      </x:c>
      <x:c r="X47" s="137" t="s">
        <x:v>457</x:v>
      </x:c>
      <x:c r="Y47" s="141" t="n">
        <x:f>Y45*2%</x:f>
        <x:v>70</x:v>
      </x:c>
      <x:c r="Z47" s="144" t="n">
        <x:f>Z45*3%</x:f>
        <x:v>105</x:v>
      </x:c>
      <x:c r="AB47" s="138" t="s">
        <x:v>457</x:v>
      </x:c>
      <x:c r="AC47" s="142" t="n">
        <x:f>AC45*2%</x:f>
        <x:v>24</x:v>
      </x:c>
      <x:c r="AD47" s="163" t="n">
        <x:f>AD45*3%</x:f>
        <x:v>36</x:v>
      </x:c>
    </x:row>
    <x:row r="48" ht="33" customHeight="1">
      <x:c r="C48" s="76" t="s">
        <x:v>111</x:v>
      </x:c>
      <x:c r="D48" s="34">
        <x:v>95.0</x:v>
      </x:c>
      <x:c r="E48" s="159">
        <x:v>78.0</x:v>
      </x:c>
      <x:c r="F48" s="106" t="n">
        <x:f>E48/E49</x:f>
        <x:v>0.21195652173913043</x:v>
      </x:c>
      <x:c r="H48" s="103">
        <x:f t="shared" si="27"/>
        <x:v>66.5</x:v>
      </x:c>
      <x:c r="I48" s="103">
        <x:f t="shared" si="28"/>
        <x:v>95</x:v>
      </x:c>
      <x:c r="J48" s="103">
        <x:f t="shared" si="29"/>
        <x:v>1235</x:v>
      </x:c>
      <x:c r="L48" s="103" t="n">
        <x:f>D40*E48</x:f>
        <x:v>54.599999999999994</x:v>
      </x:c>
      <x:c r="M48" s="103">
        <x:f t="shared" si="31"/>
        <x:v>78</x:v>
      </x:c>
      <x:c r="N48" s="103">
        <x:f t="shared" si="32"/>
        <x:v>1014</x:v>
      </x:c>
      <x:c r="S48" s="52"/>
      <x:c r="T48" s="99" t="s">
        <x:v>458</x:v>
      </x:c>
      <x:c r="U48" s="62" t="n">
        <x:f>U45*5%</x:f>
        <x:v>125</x:v>
      </x:c>
      <x:c r="V48" s="62" t="n">
        <x:f>V45*8%</x:f>
        <x:v>200</x:v>
      </x:c>
      <x:c r="X48" s="157" t="s">
        <x:v>458</x:v>
      </x:c>
      <x:c r="Y48" s="141" t="n">
        <x:f>Y45*5%</x:f>
        <x:v>175</x:v>
      </x:c>
      <x:c r="Z48" s="141" t="n">
        <x:f>Z45*8%</x:f>
        <x:v>280</x:v>
      </x:c>
      <x:c r="AB48" s="158" t="s">
        <x:v>458</x:v>
      </x:c>
      <x:c r="AC48" s="142" t="n">
        <x:f>AC45*5%</x:f>
        <x:v>60</x:v>
      </x:c>
      <x:c r="AD48" s="142" t="n">
        <x:f>AD45*8%</x:f>
        <x:v>96</x:v>
      </x:c>
    </x:row>
    <x:row r="49">
      <x:c r="D49" s="105" t="n">
        <x:f t="shared" ref="D49:F49" si="33">SUM(D46:D48)</x:f>
        <x:v>385</x:v>
      </x:c>
      <x:c r="E49" s="105">
        <x:f t="shared" si="33"/>
        <x:v>368</x:v>
      </x:c>
      <x:c r="F49" s="106">
        <x:f t="shared" si="33"/>
        <x:v>1</x:v>
      </x:c>
      <x:c r="H49" s="105" t="n">
        <x:f t="shared" ref="H49:J49" si="34">SUM(H46:H48)</x:f>
        <x:v>167.5</x:v>
      </x:c>
      <x:c r="I49" s="105">
        <x:f t="shared" si="34"/>
        <x:v>385</x:v>
      </x:c>
      <x:c r="J49" s="105">
        <x:f t="shared" si="34"/>
        <x:v>3115</x:v>
      </x:c>
      <x:c r="L49" s="105" t="n">
        <x:f t="shared" ref="L49:N49" si="35">SUM(L46:L48)</x:f>
        <x:v>155.6</x:v>
      </x:c>
      <x:c r="M49" s="105">
        <x:f t="shared" si="35"/>
        <x:v>368</x:v>
      </x:c>
      <x:c r="N49" s="105">
        <x:f t="shared" si="35"/>
        <x:v>2894</x:v>
      </x:c>
      <x:c r="S49" s="52"/>
      <x:c r="T49" s="53" t="s">
        <x:v>459</x:v>
      </x:c>
      <x:c r="U49" s="68" t="n">
        <x:f>-((U45-U45*5%)/10)</x:f>
        <x:v>-237.5</x:v>
      </x:c>
      <x:c r="V49" s="68" t="n">
        <x:f>-((V45-V45*10%)/10)</x:f>
        <x:v>-225</x:v>
      </x:c>
      <x:c r="X49" s="137" t="s">
        <x:v>459</x:v>
      </x:c>
      <x:c r="Y49" s="144" t="n">
        <x:f>-(Y45-Y45*5%)/10</x:f>
        <x:v>-332.5</x:v>
      </x:c>
      <x:c r="Z49" s="144" t="n">
        <x:f>-(Z45-Z45*10%)/10</x:f>
        <x:v>-315</x:v>
      </x:c>
      <x:c r="AB49" s="138" t="s">
        <x:v>459</x:v>
      </x:c>
      <x:c r="AC49" s="163" t="n">
        <x:f>-(AC45-AC45*5%)/8</x:f>
        <x:v>-142.5</x:v>
      </x:c>
      <x:c r="AD49" s="163" t="n">
        <x:f>-(AD45-AD45*10%)/8</x:f>
        <x:v>-135</x:v>
      </x:c>
    </x:row>
    <x:row r="50">
      <x:c r="S50" s="52"/>
      <x:c r="T50" s="53" t="s">
        <x:v>423</x:v>
      </x:c>
      <x:c r="U50" s="68" t="n">
        <x:f t="shared" ref="U50:V50" si="36">SUM(U46:U49)+U45</x:f>
        <x:v>2512.5</x:v>
      </x:c>
      <x:c r="V50" s="68">
        <x:f t="shared" si="36"/>
        <x:v>2675</x:v>
      </x:c>
      <x:c r="X50" s="137" t="s">
        <x:v>423</x:v>
      </x:c>
      <x:c r="Y50" s="144" t="n">
        <x:f t="shared" ref="Y50:Z50" si="37">SUM(Y46:Y49)+Y45</x:f>
        <x:v>3517.5</x:v>
      </x:c>
      <x:c r="Z50" s="144">
        <x:f t="shared" si="37"/>
        <x:v>3745</x:v>
      </x:c>
      <x:c r="AB50" s="138" t="s">
        <x:v>423</x:v>
      </x:c>
      <x:c r="AC50" s="163" t="n">
        <x:f t="shared" ref="AC50:AD50" si="38">SUM(AC46:AC49)+AC45</x:f>
        <x:v>1177.5</x:v>
      </x:c>
      <x:c r="AD50" s="163">
        <x:f t="shared" si="38"/>
        <x:v>1257</x:v>
      </x:c>
    </x:row>
    <x:row r="51">
      <x:c r="S51" s="52"/>
    </x:row>
    <x:row r="52">
      <x:c r="C52" s="24" t="s">
        <x:v>460</x:v>
      </x:c>
      <x:c r="S52" s="52"/>
      <x:c r="T52" s="59" t="s">
        <x:v>461</x:v>
      </x:c>
      <x:c r="U52" s="59" t="s">
        <x:v>413</x:v>
      </x:c>
      <x:c r="V52" s="59" t="s">
        <x:v>414</x:v>
      </x:c>
      <x:c r="X52" s="157" t="s">
        <x:v>462</x:v>
      </x:c>
      <x:c r="Y52" s="137" t="s">
        <x:v>413</x:v>
      </x:c>
      <x:c r="Z52" s="137" t="s">
        <x:v>414</x:v>
      </x:c>
      <x:c r="AB52" s="158" t="s">
        <x:v>463</x:v>
      </x:c>
      <x:c r="AC52" s="138" t="s">
        <x:v>413</x:v>
      </x:c>
      <x:c r="AD52" s="138" t="s">
        <x:v>414</x:v>
      </x:c>
    </x:row>
    <x:row r="53">
      <x:c r="C53" s="5"/>
      <x:c r="D53" s="3" t="s">
        <x:v>375</x:v>
      </x:c>
      <x:c r="E53" s="3" t="s">
        <x:v>376</x:v>
      </x:c>
      <x:c r="F53" s="3" t="s">
        <x:v>464</x:v>
      </x:c>
      <x:c r="G53" s="3" t="s">
        <x:v>377</x:v>
      </x:c>
      <x:c r="S53" s="52"/>
      <x:c r="T53" s="170" t="s">
        <x:v>455</x:v>
      </x:c>
      <x:c r="U53" s="171">
        <x:v>300.0</x:v>
      </x:c>
      <x:c r="V53" s="171">
        <x:v>300.0</x:v>
      </x:c>
      <x:c r="X53" s="157" t="s">
        <x:v>455</x:v>
      </x:c>
      <x:c r="Y53" s="141">
        <x:v>7500.0</x:v>
      </x:c>
      <x:c r="Z53" s="141">
        <x:v>7500.0</x:v>
      </x:c>
      <x:c r="AB53" s="158" t="s">
        <x:v>455</x:v>
      </x:c>
      <x:c r="AC53" s="142">
        <x:v>4500.0</x:v>
      </x:c>
      <x:c r="AD53" s="142">
        <x:v>4500.0</x:v>
      </x:c>
    </x:row>
    <x:row r="54" ht="42" customHeight="1">
      <x:c r="C54" s="63" t="s">
        <x:v>179</x:v>
      </x:c>
      <x:c r="D54" s="21">
        <x:v>0.0</x:v>
      </x:c>
      <x:c r="E54" s="35" t="n">
        <x:f>D33</x:f>
        <x:v>60</x:v>
      </x:c>
      <x:c r="F54" s="35" t="n">
        <x:f>MIN(E54,H49)</x:f>
        <x:v>60</x:v>
      </x:c>
      <x:c r="G54" s="111" t="n">
        <x:f t="shared" ref="G54:G61" si="39">D54+E54-F54</x:f>
        <x:v>0</x:v>
      </x:c>
      <x:c r="S54" s="52"/>
      <x:c r="T54" s="59" t="s">
        <x:v>457</x:v>
      </x:c>
      <x:c r="U54" s="171" t="n">
        <x:f>U53*1%</x:f>
        <x:v>3</x:v>
      </x:c>
      <x:c r="V54" s="173" t="n">
        <x:f>V53*2%</x:f>
        <x:v>6</x:v>
      </x:c>
      <x:c r="X54" s="137" t="s">
        <x:v>456</x:v>
      </x:c>
      <x:c r="Y54" s="144" t="n">
        <x:f>Y53*3%</x:f>
        <x:v>225</x:v>
      </x:c>
      <x:c r="Z54" s="144" t="n">
        <x:f>Z53*5%</x:f>
        <x:v>375</x:v>
      </x:c>
      <x:c r="AB54" s="138" t="s">
        <x:v>456</x:v>
      </x:c>
      <x:c r="AC54" s="163" t="n">
        <x:f>AC53*3%</x:f>
        <x:v>135</x:v>
      </x:c>
      <x:c r="AD54" s="163" t="n">
        <x:f>AD53*5%</x:f>
        <x:v>225</x:v>
      </x:c>
    </x:row>
    <x:row r="55" ht="42" customHeight="1">
      <x:c r="C55" s="63" t="s">
        <x:v>183</x:v>
      </x:c>
      <x:c r="D55" s="21">
        <x:v>0.0</x:v>
      </x:c>
      <x:c r="E55" s="35" t="n">
        <x:f>E33</x:f>
        <x:v>110</x:v>
      </x:c>
      <x:c r="F55" s="35" t="n">
        <x:f>min(E55,H49-F54)</x:f>
        <x:v>107.5</x:v>
      </x:c>
      <x:c r="G55" s="111">
        <x:f t="shared" si="39"/>
        <x:v>2.5</x:v>
      </x:c>
      <x:c r="H55" s="112"/>
      <x:c r="S55" s="52"/>
      <x:c r="T55" s="170" t="s">
        <x:v>458</x:v>
      </x:c>
      <x:c r="U55" s="171" t="n">
        <x:f>U53*5%</x:f>
        <x:v>15</x:v>
      </x:c>
      <x:c r="V55" s="171" t="n">
        <x:f>V53*8%</x:f>
        <x:v>24</x:v>
      </x:c>
      <x:c r="X55" s="137" t="s">
        <x:v>457</x:v>
      </x:c>
      <x:c r="Y55" s="141" t="n">
        <x:f>Y53*2%</x:f>
        <x:v>150</x:v>
      </x:c>
      <x:c r="Z55" s="144" t="n">
        <x:f>Z53*3%</x:f>
        <x:v>225</x:v>
      </x:c>
      <x:c r="AB55" s="138" t="s">
        <x:v>457</x:v>
      </x:c>
      <x:c r="AC55" s="142" t="n">
        <x:f>AC53*2%</x:f>
        <x:v>90</x:v>
      </x:c>
      <x:c r="AD55" s="163" t="n">
        <x:f>AD53*3%</x:f>
        <x:v>135</x:v>
      </x:c>
    </x:row>
    <x:row r="56" ht="42" customHeight="1">
      <x:c r="C56" s="63" t="s">
        <x:v>186</x:v>
      </x:c>
      <x:c r="D56" s="21">
        <x:v>0.0</x:v>
      </x:c>
      <x:c r="E56" s="35" t="n">
        <x:f>F33</x:f>
        <x:v>30</x:v>
      </x:c>
      <x:c r="F56" s="35" t="n">
        <x:f>MIN(E56,H49-F54-F55)</x:f>
        <x:v>0</x:v>
      </x:c>
      <x:c r="G56" s="111">
        <x:f t="shared" si="39"/>
        <x:v>30</x:v>
      </x:c>
      <x:c r="H56" s="112" t="n">
        <x:f>F56/SUM(F54:F56)</x:f>
        <x:v>0</x:v>
      </x:c>
      <x:c r="S56" s="52"/>
      <x:c r="T56" s="59" t="s">
        <x:v>459</x:v>
      </x:c>
      <x:c r="U56" s="173" t="n">
        <x:f>-((U53-U53*5%)/5)</x:f>
        <x:v>-57</x:v>
      </x:c>
      <x:c r="V56" s="173" t="n">
        <x:f>-((V53-V53*10%)/5)</x:f>
        <x:v>-54</x:v>
      </x:c>
      <x:c r="X56" s="157" t="s">
        <x:v>458</x:v>
      </x:c>
      <x:c r="Y56" s="141" t="n">
        <x:f>Y53*5%</x:f>
        <x:v>375</x:v>
      </x:c>
      <x:c r="Z56" s="141" t="n">
        <x:f>Z53*8%</x:f>
        <x:v>600</x:v>
      </x:c>
      <x:c r="AB56" s="158" t="s">
        <x:v>458</x:v>
      </x:c>
      <x:c r="AC56" s="142" t="n">
        <x:f>AC53*5%</x:f>
        <x:v>225</x:v>
      </x:c>
      <x:c r="AD56" s="142" t="n">
        <x:f>AD53*8%</x:f>
        <x:v>360</x:v>
      </x:c>
    </x:row>
    <x:row r="57" ht="42" customHeight="1">
      <x:c r="C57" s="66" t="s">
        <x:v>190</x:v>
      </x:c>
      <x:c r="D57" s="21">
        <x:v>0.0</x:v>
      </x:c>
      <x:c r="E57" s="35" t="n">
        <x:f>G33</x:f>
        <x:v>200</x:v>
      </x:c>
      <x:c r="F57" s="35" t="n">
        <x:f>MIN(E57,I49)</x:f>
        <x:v>200</x:v>
      </x:c>
      <x:c r="G57" s="111">
        <x:f t="shared" si="39"/>
        <x:v>0</x:v>
      </x:c>
      <x:c r="H57" s="112"/>
      <x:c r="S57" s="52"/>
      <x:c r="T57" s="59" t="s">
        <x:v>423</x:v>
      </x:c>
      <x:c r="U57" s="173" t="n">
        <x:f t="shared" ref="U57:V57" si="40">SUM(U54:U56)+U53</x:f>
        <x:v>261</x:v>
      </x:c>
      <x:c r="V57" s="173">
        <x:f t="shared" si="40"/>
        <x:v>276</x:v>
      </x:c>
      <x:c r="X57" s="137" t="s">
        <x:v>459</x:v>
      </x:c>
      <x:c r="Y57" s="144" t="n">
        <x:f>-(Y53-Y53*5%)/10</x:f>
        <x:v>-712.5</x:v>
      </x:c>
      <x:c r="Z57" s="144" t="n">
        <x:f>-(Z53-Z53*10%)/10</x:f>
        <x:v>-675</x:v>
      </x:c>
      <x:c r="AB57" s="138" t="s">
        <x:v>459</x:v>
      </x:c>
      <x:c r="AC57" s="163" t="n">
        <x:f>-(AC53-AC53*5%)/8</x:f>
        <x:v>-534.375</x:v>
      </x:c>
      <x:c r="AD57" s="163" t="n">
        <x:f>-(AD53-AD53*10%)/8</x:f>
        <x:v>-506.25</x:v>
      </x:c>
    </x:row>
    <x:row r="58" ht="42" customHeight="1">
      <x:c r="C58" s="66" t="s">
        <x:v>193</x:v>
      </x:c>
      <x:c r="D58" s="21">
        <x:v>0.0</x:v>
      </x:c>
      <x:c r="E58" s="35" t="n">
        <x:f>H33</x:f>
        <x:v>190</x:v>
      </x:c>
      <x:c r="F58" s="35" t="n">
        <x:f>MIN(E58,I49-F57)</x:f>
        <x:v>185</x:v>
      </x:c>
      <x:c r="G58" s="111">
        <x:f t="shared" si="39"/>
        <x:v>5</x:v>
      </x:c>
      <x:c r="H58" s="112" t="n">
        <x:f>F58/SUM(F57:F58)</x:f>
        <x:v>0.4805194805194805</x:v>
      </x:c>
      <x:c r="S58" s="52"/>
      <x:c r="X58" s="137" t="s">
        <x:v>423</x:v>
      </x:c>
      <x:c r="Y58" s="144" t="n">
        <x:f t="shared" ref="Y58:Z58" si="41">SUM(Y54:Y57)+Y53</x:f>
        <x:v>7537.5</x:v>
      </x:c>
      <x:c r="Z58" s="144">
        <x:f t="shared" si="41"/>
        <x:v>8025</x:v>
      </x:c>
      <x:c r="AB58" s="138" t="s">
        <x:v>423</x:v>
      </x:c>
      <x:c r="AC58" s="163" t="n">
        <x:f t="shared" ref="AC58:AD58" si="42">SUM(AC54:AC57)+AC53</x:f>
        <x:v>4415.625</x:v>
      </x:c>
      <x:c r="AD58" s="163">
        <x:f t="shared" si="42"/>
        <x:v>4713.75</x:v>
      </x:c>
    </x:row>
    <x:row r="59" ht="39.75" customHeight="1">
      <x:c r="C59" s="67" t="s">
        <x:v>197</x:v>
      </x:c>
      <x:c r="D59" s="21">
        <x:v>0.0</x:v>
      </x:c>
      <x:c r="E59" s="35" t="n">
        <x:f>I33</x:f>
        <x:v>0</x:v>
      </x:c>
      <x:c r="F59" s="35" t="n">
        <x:f>MIN(E59,J49)</x:f>
        <x:v>0</x:v>
      </x:c>
      <x:c r="G59" s="111">
        <x:f t="shared" si="39"/>
        <x:v>0</x:v>
      </x:c>
      <x:c r="H59" s="112"/>
      <x:c r="S59" s="52"/>
      <x:c r="T59" s="59" t="s">
        <x:v>465</x:v>
      </x:c>
      <x:c r="U59" s="59" t="s">
        <x:v>413</x:v>
      </x:c>
      <x:c r="V59" s="59" t="s">
        <x:v>414</x:v>
      </x:c>
    </x:row>
    <x:row r="60" ht="27.75" customHeight="1">
      <x:c r="C60" s="67" t="s">
        <x:v>200</x:v>
      </x:c>
      <x:c r="D60" s="21">
        <x:v>0.0</x:v>
      </x:c>
      <x:c r="E60" s="35" t="n">
        <x:f>J33</x:f>
        <x:v>1500</x:v>
      </x:c>
      <x:c r="F60" s="35" t="n">
        <x:f>MIN(E60,J49-F59)</x:f>
        <x:v>1500</x:v>
      </x:c>
      <x:c r="G60" s="111">
        <x:f t="shared" si="39"/>
        <x:v>0</x:v>
      </x:c>
      <x:c r="H60" s="112"/>
      <x:c r="S60" s="52"/>
      <x:c r="T60" s="170" t="s">
        <x:v>455</x:v>
      </x:c>
      <x:c r="U60" s="171">
        <x:v>1200.0</x:v>
      </x:c>
      <x:c r="V60" s="171">
        <x:v>1200.0</x:v>
      </x:c>
      <x:c r="X60" s="157" t="s">
        <x:v>466</x:v>
      </x:c>
      <x:c r="Y60" s="137" t="s">
        <x:v>413</x:v>
      </x:c>
      <x:c r="Z60" s="137" t="s">
        <x:v>414</x:v>
      </x:c>
      <x:c r="AB60" s="158" t="s">
        <x:v>467</x:v>
      </x:c>
      <x:c r="AC60" s="138" t="s">
        <x:v>413</x:v>
      </x:c>
      <x:c r="AD60" s="138" t="s">
        <x:v>414</x:v>
      </x:c>
    </x:row>
    <x:row r="61" ht="42" customHeight="1">
      <x:c r="C61" s="67" t="s">
        <x:v>203</x:v>
      </x:c>
      <x:c r="D61" s="21">
        <x:v>0.0</x:v>
      </x:c>
      <x:c r="E61" s="35" t="n">
        <x:f>K33</x:f>
        <x:v>1400</x:v>
      </x:c>
      <x:c r="F61" s="35" t="n">
        <x:f>MIN(E61,J49-F59-F60)</x:f>
        <x:v>1400</x:v>
      </x:c>
      <x:c r="G61" s="111">
        <x:f t="shared" si="39"/>
        <x:v>0</x:v>
      </x:c>
      <x:c r="H61" s="112" t="n">
        <x:f>F61/(SUM(F60:F61))</x:f>
        <x:v>0.4827586206896552</x:v>
      </x:c>
      <x:c r="S61" s="52"/>
      <x:c r="T61" s="59" t="s">
        <x:v>457</x:v>
      </x:c>
      <x:c r="U61" s="171" t="n">
        <x:f>U60*1%</x:f>
        <x:v>12</x:v>
      </x:c>
      <x:c r="V61" s="173" t="n">
        <x:f>V60*2%</x:f>
        <x:v>24</x:v>
      </x:c>
      <x:c r="X61" s="157" t="s">
        <x:v>455</x:v>
      </x:c>
      <x:c r="Y61" s="141">
        <x:v>15000.0</x:v>
      </x:c>
      <x:c r="Z61" s="141">
        <x:v>15000.0</x:v>
      </x:c>
      <x:c r="AB61" s="158" t="s">
        <x:v>455</x:v>
      </x:c>
      <x:c r="AC61" s="142">
        <x:v>9500.0</x:v>
      </x:c>
      <x:c r="AD61" s="142">
        <x:v>9500.0</x:v>
      </x:c>
    </x:row>
    <x:row r="62">
      <x:c r="B62" s="24" t="s">
        <x:v>378</x:v>
      </x:c>
      <x:c r="S62" s="52"/>
      <x:c r="T62" s="170" t="s">
        <x:v>458</x:v>
      </x:c>
      <x:c r="U62" s="171" t="n">
        <x:f>U60*5%</x:f>
        <x:v>60</x:v>
      </x:c>
      <x:c r="V62" s="171" t="n">
        <x:f>V60*8%</x:f>
        <x:v>96</x:v>
      </x:c>
      <x:c r="X62" s="137" t="s">
        <x:v>456</x:v>
      </x:c>
      <x:c r="Y62" s="144" t="n">
        <x:f>Y61*3%</x:f>
        <x:v>450</x:v>
      </x:c>
      <x:c r="Z62" s="144" t="n">
        <x:f>Z61*5%</x:f>
        <x:v>750</x:v>
      </x:c>
      <x:c r="AB62" s="138" t="s">
        <x:v>456</x:v>
      </x:c>
      <x:c r="AC62" s="163" t="n">
        <x:f>AC61*3%</x:f>
        <x:v>285</x:v>
      </x:c>
      <x:c r="AD62" s="163" t="n">
        <x:f>AD61*5%</x:f>
        <x:v>475</x:v>
      </x:c>
    </x:row>
    <x:row r="63" ht="30" customHeight="1">
      <x:c r="A63" s="102" t="s">
        <x:v>379</x:v>
      </x:c>
      <x:c r="B63" s="46">
        <x:v>3000.0</x:v>
      </x:c>
      <x:c r="S63" s="52"/>
      <x:c r="T63" s="59" t="s">
        <x:v>459</x:v>
      </x:c>
      <x:c r="U63" s="173" t="n">
        <x:f>-((U60-U60*5%)/5)</x:f>
        <x:v>-228</x:v>
      </x:c>
      <x:c r="V63" s="173" t="n">
        <x:f>-((V60-V60*10%)/5)</x:f>
        <x:v>-216</x:v>
      </x:c>
      <x:c r="X63" s="157" t="s">
        <x:v>457</x:v>
      </x:c>
      <x:c r="Y63" s="174" t="n">
        <x:f>Y61*2%</x:f>
        <x:v>300</x:v>
      </x:c>
      <x:c r="Z63" s="175" t="n">
        <x:f>Z61*3%</x:f>
        <x:v>450</x:v>
      </x:c>
      <x:c r="AB63" s="138" t="s">
        <x:v>457</x:v>
      </x:c>
      <x:c r="AC63" s="142" t="n">
        <x:f>AC61*2%</x:f>
        <x:v>190</x:v>
      </x:c>
      <x:c r="AD63" s="163" t="n">
        <x:f>AD61*3%</x:f>
        <x:v>285</x:v>
      </x:c>
    </x:row>
    <x:row r="64">
      <x:c r="A64" s="115"/>
      <x:c r="S64" s="52"/>
      <x:c r="T64" s="59" t="s">
        <x:v>423</x:v>
      </x:c>
      <x:c r="U64" s="173" t="n">
        <x:f t="shared" ref="U64:V64" si="43">SUM(U61:U63)+U60</x:f>
        <x:v>1044</x:v>
      </x:c>
      <x:c r="V64" s="173">
        <x:f t="shared" si="43"/>
        <x:v>1104</x:v>
      </x:c>
      <x:c r="X64" s="157" t="s">
        <x:v>458</x:v>
      </x:c>
      <x:c r="Y64" s="141" t="n">
        <x:f>Y61*5%</x:f>
        <x:v>750</x:v>
      </x:c>
      <x:c r="Z64" s="141" t="n">
        <x:f>Z61*8%</x:f>
        <x:v>1200</x:v>
      </x:c>
      <x:c r="AB64" s="158" t="s">
        <x:v>458</x:v>
      </x:c>
      <x:c r="AC64" s="142" t="n">
        <x:f>AC61*5%</x:f>
        <x:v>475</x:v>
      </x:c>
      <x:c r="AD64" s="142" t="n">
        <x:f>AD61*8%</x:f>
        <x:v>760</x:v>
      </x:c>
    </x:row>
    <x:row r="65">
      <x:c r="A65" s="115" t="s">
        <x:v>468</x:v>
      </x:c>
      <x:c r="C65" s="116" t="n">
        <x:f>F48*10</x:f>
        <x:v>2.119565217391304</x:v>
      </x:c>
      <x:c r="D65" s="116" t="n">
        <x:f>M10*10</x:f>
        <x:v>2.8571428571428568</x:v>
      </x:c>
      <x:c r="E65" s="116" t="n">
        <x:f>AVERAGE(H56,H58,H61)*10</x:f>
        <x:v>3.2109270040304523</x:v>
      </x:c>
      <x:c r="F65" s="36" t="n">
        <x:f>B63/10000*10</x:f>
        <x:v>3</x:v>
      </x:c>
      <x:c r="G65" s="176" t="n">
        <x:f>SUM(C65:F65)</x:f>
        <x:v>11.187635078564613</x:v>
      </x:c>
      <x:c r="H65" s="28" t="s">
        <x:v>469</x:v>
      </x:c>
      <x:c r="S65" s="52"/>
      <x:c r="X65" s="137" t="s">
        <x:v>459</x:v>
      </x:c>
      <x:c r="Y65" s="144" t="n">
        <x:f>-(Y61-Y61*5%)/10</x:f>
        <x:v>-1425</x:v>
      </x:c>
      <x:c r="Z65" s="144" t="n">
        <x:f>-(Z61-Z61*10%)/10</x:f>
        <x:v>-1350</x:v>
      </x:c>
      <x:c r="AB65" s="138" t="s">
        <x:v>459</x:v>
      </x:c>
      <x:c r="AC65" s="163" t="n">
        <x:f>-(AC61-AC61*5%)/8</x:f>
        <x:v>-1128.125</x:v>
      </x:c>
      <x:c r="AD65" s="163" t="n">
        <x:f>-(AD61-AD61*10%)/8</x:f>
        <x:v>-1068.75</x:v>
      </x:c>
    </x:row>
    <x:row r="66" ht="35.25" customHeight="1">
      <x:c r="C66" s="102" t="s">
        <x:v>470</x:v>
      </x:c>
      <x:c r="D66" s="102" t="s">
        <x:v>471</x:v>
      </x:c>
      <x:c r="E66" s="102" t="s">
        <x:v>472</x:v>
      </x:c>
      <x:c r="F66" s="102" t="s">
        <x:v>473</x:v>
      </x:c>
      <x:c r="S66" s="52"/>
      <x:c r="T66" s="59" t="s">
        <x:v>474</x:v>
      </x:c>
      <x:c r="U66" s="59" t="s">
        <x:v>413</x:v>
      </x:c>
      <x:c r="V66" s="59" t="s">
        <x:v>414</x:v>
      </x:c>
      <x:c r="X66" s="137" t="s">
        <x:v>423</x:v>
      </x:c>
      <x:c r="Y66" s="144" t="n">
        <x:f t="shared" ref="Y66:Z66" si="44">SUM(Y62:Y65)+Y61</x:f>
        <x:v>15075</x:v>
      </x:c>
      <x:c r="Z66" s="144">
        <x:f t="shared" si="44"/>
        <x:v>16050</x:v>
      </x:c>
      <x:c r="AB66" s="138" t="s">
        <x:v>423</x:v>
      </x:c>
      <x:c r="AC66" s="163" t="n">
        <x:f t="shared" ref="AC66:AD66" si="45">SUM(AC62:AC65)+AC61</x:f>
        <x:v>9321.875</x:v>
      </x:c>
      <x:c r="AD66" s="163">
        <x:f t="shared" si="45"/>
        <x:v>9951.25</x:v>
      </x:c>
    </x:row>
    <x:row r="67">
      <x:c r="S67" s="52"/>
      <x:c r="T67" s="170" t="s">
        <x:v>455</x:v>
      </x:c>
      <x:c r="U67" s="171">
        <x:v>3500.0</x:v>
      </x:c>
      <x:c r="V67" s="171">
        <x:v>3500.0</x:v>
      </x:c>
    </x:row>
    <x:row r="68">
      <x:c r="S68" s="52"/>
      <x:c r="T68" s="59" t="s">
        <x:v>457</x:v>
      </x:c>
      <x:c r="U68" s="171" t="n">
        <x:f>U67*1%</x:f>
        <x:v>35</x:v>
      </x:c>
      <x:c r="V68" s="173" t="n">
        <x:f>V67*2%</x:f>
        <x:v>70</x:v>
      </x:c>
    </x:row>
    <x:row r="69">
      <x:c r="S69" s="52"/>
      <x:c r="T69" s="170" t="s">
        <x:v>458</x:v>
      </x:c>
      <x:c r="U69" s="171" t="n">
        <x:f>U67*5%</x:f>
        <x:v>175</x:v>
      </x:c>
      <x:c r="V69" s="171" t="n">
        <x:f>V67*8%</x:f>
        <x:v>280</x:v>
      </x:c>
    </x:row>
    <x:row r="70">
      <x:c r="S70" s="52"/>
      <x:c r="T70" s="59" t="s">
        <x:v>459</x:v>
      </x:c>
      <x:c r="U70" s="173" t="n">
        <x:f>-((U67-U67*5%)/5)</x:f>
        <x:v>-665</x:v>
      </x:c>
      <x:c r="V70" s="173" t="n">
        <x:f>-((V67-V67*10%)/5)</x:f>
        <x:v>-630</x:v>
      </x:c>
    </x:row>
    <x:row r="71">
      <x:c r="S71" s="52"/>
      <x:c r="T71" s="59" t="s">
        <x:v>423</x:v>
      </x:c>
      <x:c r="U71" s="173" t="n">
        <x:f t="shared" ref="U71:V71" si="46">SUM(U68:U70)+U67</x:f>
        <x:v>3045</x:v>
      </x:c>
      <x:c r="V71" s="173">
        <x:f t="shared" si="46"/>
        <x:v>3220</x:v>
      </x:c>
    </x:row>
    <x:row r="72" ht="46.5" customHeight="1">
      <x:c r="B72" s="31" t="s">
        <x:v>380</x:v>
      </x:c>
      <x:c r="C72" s="21" t="s">
        <x:v>381</x:v>
      </x:c>
      <x:c r="D72" s="21" t="s">
        <x:v>382</x:v>
      </x:c>
      <x:c r="E72" s="21" t="s">
        <x:v>383</x:v>
      </x:c>
      <x:c r="F72" s="21" t="s">
        <x:v>384</x:v>
      </x:c>
      <x:c r="G72" s="21" t="s">
        <x:v>385</x:v>
      </x:c>
      <x:c r="H72" s="21" t="s">
        <x:v>386</x:v>
      </x:c>
      <x:c r="K72" s="102"/>
      <x:c r="L72" s="46"/>
      <x:c r="M72" s="46"/>
      <x:c r="N72" s="46"/>
      <x:c r="S72" s="52"/>
    </x:row>
    <x:row r="73">
      <x:c r="B73" s="21" t="s">
        <x:v>387</x:v>
      </x:c>
      <x:c r="C73" s="21">
        <x:v>7.0</x:v>
      </x:c>
      <x:c r="D73" s="21">
        <x:v>40.0</x:v>
      </x:c>
      <x:c r="E73" s="21" t="n">
        <x:f t="shared" ref="E73:E76" si="47">(MAX($D$73:$D$76)*2-D73)/10</x:f>
        <x:v>5</x:v>
      </x:c>
      <x:c r="F73" s="118" t="n">
        <x:f t="shared" ref="F73:F76" si="48">SUM(C73,E73)</x:f>
        <x:v>12</x:v>
      </x:c>
      <x:c r="G73" s="119" t="n">
        <x:f t="shared" ref="G73:G76" si="49">F73/$F$77</x:f>
        <x:v>0.22388059701492538</x:v>
      </x:c>
      <x:c r="H73" s="5" t="n">
        <x:f t="shared" ref="H73:H76" si="50">ROUND(G73*$B$81,0)</x:f>
        <x:v>784</x:v>
      </x:c>
      <x:c r="K73" s="46"/>
      <x:c r="L73" s="46"/>
      <x:c r="M73" s="46"/>
      <x:c r="N73" s="36"/>
      <x:c r="O73" s="107"/>
      <x:c r="S73" s="52"/>
      <x:c r="T73" s="42" t="s">
        <x:v>475</x:v>
      </x:c>
    </x:row>
    <x:row r="74">
      <x:c r="B74" s="21" t="s">
        <x:v>388</x:v>
      </x:c>
      <x:c r="C74" s="21">
        <x:v>8.3</x:v>
      </x:c>
      <x:c r="D74" s="21">
        <x:v>45.0</x:v>
      </x:c>
      <x:c r="E74" s="21">
        <x:f t="shared" si="47"/>
        <x:v>4.5</x:v>
      </x:c>
      <x:c r="F74" s="118">
        <x:f t="shared" si="48"/>
        <x:v>12.8</x:v>
      </x:c>
      <x:c r="G74" s="119">
        <x:f t="shared" si="49"/>
        <x:v>0.2388059701</x:v>
      </x:c>
      <x:c r="H74" s="5">
        <x:f t="shared" si="50"/>
        <x:v>836</x:v>
      </x:c>
      <x:c r="K74" s="46"/>
      <x:c r="L74" s="121"/>
      <x:c r="M74" s="46"/>
      <x:c r="N74" s="36"/>
      <x:c r="O74" s="107"/>
      <x:c r="S74" s="52"/>
      <x:c r="T74" s="24" t="s">
        <x:v>476</x:v>
      </x:c>
      <x:c r="Z74" s="24" t="s">
        <x:v>477</x:v>
      </x:c>
    </x:row>
    <x:row r="75">
      <x:c r="B75" s="21" t="s">
        <x:v>389</x:v>
      </x:c>
      <x:c r="C75" s="122">
        <x:v>10.2</x:v>
      </x:c>
      <x:c r="D75" s="21">
        <x:v>43.0</x:v>
      </x:c>
      <x:c r="E75" s="21">
        <x:f t="shared" si="47"/>
        <x:v>4.7</x:v>
      </x:c>
      <x:c r="F75" s="118">
        <x:f t="shared" si="48"/>
        <x:v>14.9</x:v>
      </x:c>
      <x:c r="G75" s="119">
        <x:f t="shared" si="49"/>
        <x:v>0.2779850746</x:v>
      </x:c>
      <x:c r="H75" s="5">
        <x:f t="shared" si="50"/>
        <x:v>973</x:v>
      </x:c>
      <x:c r="K75" s="46"/>
      <x:c r="L75" s="121"/>
      <x:c r="M75" s="46"/>
      <x:c r="N75" s="36"/>
      <x:c r="O75" s="107"/>
      <x:c r="S75" s="52"/>
      <x:c r="T75" s="138" t="s">
        <x:v>478</x:v>
      </x:c>
      <x:c r="U75" s="138" t="s">
        <x:v>479</x:v>
      </x:c>
      <x:c r="V75" s="138" t="s">
        <x:v>480</x:v>
      </x:c>
      <x:c r="W75" s="158" t="s">
        <x:v>481</x:v>
      </x:c>
      <x:c r="X75" s="138" t="s">
        <x:v>482</x:v>
      </x:c>
      <x:c r="Z75" s="138" t="s">
        <x:v>478</x:v>
      </x:c>
      <x:c r="AA75" s="138" t="s">
        <x:v>479</x:v>
      </x:c>
      <x:c r="AB75" s="138" t="s">
        <x:v>480</x:v>
      </x:c>
      <x:c r="AC75" s="158" t="s">
        <x:v>481</x:v>
      </x:c>
      <x:c r="AD75" s="138" t="s">
        <x:v>482</x:v>
      </x:c>
    </x:row>
    <x:row r="76">
      <x:c r="B76" s="21" t="s">
        <x:v>390</x:v>
      </x:c>
      <x:c r="C76" s="21">
        <x:v>9.0</x:v>
      </x:c>
      <x:c r="D76" s="21">
        <x:v>41.0</x:v>
      </x:c>
      <x:c r="E76" s="21">
        <x:f t="shared" si="47"/>
        <x:v>4.9</x:v>
      </x:c>
      <x:c r="F76" s="118">
        <x:f t="shared" si="48"/>
        <x:v>13.9</x:v>
      </x:c>
      <x:c r="G76" s="119">
        <x:f t="shared" si="49"/>
        <x:v>0.2593283582</x:v>
      </x:c>
      <x:c r="H76" s="5">
        <x:f t="shared" si="50"/>
        <x:v>908</x:v>
      </x:c>
      <x:c r="K76" s="46"/>
      <x:c r="L76" s="46"/>
      <x:c r="M76" s="46"/>
      <x:c r="N76" s="36"/>
      <x:c r="O76" s="107"/>
      <x:c r="S76" s="52"/>
      <x:c r="T76" s="138" t="s">
        <x:v>178</x:v>
      </x:c>
      <x:c r="U76" s="177" t="s">
        <x:v>483</x:v>
      </x:c>
      <x:c r="V76" s="178">
        <x:v>25.0</x:v>
      </x:c>
      <x:c r="W76" s="179" t="n">
        <x:f t="shared" ref="W76:W83" si="51">V76-V76*8%</x:f>
        <x:v>23</x:v>
      </x:c>
      <x:c r="X76" s="180" t="s">
        <x:v>484</x:v>
      </x:c>
      <x:c r="Z76" s="138" t="s">
        <x:v>178</x:v>
      </x:c>
      <x:c r="AA76" s="177" t="s">
        <x:v>483</x:v>
      </x:c>
      <x:c r="AB76" s="178" t="n">
        <x:f>25*60</x:f>
        <x:v>1500</x:v>
      </x:c>
      <x:c r="AC76" s="179" t="n">
        <x:f t="shared" ref="AC76:AC83" si="52">AB76-AB76*8%</x:f>
        <x:v>1380</x:v>
      </x:c>
      <x:c r="AD76" s="180" t="s">
        <x:v>485</x:v>
      </x:c>
    </x:row>
    <x:row r="77">
      <x:c r="B77" s="52"/>
      <x:c r="E77" s="24" t="s">
        <x:v>391</x:v>
      </x:c>
      <x:c r="F77" s="123" t="n">
        <x:f>SUM(F73:F76)</x:f>
        <x:v>53.6</x:v>
      </x:c>
      <x:c r="H77" s="38" t="n">
        <x:f>SUM(H73:H76)</x:f>
        <x:v>3501</x:v>
      </x:c>
      <x:c r="S77" s="52"/>
      <x:c r="T77" s="138" t="s">
        <x:v>178</x:v>
      </x:c>
      <x:c r="U77" s="177" t="s">
        <x:v>486</x:v>
      </x:c>
      <x:c r="V77" s="178">
        <x:v>45.0</x:v>
      </x:c>
      <x:c r="W77" s="179">
        <x:f t="shared" si="51"/>
        <x:v>41.4</x:v>
      </x:c>
      <x:c r="X77" s="180" t="s">
        <x:v>484</x:v>
      </x:c>
      <x:c r="Z77" s="138" t="s">
        <x:v>178</x:v>
      </x:c>
      <x:c r="AA77" s="177" t="s">
        <x:v>486</x:v>
      </x:c>
      <x:c r="AB77" s="178" t="n">
        <x:f>45*55</x:f>
        <x:v>2475</x:v>
      </x:c>
      <x:c r="AC77" s="179">
        <x:f t="shared" si="52"/>
        <x:v>2277</x:v>
      </x:c>
      <x:c r="AD77" s="180" t="s">
        <x:v>487</x:v>
      </x:c>
    </x:row>
    <x:row r="78">
      <x:c r="B78" s="52"/>
      <x:c r="F78" s="124"/>
      <x:c r="S78" s="52"/>
      <x:c r="T78" s="138" t="s">
        <x:v>178</x:v>
      </x:c>
      <x:c r="U78" s="177" t="s">
        <x:v>488</x:v>
      </x:c>
      <x:c r="V78" s="178">
        <x:v>80.0</x:v>
      </x:c>
      <x:c r="W78" s="179">
        <x:f t="shared" si="51"/>
        <x:v>73.6</x:v>
      </x:c>
      <x:c r="X78" s="180" t="s">
        <x:v>484</x:v>
      </x:c>
      <x:c r="Z78" s="138" t="s">
        <x:v>178</x:v>
      </x:c>
      <x:c r="AA78" s="177" t="s">
        <x:v>488</x:v>
      </x:c>
      <x:c r="AB78" s="178" t="n">
        <x:f>80*15</x:f>
        <x:v>1200</x:v>
      </x:c>
      <x:c r="AC78" s="179">
        <x:f t="shared" si="52"/>
        <x:v>1104</x:v>
      </x:c>
      <x:c r="AD78" s="180" t="s">
        <x:v>489</x:v>
      </x:c>
    </x:row>
    <x:row r="79">
      <x:c r="B79" s="7">
        <x:v>7000.0</x:v>
      </x:c>
      <x:c r="C79" s="24" t="s">
        <x:v>392</x:v>
      </x:c>
      <x:c r="F79" s="124"/>
      <x:c r="K79" s="24"/>
      <x:c r="S79" s="52"/>
      <x:c r="T79" s="138" t="s">
        <x:v>189</x:v>
      </x:c>
      <x:c r="U79" s="177" t="s">
        <x:v>490</x:v>
      </x:c>
      <x:c r="V79" s="178">
        <x:v>4.0</x:v>
      </x:c>
      <x:c r="W79" s="179">
        <x:f t="shared" si="51"/>
        <x:v>3.68</x:v>
      </x:c>
      <x:c r="X79" s="180" t="s">
        <x:v>368</x:v>
      </x:c>
      <x:c r="Z79" s="138" t="s">
        <x:v>189</x:v>
      </x:c>
      <x:c r="AA79" s="177" t="s">
        <x:v>490</x:v>
      </x:c>
      <x:c r="AB79" s="178" t="n">
        <x:f>4*200</x:f>
        <x:v>800</x:v>
      </x:c>
      <x:c r="AC79" s="179">
        <x:f t="shared" si="52"/>
        <x:v>736</x:v>
      </x:c>
      <x:c r="AD79" s="180" t="s">
        <x:v>491</x:v>
      </x:c>
    </x:row>
    <x:row r="80">
      <x:c r="B80" s="125">
        <x:v>0.5</x:v>
      </x:c>
      <x:c r="F80" s="124"/>
      <x:c r="K80" s="39"/>
      <x:c r="S80" s="52"/>
      <x:c r="T80" s="138" t="s">
        <x:v>189</x:v>
      </x:c>
      <x:c r="U80" s="180" t="s">
        <x:v>492</x:v>
      </x:c>
      <x:c r="V80" s="178">
        <x:v>9.0</x:v>
      </x:c>
      <x:c r="W80" s="179">
        <x:f t="shared" si="51"/>
        <x:v>8.28</x:v>
      </x:c>
      <x:c r="X80" s="180" t="s">
        <x:v>368</x:v>
      </x:c>
      <x:c r="Z80" s="138" t="s">
        <x:v>189</x:v>
      </x:c>
      <x:c r="AA80" s="180" t="s">
        <x:v>492</x:v>
      </x:c>
      <x:c r="AB80" s="178" t="n">
        <x:f>9*190</x:f>
        <x:v>1710</x:v>
      </x:c>
      <x:c r="AC80" s="179">
        <x:f t="shared" si="52"/>
        <x:v>1573.2</x:v>
      </x:c>
      <x:c r="AD80" s="180" t="s">
        <x:v>493</x:v>
      </x:c>
    </x:row>
    <x:row r="81">
      <x:c r="B81" s="52" t="n">
        <x:f>B79*B80</x:f>
        <x:v>3500</x:v>
      </x:c>
      <x:c r="C81" s="24" t="s">
        <x:v>393</x:v>
      </x:c>
      <x:c r="F81" s="124"/>
      <x:c r="S81" s="52"/>
      <x:c r="T81" s="138" t="s">
        <x:v>196</x:v>
      </x:c>
      <x:c r="U81" s="177" t="s">
        <x:v>494</x:v>
      </x:c>
      <x:c r="V81" s="178">
        <x:v>2.0</x:v>
      </x:c>
      <x:c r="W81" s="179">
        <x:f t="shared" si="51"/>
        <x:v>1.84</x:v>
      </x:c>
      <x:c r="X81" s="180" t="s">
        <x:v>495</x:v>
      </x:c>
      <x:c r="Z81" s="138" t="s">
        <x:v>196</x:v>
      </x:c>
      <x:c r="AA81" s="177" t="s">
        <x:v>494</x:v>
      </x:c>
      <x:c r="AB81" s="178" t="n">
        <x:f>2*0</x:f>
        <x:v>0</x:v>
      </x:c>
      <x:c r="AC81" s="179">
        <x:f t="shared" si="52"/>
        <x:v>0</x:v>
      </x:c>
      <x:c r="AD81" s="180" t="s">
        <x:v>496</x:v>
      </x:c>
    </x:row>
    <x:row r="82">
      <x:c r="B82" s="126"/>
      <x:c r="C82" s="128"/>
      <x:c r="D82" s="128"/>
      <x:c r="E82" s="128"/>
      <x:c r="F82" s="129"/>
      <x:c r="S82" s="52"/>
      <x:c r="T82" s="138" t="s">
        <x:v>196</x:v>
      </x:c>
      <x:c r="U82" s="177" t="s">
        <x:v>497</x:v>
      </x:c>
      <x:c r="V82" s="178">
        <x:v>4.0</x:v>
      </x:c>
      <x:c r="W82" s="179">
        <x:f t="shared" si="51"/>
        <x:v>3.68</x:v>
      </x:c>
      <x:c r="X82" s="180" t="s">
        <x:v>495</x:v>
      </x:c>
      <x:c r="Z82" s="138" t="s">
        <x:v>196</x:v>
      </x:c>
      <x:c r="AA82" s="177" t="s">
        <x:v>497</x:v>
      </x:c>
      <x:c r="AB82" s="178" t="n">
        <x:f>4*6</x:f>
        <x:v>24</x:v>
      </x:c>
      <x:c r="AC82" s="179">
        <x:f t="shared" si="52"/>
        <x:v>22.08</x:v>
      </x:c>
      <x:c r="AD82" s="180" t="s">
        <x:v>498</x:v>
      </x:c>
    </x:row>
    <x:row r="83">
      <x:c r="S83" s="52"/>
      <x:c r="T83" s="138" t="s">
        <x:v>196</x:v>
      </x:c>
      <x:c r="U83" s="177" t="s">
        <x:v>499</x:v>
      </x:c>
      <x:c r="V83" s="178">
        <x:v>7.0</x:v>
      </x:c>
      <x:c r="W83" s="179">
        <x:f t="shared" si="51"/>
        <x:v>6.44</x:v>
      </x:c>
      <x:c r="X83" s="180" t="s">
        <x:v>495</x:v>
      </x:c>
      <x:c r="Z83" s="138" t="s">
        <x:v>196</x:v>
      </x:c>
      <x:c r="AA83" s="177" t="s">
        <x:v>499</x:v>
      </x:c>
      <x:c r="AB83" s="178" t="n">
        <x:f>7*7</x:f>
        <x:v>49</x:v>
      </x:c>
      <x:c r="AC83" s="179">
        <x:f t="shared" si="52"/>
        <x:v>45.08</x:v>
      </x:c>
      <x:c r="AD83" s="180" t="s">
        <x:v>500</x:v>
      </x:c>
    </x:row>
    <x:row r="84">
      <x:c r="S84" s="52"/>
      <x:c r="V84" s="181"/>
      <x:c r="W84" s="181"/>
      <x:c r="Z84" s="138" t="s">
        <x:v>391</x:v>
      </x:c>
      <x:c r="AA84" s="182"/>
      <x:c r="AB84" s="183" t="n">
        <x:f t="shared" ref="AB84:AC84" si="53">SUM(AB76:AB83)</x:f>
        <x:v>7758</x:v>
      </x:c>
      <x:c r="AC84" s="183">
        <x:f t="shared" si="53"/>
        <x:v>7137.36</x:v>
      </x:c>
      <x:c r="AD84" s="182"/>
    </x:row>
    <x:row r="85">
      <x:c r="S85" s="52"/>
      <x:c r="T85" s="24" t="s">
        <x:v>501</x:v>
      </x:c>
    </x:row>
    <x:row r="86">
      <x:c r="B86" s="31" t="s">
        <x:v>394</x:v>
      </x:c>
      <x:c r="C86" s="21" t="s">
        <x:v>381</x:v>
      </x:c>
      <x:c r="D86" s="21" t="s">
        <x:v>382</x:v>
      </x:c>
      <x:c r="E86" s="21" t="s">
        <x:v>383</x:v>
      </x:c>
      <x:c r="F86" s="21" t="s">
        <x:v>384</x:v>
      </x:c>
      <x:c r="G86" s="21" t="s">
        <x:v>385</x:v>
      </x:c>
      <x:c r="H86" s="21" t="s">
        <x:v>386</x:v>
      </x:c>
      <x:c r="S86" s="52"/>
      <x:c r="T86" s="138" t="s">
        <x:v>478</x:v>
      </x:c>
      <x:c r="U86" s="138" t="s">
        <x:v>479</x:v>
      </x:c>
      <x:c r="V86" s="138" t="s">
        <x:v>480</x:v>
      </x:c>
      <x:c r="W86" s="158" t="s">
        <x:v>481</x:v>
      </x:c>
      <x:c r="X86" s="158" t="s">
        <x:v>502</x:v>
      </x:c>
      <x:c r="Z86" s="24" t="s">
        <x:v>503</x:v>
      </x:c>
    </x:row>
    <x:row r="87">
      <x:c r="B87" s="21" t="s">
        <x:v>387</x:v>
      </x:c>
      <x:c r="C87" s="21">
        <x:v>7.0</x:v>
      </x:c>
      <x:c r="D87" s="21">
        <x:v>120.0</x:v>
      </x:c>
      <x:c r="E87" s="35" t="n">
        <x:f t="shared" ref="E87:E90" si="54">(MAX($D$87:$D$90)*2-D87)/10</x:f>
        <x:v>28</x:v>
      </x:c>
      <x:c r="F87" s="118" t="n">
        <x:f t="shared" ref="F87:F90" si="55">SUM(C87,E87)</x:f>
        <x:v>35</x:v>
      </x:c>
      <x:c r="G87" s="119" t="n">
        <x:f t="shared" ref="G87:G90" si="56">F87/$F$91</x:f>
        <x:v>0.2723735408560311</x:v>
      </x:c>
      <x:c r="H87" s="5" t="n">
        <x:f t="shared" ref="H87:H90" si="57">ROUND(G87*$B$81,0)</x:f>
        <x:v>953</x:v>
      </x:c>
      <x:c r="S87" s="52"/>
      <x:c r="T87" s="138" t="s">
        <x:v>178</x:v>
      </x:c>
      <x:c r="U87" s="177" t="s">
        <x:v>483</x:v>
      </x:c>
      <x:c r="V87" s="178" t="n">
        <x:f>25*60</x:f>
        <x:v>1500</x:v>
      </x:c>
      <x:c r="W87" s="179" t="n">
        <x:f t="shared" ref="W87:W94" si="58">V87-V87*8%</x:f>
        <x:v>1380</x:v>
      </x:c>
      <x:c r="X87" s="180" t="s">
        <x:v>485</x:v>
      </x:c>
      <x:c r="Z87" s="138" t="s">
        <x:v>478</x:v>
      </x:c>
      <x:c r="AA87" s="138" t="s">
        <x:v>479</x:v>
      </x:c>
      <x:c r="AB87" s="138" t="s">
        <x:v>480</x:v>
      </x:c>
      <x:c r="AC87" s="158" t="s">
        <x:v>481</x:v>
      </x:c>
      <x:c r="AD87" s="158" t="s">
        <x:v>502</x:v>
      </x:c>
    </x:row>
    <x:row r="88">
      <x:c r="B88" s="21" t="s">
        <x:v>388</x:v>
      </x:c>
      <x:c r="C88" s="21">
        <x:v>8.3</x:v>
      </x:c>
      <x:c r="D88" s="21">
        <x:v>150.0</x:v>
      </x:c>
      <x:c r="E88" s="35">
        <x:f t="shared" si="54"/>
        <x:v>25</x:v>
      </x:c>
      <x:c r="F88" s="118">
        <x:f t="shared" si="55"/>
        <x:v>33.3</x:v>
      </x:c>
      <x:c r="G88" s="119">
        <x:f t="shared" si="56"/>
        <x:v>0.2591439689</x:v>
      </x:c>
      <x:c r="H88" s="5">
        <x:f t="shared" si="57"/>
        <x:v>907</x:v>
      </x:c>
      <x:c r="S88" s="52"/>
      <x:c r="T88" s="138" t="s">
        <x:v>178</x:v>
      </x:c>
      <x:c r="U88" s="177" t="s">
        <x:v>486</x:v>
      </x:c>
      <x:c r="V88" s="178" t="n">
        <x:f>45*110</x:f>
        <x:v>4950</x:v>
      </x:c>
      <x:c r="W88" s="179">
        <x:f t="shared" si="58"/>
        <x:v>4554</x:v>
      </x:c>
      <x:c r="X88" s="180" t="s">
        <x:v>504</x:v>
      </x:c>
      <x:c r="Z88" s="138" t="s">
        <x:v>178</x:v>
      </x:c>
      <x:c r="AA88" s="177" t="s">
        <x:v>483</x:v>
      </x:c>
      <x:c r="AB88" s="178" t="n">
        <x:f>25*60</x:f>
        <x:v>1500</x:v>
      </x:c>
      <x:c r="AC88" s="179" t="n">
        <x:f t="shared" ref="AC88:AC95" si="59">AB88-AB88*8%</x:f>
        <x:v>1380</x:v>
      </x:c>
      <x:c r="AD88" s="180" t="s">
        <x:v>485</x:v>
      </x:c>
    </x:row>
    <x:row r="89">
      <x:c r="B89" s="21" t="s">
        <x:v>389</x:v>
      </x:c>
      <x:c r="C89" s="21">
        <x:v>10.2</x:v>
      </x:c>
      <x:c r="D89" s="21">
        <x:v>190.0</x:v>
      </x:c>
      <x:c r="E89" s="35">
        <x:f t="shared" si="54"/>
        <x:v>21</x:v>
      </x:c>
      <x:c r="F89" s="118">
        <x:f t="shared" si="55"/>
        <x:v>31.2</x:v>
      </x:c>
      <x:c r="G89" s="119">
        <x:f t="shared" si="56"/>
        <x:v>0.2428015564</x:v>
      </x:c>
      <x:c r="H89" s="5">
        <x:f t="shared" si="57"/>
        <x:v>850</x:v>
      </x:c>
      <x:c r="S89" s="52"/>
      <x:c r="T89" s="138" t="s">
        <x:v>178</x:v>
      </x:c>
      <x:c r="U89" s="177" t="s">
        <x:v>488</x:v>
      </x:c>
      <x:c r="V89" s="178" t="n">
        <x:f>80*30</x:f>
        <x:v>2400</x:v>
      </x:c>
      <x:c r="W89" s="179">
        <x:f t="shared" si="58"/>
        <x:v>2208</x:v>
      </x:c>
      <x:c r="X89" s="180" t="s">
        <x:v>505</x:v>
      </x:c>
      <x:c r="Z89" s="138" t="s">
        <x:v>178</x:v>
      </x:c>
      <x:c r="AA89" s="177" t="s">
        <x:v>486</x:v>
      </x:c>
      <x:c r="AB89" s="178" t="n">
        <x:f>45*107</x:f>
        <x:v>4815</x:v>
      </x:c>
      <x:c r="AC89" s="179">
        <x:f t="shared" si="59"/>
        <x:v>4429.8</x:v>
      </x:c>
      <x:c r="AD89" s="180" t="s">
        <x:v>506</x:v>
      </x:c>
    </x:row>
    <x:row r="90">
      <x:c r="B90" s="21" t="s">
        <x:v>390</x:v>
      </x:c>
      <x:c r="C90" s="21">
        <x:v>9.0</x:v>
      </x:c>
      <x:c r="D90" s="21">
        <x:v>200.0</x:v>
      </x:c>
      <x:c r="E90" s="35">
        <x:f t="shared" si="54"/>
        <x:v>20</x:v>
      </x:c>
      <x:c r="F90" s="118">
        <x:f t="shared" si="55"/>
        <x:v>29</x:v>
      </x:c>
      <x:c r="G90" s="119">
        <x:f t="shared" si="56"/>
        <x:v>0.2256809339</x:v>
      </x:c>
      <x:c r="H90" s="5">
        <x:f t="shared" si="57"/>
        <x:v>790</x:v>
      </x:c>
      <x:c r="S90" s="52"/>
      <x:c r="T90" s="138" t="s">
        <x:v>189</x:v>
      </x:c>
      <x:c r="U90" s="177" t="s">
        <x:v>490</x:v>
      </x:c>
      <x:c r="V90" s="178" t="n">
        <x:f>4*200</x:f>
        <x:v>800</x:v>
      </x:c>
      <x:c r="W90" s="179">
        <x:f t="shared" si="58"/>
        <x:v>736</x:v>
      </x:c>
      <x:c r="X90" s="180" t="s">
        <x:v>491</x:v>
      </x:c>
      <x:c r="Z90" s="138" t="s">
        <x:v>178</x:v>
      </x:c>
      <x:c r="AA90" s="177" t="s">
        <x:v>488</x:v>
      </x:c>
      <x:c r="AB90" s="178" t="n">
        <x:f>80*0</x:f>
        <x:v>0</x:v>
      </x:c>
      <x:c r="AC90" s="179">
        <x:f t="shared" si="59"/>
        <x:v>0</x:v>
      </x:c>
      <x:c r="AD90" s="180" t="s">
        <x:v>507</x:v>
      </x:c>
    </x:row>
    <x:row r="91">
      <x:c r="B91" s="52"/>
      <x:c r="E91" s="24" t="s">
        <x:v>391</x:v>
      </x:c>
      <x:c r="F91" s="123" t="n">
        <x:f>SUM(F87:F90)</x:f>
        <x:v>128.5</x:v>
      </x:c>
      <x:c r="S91" s="52"/>
      <x:c r="T91" s="138" t="s">
        <x:v>189</x:v>
      </x:c>
      <x:c r="U91" s="180" t="s">
        <x:v>492</x:v>
      </x:c>
      <x:c r="V91" s="178" t="n">
        <x:f>9*190</x:f>
        <x:v>1710</x:v>
      </x:c>
      <x:c r="W91" s="179">
        <x:f t="shared" si="58"/>
        <x:v>1573.2</x:v>
      </x:c>
      <x:c r="X91" s="180" t="s">
        <x:v>493</x:v>
      </x:c>
      <x:c r="Z91" s="138" t="s">
        <x:v>189</x:v>
      </x:c>
      <x:c r="AA91" s="177" t="s">
        <x:v>490</x:v>
      </x:c>
      <x:c r="AB91" s="178" t="n">
        <x:f>4*200</x:f>
        <x:v>800</x:v>
      </x:c>
      <x:c r="AC91" s="179">
        <x:f t="shared" si="59"/>
        <x:v>736</x:v>
      </x:c>
      <x:c r="AD91" s="180" t="s">
        <x:v>491</x:v>
      </x:c>
    </x:row>
    <x:row r="92">
      <x:c r="B92" s="52"/>
      <x:c r="F92" s="124"/>
      <x:c r="S92" s="52"/>
      <x:c r="T92" s="138" t="s">
        <x:v>196</x:v>
      </x:c>
      <x:c r="U92" s="177" t="s">
        <x:v>494</x:v>
      </x:c>
      <x:c r="V92" s="178" t="n">
        <x:f>2*0</x:f>
        <x:v>0</x:v>
      </x:c>
      <x:c r="W92" s="179">
        <x:f t="shared" si="58"/>
        <x:v>0</x:v>
      </x:c>
      <x:c r="X92" s="180" t="s">
        <x:v>496</x:v>
      </x:c>
      <x:c r="Z92" s="138" t="s">
        <x:v>189</x:v>
      </x:c>
      <x:c r="AA92" s="180" t="s">
        <x:v>492</x:v>
      </x:c>
      <x:c r="AB92" s="178" t="n">
        <x:f>9*185</x:f>
        <x:v>1665</x:v>
      </x:c>
      <x:c r="AC92" s="179">
        <x:f t="shared" si="59"/>
        <x:v>1531.8</x:v>
      </x:c>
      <x:c r="AD92" s="180" t="s">
        <x:v>508</x:v>
      </x:c>
    </x:row>
    <x:row r="93">
      <x:c r="B93" s="7">
        <x:v>5000.0</x:v>
      </x:c>
      <x:c r="C93" s="24" t="s">
        <x:v>392</x:v>
      </x:c>
      <x:c r="F93" s="124"/>
      <x:c r="S93" s="52"/>
      <x:c r="T93" s="138" t="s">
        <x:v>196</x:v>
      </x:c>
      <x:c r="U93" s="177" t="s">
        <x:v>497</x:v>
      </x:c>
      <x:c r="V93" s="178" t="n">
        <x:f>4*1500</x:f>
        <x:v>6000</x:v>
      </x:c>
      <x:c r="W93" s="179">
        <x:f t="shared" si="58"/>
        <x:v>5520</x:v>
      </x:c>
      <x:c r="X93" s="180" t="s">
        <x:v>509</x:v>
      </x:c>
      <x:c r="Z93" s="138" t="s">
        <x:v>196</x:v>
      </x:c>
      <x:c r="AA93" s="177" t="s">
        <x:v>494</x:v>
      </x:c>
      <x:c r="AB93" s="178" t="n">
        <x:f>2*0</x:f>
        <x:v>0</x:v>
      </x:c>
      <x:c r="AC93" s="179">
        <x:f t="shared" si="59"/>
        <x:v>0</x:v>
      </x:c>
      <x:c r="AD93" s="180" t="s">
        <x:v>496</x:v>
      </x:c>
    </x:row>
    <x:row r="94">
      <x:c r="B94" s="125">
        <x:v>0.7</x:v>
      </x:c>
      <x:c r="F94" s="124"/>
      <x:c r="S94" s="52"/>
      <x:c r="T94" s="138" t="s">
        <x:v>196</x:v>
      </x:c>
      <x:c r="U94" s="177" t="s">
        <x:v>499</x:v>
      </x:c>
      <x:c r="V94" s="178" t="n">
        <x:f>7*1400</x:f>
        <x:v>9800</x:v>
      </x:c>
      <x:c r="W94" s="179">
        <x:f t="shared" si="58"/>
        <x:v>9016</x:v>
      </x:c>
      <x:c r="X94" s="180" t="s">
        <x:v>510</x:v>
      </x:c>
      <x:c r="Z94" s="138" t="s">
        <x:v>196</x:v>
      </x:c>
      <x:c r="AA94" s="177" t="s">
        <x:v>497</x:v>
      </x:c>
      <x:c r="AB94" s="178" t="n">
        <x:f>4*1500</x:f>
        <x:v>6000</x:v>
      </x:c>
      <x:c r="AC94" s="179">
        <x:f t="shared" si="59"/>
        <x:v>5520</x:v>
      </x:c>
      <x:c r="AD94" s="180" t="s">
        <x:v>509</x:v>
      </x:c>
    </x:row>
    <x:row r="95">
      <x:c r="B95" s="52" t="n">
        <x:f>B93*B94</x:f>
        <x:v>3500</x:v>
      </x:c>
      <x:c r="C95" s="24" t="s">
        <x:v>393</x:v>
      </x:c>
      <x:c r="F95" s="124"/>
      <x:c r="S95" s="52"/>
      <x:c r="T95" s="138" t="s">
        <x:v>391</x:v>
      </x:c>
      <x:c r="U95" s="182"/>
      <x:c r="V95" s="183" t="n">
        <x:f t="shared" ref="V95:W95" si="60">SUM(V87:V94)</x:f>
        <x:v>27160</x:v>
      </x:c>
      <x:c r="W95" s="183">
        <x:f t="shared" si="60"/>
        <x:v>24987.2</x:v>
      </x:c>
      <x:c r="X95" s="182"/>
      <x:c r="Z95" s="138" t="s">
        <x:v>196</x:v>
      </x:c>
      <x:c r="AA95" s="177" t="s">
        <x:v>499</x:v>
      </x:c>
      <x:c r="AB95" s="178" t="n">
        <x:f>7*1400</x:f>
        <x:v>9800</x:v>
      </x:c>
      <x:c r="AC95" s="179">
        <x:f t="shared" si="59"/>
        <x:v>9016</x:v>
      </x:c>
      <x:c r="AD95" s="180" t="s">
        <x:v>510</x:v>
      </x:c>
    </x:row>
    <x:row r="96">
      <x:c r="B96" s="126"/>
      <x:c r="C96" s="128"/>
      <x:c r="D96" s="128"/>
      <x:c r="E96" s="128"/>
      <x:c r="F96" s="129"/>
      <x:c r="S96" s="52"/>
      <x:c r="Z96" s="138" t="s">
        <x:v>391</x:v>
      </x:c>
      <x:c r="AA96" s="182"/>
      <x:c r="AB96" s="183" t="n">
        <x:f t="shared" ref="AB96:AC96" si="61">SUM(AB88:AB95)</x:f>
        <x:v>24580</x:v>
      </x:c>
      <x:c r="AC96" s="183">
        <x:f t="shared" si="61"/>
        <x:v>22613.6</x:v>
      </x:c>
      <x:c r="AD96" s="182"/>
    </x:row>
    <x:row r="97">
      <x:c r="S97" s="52"/>
    </x:row>
    <x:row r="98">
      <x:c r="S98" s="52"/>
      <x:c r="T98" s="24" t="s">
        <x:v>511</x:v>
      </x:c>
    </x:row>
    <x:row r="99">
      <x:c r="S99" s="52"/>
    </x:row>
    <x:row r="100">
      <x:c r="B100" s="31" t="s">
        <x:v>395</x:v>
      </x:c>
      <x:c r="C100" s="21" t="s">
        <x:v>381</x:v>
      </x:c>
      <x:c r="D100" s="21" t="s">
        <x:v>382</x:v>
      </x:c>
      <x:c r="E100" s="21" t="s">
        <x:v>383</x:v>
      </x:c>
      <x:c r="F100" s="21" t="s">
        <x:v>384</x:v>
      </x:c>
      <x:c r="G100" s="21" t="s">
        <x:v>385</x:v>
      </x:c>
      <x:c r="H100" s="21" t="s">
        <x:v>386</x:v>
      </x:c>
      <x:c r="S100" s="52"/>
      <x:c r="T100" s="138" t="s">
        <x:v>391</x:v>
      </x:c>
      <x:c r="U100" s="182"/>
      <x:c r="V100" s="183" t="n">
        <x:f t="shared" ref="V100:W100" si="62">V95-AB96</x:f>
        <x:v>2580</x:v>
      </x:c>
      <x:c r="W100" s="183">
        <x:f t="shared" si="62"/>
        <x:v>2373.6</x:v>
      </x:c>
      <x:c r="X100" s="182"/>
    </x:row>
    <x:row r="101">
      <x:c r="B101" s="21" t="s">
        <x:v>387</x:v>
      </x:c>
      <x:c r="C101" s="21">
        <x:v>7.0</x:v>
      </x:c>
      <x:c r="D101" s="21">
        <x:v>250.0</x:v>
      </x:c>
      <x:c r="E101" s="35" t="n">
        <x:f t="shared" ref="E101:E104" si="63">(MAX($D$101:$D$104)*2-D101)/10</x:f>
        <x:v>55</x:v>
      </x:c>
      <x:c r="F101" s="118" t="n">
        <x:f t="shared" ref="F101:F104" si="64">SUM(C101,E101)</x:f>
        <x:v>62</x:v>
      </x:c>
      <x:c r="G101" s="119" t="n">
        <x:f t="shared" ref="G101:G104" si="65">F101/$F$105</x:f>
        <x:v>0.26105263157894737</x:v>
      </x:c>
      <x:c r="H101" s="5" t="n">
        <x:f t="shared" ref="H101:H104" si="66">ROUND(G101*$B$109,0)</x:f>
        <x:v>209</x:v>
      </x:c>
      <x:c r="S101" s="52"/>
    </x:row>
    <x:row r="102">
      <x:c r="B102" s="21" t="s">
        <x:v>388</x:v>
      </x:c>
      <x:c r="C102" s="21">
        <x:v>8.3</x:v>
      </x:c>
      <x:c r="D102" s="21">
        <x:v>300.0</x:v>
      </x:c>
      <x:c r="E102" s="35">
        <x:f t="shared" si="63"/>
        <x:v>50</x:v>
      </x:c>
      <x:c r="F102" s="118">
        <x:f t="shared" si="64"/>
        <x:v>58.3</x:v>
      </x:c>
      <x:c r="G102" s="119">
        <x:f t="shared" si="65"/>
        <x:v>0.2454736842</x:v>
      </x:c>
      <x:c r="H102" s="5">
        <x:f t="shared" si="66"/>
        <x:v>196</x:v>
      </x:c>
      <x:c r="S102" s="52"/>
    </x:row>
    <x:row r="103">
      <x:c r="B103" s="21" t="s">
        <x:v>389</x:v>
      </x:c>
      <x:c r="C103" s="21">
        <x:v>10.2</x:v>
      </x:c>
      <x:c r="D103" s="21">
        <x:v>220.0</x:v>
      </x:c>
      <x:c r="E103" s="35">
        <x:f t="shared" si="63"/>
        <x:v>58</x:v>
      </x:c>
      <x:c r="F103" s="118">
        <x:f t="shared" si="64"/>
        <x:v>68.2</x:v>
      </x:c>
      <x:c r="G103" s="119">
        <x:f t="shared" si="65"/>
        <x:v>0.2871578947</x:v>
      </x:c>
      <x:c r="H103" s="5">
        <x:f t="shared" si="66"/>
        <x:v>230</x:v>
      </x:c>
      <x:c r="S103" s="52"/>
    </x:row>
    <x:row r="104">
      <x:c r="B104" s="21" t="s">
        <x:v>390</x:v>
      </x:c>
      <x:c r="C104" s="21">
        <x:v>9.0</x:v>
      </x:c>
      <x:c r="D104" s="21">
        <x:v>400.0</x:v>
      </x:c>
      <x:c r="E104" s="35">
        <x:f t="shared" si="63"/>
        <x:v>40</x:v>
      </x:c>
      <x:c r="F104" s="118">
        <x:f t="shared" si="64"/>
        <x:v>49</x:v>
      </x:c>
      <x:c r="G104" s="119">
        <x:f t="shared" si="65"/>
        <x:v>0.2063157895</x:v>
      </x:c>
      <x:c r="H104" s="5">
        <x:f t="shared" si="66"/>
        <x:v>165</x:v>
      </x:c>
      <x:c r="S104" s="52"/>
    </x:row>
    <x:row r="105">
      <x:c r="B105" s="52"/>
      <x:c r="E105" s="24" t="s">
        <x:v>391</x:v>
      </x:c>
      <x:c r="F105" s="123" t="n">
        <x:f>SUM(F101:F104)</x:f>
        <x:v>237.5</x:v>
      </x:c>
      <x:c r="S105" s="52"/>
    </x:row>
    <x:row r="106">
      <x:c r="B106" s="52"/>
      <x:c r="F106" s="124"/>
      <x:c r="S106" s="52"/>
    </x:row>
    <x:row r="107">
      <x:c r="B107" s="7">
        <x:v>2000.0</x:v>
      </x:c>
      <x:c r="C107" s="24" t="s">
        <x:v>392</x:v>
      </x:c>
      <x:c r="F107" s="124"/>
      <x:c r="S107" s="52"/>
    </x:row>
    <x:row r="108">
      <x:c r="B108" s="125">
        <x:v>0.4</x:v>
      </x:c>
      <x:c r="F108" s="124"/>
      <x:c r="S108" s="52"/>
    </x:row>
    <x:row r="109">
      <x:c r="B109" s="52" t="n">
        <x:f>B107*B108</x:f>
        <x:v>800</x:v>
      </x:c>
      <x:c r="C109" s="24" t="s">
        <x:v>393</x:v>
      </x:c>
      <x:c r="F109" s="124"/>
      <x:c r="S109" s="52"/>
    </x:row>
    <x:row r="110">
      <x:c r="B110" s="126"/>
      <x:c r="C110" s="128"/>
      <x:c r="D110" s="128"/>
      <x:c r="E110" s="128"/>
      <x:c r="F110" s="129"/>
      <x:c r="S110" s="52"/>
    </x:row>
    <x:row r="111">
      <x:c r="S111" s="52"/>
    </x:row>
    <x:row r="112">
      <x:c r="S112" s="52"/>
    </x:row>
    <x:row r="113">
      <x:c r="A113" s="115" t="s">
        <x:v>468</x:v>
      </x:c>
      <x:c r="C113" s="116" t="n">
        <x:f>F48*10</x:f>
        <x:v>2.119565217391304</x:v>
      </x:c>
      <x:c r="D113" s="116" t="n">
        <x:f>M10*10</x:f>
        <x:v>2.8571428571428568</x:v>
      </x:c>
      <x:c r="E113" s="116" t="n">
        <x:f>AVERAGE(H56,H58,H61)*10</x:f>
        <x:v>3.2109270040304523</x:v>
      </x:c>
      <x:c r="F113" s="36" t="n">
        <x:f>B63/10000*10</x:f>
        <x:v>3</x:v>
      </x:c>
      <x:c r="G113" s="176" t="n">
        <x:f>SUM(C113:F113)</x:f>
        <x:v>11.187635078564613</x:v>
      </x:c>
      <x:c r="H113" s="28" t="s">
        <x:v>469</x:v>
      </x:c>
      <x:c r="S113" s="52"/>
    </x:row>
    <x:row r="114">
      <x:c r="C114" s="102" t="s">
        <x:v>470</x:v>
      </x:c>
      <x:c r="D114" s="102" t="s">
        <x:v>471</x:v>
      </x:c>
      <x:c r="E114" s="102" t="s">
        <x:v>472</x:v>
      </x:c>
      <x:c r="F114" s="102" t="s">
        <x:v>473</x:v>
      </x:c>
      <x:c r="L114" s="149" t="s">
        <x:v>396</x:v>
      </x:c>
      <x:c r="M114" s="150">
        <x:v>0.7</x:v>
      </x:c>
      <x:c r="S114" s="52"/>
    </x:row>
    <x:row r="115">
      <x:c r="L115" s="149" t="s">
        <x:v>397</x:v>
      </x:c>
      <x:c r="M115" s="150">
        <x:v>0.2</x:v>
      </x:c>
      <x:c r="S115" s="52"/>
    </x:row>
    <x:row r="116">
      <x:c r="L116" s="149" t="s">
        <x:v>398</x:v>
      </x:c>
      <x:c r="M116" s="150">
        <x:v>0.1</x:v>
      </x:c>
      <x:c r="S116" s="52"/>
    </x:row>
    <x:row r="117">
      <x:c r="B117" s="151" t="s">
        <x:v>380</x:v>
      </x:c>
      <x:c r="C117" s="151" t="s">
        <x:v>382</x:v>
      </x:c>
      <x:c r="D117" s="151" t="s">
        <x:v>399</x:v>
      </x:c>
      <x:c r="E117" s="151" t="s">
        <x:v>400</x:v>
      </x:c>
      <x:c r="F117" s="151" t="s">
        <x:v>401</x:v>
      </x:c>
      <x:c r="G117" s="151" t="s">
        <x:v>402</x:v>
      </x:c>
      <x:c r="H117" s="151" t="s">
        <x:v>384</x:v>
      </x:c>
      <x:c r="I117" s="151" t="s">
        <x:v>385</x:v>
      </x:c>
      <x:c r="J117" s="151" t="s">
        <x:v>386</x:v>
      </x:c>
      <x:c r="K117" s="152"/>
      <x:c r="S117" s="52"/>
    </x:row>
    <x:row r="118">
      <x:c r="B118" s="153" t="s">
        <x:v>387</x:v>
      </x:c>
      <x:c r="C118" s="154">
        <x:v>40.0</x:v>
      </x:c>
      <x:c r="D118" s="156">
        <x:v>7.0</x:v>
      </x:c>
      <x:c r="E118" s="156" t="n">
        <x:f t="shared" ref="E118:E121" si="67">ROUND((D118/$D$122)*100,0)</x:f>
        <x:v>20</x:v>
      </x:c>
      <x:c r="F118" s="160" t="n">
        <x:f t="shared" ref="F118:F121" si="68">100*(MAX($C$118:$C$121)-C118)/(MAX($C$118:$C$121)-MIN($C$118:$C$121))</x:f>
        <x:v>100</x:v>
      </x:c>
      <x:c r="G118" s="160" t="n">
        <x:f t="shared" ref="G118:G121" si="69">D118*10</x:f>
        <x:v>70</x:v>
      </x:c>
      <x:c r="H118" s="161" t="n">
        <x:f t="shared" ref="H118:H121" si="70">$M$114*F118+$M$115*G118+$M$116*E118</x:f>
        <x:v>86</x:v>
      </x:c>
      <x:c r="I118" s="162" t="n">
        <x:f t="shared" ref="I118:I121" si="71">H118/$H$122</x:f>
        <x:v>0.36909871244635195</x:v>
      </x:c>
      <x:c r="J118" s="161" t="n">
        <x:f t="shared" ref="J118:J121" si="72">ROUND(I118*$B$126,0)</x:f>
        <x:v>1292</x:v>
      </x:c>
      <x:c r="K118" s="152"/>
      <x:c r="S118" s="52"/>
    </x:row>
    <x:row r="119">
      <x:c r="B119" s="153" t="s">
        <x:v>388</x:v>
      </x:c>
      <x:c r="C119" s="154">
        <x:v>45.0</x:v>
      </x:c>
      <x:c r="D119" s="156">
        <x:v>8.3</x:v>
      </x:c>
      <x:c r="E119" s="156">
        <x:f t="shared" si="67"/>
        <x:v>24</x:v>
      </x:c>
      <x:c r="F119" s="160">
        <x:f t="shared" si="68"/>
        <x:v>0</x:v>
      </x:c>
      <x:c r="G119" s="160">
        <x:f t="shared" si="69"/>
        <x:v>83</x:v>
      </x:c>
      <x:c r="H119" s="161">
        <x:f t="shared" si="70"/>
        <x:v>19</x:v>
      </x:c>
      <x:c r="I119" s="162">
        <x:f t="shared" si="71"/>
        <x:v>0.08154506438</x:v>
      </x:c>
      <x:c r="J119" s="161">
        <x:f t="shared" si="72"/>
        <x:v>285</x:v>
      </x:c>
      <x:c r="K119" s="152"/>
      <x:c r="S119" s="52"/>
    </x:row>
    <x:row r="120">
      <x:c r="B120" s="153" t="s">
        <x:v>389</x:v>
      </x:c>
      <x:c r="C120" s="154">
        <x:v>43.0</x:v>
      </x:c>
      <x:c r="D120" s="156">
        <x:v>10.2</x:v>
      </x:c>
      <x:c r="E120" s="156">
        <x:f t="shared" si="67"/>
        <x:v>30</x:v>
      </x:c>
      <x:c r="F120" s="160">
        <x:f t="shared" si="68"/>
        <x:v>40</x:v>
      </x:c>
      <x:c r="G120" s="160">
        <x:f t="shared" si="69"/>
        <x:v>102</x:v>
      </x:c>
      <x:c r="H120" s="161">
        <x:f t="shared" si="70"/>
        <x:v>51.4</x:v>
      </x:c>
      <x:c r="I120" s="162">
        <x:f t="shared" si="71"/>
        <x:v>0.2206008584</x:v>
      </x:c>
      <x:c r="J120" s="161">
        <x:f t="shared" si="72"/>
        <x:v>772</x:v>
      </x:c>
      <x:c r="K120" s="152"/>
      <x:c r="S120" s="52"/>
    </x:row>
    <x:row r="121">
      <x:c r="B121" s="153" t="s">
        <x:v>390</x:v>
      </x:c>
      <x:c r="C121" s="154">
        <x:v>41.0</x:v>
      </x:c>
      <x:c r="D121" s="156">
        <x:v>9.0</x:v>
      </x:c>
      <x:c r="E121" s="156">
        <x:f t="shared" si="67"/>
        <x:v>26</x:v>
      </x:c>
      <x:c r="F121" s="160">
        <x:f t="shared" si="68"/>
        <x:v>80</x:v>
      </x:c>
      <x:c r="G121" s="160">
        <x:f t="shared" si="69"/>
        <x:v>90</x:v>
      </x:c>
      <x:c r="H121" s="161">
        <x:f t="shared" si="70"/>
        <x:v>76.6</x:v>
      </x:c>
      <x:c r="I121" s="162">
        <x:f t="shared" si="71"/>
        <x:v>0.3287553648</x:v>
      </x:c>
      <x:c r="J121" s="161">
        <x:f t="shared" si="72"/>
        <x:v>1151</x:v>
      </x:c>
      <x:c r="K121" s="152"/>
      <x:c r="S121" s="52"/>
    </x:row>
    <x:row r="122">
      <x:c r="B122" s="164"/>
      <x:c r="C122" s="151" t="s">
        <x:v>403</x:v>
      </x:c>
      <x:c r="D122" s="164" t="n">
        <x:f>SUM(D118:D121)</x:f>
        <x:v>34.5</x:v>
      </x:c>
      <x:c r="E122" s="164"/>
      <x:c r="F122" s="164"/>
      <x:c r="G122" s="165" t="s">
        <x:v>404</x:v>
      </x:c>
      <x:c r="H122" s="161" t="n">
        <x:f>SUM(H118:H121)</x:f>
        <x:v>233</x:v>
      </x:c>
      <x:c r="I122" s="164"/>
      <x:c r="J122" s="164" t="n">
        <x:f>SUM(J118:J121)</x:f>
        <x:v>3500</x:v>
      </x:c>
      <x:c r="K122" s="152"/>
      <x:c r="S122" s="52"/>
    </x:row>
    <x:row r="123">
      <x:c r="B123" s="152"/>
      <x:c r="C123" s="152"/>
      <x:c r="D123" s="152"/>
      <x:c r="E123" s="152"/>
      <x:c r="F123" s="152"/>
      <x:c r="G123" s="152"/>
      <x:c r="H123" s="152"/>
      <x:c r="I123" s="152"/>
      <x:c r="J123" s="152"/>
      <x:c r="K123" s="152"/>
      <x:c r="S123" s="52"/>
    </x:row>
    <x:row r="124">
      <x:c r="B124" s="151">
        <x:v>7000.0</x:v>
      </x:c>
      <x:c r="C124" s="151" t="s">
        <x:v>405</x:v>
      </x:c>
      <x:c r="D124" s="152"/>
      <x:c r="E124" s="152"/>
      <x:c r="F124" s="152"/>
      <x:c r="G124" s="152"/>
      <x:c r="H124" s="152"/>
      <x:c r="I124" s="152"/>
      <x:c r="J124" s="152"/>
      <x:c r="K124" s="152"/>
      <x:c r="S124" s="52"/>
    </x:row>
    <x:row r="125">
      <x:c r="B125" s="166">
        <x:v>0.5</x:v>
      </x:c>
      <x:c r="C125" s="164"/>
      <x:c r="D125" s="152"/>
      <x:c r="E125" s="152"/>
      <x:c r="F125" s="152"/>
      <x:c r="G125" s="152"/>
      <x:c r="H125" s="152"/>
      <x:c r="I125" s="152"/>
      <x:c r="J125" s="152"/>
      <x:c r="K125" s="152"/>
      <x:c r="S125" s="52"/>
    </x:row>
    <x:row r="126">
      <x:c r="B126" s="151">
        <x:v>3500.0</x:v>
      </x:c>
      <x:c r="C126" s="151" t="s">
        <x:v>406</x:v>
      </x:c>
      <x:c r="D126" s="152"/>
      <x:c r="E126" s="152"/>
      <x:c r="F126" s="152"/>
      <x:c r="G126" s="152"/>
      <x:c r="H126" s="152"/>
      <x:c r="I126" s="152"/>
      <x:c r="J126" s="152"/>
      <x:c r="K126" s="152"/>
      <x:c r="S126" s="52"/>
    </x:row>
    <x:row r="127">
      <x:c r="B127" s="152"/>
      <x:c r="C127" s="152"/>
      <x:c r="D127" s="152"/>
      <x:c r="E127" s="152"/>
      <x:c r="F127" s="152"/>
      <x:c r="G127" s="152"/>
      <x:c r="H127" s="152"/>
      <x:c r="I127" s="152"/>
      <x:c r="J127" s="152"/>
      <x:c r="K127" s="152"/>
      <x:c r="L127" s="149" t="s">
        <x:v>396</x:v>
      </x:c>
      <x:c r="M127" s="150">
        <x:v>0.4</x:v>
      </x:c>
      <x:c r="S127" s="52"/>
    </x:row>
    <x:row r="128">
      <x:c r="B128" s="152"/>
      <x:c r="C128" s="152"/>
      <x:c r="D128" s="152"/>
      <x:c r="E128" s="152"/>
      <x:c r="F128" s="152"/>
      <x:c r="G128" s="152"/>
      <x:c r="H128" s="152"/>
      <x:c r="I128" s="152"/>
      <x:c r="J128" s="152"/>
      <x:c r="K128" s="152"/>
      <x:c r="L128" s="149" t="s">
        <x:v>397</x:v>
      </x:c>
      <x:c r="M128" s="150">
        <x:v>0.35</x:v>
      </x:c>
      <x:c r="S128" s="52"/>
    </x:row>
    <x:row r="129">
      <x:c r="B129" s="152"/>
      <x:c r="C129" s="152"/>
      <x:c r="D129" s="152"/>
      <x:c r="E129" s="152"/>
      <x:c r="F129" s="152"/>
      <x:c r="G129" s="152"/>
      <x:c r="H129" s="152"/>
      <x:c r="I129" s="152"/>
      <x:c r="J129" s="152"/>
      <x:c r="K129" s="152"/>
      <x:c r="L129" s="149" t="s">
        <x:v>398</x:v>
      </x:c>
      <x:c r="M129" s="150">
        <x:v>0.25</x:v>
      </x:c>
      <x:c r="S129" s="52"/>
    </x:row>
    <x:row r="130">
      <x:c r="B130" s="151" t="s">
        <x:v>407</x:v>
      </x:c>
      <x:c r="C130" s="151" t="s">
        <x:v>382</x:v>
      </x:c>
      <x:c r="D130" s="151" t="s">
        <x:v>399</x:v>
      </x:c>
      <x:c r="E130" s="151" t="s">
        <x:v>400</x:v>
      </x:c>
      <x:c r="F130" s="151" t="s">
        <x:v>401</x:v>
      </x:c>
      <x:c r="G130" s="151" t="s">
        <x:v>402</x:v>
      </x:c>
      <x:c r="H130" s="151" t="s">
        <x:v>384</x:v>
      </x:c>
      <x:c r="I130" s="151" t="s">
        <x:v>385</x:v>
      </x:c>
      <x:c r="J130" s="151" t="s">
        <x:v>386</x:v>
      </x:c>
      <x:c r="K130" s="152"/>
      <x:c r="L130" s="149" t="s">
        <x:v>408</x:v>
      </x:c>
      <x:c r="M130" s="149">
        <x:v>100.0</x:v>
      </x:c>
      <x:c r="S130" s="52"/>
    </x:row>
    <x:row r="131">
      <x:c r="B131" s="153" t="s">
        <x:v>387</x:v>
      </x:c>
      <x:c r="C131" s="154">
        <x:v>120.0</x:v>
      </x:c>
      <x:c r="D131" s="156">
        <x:v>7.0</x:v>
      </x:c>
      <x:c r="E131" s="156" t="n">
        <x:f t="shared" ref="E131:E134" si="73">ROUND((D131/$D$122)*100,0)</x:f>
        <x:v>20</x:v>
      </x:c>
      <x:c r="F131" s="160" t="n">
        <x:f t="shared" ref="F131:F134" si="74">100-(ABS(C131-$M$130)/$M$130*100)</x:f>
        <x:v>80</x:v>
      </x:c>
      <x:c r="G131" s="160" t="n">
        <x:f t="shared" ref="G131:G134" si="75">D131*10</x:f>
        <x:v>70</x:v>
      </x:c>
      <x:c r="H131" s="161" t="n">
        <x:f t="shared" ref="H131:H134" si="76">$M$127*F131+$M$128*G131+$M$129*E131</x:f>
        <x:v>61.5</x:v>
      </x:c>
      <x:c r="I131" s="162" t="n">
        <x:f t="shared" ref="I131:I134" si="77">H131/$H$135</x:f>
        <x:v>0.3048327137546468</x:v>
      </x:c>
      <x:c r="J131" s="161" t="n">
        <x:f t="shared" ref="J131:J134" si="78">ROUND(I131*$B$139,0)</x:f>
        <x:v>1067</x:v>
      </x:c>
      <x:c r="K131" s="152"/>
      <x:c r="S131" s="52"/>
    </x:row>
    <x:row r="132">
      <x:c r="B132" s="153" t="s">
        <x:v>388</x:v>
      </x:c>
      <x:c r="C132" s="154">
        <x:v>150.0</x:v>
      </x:c>
      <x:c r="D132" s="156">
        <x:v>8.3</x:v>
      </x:c>
      <x:c r="E132" s="156">
        <x:f t="shared" si="73"/>
        <x:v>24</x:v>
      </x:c>
      <x:c r="F132" s="160">
        <x:f t="shared" si="74"/>
        <x:v>50</x:v>
      </x:c>
      <x:c r="G132" s="160">
        <x:f t="shared" si="75"/>
        <x:v>83</x:v>
      </x:c>
      <x:c r="H132" s="161">
        <x:f t="shared" si="76"/>
        <x:v>55.05</x:v>
      </x:c>
      <x:c r="I132" s="162">
        <x:f t="shared" si="77"/>
        <x:v>0.2728624535</x:v>
      </x:c>
      <x:c r="J132" s="161">
        <x:f t="shared" si="78"/>
        <x:v>955</x:v>
      </x:c>
      <x:c r="K132" s="152"/>
      <x:c r="S132" s="52"/>
    </x:row>
    <x:row r="133">
      <x:c r="B133" s="153" t="s">
        <x:v>389</x:v>
      </x:c>
      <x:c r="C133" s="154">
        <x:v>190.0</x:v>
      </x:c>
      <x:c r="D133" s="156">
        <x:v>10.2</x:v>
      </x:c>
      <x:c r="E133" s="156">
        <x:f t="shared" si="73"/>
        <x:v>30</x:v>
      </x:c>
      <x:c r="F133" s="160">
        <x:f t="shared" si="74"/>
        <x:v>10</x:v>
      </x:c>
      <x:c r="G133" s="160">
        <x:f t="shared" si="75"/>
        <x:v>102</x:v>
      </x:c>
      <x:c r="H133" s="161">
        <x:f t="shared" si="76"/>
        <x:v>47.2</x:v>
      </x:c>
      <x:c r="I133" s="162">
        <x:f t="shared" si="77"/>
        <x:v>0.233952912</x:v>
      </x:c>
      <x:c r="J133" s="161">
        <x:f t="shared" si="78"/>
        <x:v>819</x:v>
      </x:c>
      <x:c r="K133" s="152"/>
      <x:c r="S133" s="52"/>
    </x:row>
    <x:row r="134">
      <x:c r="B134" s="153" t="s">
        <x:v>390</x:v>
      </x:c>
      <x:c r="C134" s="154">
        <x:v>200.0</x:v>
      </x:c>
      <x:c r="D134" s="156">
        <x:v>9.0</x:v>
      </x:c>
      <x:c r="E134" s="156">
        <x:f t="shared" si="73"/>
        <x:v>26</x:v>
      </x:c>
      <x:c r="F134" s="160">
        <x:f t="shared" si="74"/>
        <x:v>0</x:v>
      </x:c>
      <x:c r="G134" s="160">
        <x:f t="shared" si="75"/>
        <x:v>90</x:v>
      </x:c>
      <x:c r="H134" s="161">
        <x:f t="shared" si="76"/>
        <x:v>38</x:v>
      </x:c>
      <x:c r="I134" s="162">
        <x:f t="shared" si="77"/>
        <x:v>0.1883519207</x:v>
      </x:c>
      <x:c r="J134" s="161">
        <x:f t="shared" si="78"/>
        <x:v>659</x:v>
      </x:c>
      <x:c r="K134" s="152"/>
      <x:c r="S134" s="52"/>
    </x:row>
    <x:row r="135">
      <x:c r="B135" s="164"/>
      <x:c r="C135" s="151" t="s">
        <x:v>403</x:v>
      </x:c>
      <x:c r="D135" s="164" t="n">
        <x:f>SUM(D131:D134)</x:f>
        <x:v>34.5</x:v>
      </x:c>
      <x:c r="E135" s="164"/>
      <x:c r="F135" s="164"/>
      <x:c r="G135" s="168" t="s">
        <x:v>404</x:v>
      </x:c>
      <x:c r="H135" s="169" t="n">
        <x:f>SUM(H131:H134)</x:f>
        <x:v>201.75</x:v>
      </x:c>
      <x:c r="I135" s="164"/>
      <x:c r="J135" s="164" t="n">
        <x:f>SUM(J131:J134)</x:f>
        <x:v>3500</x:v>
      </x:c>
      <x:c r="K135" s="152"/>
      <x:c r="S135" s="52"/>
    </x:row>
    <x:row r="136">
      <x:c r="B136" s="152"/>
      <x:c r="C136" s="152"/>
      <x:c r="D136" s="152"/>
      <x:c r="E136" s="152"/>
      <x:c r="F136" s="152"/>
      <x:c r="G136" s="152"/>
      <x:c r="H136" s="152"/>
      <x:c r="I136" s="152"/>
      <x:c r="J136" s="152"/>
      <x:c r="K136" s="152"/>
      <x:c r="S136" s="52"/>
    </x:row>
    <x:row r="137">
      <x:c r="B137" s="151">
        <x:v>5000.0</x:v>
      </x:c>
      <x:c r="C137" s="151" t="s">
        <x:v>405</x:v>
      </x:c>
      <x:c r="D137" s="152"/>
      <x:c r="E137" s="152"/>
      <x:c r="F137" s="152"/>
      <x:c r="G137" s="152"/>
      <x:c r="H137" s="152"/>
      <x:c r="I137" s="152"/>
      <x:c r="J137" s="152"/>
      <x:c r="K137" s="152"/>
      <x:c r="S137" s="52"/>
    </x:row>
    <x:row r="138">
      <x:c r="B138" s="166">
        <x:v>0.7</x:v>
      </x:c>
      <x:c r="C138" s="164"/>
      <x:c r="D138" s="152"/>
      <x:c r="E138" s="152"/>
      <x:c r="F138" s="152"/>
      <x:c r="G138" s="152"/>
      <x:c r="H138" s="152"/>
      <x:c r="I138" s="152"/>
      <x:c r="J138" s="152"/>
      <x:c r="S138" s="52"/>
    </x:row>
    <x:row r="139">
      <x:c r="B139" s="151">
        <x:v>3500.0</x:v>
      </x:c>
      <x:c r="C139" s="151" t="s">
        <x:v>406</x:v>
      </x:c>
      <x:c r="D139" s="152"/>
      <x:c r="E139" s="152"/>
      <x:c r="F139" s="152"/>
      <x:c r="G139" s="152"/>
      <x:c r="H139" s="152"/>
      <x:c r="I139" s="152"/>
      <x:c r="J139" s="152"/>
      <x:c r="S139" s="52"/>
    </x:row>
    <x:row r="140">
      <x:c r="L140" s="149" t="s">
        <x:v>396</x:v>
      </x:c>
      <x:c r="M140" s="150">
        <x:v>0.1</x:v>
      </x:c>
      <x:c r="S140" s="52"/>
    </x:row>
    <x:row r="141">
      <x:c r="L141" s="149" t="s">
        <x:v>397</x:v>
      </x:c>
      <x:c r="M141" s="150">
        <x:v>0.5</x:v>
      </x:c>
      <x:c r="S141" s="52"/>
    </x:row>
    <x:row r="142">
      <x:c r="L142" s="149" t="s">
        <x:v>398</x:v>
      </x:c>
      <x:c r="M142" s="150">
        <x:v>0.4</x:v>
      </x:c>
      <x:c r="S142" s="52"/>
    </x:row>
    <x:row r="143">
      <x:c r="B143" s="151" t="s">
        <x:v>409</x:v>
      </x:c>
      <x:c r="C143" s="151" t="s">
        <x:v>382</x:v>
      </x:c>
      <x:c r="D143" s="151" t="s">
        <x:v>399</x:v>
      </x:c>
      <x:c r="E143" s="151" t="s">
        <x:v>400</x:v>
      </x:c>
      <x:c r="F143" s="151" t="s">
        <x:v>401</x:v>
      </x:c>
      <x:c r="G143" s="151" t="s">
        <x:v>402</x:v>
      </x:c>
      <x:c r="H143" s="151" t="s">
        <x:v>384</x:v>
      </x:c>
      <x:c r="I143" s="151" t="s">
        <x:v>385</x:v>
      </x:c>
      <x:c r="J143" s="151" t="s">
        <x:v>386</x:v>
      </x:c>
      <x:c r="L143" s="149" t="s">
        <x:v>408</x:v>
      </x:c>
      <x:c r="M143" s="149">
        <x:v>250.0</x:v>
      </x:c>
      <x:c r="S143" s="52"/>
    </x:row>
    <x:row r="144">
      <x:c r="B144" s="153" t="s">
        <x:v>387</x:v>
      </x:c>
      <x:c r="C144" s="154">
        <x:v>250.0</x:v>
      </x:c>
      <x:c r="D144" s="156">
        <x:v>7.0</x:v>
      </x:c>
      <x:c r="E144" s="156" t="n">
        <x:f t="shared" ref="E144:E147" si="79">ROUND((D144/$D$122)*100,0)</x:f>
        <x:v>20</x:v>
      </x:c>
      <x:c r="F144" s="160" t="n">
        <x:f t="shared" ref="F144:F147" si="80">100-(ABS(C144-$M$143)/$M$143*100)</x:f>
        <x:v>100</x:v>
      </x:c>
      <x:c r="G144" s="160" t="n">
        <x:f t="shared" ref="G144:G147" si="81">D144*10</x:f>
        <x:v>70</x:v>
      </x:c>
      <x:c r="H144" s="161" t="n">
        <x:f t="shared" ref="H144:H147" si="82">$M$140*F144+$M$141*G144+$M$142*E144</x:f>
        <x:v>53</x:v>
      </x:c>
      <x:c r="I144" s="162" t="n">
        <x:f t="shared" ref="I144:I147" si="83">H144/$H$148</x:f>
        <x:v>0.2178380600082203</x:v>
      </x:c>
      <x:c r="J144" s="161" t="n">
        <x:f t="shared" ref="J144:J147" si="84">ROUND(I144*$B$152,0)</x:f>
        <x:v>174</x:v>
      </x:c>
      <x:c r="S144" s="52"/>
    </x:row>
    <x:row r="145">
      <x:c r="B145" s="153" t="s">
        <x:v>388</x:v>
      </x:c>
      <x:c r="C145" s="154">
        <x:v>300.0</x:v>
      </x:c>
      <x:c r="D145" s="156">
        <x:v>8.3</x:v>
      </x:c>
      <x:c r="E145" s="156">
        <x:f t="shared" si="79"/>
        <x:v>24</x:v>
      </x:c>
      <x:c r="F145" s="160">
        <x:f t="shared" si="80"/>
        <x:v>80</x:v>
      </x:c>
      <x:c r="G145" s="160">
        <x:f t="shared" si="81"/>
        <x:v>83</x:v>
      </x:c>
      <x:c r="H145" s="161">
        <x:f t="shared" si="82"/>
        <x:v>59.1</x:v>
      </x:c>
      <x:c r="I145" s="162">
        <x:f t="shared" si="83"/>
        <x:v>0.2429099877</x:v>
      </x:c>
      <x:c r="J145" s="161">
        <x:f t="shared" si="84"/>
        <x:v>194</x:v>
      </x:c>
      <x:c r="S145" s="52"/>
    </x:row>
    <x:row r="146">
      <x:c r="B146" s="153" t="s">
        <x:v>389</x:v>
      </x:c>
      <x:c r="C146" s="154">
        <x:v>220.0</x:v>
      </x:c>
      <x:c r="D146" s="156">
        <x:v>10.2</x:v>
      </x:c>
      <x:c r="E146" s="156">
        <x:f t="shared" si="79"/>
        <x:v>30</x:v>
      </x:c>
      <x:c r="F146" s="160">
        <x:f t="shared" si="80"/>
        <x:v>88</x:v>
      </x:c>
      <x:c r="G146" s="160">
        <x:f t="shared" si="81"/>
        <x:v>102</x:v>
      </x:c>
      <x:c r="H146" s="161">
        <x:f t="shared" si="82"/>
        <x:v>71.8</x:v>
      </x:c>
      <x:c r="I146" s="162">
        <x:f t="shared" si="83"/>
        <x:v>0.295108919</x:v>
      </x:c>
      <x:c r="J146" s="161">
        <x:f t="shared" si="84"/>
        <x:v>236</x:v>
      </x:c>
      <x:c r="S146" s="52"/>
    </x:row>
    <x:row r="147">
      <x:c r="B147" s="153" t="s">
        <x:v>390</x:v>
      </x:c>
      <x:c r="C147" s="154">
        <x:v>400.0</x:v>
      </x:c>
      <x:c r="D147" s="156">
        <x:v>9.0</x:v>
      </x:c>
      <x:c r="E147" s="156">
        <x:f t="shared" si="79"/>
        <x:v>26</x:v>
      </x:c>
      <x:c r="F147" s="160">
        <x:f t="shared" si="80"/>
        <x:v>40</x:v>
      </x:c>
      <x:c r="G147" s="160">
        <x:f t="shared" si="81"/>
        <x:v>90</x:v>
      </x:c>
      <x:c r="H147" s="161">
        <x:f t="shared" si="82"/>
        <x:v>59.4</x:v>
      </x:c>
      <x:c r="I147" s="162">
        <x:f t="shared" si="83"/>
        <x:v>0.2441430333</x:v>
      </x:c>
      <x:c r="J147" s="161">
        <x:f t="shared" si="84"/>
        <x:v>195</x:v>
      </x:c>
      <x:c r="S147" s="52"/>
    </x:row>
    <x:row r="148">
      <x:c r="B148" s="164"/>
      <x:c r="C148" s="151" t="s">
        <x:v>403</x:v>
      </x:c>
      <x:c r="D148" s="164" t="n">
        <x:f>SUM(D144:D147)</x:f>
        <x:v>34.5</x:v>
      </x:c>
      <x:c r="E148" s="164"/>
      <x:c r="F148" s="164"/>
      <x:c r="G148" s="168" t="s">
        <x:v>404</x:v>
      </x:c>
      <x:c r="H148" s="169" t="n">
        <x:f>SUM(H144:H147)</x:f>
        <x:v>243.29999999999998</x:v>
      </x:c>
      <x:c r="I148" s="164"/>
      <x:c r="J148" s="164" t="n">
        <x:f>SUM(J144:J147)</x:f>
        <x:v>799</x:v>
      </x:c>
      <x:c r="S148" s="52"/>
    </x:row>
    <x:row r="149">
      <x:c r="B149" s="152"/>
      <x:c r="C149" s="152"/>
      <x:c r="D149" s="152"/>
      <x:c r="E149" s="152"/>
      <x:c r="F149" s="152"/>
      <x:c r="G149" s="152"/>
      <x:c r="H149" s="152"/>
      <x:c r="I149" s="152"/>
      <x:c r="J149" s="152"/>
      <x:c r="S149" s="52"/>
    </x:row>
    <x:row r="150">
      <x:c r="B150" s="151">
        <x:v>2000.0</x:v>
      </x:c>
      <x:c r="C150" s="151" t="s">
        <x:v>405</x:v>
      </x:c>
      <x:c r="D150" s="152"/>
      <x:c r="E150" s="152"/>
      <x:c r="F150" s="152"/>
      <x:c r="G150" s="152"/>
      <x:c r="H150" s="152"/>
      <x:c r="I150" s="152"/>
      <x:c r="J150" s="152"/>
      <x:c r="S150" s="52"/>
    </x:row>
    <x:row r="151">
      <x:c r="B151" s="166">
        <x:v>0.4</x:v>
      </x:c>
      <x:c r="C151" s="164"/>
      <x:c r="D151" s="152"/>
      <x:c r="E151" s="152"/>
      <x:c r="F151" s="152"/>
      <x:c r="G151" s="152"/>
      <x:c r="H151" s="152"/>
      <x:c r="I151" s="152"/>
      <x:c r="J151" s="152"/>
      <x:c r="S151" s="52"/>
    </x:row>
    <x:row r="152">
      <x:c r="B152" s="151">
        <x:v>800.0</x:v>
      </x:c>
      <x:c r="C152" s="151" t="s">
        <x:v>406</x:v>
      </x:c>
      <x:c r="D152" s="152"/>
      <x:c r="E152" s="152"/>
      <x:c r="F152" s="152"/>
      <x:c r="G152" s="152"/>
      <x:c r="H152" s="152"/>
      <x:c r="I152" s="152"/>
      <x:c r="J152" s="152"/>
      <x:c r="S152" s="52"/>
    </x:row>
    <x:row r="153">
      <x:c r="S153" s="52"/>
    </x:row>
    <x:row r="154">
      <x:c r="S154" s="52"/>
    </x:row>
    <x:row r="155">
      <x:c r="S155" s="52"/>
    </x:row>
    <x:row r="156">
      <x:c r="S156" s="52"/>
    </x:row>
    <x:row r="157">
      <x:c r="S157" s="52"/>
    </x:row>
    <x:row r="158">
      <x:c r="S158" s="52"/>
    </x:row>
    <x:row r="159">
      <x:c r="S159" s="52"/>
    </x:row>
    <x:row r="160">
      <x:c r="S160" s="52"/>
    </x:row>
    <x:row r="161">
      <x:c r="S161" s="52"/>
    </x:row>
    <x:row r="162">
      <x:c r="S162" s="52"/>
    </x:row>
    <x:row r="163">
      <x:c r="S163" s="52"/>
    </x:row>
    <x:row r="164">
      <x:c r="S164" s="52"/>
    </x:row>
    <x:row r="165">
      <x:c r="S165" s="52"/>
    </x:row>
    <x:row r="166">
      <x:c r="S166" s="52"/>
    </x:row>
    <x:row r="167">
      <x:c r="S167" s="52"/>
    </x:row>
    <x:row r="168">
      <x:c r="S168" s="52"/>
    </x:row>
    <x:row r="169">
      <x:c r="S169" s="52"/>
    </x:row>
    <x:row r="170">
      <x:c r="S170" s="52"/>
    </x:row>
    <x:row r="171">
      <x:c r="S171" s="52"/>
    </x:row>
    <x:row r="172">
      <x:c r="S172" s="52"/>
    </x:row>
    <x:row r="173">
      <x:c r="S173" s="52"/>
    </x:row>
    <x:row r="174">
      <x:c r="S174" s="52"/>
    </x:row>
    <x:row r="175">
      <x:c r="S175" s="52"/>
    </x:row>
    <x:row r="176">
      <x:c r="S176" s="52"/>
    </x:row>
    <x:row r="177">
      <x:c r="S177" s="52"/>
    </x:row>
    <x:row r="178">
      <x:c r="S178" s="52"/>
    </x:row>
    <x:row r="179">
      <x:c r="S179" s="52"/>
    </x:row>
    <x:row r="180">
      <x:c r="S180" s="52"/>
    </x:row>
    <x:row r="181">
      <x:c r="S181" s="52"/>
    </x:row>
    <x:row r="182">
      <x:c r="S182" s="52"/>
    </x:row>
    <x:row r="183">
      <x:c r="S183" s="52"/>
    </x:row>
    <x:row r="184">
      <x:c r="S184" s="52"/>
    </x:row>
    <x:row r="185">
      <x:c r="S185" s="52"/>
    </x:row>
    <x:row r="186">
      <x:c r="S186" s="52"/>
    </x:row>
    <x:row r="187">
      <x:c r="S187" s="52"/>
    </x:row>
    <x:row r="188">
      <x:c r="S188" s="52"/>
    </x:row>
    <x:row r="189">
      <x:c r="S189" s="52"/>
    </x:row>
    <x:row r="190">
      <x:c r="S190" s="52"/>
    </x:row>
    <x:row r="191">
      <x:c r="S191" s="52"/>
    </x:row>
    <x:row r="192">
      <x:c r="S192" s="52"/>
    </x:row>
    <x:row r="193">
      <x:c r="S193" s="52"/>
    </x:row>
    <x:row r="194">
      <x:c r="S194" s="52"/>
    </x:row>
    <x:row r="195">
      <x:c r="S195" s="52"/>
    </x:row>
    <x:row r="196">
      <x:c r="S196" s="52"/>
    </x:row>
    <x:row r="197">
      <x:c r="S197" s="52"/>
    </x:row>
    <x:row r="198">
      <x:c r="S198" s="52"/>
    </x:row>
    <x:row r="199">
      <x:c r="S199" s="52"/>
    </x:row>
    <x:row r="200">
      <x:c r="S200" s="52"/>
    </x:row>
  </x:sheetData>
  <x:mergeCells>
    <x:mergeCell ref="A3:B3"/>
  </x:mergeCells>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ColWidth="14.430000305175781" defaultRowHeight="15"/>
  <x:cols>
    <x:col min="1" max="1" width="10" customWidth="1"/>
    <x:col min="2" max="2" width="20" customWidth="1"/>
    <x:col min="3" max="3" width="18" customWidth="1"/>
    <x:col min="4" max="4" width="16" customWidth="1"/>
    <x:col min="5" max="5" width="18" customWidth="1"/>
    <x:col min="6" max="6" width="14" customWidth="1"/>
    <x:col min="7" max="7" width="16" customWidth="1"/>
    <x:col min="8" max="8" width="18" customWidth="1"/>
    <x:col min="9" max="10" width="16" customWidth="1"/>
    <x:col min="11" max="11" width="20" customWidth="1"/>
    <x:col min="12" max="12" width="46" customWidth="1"/>
    <x:col min="13" max="26" width="8.710000038146973" customWidth="1"/>
  </x:cols>
  <x:sheetData>
    <x:row r="1">
      <x:c r="A1" s="8" t="s">
        <x:v>512</x:v>
      </x:c>
      <x:c r="B1" s="8" t="s">
        <x:v>513</x:v>
      </x:c>
      <x:c r="C1" s="8" t="s">
        <x:v>514</x:v>
      </x:c>
      <x:c r="D1" s="8" t="s">
        <x:v>515</x:v>
      </x:c>
      <x:c r="E1" s="8" t="s">
        <x:v>516</x:v>
      </x:c>
      <x:c r="F1" s="8" t="s">
        <x:v>517</x:v>
      </x:c>
      <x:c r="G1" s="8" t="s">
        <x:v>518</x:v>
      </x:c>
      <x:c r="H1" s="8" t="s">
        <x:v>519</x:v>
      </x:c>
      <x:c r="I1" s="8" t="s">
        <x:v>520</x:v>
      </x:c>
      <x:c r="J1" s="8" t="s">
        <x:v>521</x:v>
      </x:c>
      <x:c r="K1" s="8" t="s">
        <x:v>522</x:v>
      </x:c>
      <x:c r="L1" s="8" t="s">
        <x:v>523</x:v>
      </x:c>
    </x:row>
    <x:row r="2">
      <x:c r="A2" s="9" t="s">
        <x:v>524</x:v>
      </x:c>
      <x:c r="B2" s="108"/>
      <x:c r="C2" s="108">
        <x:v>0.0</x:v>
      </x:c>
      <x:c r="D2" s="108"/>
      <x:c r="E2" s="108"/>
      <x:c r="F2" s="108"/>
      <x:c r="G2" s="108"/>
      <x:c r="H2" s="110" t="n">
        <x:f t="array" ref="H2">IFERROR(INDEX(Catalogo_Decisiones!$G$2:$G$57,MATCH($D2,Catalogo_Decisiones!$A$2:$A$57,0)),0)+IFERROR(INDEX(Catalogo_Decisiones!$G$2:$G$57,MATCH($E2,Catalogo_Decisiones!$A$2:$A$57,0)),0)+IFERROR(INDEX(Catalogo_Decisiones!$G$2:$G$57,MATCH($F2,Catalogo_Decisiones!$A$2:$A$57,0)),0)</x:f>
        <x:v>0</x:v>
      </x:c>
      <x:c r="I2" s="110" t="n">
        <x:f t="array" ref="I2">IFERROR(INDEX(Catalogo_Decisiones!$H$2:$H$57,MATCH($D2,Catalogo_Decisiones!$A$2:$A$57,0)),0)+IFERROR(INDEX(Catalogo_Decisiones!$H$2:$H$57,MATCH($E2,Catalogo_Decisiones!$A$2:$A$57,0)),0)+IFERROR(INDEX(Catalogo_Decisiones!$H$2:$H$57,MATCH($F2,Catalogo_Decisiones!$A$2:$A$57,0)),0)+IFERROR(INDEX(Catalogo_Decisiones!$H$2:$H$57,MATCH($G2,Catalogo_Decisiones!$A$2:$A$57,0)),0)</x:f>
        <x:v>0</x:v>
      </x:c>
      <x:c r="J2" s="110" t="n">
        <x:f t="shared" ref="J2:J4" si="1">IFS($B2="SEG-01",0,$B2="SEG-02",4,$B2="SEG-03",7,TRUE(),0)</x:f>
        <x:v>0</x:v>
      </x:c>
      <x:c r="K2" s="113" t="str">
        <x:f t="shared" ref="K2:K4" si="2">IF(B2="","",IF(I2&gt;=J2,"Coherente","No alcanza el segmento"))</x:f>
      </x:c>
      <x:c r="L2" s="113" t="str">
        <x:f t="shared" ref="L2:L4" si="3">IF(B2="","Elige un segmento y los insumos del lote",IF(K2="Coherente","Este lote cumple con la calidad esperada para su segmento. Los clientes perciben el valor y el precio se sostiene.","Este lote no alcanza la calidad que su segmento promete. Los clientes se sienten enganados: baja el precio efectivo y la reputacion."))</x:f>
        <x:v>Elige un segmento y los insumos del lote</x:v>
      </x:c>
    </x:row>
    <x:row r="3">
      <x:c r="A3" s="9" t="s">
        <x:v>525</x:v>
      </x:c>
      <x:c r="B3" s="108"/>
      <x:c r="C3" s="108">
        <x:v>0.0</x:v>
      </x:c>
      <x:c r="D3" s="108"/>
      <x:c r="E3" s="108"/>
      <x:c r="F3" s="108"/>
      <x:c r="G3" s="108"/>
      <x:c r="H3" s="110" t="n">
        <x:f t="array" ref="H3">IFERROR(INDEX(Catalogo_Decisiones!$G$2:$G$57,MATCH($D3,Catalogo_Decisiones!$A$2:$A$57,0)),0)+IFERROR(INDEX(Catalogo_Decisiones!$G$2:$G$57,MATCH($E3,Catalogo_Decisiones!$A$2:$A$57,0)),0)+IFERROR(INDEX(Catalogo_Decisiones!$G$2:$G$57,MATCH($F3,Catalogo_Decisiones!$A$2:$A$57,0)),0)</x:f>
        <x:v>0</x:v>
      </x:c>
      <x:c r="I3" s="110" t="n">
        <x:f t="array" ref="I3">IFERROR(INDEX(Catalogo_Decisiones!$H$2:$H$57,MATCH($D3,Catalogo_Decisiones!$A$2:$A$57,0)),0)+IFERROR(INDEX(Catalogo_Decisiones!$H$2:$H$57,MATCH($E3,Catalogo_Decisiones!$A$2:$A$57,0)),0)+IFERROR(INDEX(Catalogo_Decisiones!$H$2:$H$57,MATCH($F3,Catalogo_Decisiones!$A$2:$A$57,0)),0)+IFERROR(INDEX(Catalogo_Decisiones!$H$2:$H$57,MATCH($G3,Catalogo_Decisiones!$A$2:$A$57,0)),0)</x:f>
        <x:v>0</x:v>
      </x:c>
      <x:c r="J3" s="110">
        <x:f t="shared" si="1"/>
        <x:v>0</x:v>
      </x:c>
      <x:c r="K3" s="113" t="str">
        <x:f t="shared" si="2"/>
      </x:c>
      <x:c r="L3" s="113" t="str">
        <x:f t="shared" si="3"/>
        <x:v>Elige un segmento y los insumos del lote</x:v>
      </x:c>
    </x:row>
    <x:row r="4">
      <x:c r="A4" s="9" t="s">
        <x:v>526</x:v>
      </x:c>
      <x:c r="B4" s="108"/>
      <x:c r="C4" s="108">
        <x:v>0.0</x:v>
      </x:c>
      <x:c r="D4" s="108"/>
      <x:c r="E4" s="108"/>
      <x:c r="F4" s="108"/>
      <x:c r="G4" s="108"/>
      <x:c r="H4" s="110" t="n">
        <x:f t="array" ref="H4">IFERROR(INDEX(Catalogo_Decisiones!$G$2:$G$57,MATCH($D4,Catalogo_Decisiones!$A$2:$A$57,0)),0)+IFERROR(INDEX(Catalogo_Decisiones!$G$2:$G$57,MATCH($E4,Catalogo_Decisiones!$A$2:$A$57,0)),0)+IFERROR(INDEX(Catalogo_Decisiones!$G$2:$G$57,MATCH($F4,Catalogo_Decisiones!$A$2:$A$57,0)),0)</x:f>
        <x:v>0</x:v>
      </x:c>
      <x:c r="I4" s="110" t="n">
        <x:f t="array" ref="I4">IFERROR(INDEX(Catalogo_Decisiones!$H$2:$H$57,MATCH($D4,Catalogo_Decisiones!$A$2:$A$57,0)),0)+IFERROR(INDEX(Catalogo_Decisiones!$H$2:$H$57,MATCH($E4,Catalogo_Decisiones!$A$2:$A$57,0)),0)+IFERROR(INDEX(Catalogo_Decisiones!$H$2:$H$57,MATCH($F4,Catalogo_Decisiones!$A$2:$A$57,0)),0)+IFERROR(INDEX(Catalogo_Decisiones!$H$2:$H$57,MATCH($G4,Catalogo_Decisiones!$A$2:$A$57,0)),0)</x:f>
        <x:v>0</x:v>
      </x:c>
      <x:c r="J4" s="110">
        <x:f t="shared" si="1"/>
        <x:v>0</x:v>
      </x:c>
      <x:c r="K4" s="113" t="str">
        <x:f t="shared" si="2"/>
      </x:c>
      <x:c r="L4" s="113" t="str">
        <x:f t="shared" si="3"/>
        <x:v>Elige un segmento y los insumos del lote</x:v>
      </x:c>
    </x:row>
    <x:row r="5">
      <x:c r="A5" s="9" t="s">
        <x:v>527</x:v>
      </x:c>
      <x:c r="B5" s="127"/>
      <x:c r="C5" s="130" t="n">
        <x:f>SUM(C2:C4)</x:f>
        <x:v>0</x:v>
      </x:c>
      <x:c r="D5" s="127"/>
      <x:c r="E5" s="127"/>
      <x:c r="F5" s="127"/>
      <x:c r="G5" s="127"/>
      <x:c r="H5" s="130" t="n">
        <x:f>SUMPRODUCT(C2:C4,H2:H4)</x:f>
        <x:v>0</x:v>
      </x:c>
      <x:c r="I5" s="127"/>
      <x:c r="J5" s="127"/>
      <x:c r="K5" s="127"/>
      <x:c r="L5" s="127"/>
    </x:row>
    <x:row r="7">
      <x:c r="A7" s="131" t="s">
        <x:v>528</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dataValidations count="5">
    <x:dataValidation type="list" allowBlank="1" sqref="G2:G4">
      <x:formula1>"INF-08,INF-09,INF-10"</x:formula1>
    </x:dataValidation>
    <x:dataValidation type="list" allowBlank="1" sqref="F2:F4">
      <x:formula1>"INS-06,INS-07,INS-08"</x:formula1>
    </x:dataValidation>
    <x:dataValidation type="list" allowBlank="1" sqref="B2:B4">
      <x:formula1>"SEG-01,SEG-02,SEG-03"</x:formula1>
    </x:dataValidation>
    <x:dataValidation type="list" allowBlank="1" sqref="E2:E4">
      <x:formula1>"INS-04,INS-05"</x:formula1>
    </x:dataValidation>
    <x:dataValidation type="list" allowBlank="1" sqref="D2:D4">
      <x:formula1>"INS-01,INS-02,INS-03"</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14.430000305175781" defaultRowHeight="15"/>
  <x:cols>
    <x:col min="1" max="1" width="30" customWidth="1"/>
    <x:col min="2" max="2" width="22" customWidth="1"/>
    <x:col min="3" max="3" width="24" customWidth="1"/>
    <x:col min="4" max="4" width="18" customWidth="1"/>
    <x:col min="5" max="26" width="8.710000038146973" customWidth="1"/>
  </x:cols>
  <x:sheetData>
    <x:row r="1">
      <x:c r="A1" s="8" t="s">
        <x:v>529</x:v>
      </x:c>
      <x:c r="B1" s="8" t="s">
        <x:v>530</x:v>
      </x:c>
      <x:c r="C1" s="8" t="s">
        <x:v>531</x:v>
      </x:c>
      <x:c r="D1" s="8" t="s">
        <x:v>532</x:v>
      </x:c>
    </x:row>
    <x:row r="2">
      <x:c r="A2" s="167" t="s">
        <x:v>533</x:v>
      </x:c>
    </x:row>
    <x:row r="3">
      <x:c r="A3" s="10" t="s">
        <x:v>534</x:v>
      </x:c>
      <x:c r="B3" s="19" t="n">
        <x:f>Lotes_Produccion!I2</x:f>
        <x:v>0</x:v>
      </x:c>
      <x:c r="C3" s="10" t="str">
        <x:f>IF(Lotes_Produccion!B2="","","Segmento: "&amp;Lotes_Produccion!B2)</x:f>
      </x:c>
      <x:c r="D3" s="10" t="str">
        <x:f>Lotes_Produccion!K2</x:f>
      </x:c>
    </x:row>
    <x:row r="4">
      <x:c r="A4" s="10" t="s">
        <x:v>535</x:v>
      </x:c>
      <x:c r="B4" s="19" t="n">
        <x:f>Lotes_Produccion!I3</x:f>
        <x:v>0</x:v>
      </x:c>
      <x:c r="C4" s="10" t="str">
        <x:f>IF(Lotes_Produccion!B3="","","Segmento: "&amp;Lotes_Produccion!B3)</x:f>
      </x:c>
      <x:c r="D4" s="10" t="n">
        <x:f>Lotes_Produccion!K3</x:f>
        <x:v>0</x:v>
      </x:c>
    </x:row>
    <x:row r="5">
      <x:c r="A5" s="10" t="s">
        <x:v>536</x:v>
      </x:c>
      <x:c r="B5" s="19" t="n">
        <x:f>Lotes_Produccion!I4</x:f>
        <x:v>0</x:v>
      </x:c>
      <x:c r="C5" s="10" t="str">
        <x:f>IF(Lotes_Produccion!B4="","","Segmento: "&amp;Lotes_Produccion!B4)</x:f>
      </x:c>
      <x:c r="D5" s="10" t="n">
        <x:f>Lotes_Produccion!K4</x:f>
        <x:v>0</x:v>
      </x:c>
    </x:row>
    <x:row r="6">
      <x:c r="A6" s="9" t="s">
        <x:v>537</x:v>
      </x:c>
      <x:c r="B6" s="130" t="n">
        <x:f>IFERROR(SUMPRODUCT(Lotes_Produccion!C2:C4,Lotes_Produccion!I2:I4)/SUM(Lotes_Produccion!C2:C4),0)</x:f>
        <x:v>0</x:v>
      </x:c>
      <x:c r="C6" s="9" t="s">
        <x:v>538</x:v>
      </x:c>
      <x:c r="D6" s="9" t="str">
        <x:f>IF(B6&gt;=7,"Alto",IF(B6&gt;=4,"Medio","Bajo"))</x:f>
        <x:v>Bajo</x:v>
      </x:c>
    </x:row>
    <x:row r="8">
      <x:c r="A8" s="167" t="s">
        <x:v>539</x:v>
      </x:c>
    </x:row>
    <x:row r="9">
      <x:c r="A9" s="9" t="s">
        <x:v>540</x:v>
      </x:c>
      <x:c r="B9" s="19" t="n">
        <x:f>SUM(Seleccion_Ciclo0!G2:G15)</x:f>
        <x:v>0</x:v>
      </x:c>
      <x:c r="C9" s="10" t="s">
        <x:v>538</x:v>
      </x:c>
      <x:c r="D9" s="10" t="str">
        <x:f t="shared" ref="D9:D11" si="1">IF(B9&gt;=7,"Alto",IF(B9&gt;=4,"Medio","Bajo"))</x:f>
        <x:v>Bajo</x:v>
      </x:c>
    </x:row>
    <x:row r="10">
      <x:c r="A10" s="9" t="s">
        <x:v>541</x:v>
      </x:c>
      <x:c r="B10" s="19" t="n">
        <x:f>SUM(Seleccion_Ciclo0!H2:H15)</x:f>
        <x:v>0</x:v>
      </x:c>
      <x:c r="C10" s="10" t="s">
        <x:v>538</x:v>
      </x:c>
      <x:c r="D10" s="10" t="str">
        <x:f t="shared" si="1"/>
        <x:v>Bajo</x:v>
      </x:c>
    </x:row>
    <x:row r="11">
      <x:c r="A11" s="9" t="s">
        <x:v>542</x:v>
      </x:c>
      <x:c r="B11" s="19" t="n">
        <x:f>SUM(Seleccion_Ciclo0!I2:I15)</x:f>
        <x:v>0</x:v>
      </x:c>
      <x:c r="C11" s="10" t="s">
        <x:v>538</x:v>
      </x:c>
      <x:c r="D11" s="10" t="str">
        <x:f t="shared" si="1"/>
        <x:v>Bajo</x:v>
      </x:c>
    </x:row>
    <x:row r="13">
      <x:c r="A13" s="131" t="s">
        <x:v>543</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ColWidth="14.430000305175781" defaultRowHeight="15"/>
  <x:cols>
    <x:col min="1" max="1" width="10" customWidth="1"/>
    <x:col min="2" max="2" width="20" customWidth="1"/>
    <x:col min="3" max="3" width="34" customWidth="1"/>
    <x:col min="4" max="4" width="38" customWidth="1"/>
    <x:col min="5" max="5" width="55" customWidth="1"/>
    <x:col min="6" max="26" width="8.710000038146973" customWidth="1"/>
  </x:cols>
  <x:sheetData>
    <x:row r="1">
      <x:c r="A1" s="8" t="s">
        <x:v>544</x:v>
      </x:c>
      <x:c r="B1" s="8" t="s">
        <x:v>545</x:v>
      </x:c>
      <x:c r="C1" s="8" t="s">
        <x:v>546</x:v>
      </x:c>
      <x:c r="D1" s="8" t="s">
        <x:v>547</x:v>
      </x:c>
      <x:c r="E1" s="8" t="s">
        <x:v>548</x:v>
      </x:c>
    </x:row>
    <x:row r="2">
      <x:c r="A2" s="172" t="s">
        <x:v>549</x:v>
      </x:c>
      <x:c r="B2" s="172" t="s">
        <x:v>550</x:v>
      </x:c>
      <x:c r="C2" s="172" t="s">
        <x:v>551</x:v>
      </x:c>
      <x:c r="D2" s="172" t="s">
        <x:v>552</x:v>
      </x:c>
      <x:c r="E2" s="172" t="s">
        <x:v>553</x:v>
      </x:c>
    </x:row>
    <x:row r="3">
      <x:c r="A3" s="172" t="s">
        <x:v>554</x:v>
      </x:c>
      <x:c r="B3" s="172" t="s">
        <x:v>550</x:v>
      </x:c>
      <x:c r="C3" s="172" t="s">
        <x:v>555</x:v>
      </x:c>
      <x:c r="D3" s="172" t="s">
        <x:v>556</x:v>
      </x:c>
      <x:c r="E3" s="172" t="s">
        <x:v>557</x:v>
      </x:c>
    </x:row>
    <x:row r="4">
      <x:c r="A4" s="172" t="s">
        <x:v>558</x:v>
      </x:c>
      <x:c r="B4" s="172" t="s">
        <x:v>342</x:v>
      </x:c>
      <x:c r="C4" s="172" t="s">
        <x:v>559</x:v>
      </x:c>
      <x:c r="D4" s="172" t="s">
        <x:v>560</x:v>
      </x:c>
      <x:c r="E4" s="172" t="s">
        <x:v>561</x:v>
      </x:c>
    </x:row>
    <x:row r="5">
      <x:c r="A5" s="172" t="s">
        <x:v>562</x:v>
      </x:c>
      <x:c r="B5" s="172" t="s">
        <x:v>381</x:v>
      </x:c>
      <x:c r="C5" s="172" t="s">
        <x:v>563</x:v>
      </x:c>
      <x:c r="D5" s="172" t="s">
        <x:v>564</x:v>
      </x:c>
      <x:c r="E5" s="172" t="s">
        <x:v>565</x:v>
      </x:c>
    </x:row>
    <x:row r="6">
      <x:c r="A6" s="172" t="s">
        <x:v>566</x:v>
      </x:c>
      <x:c r="B6" s="172" t="s">
        <x:v>567</x:v>
      </x:c>
      <x:c r="C6" s="172" t="s">
        <x:v>568</x:v>
      </x:c>
      <x:c r="D6" s="172" t="s">
        <x:v>569</x:v>
      </x:c>
      <x:c r="E6" s="172" t="s">
        <x:v>570</x:v>
      </x:c>
    </x:row>
    <x:row r="7">
      <x:c r="A7" s="172" t="s">
        <x:v>571</x:v>
      </x:c>
      <x:c r="B7" s="172" t="s">
        <x:v>572</x:v>
      </x:c>
      <x:c r="C7" s="172" t="s">
        <x:v>573</x:v>
      </x:c>
      <x:c r="D7" s="172" t="s">
        <x:v>574</x:v>
      </x:c>
      <x:c r="E7" s="172" t="s">
        <x:v>575</x:v>
      </x:c>
    </x:row>
    <x:row r="8">
      <x:c r="A8" s="172" t="s">
        <x:v>576</x:v>
      </x:c>
      <x:c r="B8" s="172" t="s">
        <x:v>577</x:v>
      </x:c>
      <x:c r="C8" s="172" t="s">
        <x:v>578</x:v>
      </x:c>
      <x:c r="D8" s="172" t="s">
        <x:v>579</x:v>
      </x:c>
      <x:c r="E8" s="172" t="s">
        <x:v>580</x:v>
      </x:c>
    </x:row>
    <x:row r="9">
      <x:c r="A9" s="172" t="s">
        <x:v>581</x:v>
      </x:c>
      <x:c r="B9" s="172" t="s">
        <x:v>342</x:v>
      </x:c>
      <x:c r="C9" s="172" t="s">
        <x:v>582</x:v>
      </x:c>
      <x:c r="D9" s="172" t="s">
        <x:v>583</x:v>
      </x:c>
      <x:c r="E9" s="172" t="s">
        <x:v>584</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